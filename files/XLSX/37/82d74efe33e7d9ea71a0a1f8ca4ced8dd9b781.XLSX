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ongregaciondesantacatalina-my.sharepoint.com/personal/contabilidad_clinicanueva_com/Documents/Desktop/"/>
    </mc:Choice>
  </mc:AlternateContent>
  <xr:revisionPtr revIDLastSave="67" documentId="8_{219B7F7A-0B88-48AC-9BF0-1E1565C1FE16}" xr6:coauthVersionLast="47" xr6:coauthVersionMax="47" xr10:uidLastSave="{AE120CE5-8257-41F3-98D2-6057A712AF0C}"/>
  <bookViews>
    <workbookView xWindow="-120" yWindow="-120" windowWidth="29040" windowHeight="15840" firstSheet="1" activeTab="4" xr2:uid="{00000000-000D-0000-FFFF-FFFF00000000}"/>
  </bookViews>
  <sheets>
    <sheet name="Sheet" sheetId="1" state="hidden" r:id="rId1"/>
    <sheet name="Bg" sheetId="2" r:id="rId2"/>
    <sheet name="Inventario" sheetId="3" r:id="rId3"/>
    <sheet name="Dk Inventario" sheetId="5" r:id="rId4"/>
    <sheet name="Conciliacion" sheetId="4" r:id="rId5"/>
  </sheets>
  <definedNames>
    <definedName name="_xlnm._FilterDatabase" localSheetId="1" hidden="1">Bg!$A$1:$K$1650</definedName>
    <definedName name="_xlnm._FilterDatabase" localSheetId="2" hidden="1">Inventario!$A$1:$N$3497</definedName>
    <definedName name="_xlnm._FilterDatabase" localSheetId="0" hidden="1">Sheet!$A$1:$K$1650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D9" i="4"/>
  <c r="E9" i="4" s="1"/>
  <c r="D8" i="4"/>
  <c r="D7" i="4"/>
  <c r="E7" i="4" s="1"/>
  <c r="D6" i="4"/>
  <c r="E6" i="4" s="1"/>
  <c r="D5" i="4"/>
  <c r="D4" i="4"/>
  <c r="D3" i="4"/>
  <c r="C14" i="4"/>
  <c r="C11" i="4"/>
  <c r="E11" i="4" s="1"/>
  <c r="C10" i="4"/>
  <c r="C9" i="4"/>
  <c r="C8" i="4"/>
  <c r="C7" i="4"/>
  <c r="C6" i="4"/>
  <c r="C5" i="4"/>
  <c r="C4" i="4"/>
  <c r="C3" i="4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F4" i="5" s="1"/>
  <c r="D6" i="5"/>
  <c r="F5" i="5" s="1"/>
  <c r="D5" i="5"/>
  <c r="D4" i="5"/>
  <c r="D21" i="5" s="1"/>
  <c r="E8" i="4"/>
  <c r="N3499" i="3"/>
  <c r="D14" i="4"/>
  <c r="E10" i="4" l="1"/>
  <c r="D12" i="4"/>
  <c r="E5" i="4"/>
  <c r="E4" i="4"/>
  <c r="C12" i="4"/>
  <c r="E3" i="4"/>
  <c r="E12" i="4" s="1"/>
</calcChain>
</file>

<file path=xl/sharedStrings.xml><?xml version="1.0" encoding="utf-8"?>
<sst xmlns="http://schemas.openxmlformats.org/spreadsheetml/2006/main" count="59981" uniqueCount="5529">
  <si>
    <t>Libro</t>
  </si>
  <si>
    <t>Clase</t>
  </si>
  <si>
    <t>Nivel</t>
  </si>
  <si>
    <t>Código Cuenta Contable</t>
  </si>
  <si>
    <t>Cuenta Contable</t>
  </si>
  <si>
    <t>Naturaleza Saldo Anterior</t>
  </si>
  <si>
    <t>Saldo Anterior</t>
  </si>
  <si>
    <t>Valor Débito</t>
  </si>
  <si>
    <t>Valor Crédito</t>
  </si>
  <si>
    <t>Naturaleza Nuevo Saldo</t>
  </si>
  <si>
    <t>Nuevo Saldo</t>
  </si>
  <si>
    <t>NIIF FISCAL</t>
  </si>
  <si>
    <t>ACTIVO</t>
  </si>
  <si>
    <t>1</t>
  </si>
  <si>
    <t>Debito</t>
  </si>
  <si>
    <t>2</t>
  </si>
  <si>
    <t>11</t>
  </si>
  <si>
    <t>EFECTIVO Y EQUIVALENTES AL EFECTIVO</t>
  </si>
  <si>
    <t>3</t>
  </si>
  <si>
    <t>1105</t>
  </si>
  <si>
    <t>EFECTIVO</t>
  </si>
  <si>
    <t>4</t>
  </si>
  <si>
    <t>110505</t>
  </si>
  <si>
    <t>5</t>
  </si>
  <si>
    <t>11050505</t>
  </si>
  <si>
    <t>CAJA GENERAL</t>
  </si>
  <si>
    <t>6</t>
  </si>
  <si>
    <t>1105050505</t>
  </si>
  <si>
    <t>CAJA PRINCIPAL</t>
  </si>
  <si>
    <t>1105050510</t>
  </si>
  <si>
    <t>CAJA TESORERIA</t>
  </si>
  <si>
    <t>1105050515</t>
  </si>
  <si>
    <t>CAJA URGENCIAS</t>
  </si>
  <si>
    <t>1105050520</t>
  </si>
  <si>
    <t>CAJA CONSULTORIOS</t>
  </si>
  <si>
    <t>1105050525</t>
  </si>
  <si>
    <t>CAJA FACTURACION</t>
  </si>
  <si>
    <t>1105050530</t>
  </si>
  <si>
    <t>CAJA SEDE QUIROGA</t>
  </si>
  <si>
    <t>11050510</t>
  </si>
  <si>
    <t>CAJA MENOR</t>
  </si>
  <si>
    <t>1105051005</t>
  </si>
  <si>
    <t>CAJA MENOR ADMINISTRACION</t>
  </si>
  <si>
    <t>1105051010</t>
  </si>
  <si>
    <t>CAJA MENOR SERVICIO DE ALIMENTOS</t>
  </si>
  <si>
    <t>1105051015</t>
  </si>
  <si>
    <t>CAJA MENOR SEDE QUIROGA</t>
  </si>
  <si>
    <t>1110</t>
  </si>
  <si>
    <t>BANCOS</t>
  </si>
  <si>
    <t>111010</t>
  </si>
  <si>
    <t>11101005</t>
  </si>
  <si>
    <t>BANCOS CUENTAS CORRIENTES-MONEDA NACIONAL</t>
  </si>
  <si>
    <t>1110100505</t>
  </si>
  <si>
    <t>ITAU 005036439</t>
  </si>
  <si>
    <t>1110100510</t>
  </si>
  <si>
    <t>DAVIVIENDA 008669998851</t>
  </si>
  <si>
    <t>1110100515</t>
  </si>
  <si>
    <t>CAJA SOCIAL 21004123344</t>
  </si>
  <si>
    <t>1110100520</t>
  </si>
  <si>
    <t>BANCO DE BOGOTA 00008078</t>
  </si>
  <si>
    <t>1120</t>
  </si>
  <si>
    <t>CUENTAS DE AHORRO</t>
  </si>
  <si>
    <t>112020</t>
  </si>
  <si>
    <t>11202005</t>
  </si>
  <si>
    <t>BANCOS CUENTAS DE AHORRO-BANCOS MONEDA NACIONAL</t>
  </si>
  <si>
    <t>1120200505</t>
  </si>
  <si>
    <t>ITAU  005007171</t>
  </si>
  <si>
    <t>1120200510</t>
  </si>
  <si>
    <t>DAVIVIENDA 008670109852</t>
  </si>
  <si>
    <t>1120200515</t>
  </si>
  <si>
    <t>DAVIVIENDA 008600256427</t>
  </si>
  <si>
    <t>1120200520</t>
  </si>
  <si>
    <t>COLPATRIA 479 2059703</t>
  </si>
  <si>
    <t>1120200525</t>
  </si>
  <si>
    <t>CG DAVIVIENDA 0043 0022 9889</t>
  </si>
  <si>
    <t>1120200530</t>
  </si>
  <si>
    <t>POPULAR 220009143132</t>
  </si>
  <si>
    <t>1120200535</t>
  </si>
  <si>
    <t>DAVIVIENDA 0550009900341588</t>
  </si>
  <si>
    <t>1120200540</t>
  </si>
  <si>
    <t>DAVIVIENDA 008600796414</t>
  </si>
  <si>
    <t>1145</t>
  </si>
  <si>
    <t>FIDEICOMISOS DE INVERSION MONEDA NACIONAL</t>
  </si>
  <si>
    <t>114505</t>
  </si>
  <si>
    <t>11450505</t>
  </si>
  <si>
    <t>1145050505</t>
  </si>
  <si>
    <t>ALIANZA FIDUCIARIA 1851-6</t>
  </si>
  <si>
    <t>1145050510</t>
  </si>
  <si>
    <t>ITAU FIDUCIARIA 005-74853-8</t>
  </si>
  <si>
    <t>1145050515</t>
  </si>
  <si>
    <t>DAVIVIENDA FIDUCIARIA SUPERIOR 150601</t>
  </si>
  <si>
    <t>12</t>
  </si>
  <si>
    <t>INVERSIONES E INSTRUMENTOS DERIVADOS</t>
  </si>
  <si>
    <t>1205</t>
  </si>
  <si>
    <t>ACCIONES</t>
  </si>
  <si>
    <t>120505</t>
  </si>
  <si>
    <t>12050515</t>
  </si>
  <si>
    <t>EMPRESAS DE MEDICINA PREPAGADA</t>
  </si>
  <si>
    <t>1205051505</t>
  </si>
  <si>
    <t>CIA MEDICINA PREPAGADA COLSANITAS</t>
  </si>
  <si>
    <t>12050520</t>
  </si>
  <si>
    <t>OTRAS EMPRESAS</t>
  </si>
  <si>
    <t>1205052010</t>
  </si>
  <si>
    <t>INVERSIONES EXTERIORES COLSANITAS</t>
  </si>
  <si>
    <t>13</t>
  </si>
  <si>
    <t>CUENTAS POR COBRAR</t>
  </si>
  <si>
    <t>1305</t>
  </si>
  <si>
    <t>CLIENTES NACIONALES</t>
  </si>
  <si>
    <t>130505</t>
  </si>
  <si>
    <t>13050505</t>
  </si>
  <si>
    <t>CARTERA GENERADA NO RADICADA</t>
  </si>
  <si>
    <t>1305050505</t>
  </si>
  <si>
    <t>ENTIDADES PROMOTORAS DE SALUD CONTRIBUTIVO</t>
  </si>
  <si>
    <t>1305050510</t>
  </si>
  <si>
    <t>ENTIDADES PROMOTORAS DE SALUD SUBSIDIADO</t>
  </si>
  <si>
    <t>1305050515</t>
  </si>
  <si>
    <t>INSTITUCIONES PRESTADORAS DE SALUD - IPS</t>
  </si>
  <si>
    <t>1305050520</t>
  </si>
  <si>
    <t>1305050525</t>
  </si>
  <si>
    <t>COMPANIAS ASEGURADORAS  SOAT</t>
  </si>
  <si>
    <t>1305050550</t>
  </si>
  <si>
    <t>ENTIDADES DE PREVISION SOCIAL</t>
  </si>
  <si>
    <t>1305050555</t>
  </si>
  <si>
    <t>ADMINISTRADORAS DE RIESGOS LABORALES</t>
  </si>
  <si>
    <t>1305050565</t>
  </si>
  <si>
    <t>ASEGURADORAS</t>
  </si>
  <si>
    <t>1305050570</t>
  </si>
  <si>
    <t>ENTIDADES TERRITORIALES</t>
  </si>
  <si>
    <t>1305050580</t>
  </si>
  <si>
    <t>ENTIDADES DEL REGIMEN DE EXCEPCION</t>
  </si>
  <si>
    <t>1305050585</t>
  </si>
  <si>
    <t>INGRESOS POR FACTURAR</t>
  </si>
  <si>
    <t>13050510</t>
  </si>
  <si>
    <t>CARTERA GENERADA RADICADA</t>
  </si>
  <si>
    <t>1305051005</t>
  </si>
  <si>
    <t>1305051010</t>
  </si>
  <si>
    <t>1305051015</t>
  </si>
  <si>
    <t>1305051020</t>
  </si>
  <si>
    <t>1305051025</t>
  </si>
  <si>
    <t>1305051030</t>
  </si>
  <si>
    <t>PARTICULARES - PERSONAS NATURALES</t>
  </si>
  <si>
    <t>1305051035</t>
  </si>
  <si>
    <t>PARTICULARES - PERSONAS JURIDICAS</t>
  </si>
  <si>
    <t>1305051040</t>
  </si>
  <si>
    <t>FONDO DE SOLIDARIDAD Y GARANTIA SOAT</t>
  </si>
  <si>
    <t>1305051050</t>
  </si>
  <si>
    <t>1305051055</t>
  </si>
  <si>
    <t>1305051065</t>
  </si>
  <si>
    <t>1305051070</t>
  </si>
  <si>
    <t>1305051080</t>
  </si>
  <si>
    <t>13050515</t>
  </si>
  <si>
    <t>CARTERA RADICADA Y GLOSADA</t>
  </si>
  <si>
    <t>1305051505</t>
  </si>
  <si>
    <t>1305051510</t>
  </si>
  <si>
    <t>1305051515</t>
  </si>
  <si>
    <t>1305051520</t>
  </si>
  <si>
    <t>1305051525</t>
  </si>
  <si>
    <t>1305051550</t>
  </si>
  <si>
    <t>1305051555</t>
  </si>
  <si>
    <t>1305051565</t>
  </si>
  <si>
    <t>1305051570</t>
  </si>
  <si>
    <t>1305051580</t>
  </si>
  <si>
    <t>13050516</t>
  </si>
  <si>
    <t>CARTERA CONCILIADA PENDIENTE DE RECAUDO</t>
  </si>
  <si>
    <t>1305051605</t>
  </si>
  <si>
    <t>1305051610</t>
  </si>
  <si>
    <t>1305051620</t>
  </si>
  <si>
    <t>1305051625</t>
  </si>
  <si>
    <t>1305051650</t>
  </si>
  <si>
    <t>1305051655</t>
  </si>
  <si>
    <t>1305051680</t>
  </si>
  <si>
    <t>13050599</t>
  </si>
  <si>
    <t>DETERIORO DE CARTERA</t>
  </si>
  <si>
    <t>Credito</t>
  </si>
  <si>
    <t>1305059905</t>
  </si>
  <si>
    <t>1305059910</t>
  </si>
  <si>
    <t>1305059915</t>
  </si>
  <si>
    <t>1305059925</t>
  </si>
  <si>
    <t>1305059940</t>
  </si>
  <si>
    <t>1305059945</t>
  </si>
  <si>
    <t>EMPRESAS SOCIALES DEL ESTADO</t>
  </si>
  <si>
    <t>1305059965</t>
  </si>
  <si>
    <t>1320</t>
  </si>
  <si>
    <t>CUENTAS POR COBRAR OBRAS Y COMUNIDADES</t>
  </si>
  <si>
    <t>132022</t>
  </si>
  <si>
    <t>RECOBROS</t>
  </si>
  <si>
    <t>13202205</t>
  </si>
  <si>
    <t>CASA GENERAL</t>
  </si>
  <si>
    <t>1320220510</t>
  </si>
  <si>
    <t>INCAPACIDADES CASA GENERAL</t>
  </si>
  <si>
    <t>1320220590</t>
  </si>
  <si>
    <t>RECOBRO COMPENSAR</t>
  </si>
  <si>
    <t>1320220595</t>
  </si>
  <si>
    <t>OTROS</t>
  </si>
  <si>
    <t>13202210</t>
  </si>
  <si>
    <t>COLEGIO ROSARIO SANTO DOMINGO</t>
  </si>
  <si>
    <t>1320221010</t>
  </si>
  <si>
    <t>INCAPACIDADES COLEGIO</t>
  </si>
  <si>
    <t>13202215</t>
  </si>
  <si>
    <t>HOTEL CASA DE LOS FUNDADORES</t>
  </si>
  <si>
    <t>1320221595</t>
  </si>
  <si>
    <t>1330</t>
  </si>
  <si>
    <t>ANTICIPOS, AVANCES Y DEPOSITOS</t>
  </si>
  <si>
    <t>133030</t>
  </si>
  <si>
    <t>13303005</t>
  </si>
  <si>
    <t>1330300505</t>
  </si>
  <si>
    <t>ANTICIPO A  PROVEEDORES</t>
  </si>
  <si>
    <t>13606010</t>
  </si>
  <si>
    <t>ENTIDADES DEL SECTOR FINANCIERO</t>
  </si>
  <si>
    <t>1360601005</t>
  </si>
  <si>
    <t>INTERNACIONAL CIA. DE FINANCIAMIENTO</t>
  </si>
  <si>
    <t>13606099</t>
  </si>
  <si>
    <t>DETERIORO COMPAÑIAS ASEGURADORAS</t>
  </si>
  <si>
    <t>1360609905</t>
  </si>
  <si>
    <t>DETERIORO INTERNACIONAL DE FINANCIAMIENTO</t>
  </si>
  <si>
    <t>1365</t>
  </si>
  <si>
    <t>CUENTAS POR COBRAR A TRABAJADORES</t>
  </si>
  <si>
    <t>136565</t>
  </si>
  <si>
    <t>13656505</t>
  </si>
  <si>
    <t>1365650505</t>
  </si>
  <si>
    <t>1380</t>
  </si>
  <si>
    <t>DEUDORES VARIOS</t>
  </si>
  <si>
    <t>138080</t>
  </si>
  <si>
    <t>13808020</t>
  </si>
  <si>
    <t>INCAPACIDADES</t>
  </si>
  <si>
    <t>1380802005</t>
  </si>
  <si>
    <t>13808030</t>
  </si>
  <si>
    <t>ARRENDAMIENTOS</t>
  </si>
  <si>
    <t>1380803005</t>
  </si>
  <si>
    <t>13808095</t>
  </si>
  <si>
    <t>VARIOS</t>
  </si>
  <si>
    <t>1380809505</t>
  </si>
  <si>
    <t>1380809520</t>
  </si>
  <si>
    <t>PRESTAMO DE INVENTARIO</t>
  </si>
  <si>
    <t>14</t>
  </si>
  <si>
    <t>INVENTARIOS</t>
  </si>
  <si>
    <t>1405</t>
  </si>
  <si>
    <t>MEDICAMENTOS</t>
  </si>
  <si>
    <t>140505</t>
  </si>
  <si>
    <t>14050505</t>
  </si>
  <si>
    <t>1405050505</t>
  </si>
  <si>
    <t>1410</t>
  </si>
  <si>
    <t>MATERIAL MEDICO QUIRURGICO</t>
  </si>
  <si>
    <t>141010</t>
  </si>
  <si>
    <t>14101005</t>
  </si>
  <si>
    <t>1410100505</t>
  </si>
  <si>
    <t>MEDICO QUIRURGICOS</t>
  </si>
  <si>
    <t>1410100510</t>
  </si>
  <si>
    <t>MATERIAL DE OSTEOSINTESIS</t>
  </si>
  <si>
    <t>1455</t>
  </si>
  <si>
    <t>MATERIALES REPUESTOS Y ACCESORIOS</t>
  </si>
  <si>
    <t>145555</t>
  </si>
  <si>
    <t>14555505</t>
  </si>
  <si>
    <t>1455550515</t>
  </si>
  <si>
    <t>ROPERIA</t>
  </si>
  <si>
    <t>1455550520</t>
  </si>
  <si>
    <t>DOTACION TRABAJADORES</t>
  </si>
  <si>
    <t>1455550525</t>
  </si>
  <si>
    <t>ELEMENTOS DE ASEO</t>
  </si>
  <si>
    <t>1455550530</t>
  </si>
  <si>
    <t>PAPELERIA  Y ELEMENTOS DE OFICINA</t>
  </si>
  <si>
    <t>1455550535</t>
  </si>
  <si>
    <t>MATERIALES Y REPUESTOS</t>
  </si>
  <si>
    <t>1455550540</t>
  </si>
  <si>
    <t>MENAJE Y UTENSILIOS DE COCINA</t>
  </si>
  <si>
    <t>15</t>
  </si>
  <si>
    <t>PROPIEDADES, PLANTA Y EQUIPO</t>
  </si>
  <si>
    <t>1504</t>
  </si>
  <si>
    <t>TERRENOS</t>
  </si>
  <si>
    <t>150404</t>
  </si>
  <si>
    <t>15040405</t>
  </si>
  <si>
    <t>URBANOS</t>
  </si>
  <si>
    <t>1504040505</t>
  </si>
  <si>
    <t>SEDE A - CLINICA NUEVA</t>
  </si>
  <si>
    <t>1504040510</t>
  </si>
  <si>
    <t>SEDE B - LABORATORIO CLINICO</t>
  </si>
  <si>
    <t>1504040515</t>
  </si>
  <si>
    <t xml:space="preserve">SEDE C </t>
  </si>
  <si>
    <t>1512</t>
  </si>
  <si>
    <t>MAQUINARIA Y EQUIPO EN MONTAJE</t>
  </si>
  <si>
    <t>151212</t>
  </si>
  <si>
    <t>15121215</t>
  </si>
  <si>
    <t>EQUIPO BIOMEDICO</t>
  </si>
  <si>
    <t>1512121505</t>
  </si>
  <si>
    <t>1516</t>
  </si>
  <si>
    <t>CONSTRUCCIONES Y EDIFICACIONES</t>
  </si>
  <si>
    <t>151616</t>
  </si>
  <si>
    <t>15161605</t>
  </si>
  <si>
    <t>EDIFICIOS</t>
  </si>
  <si>
    <t>1516160505</t>
  </si>
  <si>
    <t>1516160510</t>
  </si>
  <si>
    <t>1516160515</t>
  </si>
  <si>
    <t>SEDE C</t>
  </si>
  <si>
    <t>15161690</t>
  </si>
  <si>
    <t>DEPRECIACION EDIFICIOS</t>
  </si>
  <si>
    <t>1516169005</t>
  </si>
  <si>
    <t>1516169010</t>
  </si>
  <si>
    <t>1516169015</t>
  </si>
  <si>
    <t>1520</t>
  </si>
  <si>
    <t>MAQUINARIA Y EQUIPO INDUSTRIAL</t>
  </si>
  <si>
    <t>152020</t>
  </si>
  <si>
    <t>15202005</t>
  </si>
  <si>
    <t>1520200505</t>
  </si>
  <si>
    <t>MAQ, EQUIPO INDUSTRIAL URGENCIAS</t>
  </si>
  <si>
    <t>1520200510</t>
  </si>
  <si>
    <t>MAQ, EQUIPO INDUSTRIAL CONSULTA EXTERNA</t>
  </si>
  <si>
    <t>1520200515</t>
  </si>
  <si>
    <t>MAQ, EQUIPO INDUSTRIAL HOSPITALIZACION</t>
  </si>
  <si>
    <t>1520200520</t>
  </si>
  <si>
    <t>MAQ, EQUIPO INDUSTRIAL SALAS Y QUIROFANOS</t>
  </si>
  <si>
    <t>1520200525</t>
  </si>
  <si>
    <t>MAQ, EQUIPO INDUSTRIAL DE APOYO DIAGNOSTICO</t>
  </si>
  <si>
    <t>1520200535</t>
  </si>
  <si>
    <t>MAQ, EQUIPO INDUSTRIAL DE MERCADEO</t>
  </si>
  <si>
    <t>1520200540</t>
  </si>
  <si>
    <t>MAQ, EQUIPO INDUSTRIAL ADMINISTRACION</t>
  </si>
  <si>
    <t>15202090</t>
  </si>
  <si>
    <t>DEPRECIACION MAQ Y EQUIPO INDUSTRIAL</t>
  </si>
  <si>
    <t>1520209005</t>
  </si>
  <si>
    <t>1524</t>
  </si>
  <si>
    <t>EQUIPO DE OFICINA, MUEBLES Y ENSERES</t>
  </si>
  <si>
    <t>152424</t>
  </si>
  <si>
    <t>15242405</t>
  </si>
  <si>
    <t>1524240505</t>
  </si>
  <si>
    <t>EQU, OFICINA MUEBLES Y E. URGENCIAS</t>
  </si>
  <si>
    <t>1524240510</t>
  </si>
  <si>
    <t>EQU, OFICINA MUEBLES Y E. CONSULTA EXTERNA</t>
  </si>
  <si>
    <t>1524240515</t>
  </si>
  <si>
    <t>EQU, OFICINA MUEBLES Y E. HOSPITALIZACION</t>
  </si>
  <si>
    <t>1524240520</t>
  </si>
  <si>
    <t>EQU, OFICINA MUEBLES Y E. SALAS Y QUIROFANOS</t>
  </si>
  <si>
    <t>1524240525</t>
  </si>
  <si>
    <t>EQU, OFICINA MUEBLES Y E. DE APOYO DIAGNOSTICO</t>
  </si>
  <si>
    <t>1524240530</t>
  </si>
  <si>
    <t>EQU, OFICINA MUEBLES Y E. DE APOYO TERAPEUTICO</t>
  </si>
  <si>
    <t>1524240535</t>
  </si>
  <si>
    <t>EQU, OFICINA MUEBLES Y E. DE MERCADEO</t>
  </si>
  <si>
    <t>1524240540</t>
  </si>
  <si>
    <t>EQU, OFICINA MUEBLES Y E. ADMINISTRACION</t>
  </si>
  <si>
    <t>15242490</t>
  </si>
  <si>
    <t>DEPRECIACION EQUIPO OFICINA, MUEBLES Y E.</t>
  </si>
  <si>
    <t>1524249005</t>
  </si>
  <si>
    <t>1528</t>
  </si>
  <si>
    <t>EQUIPO DE COMPUTO Y COMUNICACION</t>
  </si>
  <si>
    <t>152828</t>
  </si>
  <si>
    <t>15282805</t>
  </si>
  <si>
    <t>1528280505</t>
  </si>
  <si>
    <t>EQU. COMPUTO Y COMUNICACION URGENCIAS</t>
  </si>
  <si>
    <t>1528280510</t>
  </si>
  <si>
    <t>EQU. COMPUTO Y COMUNICACION CONSULTA EXTERNA</t>
  </si>
  <si>
    <t>1528280515</t>
  </si>
  <si>
    <t>EQU. COMPUTO Y COMUNICACION HOSPITALIZACION</t>
  </si>
  <si>
    <t>1528280520</t>
  </si>
  <si>
    <t>EQU. COMPUTO Y COMUNICACION SALAS Y QUIROFANOS</t>
  </si>
  <si>
    <t>1528280525</t>
  </si>
  <si>
    <t>EQU. COMPUTO Y COMUNICACION DE APOYO DIAGNOSTICO</t>
  </si>
  <si>
    <t>1528280530</t>
  </si>
  <si>
    <t>EQU. COMPUTO Y COMUNICACION DE APOYO TERAPEUTICO</t>
  </si>
  <si>
    <t>1528280535</t>
  </si>
  <si>
    <t>EQU. COMPUTO Y COMUNICACION DE MERCADEO</t>
  </si>
  <si>
    <t>1528280540</t>
  </si>
  <si>
    <t>EQU. COMPUTO Y COMUNICACION ADMINISTRACION</t>
  </si>
  <si>
    <t>1528280545</t>
  </si>
  <si>
    <t>EQU. COMPUTO Y COMUNICACION EN LEASING</t>
  </si>
  <si>
    <t>15282890</t>
  </si>
  <si>
    <t>DEPRECIACION EQ. COMPUTO Y COMUNICACIÓN</t>
  </si>
  <si>
    <t>1528289005</t>
  </si>
  <si>
    <t>1528289010</t>
  </si>
  <si>
    <t>DEPRECIACION EQU. COMPUTO Y COMUNICACION EN LEASING</t>
  </si>
  <si>
    <t>1532</t>
  </si>
  <si>
    <t>MAQUINARIA Y EQUIPO BIOMEDICO</t>
  </si>
  <si>
    <t>153232</t>
  </si>
  <si>
    <t>15323205</t>
  </si>
  <si>
    <t>1532320505</t>
  </si>
  <si>
    <t>MAQ y EQU BIOMEDICO URGENCIAS</t>
  </si>
  <si>
    <t>1532320510</t>
  </si>
  <si>
    <t>MAQ y EQU BIOMEDICO CONSULTA EXTERNA</t>
  </si>
  <si>
    <t>1532320515</t>
  </si>
  <si>
    <t>MAQ y EQU BIOMEDICO HOSPITALIZACION</t>
  </si>
  <si>
    <t>1532320520</t>
  </si>
  <si>
    <t>MAQ y EQU BIOMEDICO SALAS Y QUIROFANOS</t>
  </si>
  <si>
    <t>1532320525</t>
  </si>
  <si>
    <t>MAQ y EQU BIOMEDICO DE APOYO DIAGNOSTICO</t>
  </si>
  <si>
    <t>1532320530</t>
  </si>
  <si>
    <t>MAQ y EQU BIOMEDICO DE APOYO TERAPEUTICO</t>
  </si>
  <si>
    <t>1532320535</t>
  </si>
  <si>
    <t>MAQ y EQU BIOMEDICO DE MERCADEO</t>
  </si>
  <si>
    <t>1532320540</t>
  </si>
  <si>
    <t>MAQ y EQU BIOMEDICO ADMINISTRACION</t>
  </si>
  <si>
    <t>1532320545</t>
  </si>
  <si>
    <t>MAQ y EQU BIOMEDICO EN LEASING</t>
  </si>
  <si>
    <t>15323290</t>
  </si>
  <si>
    <t>DEPRECIACION MAQ Y EQ BIOMEDICO</t>
  </si>
  <si>
    <t>1532329005</t>
  </si>
  <si>
    <t>1532329010</t>
  </si>
  <si>
    <t>DEPRECIACION MAQ Y EQ BIOMEDICO EN LEASING</t>
  </si>
  <si>
    <t>1540</t>
  </si>
  <si>
    <t>EQUIPO DE TRANSPORTE</t>
  </si>
  <si>
    <t>154040</t>
  </si>
  <si>
    <t>15404005</t>
  </si>
  <si>
    <t>AUTOS, CAMIONETAS Y CAMPEROS</t>
  </si>
  <si>
    <t>1540400505</t>
  </si>
  <si>
    <t>AUTOS CAMIONETAS Y CAMPEROS</t>
  </si>
  <si>
    <t>15404090</t>
  </si>
  <si>
    <t>DEPRECIACION AUTOS, CAMIONETAS Y CAMPEROS</t>
  </si>
  <si>
    <t>1540409005</t>
  </si>
  <si>
    <t>DEPRECIACION AUTOS CAMIONETAS Y CAMPEROS</t>
  </si>
  <si>
    <t>16</t>
  </si>
  <si>
    <t>INTANGIBLES</t>
  </si>
  <si>
    <t>1605</t>
  </si>
  <si>
    <t>ACTIVOS INTANGIBLES AL COSTO</t>
  </si>
  <si>
    <t>160505</t>
  </si>
  <si>
    <t>SISTEMAS DE INFORMACION</t>
  </si>
  <si>
    <t>16050505</t>
  </si>
  <si>
    <t>1605050505</t>
  </si>
  <si>
    <t>1605050510</t>
  </si>
  <si>
    <t>LICENCIAS DE SOFTWARE</t>
  </si>
  <si>
    <t>16050590</t>
  </si>
  <si>
    <t>AMORTIZACION SISTEMAS DE INFORMACION</t>
  </si>
  <si>
    <t>1605059005</t>
  </si>
  <si>
    <t>1605059010</t>
  </si>
  <si>
    <t>AMORTIZACION LICENCIAS DE SOFTWARE</t>
  </si>
  <si>
    <t>160510</t>
  </si>
  <si>
    <t>DERECHOS DE USO</t>
  </si>
  <si>
    <t>16051010</t>
  </si>
  <si>
    <t>1605101005</t>
  </si>
  <si>
    <t>16051090</t>
  </si>
  <si>
    <t>AMORTIZACION DE DERECHOS DE USO</t>
  </si>
  <si>
    <t>1605109005</t>
  </si>
  <si>
    <t>AMORTIZACION EQUIPO BIOMEDICO</t>
  </si>
  <si>
    <t>17</t>
  </si>
  <si>
    <t>OTROS ACTIVOS</t>
  </si>
  <si>
    <t>1705</t>
  </si>
  <si>
    <t>170505</t>
  </si>
  <si>
    <t>OTROS ACTIVOS AL COSTO</t>
  </si>
  <si>
    <t>17050530</t>
  </si>
  <si>
    <t>1705053005</t>
  </si>
  <si>
    <t>SEGUROS</t>
  </si>
  <si>
    <t>1705053010</t>
  </si>
  <si>
    <t>IMPUESTO PREDIAL</t>
  </si>
  <si>
    <t>1705053020</t>
  </si>
  <si>
    <t>OTROS DIFERIDOS</t>
  </si>
  <si>
    <t>PASIVO</t>
  </si>
  <si>
    <t>21</t>
  </si>
  <si>
    <t>OBLIGACIONES FINANCIERAS</t>
  </si>
  <si>
    <t>2105</t>
  </si>
  <si>
    <t>BANCOS NACIONALES</t>
  </si>
  <si>
    <t>210505</t>
  </si>
  <si>
    <t>21050510</t>
  </si>
  <si>
    <t>PAGARES CP</t>
  </si>
  <si>
    <t>2105051005</t>
  </si>
  <si>
    <t>ROTATIVO ITAU</t>
  </si>
  <si>
    <t>2105051010</t>
  </si>
  <si>
    <t>LEASING ITAU 138374-4 MAR-23</t>
  </si>
  <si>
    <t>2105051025</t>
  </si>
  <si>
    <t>ROTATIVO DAV 46402</t>
  </si>
  <si>
    <t>2105051030</t>
  </si>
  <si>
    <t>BCO  CAJA SOCIAL NOV-23</t>
  </si>
  <si>
    <t>2105051035</t>
  </si>
  <si>
    <t>BCO CAJA SOCIAL 31006547981 JUN-22</t>
  </si>
  <si>
    <t>2105051040</t>
  </si>
  <si>
    <t>BCO CAJA SOCIAL 31006556079 AGO-22</t>
  </si>
  <si>
    <t>2105051045</t>
  </si>
  <si>
    <t>BCO CAJA SOCIAL 31006679080 JUN 24</t>
  </si>
  <si>
    <t>2105051050</t>
  </si>
  <si>
    <t>BCO DAVIVIENDA 865417 ENERO-24</t>
  </si>
  <si>
    <t>2105051055</t>
  </si>
  <si>
    <t>BCO POPULAR 631311580-0 FEBRERO-24</t>
  </si>
  <si>
    <t>2105051060</t>
  </si>
  <si>
    <t>BCO POPULAR 631311579-4 FEBRERO-24</t>
  </si>
  <si>
    <t>2105051070</t>
  </si>
  <si>
    <t>BCO POPULAR 000631310976 ENE-23</t>
  </si>
  <si>
    <t>2105051080</t>
  </si>
  <si>
    <t>BCO DAV 7100000860007020 SEP 22</t>
  </si>
  <si>
    <t>2105051081</t>
  </si>
  <si>
    <t>LEASING ITAU 138959-2 NOV 2023</t>
  </si>
  <si>
    <t>2105051083</t>
  </si>
  <si>
    <t>LEASING ITAU 137616-9 ENE 23</t>
  </si>
  <si>
    <t>2105051085</t>
  </si>
  <si>
    <t>BCO CAJA SOCIAL 31006553746 JUL-22</t>
  </si>
  <si>
    <t>21050515</t>
  </si>
  <si>
    <t>PAGARES LP</t>
  </si>
  <si>
    <t>2105051510</t>
  </si>
  <si>
    <t>2105051520</t>
  </si>
  <si>
    <t>2105051530</t>
  </si>
  <si>
    <t>2105051535</t>
  </si>
  <si>
    <t>BCO CAJA SOCIAL 31006547981  JUN-22</t>
  </si>
  <si>
    <t>2105051540</t>
  </si>
  <si>
    <t>2105051550</t>
  </si>
  <si>
    <t>2105051579</t>
  </si>
  <si>
    <t>BCO BOGOTA 954476343 - ENE-24</t>
  </si>
  <si>
    <t>2105051581</t>
  </si>
  <si>
    <t>2105051583</t>
  </si>
  <si>
    <t>2105051585</t>
  </si>
  <si>
    <t>2105051586</t>
  </si>
  <si>
    <t>21050525</t>
  </si>
  <si>
    <t>TARJETAS DE CREDITO</t>
  </si>
  <si>
    <t>2105052510</t>
  </si>
  <si>
    <t>TARJETA DAV MASTER 3177</t>
  </si>
  <si>
    <t>2105052515</t>
  </si>
  <si>
    <t>TARJETA POP VISA 2934</t>
  </si>
  <si>
    <t>22</t>
  </si>
  <si>
    <t>PROVEEDORES</t>
  </si>
  <si>
    <t>2205</t>
  </si>
  <si>
    <t>NACIONALES</t>
  </si>
  <si>
    <t>220505</t>
  </si>
  <si>
    <t>PROVEEDORES BIENES</t>
  </si>
  <si>
    <t>22050505</t>
  </si>
  <si>
    <t>2205050505</t>
  </si>
  <si>
    <t>MEDICAMENTOS Y SUMINISTROS</t>
  </si>
  <si>
    <t>2205050510</t>
  </si>
  <si>
    <t>ALIMENTOS</t>
  </si>
  <si>
    <t>23</t>
  </si>
  <si>
    <t>CUENTAS POR PAGAR</t>
  </si>
  <si>
    <t>2317</t>
  </si>
  <si>
    <t>CUENTAS POR PAGAR OBRAS Y COMUNIDADES</t>
  </si>
  <si>
    <t>231705</t>
  </si>
  <si>
    <t>CUENTAS POR PAGAR OBRAS Y COMUNIDADES CP</t>
  </si>
  <si>
    <t>23170505</t>
  </si>
  <si>
    <t>2317050510</t>
  </si>
  <si>
    <t>CG IMPUESTOS POR PAGAR</t>
  </si>
  <si>
    <t>2317050550</t>
  </si>
  <si>
    <t>CG OTROS SUMAS POR PAGAR</t>
  </si>
  <si>
    <t>2317050555</t>
  </si>
  <si>
    <t>CG INCAPACIDADES</t>
  </si>
  <si>
    <t>2317050560</t>
  </si>
  <si>
    <t>CG REVISORIA FISCAL</t>
  </si>
  <si>
    <t>23170510</t>
  </si>
  <si>
    <t>2317051005</t>
  </si>
  <si>
    <t>23170520</t>
  </si>
  <si>
    <t>COMUNIDAD CLINICA NUEVA</t>
  </si>
  <si>
    <t>2317052015</t>
  </si>
  <si>
    <t xml:space="preserve">CUOTA SOSTENIMIENTO COMUNIDAD CN </t>
  </si>
  <si>
    <t>23170530</t>
  </si>
  <si>
    <t>COMUNIDAD COLEGIO ROSARIO SANTO DOMINGO</t>
  </si>
  <si>
    <t>2317053005</t>
  </si>
  <si>
    <t xml:space="preserve">OTROS </t>
  </si>
  <si>
    <t>231730</t>
  </si>
  <si>
    <t>CUENTAS POR PAGAR OBRAS Y COMUNIDADES LP</t>
  </si>
  <si>
    <t>23173030</t>
  </si>
  <si>
    <t>2317303005</t>
  </si>
  <si>
    <t>CUENTAS POR PAGAR A LARGO PLAZO</t>
  </si>
  <si>
    <t>2335</t>
  </si>
  <si>
    <t>COSTOS Y GASTOS POR PAGAR</t>
  </si>
  <si>
    <t>233535</t>
  </si>
  <si>
    <t>23353505</t>
  </si>
  <si>
    <t>2335350505</t>
  </si>
  <si>
    <t>23353510</t>
  </si>
  <si>
    <t>HONORARIOS</t>
  </si>
  <si>
    <t>2335351005</t>
  </si>
  <si>
    <t>HONORARIOS PROFESIONALES</t>
  </si>
  <si>
    <t>2335351010</t>
  </si>
  <si>
    <t>HONORARIOS OTROS</t>
  </si>
  <si>
    <t>23353515</t>
  </si>
  <si>
    <t>HONORARIOS MEDICOS</t>
  </si>
  <si>
    <t>2335351505</t>
  </si>
  <si>
    <t>2335351510</t>
  </si>
  <si>
    <t>HONORARIOS EXAMENES EXTERNOS</t>
  </si>
  <si>
    <t>23353520</t>
  </si>
  <si>
    <t>2335352005</t>
  </si>
  <si>
    <t>SERVICIOS DE MANTENIMIENTO</t>
  </si>
  <si>
    <t>2335352010</t>
  </si>
  <si>
    <t>SERVICIOS TECNICOS</t>
  </si>
  <si>
    <t>2335352015</t>
  </si>
  <si>
    <t>2335352020</t>
  </si>
  <si>
    <t>2335352025</t>
  </si>
  <si>
    <t>SERVICIOS PUBLICOS</t>
  </si>
  <si>
    <t>2335352030</t>
  </si>
  <si>
    <t>ASEO, PAPELERIA, REPUESTOS Y OTROS</t>
  </si>
  <si>
    <t>2335352035</t>
  </si>
  <si>
    <t>DOTACION</t>
  </si>
  <si>
    <t>2335352040</t>
  </si>
  <si>
    <t xml:space="preserve">OTROS SERVICIOS </t>
  </si>
  <si>
    <t>23353580</t>
  </si>
  <si>
    <t>OBLIGACIONES POR LEGALIZAR</t>
  </si>
  <si>
    <t>2335358005</t>
  </si>
  <si>
    <t>REMISIONES POR LEGALIZAR</t>
  </si>
  <si>
    <t>2335358010</t>
  </si>
  <si>
    <t>PRESTAMO DE INVENTARIOS</t>
  </si>
  <si>
    <t>2335358015</t>
  </si>
  <si>
    <t>2335358020</t>
  </si>
  <si>
    <t>COSTOS Y GASTOS</t>
  </si>
  <si>
    <t>24</t>
  </si>
  <si>
    <t>IMPUESTOS, GRAVAMENES Y TASAS</t>
  </si>
  <si>
    <t>2408</t>
  </si>
  <si>
    <t>IMPUESTO SOBRE LAS VENTAS POR PAGAR</t>
  </si>
  <si>
    <t>240808</t>
  </si>
  <si>
    <t>24080805</t>
  </si>
  <si>
    <t>IVA GENERADO EN SERVICIOS</t>
  </si>
  <si>
    <t>2408080510</t>
  </si>
  <si>
    <t>IVA SERVICIOS 19%</t>
  </si>
  <si>
    <t>24080810</t>
  </si>
  <si>
    <t>IVA GENERADO EN BIENES</t>
  </si>
  <si>
    <t>2408081010</t>
  </si>
  <si>
    <t>IVA BIENES 19%</t>
  </si>
  <si>
    <t>2412</t>
  </si>
  <si>
    <t>DE INDUSTRIA Y COMERCIO</t>
  </si>
  <si>
    <t>241212</t>
  </si>
  <si>
    <t>24121205</t>
  </si>
  <si>
    <t>INDUSTRIA Y COMERCIO</t>
  </si>
  <si>
    <t>2412120505</t>
  </si>
  <si>
    <t>2465</t>
  </si>
  <si>
    <t>RETENCION EN LA FUENTE E IMPUESTO DE TIMBRE</t>
  </si>
  <si>
    <t>246565</t>
  </si>
  <si>
    <t>24656505</t>
  </si>
  <si>
    <t>SALARIOS Y PAGOS LABORALES</t>
  </si>
  <si>
    <t>2465650505</t>
  </si>
  <si>
    <t>24656515</t>
  </si>
  <si>
    <t>2465651510</t>
  </si>
  <si>
    <t>HONORARIOS 10%</t>
  </si>
  <si>
    <t>2465651515</t>
  </si>
  <si>
    <t>HONORARIOS 11%</t>
  </si>
  <si>
    <t>2465651520</t>
  </si>
  <si>
    <t>INDEPENDIENTES ART. 383</t>
  </si>
  <si>
    <t>2465651525</t>
  </si>
  <si>
    <t>HONORARIOS 3,5%</t>
  </si>
  <si>
    <t>24656525</t>
  </si>
  <si>
    <t>SERVICIOS</t>
  </si>
  <si>
    <t>2465652505</t>
  </si>
  <si>
    <t>SERVICIOS 1%</t>
  </si>
  <si>
    <t>2465652510</t>
  </si>
  <si>
    <t>SERVICIOS 2%</t>
  </si>
  <si>
    <t>2465652520</t>
  </si>
  <si>
    <t>SERVICIOS 4%</t>
  </si>
  <si>
    <t>2465652525</t>
  </si>
  <si>
    <t>SERVICIOS 6%</t>
  </si>
  <si>
    <t>24656530</t>
  </si>
  <si>
    <t>2465653010</t>
  </si>
  <si>
    <t>ARRENDAMIENTOS 4%</t>
  </si>
  <si>
    <t>24656540</t>
  </si>
  <si>
    <t>COMPRAS</t>
  </si>
  <si>
    <t>2465654005</t>
  </si>
  <si>
    <t>COMPRAS 1.5%</t>
  </si>
  <si>
    <t>2465654010</t>
  </si>
  <si>
    <t xml:space="preserve">COMPRAS 2,5% </t>
  </si>
  <si>
    <t>2465654015</t>
  </si>
  <si>
    <t>COMPRAS 3.5%</t>
  </si>
  <si>
    <t>2467</t>
  </si>
  <si>
    <t>IMPUESTO A LAS VENTAS RETENIDO</t>
  </si>
  <si>
    <t>246767</t>
  </si>
  <si>
    <t>24676705</t>
  </si>
  <si>
    <t>REGIMEN SIMPLE</t>
  </si>
  <si>
    <t>2467670505</t>
  </si>
  <si>
    <t>RETE IVA 15%</t>
  </si>
  <si>
    <t>2468</t>
  </si>
  <si>
    <t>IMPUESTO DE INDUSTRIA Y COMERCIO RETENIDO</t>
  </si>
  <si>
    <t>246868</t>
  </si>
  <si>
    <t>24686805</t>
  </si>
  <si>
    <t>RETENCION POR ICA</t>
  </si>
  <si>
    <t>2468680505</t>
  </si>
  <si>
    <t>ICA  4,14 * 1000</t>
  </si>
  <si>
    <t>2468680510</t>
  </si>
  <si>
    <t>ICA  9,66 * 1000</t>
  </si>
  <si>
    <t>2468680515</t>
  </si>
  <si>
    <t>ICA  11,04* 1000</t>
  </si>
  <si>
    <t>2468680520</t>
  </si>
  <si>
    <t>ICA  6,9 * 1000</t>
  </si>
  <si>
    <t>25</t>
  </si>
  <si>
    <t>OBLIGACIONES LABORALES</t>
  </si>
  <si>
    <t>2505</t>
  </si>
  <si>
    <t>NOMINA POR PAGAR</t>
  </si>
  <si>
    <t>250505</t>
  </si>
  <si>
    <t>25050505</t>
  </si>
  <si>
    <t>2505050505</t>
  </si>
  <si>
    <t>2505050510</t>
  </si>
  <si>
    <t>NOMINA POR PAGAR INCAPACIDADES</t>
  </si>
  <si>
    <t>2510</t>
  </si>
  <si>
    <t>PRESTACIONES SOCIALES</t>
  </si>
  <si>
    <t>251010</t>
  </si>
  <si>
    <t>25101005</t>
  </si>
  <si>
    <t>2510100505</t>
  </si>
  <si>
    <t>CESANTIAS LEY 50 DE 1990 Y POSTERIORES</t>
  </si>
  <si>
    <t>2510100510</t>
  </si>
  <si>
    <t>INTERESES SOBRE CESANTIAS</t>
  </si>
  <si>
    <t>2510100515</t>
  </si>
  <si>
    <t>PRIMA DE SERVICIOS</t>
  </si>
  <si>
    <t>2525</t>
  </si>
  <si>
    <t>VACACIONES CONSOLIDADAS</t>
  </si>
  <si>
    <t>252525</t>
  </si>
  <si>
    <t>25252505</t>
  </si>
  <si>
    <t>2525250505</t>
  </si>
  <si>
    <t>2570</t>
  </si>
  <si>
    <t>RETENCIONES Y APORTES DE NOMINA</t>
  </si>
  <si>
    <t>257070</t>
  </si>
  <si>
    <t>25707005</t>
  </si>
  <si>
    <t>SEGURIDAD SOCIAL Y PARAFISCALES</t>
  </si>
  <si>
    <t>2570700505</t>
  </si>
  <si>
    <t>ENTIDADES PROMOTORAS DE SALUD</t>
  </si>
  <si>
    <t>2570700510</t>
  </si>
  <si>
    <t>FONDOS DE PENSION</t>
  </si>
  <si>
    <t>2570700515</t>
  </si>
  <si>
    <t>2570700520</t>
  </si>
  <si>
    <t>FONDO DE SOLIDARIDAD Y GARANTIA</t>
  </si>
  <si>
    <t>2570700525</t>
  </si>
  <si>
    <t>CAJA DE COMPENSACION FAMILIAR</t>
  </si>
  <si>
    <t>2570700530</t>
  </si>
  <si>
    <t>I.C.B.F.</t>
  </si>
  <si>
    <t>2570700535</t>
  </si>
  <si>
    <t>SENA</t>
  </si>
  <si>
    <t>25707010</t>
  </si>
  <si>
    <t>OTROS PAGOS LABORALES</t>
  </si>
  <si>
    <t>2570701005</t>
  </si>
  <si>
    <t>EMBARGOS JUDICIALES</t>
  </si>
  <si>
    <t>2570701010</t>
  </si>
  <si>
    <t>LIBRANZAS</t>
  </si>
  <si>
    <t>2570701015</t>
  </si>
  <si>
    <t>COOPERATIVAS</t>
  </si>
  <si>
    <t>2570701020</t>
  </si>
  <si>
    <t>APORTES A CUENTAS AFC</t>
  </si>
  <si>
    <t>2570701030</t>
  </si>
  <si>
    <t xml:space="preserve">SEGUROS </t>
  </si>
  <si>
    <t>2570701035</t>
  </si>
  <si>
    <t>MEDICINA PREPAGADA - PLAN COMPLEMENTARIO</t>
  </si>
  <si>
    <t>26</t>
  </si>
  <si>
    <t>PROVISIONES</t>
  </si>
  <si>
    <t>2635</t>
  </si>
  <si>
    <t>PARA CONTINGENCIAS</t>
  </si>
  <si>
    <t>263535</t>
  </si>
  <si>
    <t>26353525</t>
  </si>
  <si>
    <t>PROCESOS JUDICIALES</t>
  </si>
  <si>
    <t>2635352505</t>
  </si>
  <si>
    <t>PROCESOS LABORALES</t>
  </si>
  <si>
    <t>2635352510</t>
  </si>
  <si>
    <t>PROCESOS CIVILES</t>
  </si>
  <si>
    <t>2635352520</t>
  </si>
  <si>
    <t>PROCESOS POR SERVICIOS</t>
  </si>
  <si>
    <t>28</t>
  </si>
  <si>
    <t>OTROS PASIVOS</t>
  </si>
  <si>
    <t>2805</t>
  </si>
  <si>
    <t>ANTICIPOS Y AVANCES RECIBIDOS</t>
  </si>
  <si>
    <t>280505</t>
  </si>
  <si>
    <t>28050505</t>
  </si>
  <si>
    <t>POR PRESTACION DE SERVICIOS DE SALUD</t>
  </si>
  <si>
    <t>2805050505</t>
  </si>
  <si>
    <t>ABONO A CUENTA</t>
  </si>
  <si>
    <t>2805050510</t>
  </si>
  <si>
    <t>COPAGO</t>
  </si>
  <si>
    <t>2805050515</t>
  </si>
  <si>
    <t xml:space="preserve">CUOTA MODERADORA  </t>
  </si>
  <si>
    <t>2805050520</t>
  </si>
  <si>
    <t>RECAUDOS POR APLICAR A CARTERA</t>
  </si>
  <si>
    <t>2805050525</t>
  </si>
  <si>
    <t>ABONO OTROS CONCEPTOS</t>
  </si>
  <si>
    <t>2805050530</t>
  </si>
  <si>
    <t>INCAPACIDADES POR APLICAR</t>
  </si>
  <si>
    <t>2810</t>
  </si>
  <si>
    <t>DEPOSITOS RECIBIDOS</t>
  </si>
  <si>
    <t>281095</t>
  </si>
  <si>
    <t>OTROS DEPOSITOS RECIBIDOS</t>
  </si>
  <si>
    <t>28109505</t>
  </si>
  <si>
    <t>2810950505</t>
  </si>
  <si>
    <t>DEPOSITO PARQUEADERO</t>
  </si>
  <si>
    <t>PATRIMONIO</t>
  </si>
  <si>
    <t>31</t>
  </si>
  <si>
    <t>CAPITAL SOCIAL</t>
  </si>
  <si>
    <t>3140</t>
  </si>
  <si>
    <t>FONDO SOCIAL</t>
  </si>
  <si>
    <t>314040</t>
  </si>
  <si>
    <t>31404005</t>
  </si>
  <si>
    <t>3140400505</t>
  </si>
  <si>
    <t>37</t>
  </si>
  <si>
    <t>RESULTADOS DE EJERCICIOS ANTERIORES</t>
  </si>
  <si>
    <t>3710</t>
  </si>
  <si>
    <t>PERDIDAS O DEFICIT ACUMULADOS</t>
  </si>
  <si>
    <t>371010</t>
  </si>
  <si>
    <t>37101005</t>
  </si>
  <si>
    <t>3710100505</t>
  </si>
  <si>
    <t>3715</t>
  </si>
  <si>
    <t>RESULTADOS EJERCICIOS ANTERIORES NIIF</t>
  </si>
  <si>
    <t>371505</t>
  </si>
  <si>
    <t>ADOPCION NIIF POR PRIMERA VEZ</t>
  </si>
  <si>
    <t>37150505</t>
  </si>
  <si>
    <t>3715050505</t>
  </si>
  <si>
    <t>INGRESOS</t>
  </si>
  <si>
    <t>41</t>
  </si>
  <si>
    <t>OPERACIONALES</t>
  </si>
  <si>
    <t>4105</t>
  </si>
  <si>
    <t>URGENCIAS</t>
  </si>
  <si>
    <t>410505</t>
  </si>
  <si>
    <t>41050501</t>
  </si>
  <si>
    <t>4105050105</t>
  </si>
  <si>
    <t>41050502</t>
  </si>
  <si>
    <t>INSUMOS Y MATERIALES</t>
  </si>
  <si>
    <t>4105050205</t>
  </si>
  <si>
    <t>INSUMOS FACTURABLES</t>
  </si>
  <si>
    <t>41050510</t>
  </si>
  <si>
    <t>4105051005</t>
  </si>
  <si>
    <t>HONORARIOS MEDICO GENERAL</t>
  </si>
  <si>
    <t>4105051010</t>
  </si>
  <si>
    <t>HONORARIOS ANESTESIOLOGO</t>
  </si>
  <si>
    <t>4105051015</t>
  </si>
  <si>
    <t>HONORARIOS MEDICOS ESPECIALISTAS</t>
  </si>
  <si>
    <t>4105051020</t>
  </si>
  <si>
    <t>HONORARIOS OTROS PROFESIONALES Y JUNTAS</t>
  </si>
  <si>
    <t>41050515</t>
  </si>
  <si>
    <t>DERECHOS DE SALA</t>
  </si>
  <si>
    <t>4105051505</t>
  </si>
  <si>
    <t>SALA DE OBSERVACIÓN (URGENCIAS)</t>
  </si>
  <si>
    <t>4105051510</t>
  </si>
  <si>
    <t>SALA DE PROCEDIMIENTOS BÁSICA</t>
  </si>
  <si>
    <t>4105051515</t>
  </si>
  <si>
    <t>SALA DE PROCEDIMIENTOS ESPECIAL</t>
  </si>
  <si>
    <t>4105051520</t>
  </si>
  <si>
    <t>SALA DE CIRUGÍA (QUIRÓFANOS)</t>
  </si>
  <si>
    <t>41050516</t>
  </si>
  <si>
    <t>SERVICIO ESTANCIA</t>
  </si>
  <si>
    <t>4105051605</t>
  </si>
  <si>
    <t>HOSPITALIZACION GENERAL</t>
  </si>
  <si>
    <t>41050520</t>
  </si>
  <si>
    <t>PROCEDIMIENTOS</t>
  </si>
  <si>
    <t>4105052005</t>
  </si>
  <si>
    <t>PROCEDIMIENTOS EN URGENCIAS</t>
  </si>
  <si>
    <t>4105052015</t>
  </si>
  <si>
    <t>PROCEDIMIENTOS MEDICO QUIRURGICOS</t>
  </si>
  <si>
    <t>4105052030</t>
  </si>
  <si>
    <t>OTROS PROCEDIMIENTOS DIAGNOSTICOS</t>
  </si>
  <si>
    <t>4105052035</t>
  </si>
  <si>
    <t>PROCEDIMIENTOS TERAPEUTICOS</t>
  </si>
  <si>
    <t>41050525</t>
  </si>
  <si>
    <t>APOYO DIAGNOSTICO</t>
  </si>
  <si>
    <t>4105052510</t>
  </si>
  <si>
    <t>CARDIOLOGIA</t>
  </si>
  <si>
    <t>4105052515</t>
  </si>
  <si>
    <t>ELECTRO DIAGNOSTICO</t>
  </si>
  <si>
    <t>41050530</t>
  </si>
  <si>
    <t>APOYO TERAPEUTICO</t>
  </si>
  <si>
    <t>4105053005</t>
  </si>
  <si>
    <t>FISIOTERAPIA</t>
  </si>
  <si>
    <t>4105053010</t>
  </si>
  <si>
    <t>FONOAUDIOLOGIA Y TERAPIA DE LENGUAJE</t>
  </si>
  <si>
    <t>4105053015</t>
  </si>
  <si>
    <t>TERAPIA OCUPACIONAL</t>
  </si>
  <si>
    <t>4105053020</t>
  </si>
  <si>
    <t>TERAPIA RESPIRATORIA</t>
  </si>
  <si>
    <t>41050532</t>
  </si>
  <si>
    <t>4105053210</t>
  </si>
  <si>
    <t>INGRESOS POR FACTURAR MEDICAMENTOS</t>
  </si>
  <si>
    <t>4105053215</t>
  </si>
  <si>
    <t>INGRESOS POR FACTURAR SERVICIOS</t>
  </si>
  <si>
    <t>4110</t>
  </si>
  <si>
    <t>CONSULTA EXTERNA</t>
  </si>
  <si>
    <t>411010</t>
  </si>
  <si>
    <t>41101001</t>
  </si>
  <si>
    <t>4110100105</t>
  </si>
  <si>
    <t>41101002</t>
  </si>
  <si>
    <t>4110100205</t>
  </si>
  <si>
    <t>41101010</t>
  </si>
  <si>
    <t>4110101005</t>
  </si>
  <si>
    <t>4110101010</t>
  </si>
  <si>
    <t>4110101015</t>
  </si>
  <si>
    <t>4110101020</t>
  </si>
  <si>
    <t>41101016</t>
  </si>
  <si>
    <t>4110101605</t>
  </si>
  <si>
    <t>41101020</t>
  </si>
  <si>
    <t>4110102015</t>
  </si>
  <si>
    <t>41101025</t>
  </si>
  <si>
    <t>4110102505</t>
  </si>
  <si>
    <t>SERVICIOS AMBULATORIOS EXTRAMURALES</t>
  </si>
  <si>
    <t>41101032</t>
  </si>
  <si>
    <t>4110103210</t>
  </si>
  <si>
    <t>4110103215</t>
  </si>
  <si>
    <t>4115</t>
  </si>
  <si>
    <t>HOSPITALIZACION</t>
  </si>
  <si>
    <t>411515</t>
  </si>
  <si>
    <t>41151501</t>
  </si>
  <si>
    <t>4115150105</t>
  </si>
  <si>
    <t>41151502</t>
  </si>
  <si>
    <t>4115150205</t>
  </si>
  <si>
    <t>41151510</t>
  </si>
  <si>
    <t>4115151005</t>
  </si>
  <si>
    <t>4115151010</t>
  </si>
  <si>
    <t>4115151015</t>
  </si>
  <si>
    <t>4115151020</t>
  </si>
  <si>
    <t>41151515</t>
  </si>
  <si>
    <t>4115151510</t>
  </si>
  <si>
    <t>4115151515</t>
  </si>
  <si>
    <t>4115151520</t>
  </si>
  <si>
    <t>41151516</t>
  </si>
  <si>
    <t>4115151605</t>
  </si>
  <si>
    <t>4115151610</t>
  </si>
  <si>
    <t>CUIDADO INTERMEDIO</t>
  </si>
  <si>
    <t>4115151615</t>
  </si>
  <si>
    <t>CUIDADO INTENSIVO</t>
  </si>
  <si>
    <t>41151520</t>
  </si>
  <si>
    <t>4115152015</t>
  </si>
  <si>
    <t>4115152025</t>
  </si>
  <si>
    <t>PROCEDIMIENTOS RADIOLOGIA INTERVENCIONISTA</t>
  </si>
  <si>
    <t>4115152030</t>
  </si>
  <si>
    <t>4115152035</t>
  </si>
  <si>
    <t>41151525</t>
  </si>
  <si>
    <t>4115152505</t>
  </si>
  <si>
    <t>4115152510</t>
  </si>
  <si>
    <t>4115152515</t>
  </si>
  <si>
    <t>4115152520</t>
  </si>
  <si>
    <t>ENDOSCOPIA</t>
  </si>
  <si>
    <t>41151530</t>
  </si>
  <si>
    <t>4115153005</t>
  </si>
  <si>
    <t>4115153010</t>
  </si>
  <si>
    <t>4115153015</t>
  </si>
  <si>
    <t>4115153020</t>
  </si>
  <si>
    <t>41151532</t>
  </si>
  <si>
    <t>4115153210</t>
  </si>
  <si>
    <t>4115153215</t>
  </si>
  <si>
    <t>4120</t>
  </si>
  <si>
    <t>QUIROFANOS Y SALAS</t>
  </si>
  <si>
    <t>412020</t>
  </si>
  <si>
    <t>41202001</t>
  </si>
  <si>
    <t>4120200105</t>
  </si>
  <si>
    <t>41202002</t>
  </si>
  <si>
    <t>4120200205</t>
  </si>
  <si>
    <t>4120200210</t>
  </si>
  <si>
    <t>41202010</t>
  </si>
  <si>
    <t>4120201005</t>
  </si>
  <si>
    <t>4120201010</t>
  </si>
  <si>
    <t>4120201015</t>
  </si>
  <si>
    <t>4120201020</t>
  </si>
  <si>
    <t>41202015</t>
  </si>
  <si>
    <t>4120201510</t>
  </si>
  <si>
    <t>4120201515</t>
  </si>
  <si>
    <t>4120201520</t>
  </si>
  <si>
    <t>41202016</t>
  </si>
  <si>
    <t>4120201605</t>
  </si>
  <si>
    <t>41202020</t>
  </si>
  <si>
    <t>4120202015</t>
  </si>
  <si>
    <t>4120202025</t>
  </si>
  <si>
    <t>4120202030</t>
  </si>
  <si>
    <t>4120202035</t>
  </si>
  <si>
    <t>41202025</t>
  </si>
  <si>
    <t>4120202510</t>
  </si>
  <si>
    <t>4120202520</t>
  </si>
  <si>
    <t>41202030</t>
  </si>
  <si>
    <t>4120203005</t>
  </si>
  <si>
    <t>4120203010</t>
  </si>
  <si>
    <t>4120203015</t>
  </si>
  <si>
    <t>4120203020</t>
  </si>
  <si>
    <t>41202031</t>
  </si>
  <si>
    <t>4120203110</t>
  </si>
  <si>
    <t>MANEJO DE ESTERILIZACION</t>
  </si>
  <si>
    <t>41202032</t>
  </si>
  <si>
    <t>4120203210</t>
  </si>
  <si>
    <t>4120203215</t>
  </si>
  <si>
    <t>4125</t>
  </si>
  <si>
    <t>412525</t>
  </si>
  <si>
    <t>41252501</t>
  </si>
  <si>
    <t>4125250105</t>
  </si>
  <si>
    <t>41252502</t>
  </si>
  <si>
    <t>4125250205</t>
  </si>
  <si>
    <t>4125250215</t>
  </si>
  <si>
    <t>HEMOCOMPONENTES</t>
  </si>
  <si>
    <t>41252515</t>
  </si>
  <si>
    <t>4125251515</t>
  </si>
  <si>
    <t>41252520</t>
  </si>
  <si>
    <t>4125252025</t>
  </si>
  <si>
    <t>4125252030</t>
  </si>
  <si>
    <t>41252525</t>
  </si>
  <si>
    <t>4125252510</t>
  </si>
  <si>
    <t>4125252515</t>
  </si>
  <si>
    <t>4125252525</t>
  </si>
  <si>
    <t>HEMODINAMIA</t>
  </si>
  <si>
    <t>4125252530</t>
  </si>
  <si>
    <t>PATOLOGIA</t>
  </si>
  <si>
    <t>4125252545</t>
  </si>
  <si>
    <t>LABORATORIO CLINICO</t>
  </si>
  <si>
    <t>4125252550</t>
  </si>
  <si>
    <t>BANCO DE SANGRE</t>
  </si>
  <si>
    <t>41252526</t>
  </si>
  <si>
    <t>IMÁGENES DIAGNOSTICAS</t>
  </si>
  <si>
    <t>4125252605</t>
  </si>
  <si>
    <t>RADIOLOGIA CONVENCIONAL</t>
  </si>
  <si>
    <t>4125252615</t>
  </si>
  <si>
    <t>ECOGRAFIA</t>
  </si>
  <si>
    <t>4125252620</t>
  </si>
  <si>
    <t>RESONANCIA MAGNETICA</t>
  </si>
  <si>
    <t>4125252625</t>
  </si>
  <si>
    <t>TOMOGRAFIA AXIAL COMPUTARIZADA</t>
  </si>
  <si>
    <t>41252532</t>
  </si>
  <si>
    <t>4125253210</t>
  </si>
  <si>
    <t>4125253215</t>
  </si>
  <si>
    <t>4130</t>
  </si>
  <si>
    <t>413030</t>
  </si>
  <si>
    <t>41303001</t>
  </si>
  <si>
    <t>4130300105</t>
  </si>
  <si>
    <t>41303002</t>
  </si>
  <si>
    <t>4130300205</t>
  </si>
  <si>
    <t>41303015</t>
  </si>
  <si>
    <t>4130301510</t>
  </si>
  <si>
    <t>4130301520</t>
  </si>
  <si>
    <t>41303020</t>
  </si>
  <si>
    <t>4130302035</t>
  </si>
  <si>
    <t>41303030</t>
  </si>
  <si>
    <t>4130303005</t>
  </si>
  <si>
    <t>4130303010</t>
  </si>
  <si>
    <t>4130303015</t>
  </si>
  <si>
    <t>4130303020</t>
  </si>
  <si>
    <t>41303032</t>
  </si>
  <si>
    <t>4130303215</t>
  </si>
  <si>
    <t>4175</t>
  </si>
  <si>
    <t>DEVOLUCIONES, DESCUENTOS Y REBAJAS EN VENTAS DE SERVICIOS</t>
  </si>
  <si>
    <t>417575</t>
  </si>
  <si>
    <t>41757571</t>
  </si>
  <si>
    <t>NOTAS CREDITO PREAUDITORIA Y GLOSAS</t>
  </si>
  <si>
    <t>4175757105</t>
  </si>
  <si>
    <t>1. FACTURACION</t>
  </si>
  <si>
    <t>4175757110</t>
  </si>
  <si>
    <t>2. TARIFA</t>
  </si>
  <si>
    <t>4175757115</t>
  </si>
  <si>
    <t>3. SOPORTE</t>
  </si>
  <si>
    <t>4175757120</t>
  </si>
  <si>
    <t>4. AUTORIZACION</t>
  </si>
  <si>
    <t>4175757125</t>
  </si>
  <si>
    <t>5. COBERTURA</t>
  </si>
  <si>
    <t>4175757130</t>
  </si>
  <si>
    <t>6 PERTINENCIA</t>
  </si>
  <si>
    <t>4175757140</t>
  </si>
  <si>
    <t>9. GLOSAS</t>
  </si>
  <si>
    <t>42</t>
  </si>
  <si>
    <t>NO OPERACIONALES</t>
  </si>
  <si>
    <t>4210</t>
  </si>
  <si>
    <t>RENDIMIENTOS FINANCIEROS</t>
  </si>
  <si>
    <t>421010</t>
  </si>
  <si>
    <t>42101005</t>
  </si>
  <si>
    <t>INTERESES</t>
  </si>
  <si>
    <t>4210100505</t>
  </si>
  <si>
    <t>BANCO ITAU AHORRO 005007171</t>
  </si>
  <si>
    <t>4210100510</t>
  </si>
  <si>
    <t>4210100515</t>
  </si>
  <si>
    <t>4210100520</t>
  </si>
  <si>
    <t>BCO.COLPATRIA 479 2059703</t>
  </si>
  <si>
    <t>4210100525</t>
  </si>
  <si>
    <t>4210100530</t>
  </si>
  <si>
    <t>DAVIVIENDA 009900341588</t>
  </si>
  <si>
    <t>4210100535</t>
  </si>
  <si>
    <t>42101015</t>
  </si>
  <si>
    <t>DIFERENCIA EN CAMBIO</t>
  </si>
  <si>
    <t>4210101505</t>
  </si>
  <si>
    <t>42101030</t>
  </si>
  <si>
    <t>DESCUENTOS COMERCIALES CONDICIONADOS</t>
  </si>
  <si>
    <t>4210103005</t>
  </si>
  <si>
    <t>42101050</t>
  </si>
  <si>
    <t>RENDIMIENTOS DERECHOS FIDUCIARIOS</t>
  </si>
  <si>
    <t>4210105005</t>
  </si>
  <si>
    <t>HELM FIDUCIARIA 005-74853-8</t>
  </si>
  <si>
    <t>4210105010</t>
  </si>
  <si>
    <t>4210105015</t>
  </si>
  <si>
    <t>4215</t>
  </si>
  <si>
    <t>DIVIDENDOS Y PARTICIPACIONES</t>
  </si>
  <si>
    <t>421515</t>
  </si>
  <si>
    <t>42151505</t>
  </si>
  <si>
    <t>DIVIDENDOS DE SOCIEDADES ANONIMAS O ASIMILADAS</t>
  </si>
  <si>
    <t>4215150505</t>
  </si>
  <si>
    <t>4250</t>
  </si>
  <si>
    <t>RECUPERACIONES</t>
  </si>
  <si>
    <t>425050</t>
  </si>
  <si>
    <t>42505005</t>
  </si>
  <si>
    <t>4250500505</t>
  </si>
  <si>
    <t>RECUPERACION DETERIORO DE CARTERA</t>
  </si>
  <si>
    <t>4250500510</t>
  </si>
  <si>
    <t>DE OTROS COSTOS Y GASTOS</t>
  </si>
  <si>
    <t>4250500515</t>
  </si>
  <si>
    <t>POR ELEMENTOS PERDIDOS</t>
  </si>
  <si>
    <t>4250500520</t>
  </si>
  <si>
    <t>DE INCAPACIDADES</t>
  </si>
  <si>
    <t>4295</t>
  </si>
  <si>
    <t>DIVERSOS</t>
  </si>
  <si>
    <t>429595</t>
  </si>
  <si>
    <t>42959505</t>
  </si>
  <si>
    <t>4295950530</t>
  </si>
  <si>
    <t>OTROS INGRESOS</t>
  </si>
  <si>
    <t>4295950535</t>
  </si>
  <si>
    <t>OTROS INGRESOS CON IVA</t>
  </si>
  <si>
    <t>4295950540</t>
  </si>
  <si>
    <t>AJUSTE AL PESO</t>
  </si>
  <si>
    <t>4295950545</t>
  </si>
  <si>
    <t>SOBRANTES CUOTAS MODERADORAS</t>
  </si>
  <si>
    <t>4295950550</t>
  </si>
  <si>
    <t>SOBRANTES COPAGOS</t>
  </si>
  <si>
    <t>42959540</t>
  </si>
  <si>
    <t>DONACIONES</t>
  </si>
  <si>
    <t>4295954005</t>
  </si>
  <si>
    <t>49</t>
  </si>
  <si>
    <t>CUENTA CONTROL COMUNIDADES</t>
  </si>
  <si>
    <t>4905</t>
  </si>
  <si>
    <t>490599</t>
  </si>
  <si>
    <t>49059999</t>
  </si>
  <si>
    <t>4905999905</t>
  </si>
  <si>
    <t>SERVICIOS DE SALUD</t>
  </si>
  <si>
    <t>4905999930</t>
  </si>
  <si>
    <t>SERVICIOS GENERALES CG</t>
  </si>
  <si>
    <t>4905999935</t>
  </si>
  <si>
    <t>SERVICIOS DE ALIMENTACION CG</t>
  </si>
  <si>
    <t>4905999940</t>
  </si>
  <si>
    <t>OTROS COMUNIDAD</t>
  </si>
  <si>
    <t>GASTOS</t>
  </si>
  <si>
    <t>51</t>
  </si>
  <si>
    <t>ADMINISTRACION</t>
  </si>
  <si>
    <t>5105</t>
  </si>
  <si>
    <t>DIRECCIÓN GENERAL</t>
  </si>
  <si>
    <t>510501</t>
  </si>
  <si>
    <t>SUMINISTROS</t>
  </si>
  <si>
    <t>51050102</t>
  </si>
  <si>
    <t>INSUMOS CONSUMIBLES</t>
  </si>
  <si>
    <t>5105010205</t>
  </si>
  <si>
    <t>51050103</t>
  </si>
  <si>
    <t>SUMINISTROS DIRECTOS</t>
  </si>
  <si>
    <t>5105010305</t>
  </si>
  <si>
    <t>PAPELERIA Y ELEMENTOS DE OFICINA</t>
  </si>
  <si>
    <t>5105010310</t>
  </si>
  <si>
    <t>VIVERES, CAFETERIA Y RESTAURANTE</t>
  </si>
  <si>
    <t>5105010315</t>
  </si>
  <si>
    <t>5105010325</t>
  </si>
  <si>
    <t>5105010330</t>
  </si>
  <si>
    <t>DOTACION AL SERVICIO</t>
  </si>
  <si>
    <t>5105010335</t>
  </si>
  <si>
    <t>REPUESTOS Y MATERIAL DE MANTENIMIENTO</t>
  </si>
  <si>
    <t>5105010345</t>
  </si>
  <si>
    <t>IVA PAPELERIA Y ELEMENTOS DE OFICINA</t>
  </si>
  <si>
    <t>5105010350</t>
  </si>
  <si>
    <t>IVA VIVERES, CAFETERIA Y RESTAURANTE</t>
  </si>
  <si>
    <t>5105010355</t>
  </si>
  <si>
    <t>IVA MENAJE Y UTENSILIOS DE COCINA</t>
  </si>
  <si>
    <t>5105010365</t>
  </si>
  <si>
    <t>IVA ELEMENTOS DE ASEO</t>
  </si>
  <si>
    <t>5105010375</t>
  </si>
  <si>
    <t>IVA REPUESTOS Y MATERIAL DE MANTENIMIENTO</t>
  </si>
  <si>
    <t>510502</t>
  </si>
  <si>
    <t>MANO DE OBRA</t>
  </si>
  <si>
    <t>51050205</t>
  </si>
  <si>
    <t>NOMINA</t>
  </si>
  <si>
    <t>5105020501</t>
  </si>
  <si>
    <t>SALARIO INTEGRAL</t>
  </si>
  <si>
    <t>5105020502</t>
  </si>
  <si>
    <t>SUELDOS</t>
  </si>
  <si>
    <t>5105020504</t>
  </si>
  <si>
    <t>CUOTA DE SOSTENIMIENTO SENA</t>
  </si>
  <si>
    <t>5105020511</t>
  </si>
  <si>
    <t>RECARGO DOMINICAL Y FESTIVO DIURNO</t>
  </si>
  <si>
    <t>5105020514</t>
  </si>
  <si>
    <t>5105020516</t>
  </si>
  <si>
    <t>AUXILIO DE TRANSPORTE</t>
  </si>
  <si>
    <t>5105020520</t>
  </si>
  <si>
    <t>CONTROL INCAPACIDADES</t>
  </si>
  <si>
    <t>5105020530</t>
  </si>
  <si>
    <t>CESANTIAS</t>
  </si>
  <si>
    <t>5105020531</t>
  </si>
  <si>
    <t>5105020532</t>
  </si>
  <si>
    <t>5105020533</t>
  </si>
  <si>
    <t>VACACIONES</t>
  </si>
  <si>
    <t>5105020540</t>
  </si>
  <si>
    <t>APORTES SALUD</t>
  </si>
  <si>
    <t>5105020541</t>
  </si>
  <si>
    <t>APORTES PENSION</t>
  </si>
  <si>
    <t>5105020542</t>
  </si>
  <si>
    <t>ARL</t>
  </si>
  <si>
    <t>5105020550</t>
  </si>
  <si>
    <t>APORTES CAJA DE COMPENSACION</t>
  </si>
  <si>
    <t>5105020551</t>
  </si>
  <si>
    <t>APORTES I.C.B.F</t>
  </si>
  <si>
    <t>5105020552</t>
  </si>
  <si>
    <t>APORTES SENA</t>
  </si>
  <si>
    <t>51050210</t>
  </si>
  <si>
    <t>OTROS DE PERSONAL</t>
  </si>
  <si>
    <t>5105021005</t>
  </si>
  <si>
    <t>DOTACION AL PERSONAL</t>
  </si>
  <si>
    <t>5105021010</t>
  </si>
  <si>
    <t>CAPACITACION AL PERSONAL</t>
  </si>
  <si>
    <t>5105021015</t>
  </si>
  <si>
    <t>BIENESTAR AL PERSONAL</t>
  </si>
  <si>
    <t>5105021020</t>
  </si>
  <si>
    <t>OTROS GASTOS DE PERSONAL</t>
  </si>
  <si>
    <t>5105021035</t>
  </si>
  <si>
    <t>IVA OTROS DE GASTOS PERSONAL</t>
  </si>
  <si>
    <t>5105021040</t>
  </si>
  <si>
    <t>IVA DOTACION AL PERSONAL</t>
  </si>
  <si>
    <t>5105021045</t>
  </si>
  <si>
    <t>IVA BIENESTAR AL PERSONAL</t>
  </si>
  <si>
    <t>5105021050</t>
  </si>
  <si>
    <t>IVA CAPACITACION AL PERSONAL</t>
  </si>
  <si>
    <t>510503</t>
  </si>
  <si>
    <t>OTROS GASTOS DE LA UNIDAD</t>
  </si>
  <si>
    <t>51050310</t>
  </si>
  <si>
    <t>HONORARIOS DE  ASESORIA</t>
  </si>
  <si>
    <t>5105031010</t>
  </si>
  <si>
    <t>HONORARIOS ASESORIA ESPIRITUAL</t>
  </si>
  <si>
    <t>5105031025</t>
  </si>
  <si>
    <t>HONORARIOS REVISORIA FISCAL</t>
  </si>
  <si>
    <t>5105031045</t>
  </si>
  <si>
    <t>5105031075</t>
  </si>
  <si>
    <t>IVA HONORARIOS OTROS</t>
  </si>
  <si>
    <t>51050315</t>
  </si>
  <si>
    <t>IMPUESTOS TASAS Y GRAVAMENES</t>
  </si>
  <si>
    <t>5105031510</t>
  </si>
  <si>
    <t>5105031515</t>
  </si>
  <si>
    <t>IMPUESTO VEHICULOS</t>
  </si>
  <si>
    <t>51050320</t>
  </si>
  <si>
    <t>5105032010</t>
  </si>
  <si>
    <t>ARRENDAMIENTO FOTOCOPIADORAS  E IMPRESORAS</t>
  </si>
  <si>
    <t>5105032045</t>
  </si>
  <si>
    <t>IVA ARRENDAMIENTO FOTOCOPIADORAS E IMPRESORAS</t>
  </si>
  <si>
    <t>51050325</t>
  </si>
  <si>
    <t>CONTRIBUCIONES Y AFILIACIONES</t>
  </si>
  <si>
    <t>5105032505</t>
  </si>
  <si>
    <t>CONTRIB AFILIACI  ACHC</t>
  </si>
  <si>
    <t>5105032515</t>
  </si>
  <si>
    <t>CONTRIB AFILIACI  TASA SUPERSALUD</t>
  </si>
  <si>
    <t>5105032520</t>
  </si>
  <si>
    <t>CONTRIB AFILIACI EGEDA COLOMBIA</t>
  </si>
  <si>
    <t>5105032525</t>
  </si>
  <si>
    <t>IVA CONTRIB AFILIACI EGEDA COLOMBIA</t>
  </si>
  <si>
    <t>51050330</t>
  </si>
  <si>
    <t>5105033005</t>
  </si>
  <si>
    <t>SEGUROS VEHICULOS</t>
  </si>
  <si>
    <t>5105033010</t>
  </si>
  <si>
    <t>SEGUROS POLIZA  PYME</t>
  </si>
  <si>
    <t>5105033015</t>
  </si>
  <si>
    <t>SEGUROS POLIZA RESPONSABILIDAD CIVIL</t>
  </si>
  <si>
    <t>5105033030</t>
  </si>
  <si>
    <t>IVA SEGUROS VEHICULOS</t>
  </si>
  <si>
    <t>51050335</t>
  </si>
  <si>
    <t>5105033505</t>
  </si>
  <si>
    <t>SERV. P  ACUEDUCTO</t>
  </si>
  <si>
    <t>5105033510</t>
  </si>
  <si>
    <t>SERV. P  ASEO Y ALCANTARILLADO</t>
  </si>
  <si>
    <t>5105033515</t>
  </si>
  <si>
    <t>SERV. P  GAS</t>
  </si>
  <si>
    <t>5105033520</t>
  </si>
  <si>
    <t>SERV. P  ENERGIA</t>
  </si>
  <si>
    <t>5105033525</t>
  </si>
  <si>
    <t>SERV. P  INTERNET</t>
  </si>
  <si>
    <t>5105033530</t>
  </si>
  <si>
    <t>SERV. P  TELEFONO FIJO</t>
  </si>
  <si>
    <t>5105033535</t>
  </si>
  <si>
    <t>SERV. P  TELEFONO MOVIL</t>
  </si>
  <si>
    <t>5105033550</t>
  </si>
  <si>
    <t>IVA SERV. P INTERNET</t>
  </si>
  <si>
    <t>5105033560</t>
  </si>
  <si>
    <t>IVA SERV. P TELEFONO FIJO</t>
  </si>
  <si>
    <t>5105033565</t>
  </si>
  <si>
    <t>IVA SERV. P TELEFONO MOVIL</t>
  </si>
  <si>
    <t>51050336</t>
  </si>
  <si>
    <t>OTROS SERVICIOS</t>
  </si>
  <si>
    <t>5105033630</t>
  </si>
  <si>
    <t>OTROS SERVICIOS ASISTENCIA TECNICA</t>
  </si>
  <si>
    <t>5105033640</t>
  </si>
  <si>
    <t>5105033695</t>
  </si>
  <si>
    <t>IVA OTROS SERVICIOS</t>
  </si>
  <si>
    <t>51050340</t>
  </si>
  <si>
    <t>LEGALES</t>
  </si>
  <si>
    <t>5105034005</t>
  </si>
  <si>
    <t>5105034010</t>
  </si>
  <si>
    <t>LEGALES NOTARIALES</t>
  </si>
  <si>
    <t>5105034015</t>
  </si>
  <si>
    <t>LEGALES TRAMITES Y PERMISOS</t>
  </si>
  <si>
    <t>5105034025</t>
  </si>
  <si>
    <t>IVA LEGALES NOTARIALES</t>
  </si>
  <si>
    <t>5105034030</t>
  </si>
  <si>
    <t xml:space="preserve">IVA LEGALES </t>
  </si>
  <si>
    <t>51050345</t>
  </si>
  <si>
    <t>MANTENIMIENTO</t>
  </si>
  <si>
    <t>5105034545</t>
  </si>
  <si>
    <t>MANTENIMIENTO FLOTA Y EQUIPO TRANSPORTE</t>
  </si>
  <si>
    <t>5105034585</t>
  </si>
  <si>
    <t>IVA MANTENIMIENTO FLOTA Y EQUIPO DE TRANSPORTE</t>
  </si>
  <si>
    <t>51050355</t>
  </si>
  <si>
    <t>DEPRECIACIONES</t>
  </si>
  <si>
    <t>5105035510</t>
  </si>
  <si>
    <t>DEPRECIACION CONSTRUCCIONES Y EDIFICACIONES</t>
  </si>
  <si>
    <t>5105035520</t>
  </si>
  <si>
    <t>DEPRECIACION EQUIPO DE COMPUTO Y COMUNICACIÓN</t>
  </si>
  <si>
    <t>5105035525</t>
  </si>
  <si>
    <t>DEPRECIACION EQUIPO DE OFICINA</t>
  </si>
  <si>
    <t>5105035535</t>
  </si>
  <si>
    <t>DEPRECIACION VEHICULOS</t>
  </si>
  <si>
    <t>51050360</t>
  </si>
  <si>
    <t>SOFTWARE Y LICENCIAS</t>
  </si>
  <si>
    <t>5105036005</t>
  </si>
  <si>
    <t>51050370</t>
  </si>
  <si>
    <t>5105037005</t>
  </si>
  <si>
    <t>DIVERSOS COMBUSTIBLES Y LUBRICANTES</t>
  </si>
  <si>
    <t>5105037015</t>
  </si>
  <si>
    <t>DIVERSOS CORREO Y MENSAJERIA</t>
  </si>
  <si>
    <t>5105037020</t>
  </si>
  <si>
    <t>DIVERSOS GASTOS DE PUBLICIDAD</t>
  </si>
  <si>
    <t>5105037030</t>
  </si>
  <si>
    <t>DIVERSOS VARIOS</t>
  </si>
  <si>
    <t>5105037040</t>
  </si>
  <si>
    <t>IVA DIVERSOS CORREO Y MENSAJERIA</t>
  </si>
  <si>
    <t>5105037045</t>
  </si>
  <si>
    <t>IVA DIVERSOS GASTOS Y PUBLCIDAD</t>
  </si>
  <si>
    <t>51050371</t>
  </si>
  <si>
    <t>GASTOS DE TRANSPORTE</t>
  </si>
  <si>
    <t>5105037105</t>
  </si>
  <si>
    <t>TRANSPORTE, TAXIS Y BUSES</t>
  </si>
  <si>
    <t>5105037110</t>
  </si>
  <si>
    <t>TRANSPORTE, PARQUEADEROS</t>
  </si>
  <si>
    <t>5105037115</t>
  </si>
  <si>
    <t>TRANSPORTE, PEAJES</t>
  </si>
  <si>
    <t>5105037150</t>
  </si>
  <si>
    <t>IVA TRANSPORTE, PARQUEADEROS</t>
  </si>
  <si>
    <t>5110</t>
  </si>
  <si>
    <t>SUB DIRECCION FINANCIERA</t>
  </si>
  <si>
    <t>511001</t>
  </si>
  <si>
    <t>51100102</t>
  </si>
  <si>
    <t>5110010205</t>
  </si>
  <si>
    <t>51100103</t>
  </si>
  <si>
    <t>5110010305</t>
  </si>
  <si>
    <t>5110010310</t>
  </si>
  <si>
    <t>5110010335</t>
  </si>
  <si>
    <t>5110010345</t>
  </si>
  <si>
    <t>5110010375</t>
  </si>
  <si>
    <t>511002</t>
  </si>
  <si>
    <t>51100205</t>
  </si>
  <si>
    <t>5110020501</t>
  </si>
  <si>
    <t>5110020502</t>
  </si>
  <si>
    <t>5110020504</t>
  </si>
  <si>
    <t>5110020510</t>
  </si>
  <si>
    <t>RECARGO NOCTURNO</t>
  </si>
  <si>
    <t>5110020511</t>
  </si>
  <si>
    <t>5110020512</t>
  </si>
  <si>
    <t>RECARGO NOCTURNO FESTIVO</t>
  </si>
  <si>
    <t>5110020514</t>
  </si>
  <si>
    <t>5110020516</t>
  </si>
  <si>
    <t>5110020530</t>
  </si>
  <si>
    <t>5110020531</t>
  </si>
  <si>
    <t>5110020532</t>
  </si>
  <si>
    <t>5110020533</t>
  </si>
  <si>
    <t>5110020540</t>
  </si>
  <si>
    <t>5110020541</t>
  </si>
  <si>
    <t>5110020542</t>
  </si>
  <si>
    <t>5110020550</t>
  </si>
  <si>
    <t>5110020551</t>
  </si>
  <si>
    <t>5110020552</t>
  </si>
  <si>
    <t>51100210</t>
  </si>
  <si>
    <t>5110021035</t>
  </si>
  <si>
    <t>511003</t>
  </si>
  <si>
    <t>51100315</t>
  </si>
  <si>
    <t>5110031505</t>
  </si>
  <si>
    <t>IMPUESTO ICA INDUSTRIA Y COMERCIO</t>
  </si>
  <si>
    <t>5110031510</t>
  </si>
  <si>
    <t>51100320</t>
  </si>
  <si>
    <t>5110032010</t>
  </si>
  <si>
    <t>5110032045</t>
  </si>
  <si>
    <t>51100330</t>
  </si>
  <si>
    <t>5110033010</t>
  </si>
  <si>
    <t>5110033015</t>
  </si>
  <si>
    <t>5110033020</t>
  </si>
  <si>
    <t>SEGUROS POLIZAS DE CUMPLIMIENTO</t>
  </si>
  <si>
    <t>5110033035</t>
  </si>
  <si>
    <t>IVA SEGUROS POLIZA PYME</t>
  </si>
  <si>
    <t>5110033040</t>
  </si>
  <si>
    <t>IVA SEGUROS POLIZA RESPONSABILIDAD CIVIL</t>
  </si>
  <si>
    <t>5110033045</t>
  </si>
  <si>
    <t>IVA SEGUROS POLIZAS DE CUMPLIMIENTO</t>
  </si>
  <si>
    <t>51100335</t>
  </si>
  <si>
    <t>5110033505</t>
  </si>
  <si>
    <t>5110033510</t>
  </si>
  <si>
    <t>5110033515</t>
  </si>
  <si>
    <t>5110033520</t>
  </si>
  <si>
    <t>5110033525</t>
  </si>
  <si>
    <t>5110033530</t>
  </si>
  <si>
    <t>5110033535</t>
  </si>
  <si>
    <t>5110033550</t>
  </si>
  <si>
    <t>5110033560</t>
  </si>
  <si>
    <t>5110033565</t>
  </si>
  <si>
    <t>51100336</t>
  </si>
  <si>
    <t>5110033640</t>
  </si>
  <si>
    <t>5110033645</t>
  </si>
  <si>
    <t>OTROS SERVICIOS FACTURACION SOAT</t>
  </si>
  <si>
    <t>5110033650</t>
  </si>
  <si>
    <t>OTROS SERVICIOS COBRANZA Y RECUPERACION DE CARTERA</t>
  </si>
  <si>
    <t>5110033651</t>
  </si>
  <si>
    <t>IVA OTROS SERVICIOS COBRANZA Y RECUPERACION DE CARTERA</t>
  </si>
  <si>
    <t>5110033695</t>
  </si>
  <si>
    <t>51100340</t>
  </si>
  <si>
    <t>5110034005</t>
  </si>
  <si>
    <t>5110034010</t>
  </si>
  <si>
    <t>5110034015</t>
  </si>
  <si>
    <t>LEGALES TRAMITES</t>
  </si>
  <si>
    <t>5110034025</t>
  </si>
  <si>
    <t>5110034030</t>
  </si>
  <si>
    <t>51100355</t>
  </si>
  <si>
    <t>5110035510</t>
  </si>
  <si>
    <t>5110035520</t>
  </si>
  <si>
    <t>5110035525</t>
  </si>
  <si>
    <t>51100360</t>
  </si>
  <si>
    <t>5110036005</t>
  </si>
  <si>
    <t>51100370</t>
  </si>
  <si>
    <t>5110037015</t>
  </si>
  <si>
    <t>51100371</t>
  </si>
  <si>
    <t>5110037105</t>
  </si>
  <si>
    <t>5110037110</t>
  </si>
  <si>
    <t>5110037150</t>
  </si>
  <si>
    <t>51100375</t>
  </si>
  <si>
    <t>DETERIORO</t>
  </si>
  <si>
    <t>5110037510</t>
  </si>
  <si>
    <t>DETERIORO CARTERA</t>
  </si>
  <si>
    <t>5115</t>
  </si>
  <si>
    <t>SUB DIRECCION ADMINISTRATIVA</t>
  </si>
  <si>
    <t>511501</t>
  </si>
  <si>
    <t>51150102</t>
  </si>
  <si>
    <t>5115010205</t>
  </si>
  <si>
    <t>51150103</t>
  </si>
  <si>
    <t>5115010305</t>
  </si>
  <si>
    <t>5115010310</t>
  </si>
  <si>
    <t>5115010325</t>
  </si>
  <si>
    <t>5115010330</t>
  </si>
  <si>
    <t>5115010335</t>
  </si>
  <si>
    <t>5115010345</t>
  </si>
  <si>
    <t>5115010350</t>
  </si>
  <si>
    <t>5115010365</t>
  </si>
  <si>
    <t>5115010375</t>
  </si>
  <si>
    <t>511502</t>
  </si>
  <si>
    <t>51150205</t>
  </si>
  <si>
    <t>5115020501</t>
  </si>
  <si>
    <t>5115020502</t>
  </si>
  <si>
    <t>5115020504</t>
  </si>
  <si>
    <t>5115020505</t>
  </si>
  <si>
    <t>BONIFICACION NO SALARIAL</t>
  </si>
  <si>
    <t>5115020510</t>
  </si>
  <si>
    <t>5115020511</t>
  </si>
  <si>
    <t>5115020512</t>
  </si>
  <si>
    <t>5115020514</t>
  </si>
  <si>
    <t>5115020515</t>
  </si>
  <si>
    <t>INDEMNIZACIONES LABORALES</t>
  </si>
  <si>
    <t>5115020516</t>
  </si>
  <si>
    <t>5115020518</t>
  </si>
  <si>
    <t>AUXILIO DE ALIMENTACION</t>
  </si>
  <si>
    <t>5115020520</t>
  </si>
  <si>
    <t>5115020530</t>
  </si>
  <si>
    <t>5115020531</t>
  </si>
  <si>
    <t>5115020532</t>
  </si>
  <si>
    <t>5115020533</t>
  </si>
  <si>
    <t>5115020540</t>
  </si>
  <si>
    <t>5115020541</t>
  </si>
  <si>
    <t>5115020542</t>
  </si>
  <si>
    <t>5115020550</t>
  </si>
  <si>
    <t>5115020551</t>
  </si>
  <si>
    <t>5115020552</t>
  </si>
  <si>
    <t>51150210</t>
  </si>
  <si>
    <t>5115021005</t>
  </si>
  <si>
    <t>5115021010</t>
  </si>
  <si>
    <t>5115021015</t>
  </si>
  <si>
    <t>5115021040</t>
  </si>
  <si>
    <t>5115021045</t>
  </si>
  <si>
    <t>5115021050</t>
  </si>
  <si>
    <t>51150215</t>
  </si>
  <si>
    <t>HONORARIOS MEDICOS Y OTROS</t>
  </si>
  <si>
    <t>5115021510</t>
  </si>
  <si>
    <t>HONORARIOS SERVICIOS ASISTENCIALES EXTERNOS</t>
  </si>
  <si>
    <t>511503</t>
  </si>
  <si>
    <t>51150310</t>
  </si>
  <si>
    <t>5115031015</t>
  </si>
  <si>
    <t>HONORARIOS ASESORIA JURIDICA</t>
  </si>
  <si>
    <t>5115031045</t>
  </si>
  <si>
    <t>5115031060</t>
  </si>
  <si>
    <t>IVA HONORARIOS ASESORIA JURIDICA</t>
  </si>
  <si>
    <t>5115031075</t>
  </si>
  <si>
    <t>51150315</t>
  </si>
  <si>
    <t>5115031510</t>
  </si>
  <si>
    <t>51150320</t>
  </si>
  <si>
    <t>5115032010</t>
  </si>
  <si>
    <t>5115032015</t>
  </si>
  <si>
    <t>ARRENDAMIENTO EQUIPO DE COMPUTO Y COMUNICACION</t>
  </si>
  <si>
    <t>5115032040</t>
  </si>
  <si>
    <t>IVA ARRENDAMIENTO EQUIPO DE COMPUTO Y COMUNICACION</t>
  </si>
  <si>
    <t>5115032045</t>
  </si>
  <si>
    <t>51150330</t>
  </si>
  <si>
    <t>5115033010</t>
  </si>
  <si>
    <t>5115033015</t>
  </si>
  <si>
    <t>5115033020</t>
  </si>
  <si>
    <t>5115033045</t>
  </si>
  <si>
    <t>51150335</t>
  </si>
  <si>
    <t>5115033505</t>
  </si>
  <si>
    <t>5115033510</t>
  </si>
  <si>
    <t>5115033515</t>
  </si>
  <si>
    <t>5115033520</t>
  </si>
  <si>
    <t>5115033525</t>
  </si>
  <si>
    <t>5115033530</t>
  </si>
  <si>
    <t>5115033535</t>
  </si>
  <si>
    <t>5115033545</t>
  </si>
  <si>
    <t>SERV. P  RECOLECCION DESECHOS</t>
  </si>
  <si>
    <t>5115033550</t>
  </si>
  <si>
    <t>5115033560</t>
  </si>
  <si>
    <t>5115033565</t>
  </si>
  <si>
    <t>51150336</t>
  </si>
  <si>
    <t>5115033605</t>
  </si>
  <si>
    <t>OTROS SERVICIOS EXTINTORES</t>
  </si>
  <si>
    <t>5115033615</t>
  </si>
  <si>
    <t>OTROS SERVICIOS LAVADO Y FUMIGACION</t>
  </si>
  <si>
    <t>5115033625</t>
  </si>
  <si>
    <t>OTROS SERVICIOS VIGILANCIA</t>
  </si>
  <si>
    <t>5115033630</t>
  </si>
  <si>
    <t>5115033635</t>
  </si>
  <si>
    <t>OTROS SERVICIOS SERVICIO DE ASEO</t>
  </si>
  <si>
    <t>5115033640</t>
  </si>
  <si>
    <t>5115033660</t>
  </si>
  <si>
    <t>IVA OTROS SERVICIOS VIGILANCIA</t>
  </si>
  <si>
    <t>5115033670</t>
  </si>
  <si>
    <t>IVA OTROS SERVICIOS ASISTENCIA TECNICA</t>
  </si>
  <si>
    <t>5115033675</t>
  </si>
  <si>
    <t>IVA OTROS SERVICIOS DE ASEO</t>
  </si>
  <si>
    <t>5115033690</t>
  </si>
  <si>
    <t>IVA OTROS SERVICIOS EXTINTORES</t>
  </si>
  <si>
    <t>5115033695</t>
  </si>
  <si>
    <t>5115033699</t>
  </si>
  <si>
    <t>IVA OTROS SERVICIOS LAVADO Y FUMIGACION</t>
  </si>
  <si>
    <t>51150340</t>
  </si>
  <si>
    <t>5115034005</t>
  </si>
  <si>
    <t>5115034010</t>
  </si>
  <si>
    <t>5115034025</t>
  </si>
  <si>
    <t>5115034030</t>
  </si>
  <si>
    <t>51150345</t>
  </si>
  <si>
    <t>5115034505</t>
  </si>
  <si>
    <t>MANTENIMIENTO ACUEDUCTOS, PLANTAS Y REDES</t>
  </si>
  <si>
    <t>5115034510</t>
  </si>
  <si>
    <t>MANTENIMIENTO ASCENSORES</t>
  </si>
  <si>
    <t>5115034515</t>
  </si>
  <si>
    <t>MANTENIMIENTO CALDERAS</t>
  </si>
  <si>
    <t>5115034520</t>
  </si>
  <si>
    <t>MANTENIMIENTO CONSTRUCCIONES Y EDIFICACIONES</t>
  </si>
  <si>
    <t>5115034530</t>
  </si>
  <si>
    <t>MANTENIMIENTO EQUIPO DE COMPUTO Y COMUNICACIÓN</t>
  </si>
  <si>
    <t>5115034540</t>
  </si>
  <si>
    <t>MANTENIMIENTO MAQUINARIA Y EQUIPO INDUSTRIAL</t>
  </si>
  <si>
    <t>5115034550</t>
  </si>
  <si>
    <t>IVA MANTENIMIENTO ACUEDUCTO, PLANTAS Y REDES</t>
  </si>
  <si>
    <t>5115034555</t>
  </si>
  <si>
    <t>IVA MANTENIMIENTO ASCENSORES</t>
  </si>
  <si>
    <t>5115034560</t>
  </si>
  <si>
    <t>IVA MANTENIMIENTO CALDERAS</t>
  </si>
  <si>
    <t>5115034565</t>
  </si>
  <si>
    <t>IVA MANTENIMIENTO CONSTRUCCIONES Y EDIFICACIONES</t>
  </si>
  <si>
    <t>5115034575</t>
  </si>
  <si>
    <t>IVA MANTENIMIENTO EQUIPO DE COMPUTO Y COMUNICACION</t>
  </si>
  <si>
    <t>5115034590</t>
  </si>
  <si>
    <t>IVA MANTENIMIENTO MAQUINARIA Y EQUIPO INDUSTRIAL</t>
  </si>
  <si>
    <t>51150355</t>
  </si>
  <si>
    <t>5115035510</t>
  </si>
  <si>
    <t>5115035515</t>
  </si>
  <si>
    <t>DEPRECIACION EQUIPO BIOMEDICO</t>
  </si>
  <si>
    <t>5115035520</t>
  </si>
  <si>
    <t>5115035525</t>
  </si>
  <si>
    <t>5115035530</t>
  </si>
  <si>
    <t>DEPRECIACION MAQUINARIA Y EQUIPO</t>
  </si>
  <si>
    <t>51150360</t>
  </si>
  <si>
    <t>5115036005</t>
  </si>
  <si>
    <t>51150370</t>
  </si>
  <si>
    <t>5115037005</t>
  </si>
  <si>
    <t>5115037015</t>
  </si>
  <si>
    <t>5115037030</t>
  </si>
  <si>
    <t>5115037040</t>
  </si>
  <si>
    <t>51150371</t>
  </si>
  <si>
    <t>5115037105</t>
  </si>
  <si>
    <t>5115037110</t>
  </si>
  <si>
    <t>5115037150</t>
  </si>
  <si>
    <t>5120</t>
  </si>
  <si>
    <t>SUB DIRECCION MEDICA Y GESTION CLNICA</t>
  </si>
  <si>
    <t>512001</t>
  </si>
  <si>
    <t>51200102</t>
  </si>
  <si>
    <t>5120010205</t>
  </si>
  <si>
    <t>51200103</t>
  </si>
  <si>
    <t>5120010310</t>
  </si>
  <si>
    <t>5120010335</t>
  </si>
  <si>
    <t>5120010350</t>
  </si>
  <si>
    <t>5120010375</t>
  </si>
  <si>
    <t>512002</t>
  </si>
  <si>
    <t>51200205</t>
  </si>
  <si>
    <t>5120020501</t>
  </si>
  <si>
    <t>5120020502</t>
  </si>
  <si>
    <t>5120020514</t>
  </si>
  <si>
    <t>5120020530</t>
  </si>
  <si>
    <t>5120020531</t>
  </si>
  <si>
    <t>5120020532</t>
  </si>
  <si>
    <t>5120020533</t>
  </si>
  <si>
    <t>5120020540</t>
  </si>
  <si>
    <t>5120020541</t>
  </si>
  <si>
    <t>5120020542</t>
  </si>
  <si>
    <t>5120020550</t>
  </si>
  <si>
    <t>5120020551</t>
  </si>
  <si>
    <t>5120020552</t>
  </si>
  <si>
    <t>51200210</t>
  </si>
  <si>
    <t>5120021010</t>
  </si>
  <si>
    <t>5120021050</t>
  </si>
  <si>
    <t>512003</t>
  </si>
  <si>
    <t>51200315</t>
  </si>
  <si>
    <t>5120031510</t>
  </si>
  <si>
    <t>51200320</t>
  </si>
  <si>
    <t>5120032010</t>
  </si>
  <si>
    <t>5120032045</t>
  </si>
  <si>
    <t>51200330</t>
  </si>
  <si>
    <t>5120033010</t>
  </si>
  <si>
    <t>5120033015</t>
  </si>
  <si>
    <t>51200335</t>
  </si>
  <si>
    <t>5120033520</t>
  </si>
  <si>
    <t>5120033525</t>
  </si>
  <si>
    <t>5120033530</t>
  </si>
  <si>
    <t>5120033535</t>
  </si>
  <si>
    <t>5120033550</t>
  </si>
  <si>
    <t>5120033560</t>
  </si>
  <si>
    <t>5120033565</t>
  </si>
  <si>
    <t>51200355</t>
  </si>
  <si>
    <t>5120035510</t>
  </si>
  <si>
    <t>5120035520</t>
  </si>
  <si>
    <t>5120035525</t>
  </si>
  <si>
    <t>51200360</t>
  </si>
  <si>
    <t>5120036005</t>
  </si>
  <si>
    <t>51200371</t>
  </si>
  <si>
    <t>5120037105</t>
  </si>
  <si>
    <t>53</t>
  </si>
  <si>
    <t>GASTOS NO OPERACIONALES</t>
  </si>
  <si>
    <t>5305</t>
  </si>
  <si>
    <t>FINANCIEROS</t>
  </si>
  <si>
    <t>530505</t>
  </si>
  <si>
    <t>53050505</t>
  </si>
  <si>
    <t>GASTOS Y COMISIONES BANCARIAS</t>
  </si>
  <si>
    <t>5305050505</t>
  </si>
  <si>
    <t>GASTOS BANCARIOS</t>
  </si>
  <si>
    <t>5305050510</t>
  </si>
  <si>
    <t>COMISIONES BANCARIAS</t>
  </si>
  <si>
    <t>5305050515</t>
  </si>
  <si>
    <t>IVA BANCOS</t>
  </si>
  <si>
    <t>5305050535</t>
  </si>
  <si>
    <t>GRAVAMEN A LOS MOV FINANCIEROS</t>
  </si>
  <si>
    <t>53050510</t>
  </si>
  <si>
    <t>GASTOS Y COMISIONES FIDUCIARIAS</t>
  </si>
  <si>
    <t>5305051030</t>
  </si>
  <si>
    <t>53050515</t>
  </si>
  <si>
    <t>5305051505</t>
  </si>
  <si>
    <t>INTERESES CORRIENTES</t>
  </si>
  <si>
    <t>5305051510</t>
  </si>
  <si>
    <t>INTERESES MORATORIOS</t>
  </si>
  <si>
    <t>53050520</t>
  </si>
  <si>
    <t>5305052005</t>
  </si>
  <si>
    <t>53050525</t>
  </si>
  <si>
    <t>5305052505</t>
  </si>
  <si>
    <t>5310</t>
  </si>
  <si>
    <t>PERDIDA EN VENTA Y RETIRO DE BIENES</t>
  </si>
  <si>
    <t>531010</t>
  </si>
  <si>
    <t>53101030</t>
  </si>
  <si>
    <t>RETIRO DE PROPIEDADES PLANTA Y EQUIPO</t>
  </si>
  <si>
    <t>5310103005</t>
  </si>
  <si>
    <t xml:space="preserve">BAJA DE ACTIVOS </t>
  </si>
  <si>
    <t>53101035</t>
  </si>
  <si>
    <t>RETIRO DE OTROS ACTIVOS</t>
  </si>
  <si>
    <t>5310103510</t>
  </si>
  <si>
    <t>RETIRO DE INVENTARIO POR OBSOLESCENCIA</t>
  </si>
  <si>
    <t>5315</t>
  </si>
  <si>
    <t>GASTOS EXTRAORDINARIOS</t>
  </si>
  <si>
    <t>531515</t>
  </si>
  <si>
    <t>53151505</t>
  </si>
  <si>
    <t>5315150505</t>
  </si>
  <si>
    <t>PROVISION PROCESOS JUDICIALES</t>
  </si>
  <si>
    <t>53151510</t>
  </si>
  <si>
    <t>IMPUESTOS ASUMIDOS</t>
  </si>
  <si>
    <t>5315151005</t>
  </si>
  <si>
    <t>RETENCION EN LA FUENTE ASUMIDA</t>
  </si>
  <si>
    <t>5350</t>
  </si>
  <si>
    <t>GASTOS DIVERSOS</t>
  </si>
  <si>
    <t>535050</t>
  </si>
  <si>
    <t>53505020</t>
  </si>
  <si>
    <t>MULTAS, SANCIONES Y LITIGIOS</t>
  </si>
  <si>
    <t>5350502005</t>
  </si>
  <si>
    <t>53505025</t>
  </si>
  <si>
    <t>5350502505</t>
  </si>
  <si>
    <t>55</t>
  </si>
  <si>
    <t>GASTOS CONGREGACION</t>
  </si>
  <si>
    <t>5505</t>
  </si>
  <si>
    <t>GASTOS INTERCOMPAÑIAS</t>
  </si>
  <si>
    <t>550515</t>
  </si>
  <si>
    <t>CUOTA SOSTENIMIENTO</t>
  </si>
  <si>
    <t>55051505</t>
  </si>
  <si>
    <t>CUOTA SOSTENIMIENTO CLINICA NUEVA</t>
  </si>
  <si>
    <t>5505150502</t>
  </si>
  <si>
    <t>COSTOS DE VENTAS Y OPERACION</t>
  </si>
  <si>
    <t>COSTOS</t>
  </si>
  <si>
    <t>61</t>
  </si>
  <si>
    <t>PRESTACION DE SERVICIOS</t>
  </si>
  <si>
    <t>6105</t>
  </si>
  <si>
    <t>610501</t>
  </si>
  <si>
    <t>61050101</t>
  </si>
  <si>
    <t>DISPENSACION A PACIENTES</t>
  </si>
  <si>
    <t>6105010105</t>
  </si>
  <si>
    <t>6105010110</t>
  </si>
  <si>
    <t>6105010130</t>
  </si>
  <si>
    <t>OXIGENO</t>
  </si>
  <si>
    <t>6105010150</t>
  </si>
  <si>
    <t>IVA OXIGENO</t>
  </si>
  <si>
    <t>61050102</t>
  </si>
  <si>
    <t>6105010205</t>
  </si>
  <si>
    <t>61050103</t>
  </si>
  <si>
    <t>6105010330</t>
  </si>
  <si>
    <t>6105010335</t>
  </si>
  <si>
    <t>6105010370</t>
  </si>
  <si>
    <t>IVA DOTACION AL SERVICIO</t>
  </si>
  <si>
    <t>6105010375</t>
  </si>
  <si>
    <t>610502</t>
  </si>
  <si>
    <t>61050205</t>
  </si>
  <si>
    <t>6105020501</t>
  </si>
  <si>
    <t>6105020502</t>
  </si>
  <si>
    <t>6105020505</t>
  </si>
  <si>
    <t>6105020510</t>
  </si>
  <si>
    <t>6105020511</t>
  </si>
  <si>
    <t>6105020512</t>
  </si>
  <si>
    <t>6105020514</t>
  </si>
  <si>
    <t>6105020515</t>
  </si>
  <si>
    <t>6105020516</t>
  </si>
  <si>
    <t>6105020520</t>
  </si>
  <si>
    <t>6105020530</t>
  </si>
  <si>
    <t>6105020531</t>
  </si>
  <si>
    <t>6105020532</t>
  </si>
  <si>
    <t>6105020533</t>
  </si>
  <si>
    <t>6105020540</t>
  </si>
  <si>
    <t>6105020541</t>
  </si>
  <si>
    <t>6105020542</t>
  </si>
  <si>
    <t>6105020550</t>
  </si>
  <si>
    <t>6105020551</t>
  </si>
  <si>
    <t>6105020552</t>
  </si>
  <si>
    <t>61050215</t>
  </si>
  <si>
    <t>6105021505</t>
  </si>
  <si>
    <t>6105021510</t>
  </si>
  <si>
    <t>610503</t>
  </si>
  <si>
    <t>OTROS COSTOS DE LA UNIDAD</t>
  </si>
  <si>
    <t>61050315</t>
  </si>
  <si>
    <t>6105031510</t>
  </si>
  <si>
    <t>61050320</t>
  </si>
  <si>
    <t>6105032010</t>
  </si>
  <si>
    <t>6105032045</t>
  </si>
  <si>
    <t>61050330</t>
  </si>
  <si>
    <t>6105033010</t>
  </si>
  <si>
    <t>6105033015</t>
  </si>
  <si>
    <t>61050335</t>
  </si>
  <si>
    <t>6105033505</t>
  </si>
  <si>
    <t>6105033520</t>
  </si>
  <si>
    <t>6105033525</t>
  </si>
  <si>
    <t>6105033530</t>
  </si>
  <si>
    <t>6105033535</t>
  </si>
  <si>
    <t>6105033550</t>
  </si>
  <si>
    <t>6105033560</t>
  </si>
  <si>
    <t>6105033565</t>
  </si>
  <si>
    <t>61050336</t>
  </si>
  <si>
    <t>6105033640</t>
  </si>
  <si>
    <t>61050345</t>
  </si>
  <si>
    <t>6105034520</t>
  </si>
  <si>
    <t>6105034535</t>
  </si>
  <si>
    <t>MANTENIMIENTO EQUIPO DE OFICINA Y ENSERES</t>
  </si>
  <si>
    <t>61050355</t>
  </si>
  <si>
    <t>6105035510</t>
  </si>
  <si>
    <t>6105035515</t>
  </si>
  <si>
    <t>6105035520</t>
  </si>
  <si>
    <t>6105035525</t>
  </si>
  <si>
    <t>6105035530</t>
  </si>
  <si>
    <t>61050360</t>
  </si>
  <si>
    <t>6105036005</t>
  </si>
  <si>
    <t>61050370</t>
  </si>
  <si>
    <t>6105037020</t>
  </si>
  <si>
    <t>6110</t>
  </si>
  <si>
    <t>611001</t>
  </si>
  <si>
    <t>61100101</t>
  </si>
  <si>
    <t>6110010105</t>
  </si>
  <si>
    <t>6110010110</t>
  </si>
  <si>
    <t>6110010130</t>
  </si>
  <si>
    <t>61100102</t>
  </si>
  <si>
    <t>6110010205</t>
  </si>
  <si>
    <t>61100103</t>
  </si>
  <si>
    <t>6110010305</t>
  </si>
  <si>
    <t>6110010335</t>
  </si>
  <si>
    <t>6110010375</t>
  </si>
  <si>
    <t>611002</t>
  </si>
  <si>
    <t>61100205</t>
  </si>
  <si>
    <t>6110020502</t>
  </si>
  <si>
    <t>6110020504</t>
  </si>
  <si>
    <t>6110020510</t>
  </si>
  <si>
    <t>6110020511</t>
  </si>
  <si>
    <t>6110020512</t>
  </si>
  <si>
    <t>6110020514</t>
  </si>
  <si>
    <t>6110020516</t>
  </si>
  <si>
    <t>6110020520</t>
  </si>
  <si>
    <t>6110020530</t>
  </si>
  <si>
    <t>6110020531</t>
  </si>
  <si>
    <t>6110020532</t>
  </si>
  <si>
    <t>6110020533</t>
  </si>
  <si>
    <t>6110020540</t>
  </si>
  <si>
    <t>6110020541</t>
  </si>
  <si>
    <t>6110020542</t>
  </si>
  <si>
    <t>6110020550</t>
  </si>
  <si>
    <t>6110020551</t>
  </si>
  <si>
    <t>6110020552</t>
  </si>
  <si>
    <t>61100215</t>
  </si>
  <si>
    <t>6110021505</t>
  </si>
  <si>
    <t>611003</t>
  </si>
  <si>
    <t>61100315</t>
  </si>
  <si>
    <t>6110031510</t>
  </si>
  <si>
    <t>61100320</t>
  </si>
  <si>
    <t>6110032010</t>
  </si>
  <si>
    <t>6110032045</t>
  </si>
  <si>
    <t>61100330</t>
  </si>
  <si>
    <t>6110033010</t>
  </si>
  <si>
    <t>6110033015</t>
  </si>
  <si>
    <t>61100335</t>
  </si>
  <si>
    <t>6110033505</t>
  </si>
  <si>
    <t>6110033510</t>
  </si>
  <si>
    <t>6110033515</t>
  </si>
  <si>
    <t>6110033520</t>
  </si>
  <si>
    <t>6110033525</t>
  </si>
  <si>
    <t>6110033530</t>
  </si>
  <si>
    <t>6110033535</t>
  </si>
  <si>
    <t>6110033550</t>
  </si>
  <si>
    <t>6110033555</t>
  </si>
  <si>
    <t>IVA SERV. P RECOLECCION DESECHOS</t>
  </si>
  <si>
    <t>6110033560</t>
  </si>
  <si>
    <t>6110033565</t>
  </si>
  <si>
    <t>61100336</t>
  </si>
  <si>
    <t>6110033615</t>
  </si>
  <si>
    <t>6110033625</t>
  </si>
  <si>
    <t>6110033660</t>
  </si>
  <si>
    <t>6110033699</t>
  </si>
  <si>
    <t>61100340</t>
  </si>
  <si>
    <t>6110034010</t>
  </si>
  <si>
    <t>61100345</t>
  </si>
  <si>
    <t>6110034510</t>
  </si>
  <si>
    <t>6110034525</t>
  </si>
  <si>
    <t>MANTENIMIENTO EQUIPO BIOMEDICO</t>
  </si>
  <si>
    <t>6110034555</t>
  </si>
  <si>
    <t>6110034570</t>
  </si>
  <si>
    <t>IVA MANTENIMIENTO EQUIPO BIOMEDICO</t>
  </si>
  <si>
    <t>61100355</t>
  </si>
  <si>
    <t>6110035510</t>
  </si>
  <si>
    <t>6110035515</t>
  </si>
  <si>
    <t>6110035520</t>
  </si>
  <si>
    <t>6110035530</t>
  </si>
  <si>
    <t>61100360</t>
  </si>
  <si>
    <t>6110036005</t>
  </si>
  <si>
    <t>6110036010</t>
  </si>
  <si>
    <t>IVA SOFTWARE Y LICENCIAS</t>
  </si>
  <si>
    <t>61100371</t>
  </si>
  <si>
    <t>6110037105</t>
  </si>
  <si>
    <t>6110037110</t>
  </si>
  <si>
    <t>6110037150</t>
  </si>
  <si>
    <t>6115</t>
  </si>
  <si>
    <t>611501</t>
  </si>
  <si>
    <t>61150101</t>
  </si>
  <si>
    <t>6115010105</t>
  </si>
  <si>
    <t>6115010110</t>
  </si>
  <si>
    <t>6115010130</t>
  </si>
  <si>
    <t>61150102</t>
  </si>
  <si>
    <t>6115010205</t>
  </si>
  <si>
    <t>61150103</t>
  </si>
  <si>
    <t>6115010305</t>
  </si>
  <si>
    <t>6115010310</t>
  </si>
  <si>
    <t>6115010315</t>
  </si>
  <si>
    <t>6115010325</t>
  </si>
  <si>
    <t>6115010330</t>
  </si>
  <si>
    <t>6115010335</t>
  </si>
  <si>
    <t>6115010345</t>
  </si>
  <si>
    <t>6115010350</t>
  </si>
  <si>
    <t>6115010355</t>
  </si>
  <si>
    <t>6115010365</t>
  </si>
  <si>
    <t>6115010370</t>
  </si>
  <si>
    <t>6115010375</t>
  </si>
  <si>
    <t>611502</t>
  </si>
  <si>
    <t>61150205</t>
  </si>
  <si>
    <t>6115020501</t>
  </si>
  <si>
    <t>6115020502</t>
  </si>
  <si>
    <t>6115020504</t>
  </si>
  <si>
    <t>6115020505</t>
  </si>
  <si>
    <t>6115020510</t>
  </si>
  <si>
    <t>6115020511</t>
  </si>
  <si>
    <t>6115020512</t>
  </si>
  <si>
    <t>6115020514</t>
  </si>
  <si>
    <t>6115020515</t>
  </si>
  <si>
    <t>6115020516</t>
  </si>
  <si>
    <t>6115020518</t>
  </si>
  <si>
    <t>6115020520</t>
  </si>
  <si>
    <t>6115020530</t>
  </si>
  <si>
    <t>6115020531</t>
  </si>
  <si>
    <t>6115020532</t>
  </si>
  <si>
    <t>6115020533</t>
  </si>
  <si>
    <t>6115020540</t>
  </si>
  <si>
    <t>6115020541</t>
  </si>
  <si>
    <t>6115020542</t>
  </si>
  <si>
    <t>6115020550</t>
  </si>
  <si>
    <t>6115020551</t>
  </si>
  <si>
    <t>6115020552</t>
  </si>
  <si>
    <t>61150215</t>
  </si>
  <si>
    <t>6115021505</t>
  </si>
  <si>
    <t>6115021510</t>
  </si>
  <si>
    <t>611503</t>
  </si>
  <si>
    <t>61150315</t>
  </si>
  <si>
    <t>6115031510</t>
  </si>
  <si>
    <t>61150320</t>
  </si>
  <si>
    <t>6115032010</t>
  </si>
  <si>
    <t>6115032015</t>
  </si>
  <si>
    <t>6115032040</t>
  </si>
  <si>
    <t>6115032045</t>
  </si>
  <si>
    <t>61150330</t>
  </si>
  <si>
    <t>6115033010</t>
  </si>
  <si>
    <t>6115033015</t>
  </si>
  <si>
    <t>61150335</t>
  </si>
  <si>
    <t>6115033505</t>
  </si>
  <si>
    <t>6115033510</t>
  </si>
  <si>
    <t>6115033515</t>
  </si>
  <si>
    <t>6115033520</t>
  </si>
  <si>
    <t>6115033525</t>
  </si>
  <si>
    <t>6115033530</t>
  </si>
  <si>
    <t>6115033535</t>
  </si>
  <si>
    <t>6115033540</t>
  </si>
  <si>
    <t>SERV. P  TELEVISION POR CABLE</t>
  </si>
  <si>
    <t>6115033550</t>
  </si>
  <si>
    <t>6115033560</t>
  </si>
  <si>
    <t>6115033565</t>
  </si>
  <si>
    <t>6115033570</t>
  </si>
  <si>
    <t>IVA SERV. P TELEVISION POR CABLE</t>
  </si>
  <si>
    <t>61150336</t>
  </si>
  <si>
    <t>6115033620</t>
  </si>
  <si>
    <t>OTROS SERVICIOS LAVANDERIA</t>
  </si>
  <si>
    <t>6115033640</t>
  </si>
  <si>
    <t>6115033680</t>
  </si>
  <si>
    <t>IVA OTROS SERVICIOS DE LAVANDERIA</t>
  </si>
  <si>
    <t>6115033695</t>
  </si>
  <si>
    <t>61150345</t>
  </si>
  <si>
    <t>6115034520</t>
  </si>
  <si>
    <t>6115034525</t>
  </si>
  <si>
    <t>6115034530</t>
  </si>
  <si>
    <t>6115034535</t>
  </si>
  <si>
    <t>6115034540</t>
  </si>
  <si>
    <t>6115034565</t>
  </si>
  <si>
    <t>6115034570</t>
  </si>
  <si>
    <t>6115034575</t>
  </si>
  <si>
    <t>6115034580</t>
  </si>
  <si>
    <t>IVA MANTENIMIENTO EQUIPO DE OFICINA Y ENSERES</t>
  </si>
  <si>
    <t>6115034585</t>
  </si>
  <si>
    <t>6115034590</t>
  </si>
  <si>
    <t>61150355</t>
  </si>
  <si>
    <t>6115035510</t>
  </si>
  <si>
    <t>6115035515</t>
  </si>
  <si>
    <t>6115035520</t>
  </si>
  <si>
    <t>6115035525</t>
  </si>
  <si>
    <t>6115035530</t>
  </si>
  <si>
    <t>61150360</t>
  </si>
  <si>
    <t>6115036005</t>
  </si>
  <si>
    <t>61150370</t>
  </si>
  <si>
    <t>6115037015</t>
  </si>
  <si>
    <t>61150371</t>
  </si>
  <si>
    <t>6115037105</t>
  </si>
  <si>
    <t>6120</t>
  </si>
  <si>
    <t>612001</t>
  </si>
  <si>
    <t>61200101</t>
  </si>
  <si>
    <t>6120010105</t>
  </si>
  <si>
    <t>6120010110</t>
  </si>
  <si>
    <t>6120010115</t>
  </si>
  <si>
    <t>6120010130</t>
  </si>
  <si>
    <t>6120010140</t>
  </si>
  <si>
    <t>IVA MEDICO QUIRURGICOS</t>
  </si>
  <si>
    <t>6120010145</t>
  </si>
  <si>
    <t>IVA MATERIAL DE OSTEOSINTESIS</t>
  </si>
  <si>
    <t>6120010150</t>
  </si>
  <si>
    <t>61200102</t>
  </si>
  <si>
    <t>6120010205</t>
  </si>
  <si>
    <t>61200103</t>
  </si>
  <si>
    <t>6120010305</t>
  </si>
  <si>
    <t>6120010335</t>
  </si>
  <si>
    <t>6120010370</t>
  </si>
  <si>
    <t>6120010375</t>
  </si>
  <si>
    <t>6120010380</t>
  </si>
  <si>
    <t>IVA CONTROL FACTURACION DIAN</t>
  </si>
  <si>
    <t>612002</t>
  </si>
  <si>
    <t>61200205</t>
  </si>
  <si>
    <t>6120020501</t>
  </si>
  <si>
    <t>6120020502</t>
  </si>
  <si>
    <t>6120020505</t>
  </si>
  <si>
    <t>6120020510</t>
  </si>
  <si>
    <t>6120020511</t>
  </si>
  <si>
    <t>6120020512</t>
  </si>
  <si>
    <t>6120020514</t>
  </si>
  <si>
    <t>6120020516</t>
  </si>
  <si>
    <t>6120020519</t>
  </si>
  <si>
    <t>6120020520</t>
  </si>
  <si>
    <t>6120020530</t>
  </si>
  <si>
    <t>6120020531</t>
  </si>
  <si>
    <t>6120020532</t>
  </si>
  <si>
    <t>6120020533</t>
  </si>
  <si>
    <t>6120020540</t>
  </si>
  <si>
    <t>6120020541</t>
  </si>
  <si>
    <t>6120020542</t>
  </si>
  <si>
    <t>6120020550</t>
  </si>
  <si>
    <t>6120020551</t>
  </si>
  <si>
    <t>6120020552</t>
  </si>
  <si>
    <t>61200210</t>
  </si>
  <si>
    <t>6120021005</t>
  </si>
  <si>
    <t>6120021040</t>
  </si>
  <si>
    <t>61200215</t>
  </si>
  <si>
    <t>6120021505</t>
  </si>
  <si>
    <t>6120021510</t>
  </si>
  <si>
    <t>612003</t>
  </si>
  <si>
    <t>61200315</t>
  </si>
  <si>
    <t>6120031510</t>
  </si>
  <si>
    <t>61200320</t>
  </si>
  <si>
    <t>6120032005</t>
  </si>
  <si>
    <t>ARRENDAMIENTO EQUIPO BIOMEDICO</t>
  </si>
  <si>
    <t>6120032010</t>
  </si>
  <si>
    <t>6120032015</t>
  </si>
  <si>
    <t>6120032035</t>
  </si>
  <si>
    <t>IVA ARRENDAMIENTO EQUIPO BIOMEDICO</t>
  </si>
  <si>
    <t>6120032040</t>
  </si>
  <si>
    <t>6120032045</t>
  </si>
  <si>
    <t>61200330</t>
  </si>
  <si>
    <t>6120033010</t>
  </si>
  <si>
    <t>6120033015</t>
  </si>
  <si>
    <t>61200335</t>
  </si>
  <si>
    <t>6120033505</t>
  </si>
  <si>
    <t>6120033510</t>
  </si>
  <si>
    <t>6120033520</t>
  </si>
  <si>
    <t>6120033525</t>
  </si>
  <si>
    <t>6120033530</t>
  </si>
  <si>
    <t>6120033535</t>
  </si>
  <si>
    <t>6120033550</t>
  </si>
  <si>
    <t>6120033560</t>
  </si>
  <si>
    <t>6120033565</t>
  </si>
  <si>
    <t>61200336</t>
  </si>
  <si>
    <t>6120033640</t>
  </si>
  <si>
    <t>61200345</t>
  </si>
  <si>
    <t>6120034525</t>
  </si>
  <si>
    <t>6120034535</t>
  </si>
  <si>
    <t>6120034540</t>
  </si>
  <si>
    <t>6120034570</t>
  </si>
  <si>
    <t>6120034590</t>
  </si>
  <si>
    <t>61200355</t>
  </si>
  <si>
    <t>6120035510</t>
  </si>
  <si>
    <t>6120035515</t>
  </si>
  <si>
    <t>6120035520</t>
  </si>
  <si>
    <t>6120035525</t>
  </si>
  <si>
    <t>6120035530</t>
  </si>
  <si>
    <t>61200360</t>
  </si>
  <si>
    <t>6120036005</t>
  </si>
  <si>
    <t>61200370</t>
  </si>
  <si>
    <t>6120037035</t>
  </si>
  <si>
    <t>61200371</t>
  </si>
  <si>
    <t>6120037105</t>
  </si>
  <si>
    <t>6125</t>
  </si>
  <si>
    <t>612501</t>
  </si>
  <si>
    <t>61250101</t>
  </si>
  <si>
    <t>6125010105</t>
  </si>
  <si>
    <t>6125010110</t>
  </si>
  <si>
    <t>6125010125</t>
  </si>
  <si>
    <t>6125010130</t>
  </si>
  <si>
    <t>61250102</t>
  </si>
  <si>
    <t>6125010205</t>
  </si>
  <si>
    <t>61250103</t>
  </si>
  <si>
    <t>6125010305</t>
  </si>
  <si>
    <t>6125010330</t>
  </si>
  <si>
    <t>6125010335</t>
  </si>
  <si>
    <t>6125010375</t>
  </si>
  <si>
    <t>612502</t>
  </si>
  <si>
    <t>61250205</t>
  </si>
  <si>
    <t>6125020502</t>
  </si>
  <si>
    <t>6125020505</t>
  </si>
  <si>
    <t>6125020510</t>
  </si>
  <si>
    <t>6125020511</t>
  </si>
  <si>
    <t>6125020512</t>
  </si>
  <si>
    <t>6125020514</t>
  </si>
  <si>
    <t>6125020516</t>
  </si>
  <si>
    <t>6125020530</t>
  </si>
  <si>
    <t>6125020531</t>
  </si>
  <si>
    <t>6125020532</t>
  </si>
  <si>
    <t>6125020533</t>
  </si>
  <si>
    <t>6125020540</t>
  </si>
  <si>
    <t>6125020541</t>
  </si>
  <si>
    <t>6125020542</t>
  </si>
  <si>
    <t>6125020550</t>
  </si>
  <si>
    <t>6125020551</t>
  </si>
  <si>
    <t>6125020552</t>
  </si>
  <si>
    <t>61250215</t>
  </si>
  <si>
    <t>6125021505</t>
  </si>
  <si>
    <t>6125021510</t>
  </si>
  <si>
    <t>612503</t>
  </si>
  <si>
    <t>61250315</t>
  </si>
  <si>
    <t>6125031510</t>
  </si>
  <si>
    <t>61250320</t>
  </si>
  <si>
    <t>6125032005</t>
  </si>
  <si>
    <t>6125032010</t>
  </si>
  <si>
    <t>6125032015</t>
  </si>
  <si>
    <t>6125032035</t>
  </si>
  <si>
    <t>6125032045</t>
  </si>
  <si>
    <t>61250330</t>
  </si>
  <si>
    <t>6125033010</t>
  </si>
  <si>
    <t>6125033015</t>
  </si>
  <si>
    <t>61250335</t>
  </si>
  <si>
    <t>6125033505</t>
  </si>
  <si>
    <t>6125033510</t>
  </si>
  <si>
    <t>6125033520</t>
  </si>
  <si>
    <t>6125033525</t>
  </si>
  <si>
    <t>6125033530</t>
  </si>
  <si>
    <t>6125033535</t>
  </si>
  <si>
    <t>6125033545</t>
  </si>
  <si>
    <t>6125033550</t>
  </si>
  <si>
    <t>6125033560</t>
  </si>
  <si>
    <t>6125033565</t>
  </si>
  <si>
    <t>61250336</t>
  </si>
  <si>
    <t>6125033630</t>
  </si>
  <si>
    <t>6125033640</t>
  </si>
  <si>
    <t>OTROS SERVICIOS SERVICIOS DE LABORATORIO CLINICO</t>
  </si>
  <si>
    <t>6125033645</t>
  </si>
  <si>
    <t>OTROS SERVICIOS SERVICIOS DE PATOLOGIA</t>
  </si>
  <si>
    <t>6125033650</t>
  </si>
  <si>
    <t>OTROS SERVICIOS DE AMBULANCIA</t>
  </si>
  <si>
    <t>6125033655</t>
  </si>
  <si>
    <t>6125033670</t>
  </si>
  <si>
    <t>6125033695</t>
  </si>
  <si>
    <t>61250345</t>
  </si>
  <si>
    <t>6125034525</t>
  </si>
  <si>
    <t>6125034540</t>
  </si>
  <si>
    <t>6125034570</t>
  </si>
  <si>
    <t>6125034590</t>
  </si>
  <si>
    <t>61250355</t>
  </si>
  <si>
    <t>6125035510</t>
  </si>
  <si>
    <t>6125035515</t>
  </si>
  <si>
    <t>6125035520</t>
  </si>
  <si>
    <t>6125035525</t>
  </si>
  <si>
    <t>6125035530</t>
  </si>
  <si>
    <t>61250360</t>
  </si>
  <si>
    <t>6125036005</t>
  </si>
  <si>
    <t>61250371</t>
  </si>
  <si>
    <t>6125037105</t>
  </si>
  <si>
    <t>6125037110</t>
  </si>
  <si>
    <t>6130</t>
  </si>
  <si>
    <t>613001</t>
  </si>
  <si>
    <t>61300101</t>
  </si>
  <si>
    <t>6130010110</t>
  </si>
  <si>
    <t>6130010130</t>
  </si>
  <si>
    <t>6130010150</t>
  </si>
  <si>
    <t>61300102</t>
  </si>
  <si>
    <t>6130010205</t>
  </si>
  <si>
    <t>61300103</t>
  </si>
  <si>
    <t>6130010335</t>
  </si>
  <si>
    <t>6130010375</t>
  </si>
  <si>
    <t>613002</t>
  </si>
  <si>
    <t>61300205</t>
  </si>
  <si>
    <t>6130020502</t>
  </si>
  <si>
    <t>6130020510</t>
  </si>
  <si>
    <t>6130020511</t>
  </si>
  <si>
    <t>6130020512</t>
  </si>
  <si>
    <t>6130020514</t>
  </si>
  <si>
    <t>6130020516</t>
  </si>
  <si>
    <t>6130020520</t>
  </si>
  <si>
    <t>6130020530</t>
  </si>
  <si>
    <t>6130020531</t>
  </si>
  <si>
    <t>6130020532</t>
  </si>
  <si>
    <t>6130020533</t>
  </si>
  <si>
    <t>6130020540</t>
  </si>
  <si>
    <t>6130020541</t>
  </si>
  <si>
    <t>6130020542</t>
  </si>
  <si>
    <t>6130020550</t>
  </si>
  <si>
    <t>6130020551</t>
  </si>
  <si>
    <t>6130020552</t>
  </si>
  <si>
    <t>61300215</t>
  </si>
  <si>
    <t>6130021505</t>
  </si>
  <si>
    <t>613003</t>
  </si>
  <si>
    <t>61300315</t>
  </si>
  <si>
    <t>6130031510</t>
  </si>
  <si>
    <t>61300330</t>
  </si>
  <si>
    <t>6130033010</t>
  </si>
  <si>
    <t>6130033015</t>
  </si>
  <si>
    <t>61300335</t>
  </si>
  <si>
    <t>6130033520</t>
  </si>
  <si>
    <t>6130033525</t>
  </si>
  <si>
    <t>6130033530</t>
  </si>
  <si>
    <t>6130033535</t>
  </si>
  <si>
    <t>6130033550</t>
  </si>
  <si>
    <t>6130033560</t>
  </si>
  <si>
    <t>6130033565</t>
  </si>
  <si>
    <t>61300345</t>
  </si>
  <si>
    <t>6130034535</t>
  </si>
  <si>
    <t>61300355</t>
  </si>
  <si>
    <t>6130035510</t>
  </si>
  <si>
    <t>6130035515</t>
  </si>
  <si>
    <t>6130035520</t>
  </si>
  <si>
    <t>61300360</t>
  </si>
  <si>
    <t>6130036005</t>
  </si>
  <si>
    <t>6135</t>
  </si>
  <si>
    <t>UNIDADADES DE APOYO ASISTENCIAL</t>
  </si>
  <si>
    <t>613501</t>
  </si>
  <si>
    <t>61350101</t>
  </si>
  <si>
    <t>6135010105</t>
  </si>
  <si>
    <t>6135010110</t>
  </si>
  <si>
    <t>6135010135</t>
  </si>
  <si>
    <t>REEMPAQUE DE MEDICAMENTOS</t>
  </si>
  <si>
    <t>6135010155</t>
  </si>
  <si>
    <t>IVA REEMPAQUE DE MEDICAMENTOS</t>
  </si>
  <si>
    <t>6135010190</t>
  </si>
  <si>
    <t>BAJA INVENTARIO VENCIDOS</t>
  </si>
  <si>
    <t>6135010195</t>
  </si>
  <si>
    <t>BAJA INVENTARIO AVERIADOS</t>
  </si>
  <si>
    <t>61350102</t>
  </si>
  <si>
    <t>6135010205</t>
  </si>
  <si>
    <t>61350103</t>
  </si>
  <si>
    <t>6135010330</t>
  </si>
  <si>
    <t>6135010335</t>
  </si>
  <si>
    <t>6135010370</t>
  </si>
  <si>
    <t>6135010375</t>
  </si>
  <si>
    <t>613502</t>
  </si>
  <si>
    <t>61350205</t>
  </si>
  <si>
    <t>6135020502</t>
  </si>
  <si>
    <t>6135020504</t>
  </si>
  <si>
    <t>6135020505</t>
  </si>
  <si>
    <t>6135020510</t>
  </si>
  <si>
    <t>6135020511</t>
  </si>
  <si>
    <t>6135020512</t>
  </si>
  <si>
    <t>6135020514</t>
  </si>
  <si>
    <t>6135020516</t>
  </si>
  <si>
    <t>6135020530</t>
  </si>
  <si>
    <t>6135020531</t>
  </si>
  <si>
    <t>6135020532</t>
  </si>
  <si>
    <t>6135020533</t>
  </si>
  <si>
    <t>6135020540</t>
  </si>
  <si>
    <t>6135020541</t>
  </si>
  <si>
    <t>6135020542</t>
  </si>
  <si>
    <t>6135020550</t>
  </si>
  <si>
    <t>6135020551</t>
  </si>
  <si>
    <t>6135020552</t>
  </si>
  <si>
    <t>613503</t>
  </si>
  <si>
    <t>61350310</t>
  </si>
  <si>
    <t>6135031040</t>
  </si>
  <si>
    <t>HONORARIOS ASESORIA TECNICA</t>
  </si>
  <si>
    <t>6135031070</t>
  </si>
  <si>
    <t>IVA HONORARIOS ASESORIA TECNICA</t>
  </si>
  <si>
    <t>61350320</t>
  </si>
  <si>
    <t>6135032010</t>
  </si>
  <si>
    <t>6135032045</t>
  </si>
  <si>
    <t>61350330</t>
  </si>
  <si>
    <t>6135033010</t>
  </si>
  <si>
    <t>6135033015</t>
  </si>
  <si>
    <t>61350335</t>
  </si>
  <si>
    <t>6135033520</t>
  </si>
  <si>
    <t>6135033525</t>
  </si>
  <si>
    <t>6135033530</t>
  </si>
  <si>
    <t>6135033535</t>
  </si>
  <si>
    <t>6135033550</t>
  </si>
  <si>
    <t>6135033560</t>
  </si>
  <si>
    <t>6135033565</t>
  </si>
  <si>
    <t>61350336</t>
  </si>
  <si>
    <t>6135033630</t>
  </si>
  <si>
    <t>6135033640</t>
  </si>
  <si>
    <t>6135033670</t>
  </si>
  <si>
    <t>6135033695</t>
  </si>
  <si>
    <t>61350345</t>
  </si>
  <si>
    <t>6135034505</t>
  </si>
  <si>
    <t>6135034525</t>
  </si>
  <si>
    <t>6135034535</t>
  </si>
  <si>
    <t>6135034540</t>
  </si>
  <si>
    <t>6135034550</t>
  </si>
  <si>
    <t>6135034570</t>
  </si>
  <si>
    <t>6135034580</t>
  </si>
  <si>
    <t>6135034590</t>
  </si>
  <si>
    <t>61350355</t>
  </si>
  <si>
    <t>6135035510</t>
  </si>
  <si>
    <t>6135035515</t>
  </si>
  <si>
    <t>6135035520</t>
  </si>
  <si>
    <t>6135035525</t>
  </si>
  <si>
    <t>6135035530</t>
  </si>
  <si>
    <t>61350360</t>
  </si>
  <si>
    <t>6135036005</t>
  </si>
  <si>
    <t>61350371</t>
  </si>
  <si>
    <t>6135037115</t>
  </si>
  <si>
    <t>500 mg</t>
  </si>
  <si>
    <t/>
  </si>
  <si>
    <t>CEFALEXINA 500 mg Cápsula</t>
  </si>
  <si>
    <t>19929856-13</t>
  </si>
  <si>
    <t>MEDICAMENTOS ANTIMICROBIANOS</t>
  </si>
  <si>
    <t>007</t>
  </si>
  <si>
    <t>BODEGA CUARENTENA</t>
  </si>
  <si>
    <t>059</t>
  </si>
  <si>
    <t>4.5 g</t>
  </si>
  <si>
    <t>PIPERACILINA + TAZOBACTAM 4.5 g Polvo para reconsituir a solución inyectable</t>
  </si>
  <si>
    <t>20152991-01</t>
  </si>
  <si>
    <t>MEDICAMENTOS ALTO COSTO</t>
  </si>
  <si>
    <t>005</t>
  </si>
  <si>
    <t xml:space="preserve">500 mg / 10ml </t>
  </si>
  <si>
    <t>KETAMINA CLORHIDRATO 500 mg / 10ml Solución inyectable</t>
  </si>
  <si>
    <t>49510-06.</t>
  </si>
  <si>
    <t>MEDICAMENTOS CONTROL ESPECIAL</t>
  </si>
  <si>
    <t>004</t>
  </si>
  <si>
    <t>5 mg / 5 ml</t>
  </si>
  <si>
    <t>MIDAZOLAM 5 mg / 5 ml Solución Inyectable</t>
  </si>
  <si>
    <t>20198543-2</t>
  </si>
  <si>
    <t>0,5 MG / 10 ML</t>
  </si>
  <si>
    <t>FENTANILO CITRATO 0.5 mg / 10 ml Solución Inyectable</t>
  </si>
  <si>
    <t>20023905-04</t>
  </si>
  <si>
    <t xml:space="preserve">10 mg </t>
  </si>
  <si>
    <t>DIAZEPAM 10 mg / 2 ml Solución inyectable</t>
  </si>
  <si>
    <t>20019151-4</t>
  </si>
  <si>
    <t>20009779-01</t>
  </si>
  <si>
    <t>100 mg / 2 ml</t>
  </si>
  <si>
    <t>MEPERIDINA CLORHIDRATO 100 mg / 2 ml Solución Inyectable</t>
  </si>
  <si>
    <t>20008613-01</t>
  </si>
  <si>
    <t>2 mg / ml</t>
  </si>
  <si>
    <t>HIDROMORFONA CLORHIDRATO 2 mg / ml Solución Inyectable</t>
  </si>
  <si>
    <t>20008612-01</t>
  </si>
  <si>
    <t>40 mg / ml</t>
  </si>
  <si>
    <t>FENOBARBITAL SODICO 40 mg / ml solucion inyectable</t>
  </si>
  <si>
    <t>20008611-01</t>
  </si>
  <si>
    <t>30MG</t>
  </si>
  <si>
    <t>BUPRENORFINA 30MG PARCHE TRANSDERMICO 52.5mcg/h</t>
  </si>
  <si>
    <t>19967652-03</t>
  </si>
  <si>
    <t>0.5 mg</t>
  </si>
  <si>
    <t>CLONAZEPAM 0.5 mg Tableta</t>
  </si>
  <si>
    <t>19935777-12</t>
  </si>
  <si>
    <t>2 mg</t>
  </si>
  <si>
    <t>CLONAZEPAM 2.0 mg Tableta</t>
  </si>
  <si>
    <t>19934941-15</t>
  </si>
  <si>
    <t>19931880-09.</t>
  </si>
  <si>
    <t>19931880-09</t>
  </si>
  <si>
    <t>0,25 mg</t>
  </si>
  <si>
    <t>ALPRAZOLAM 0.25 mg Tableta</t>
  </si>
  <si>
    <t>13874-02</t>
  </si>
  <si>
    <t>1g</t>
  </si>
  <si>
    <t>TIOPENTAL 1 g Polvo para reconsituir a solución inyectable</t>
  </si>
  <si>
    <t>11878-04</t>
  </si>
  <si>
    <t>Unidad</t>
  </si>
  <si>
    <t>006</t>
  </si>
  <si>
    <t>CANULA DE TRAQUEOSTOMIA FENESTRADA CON BALON No. 7.0 REF 302-07</t>
  </si>
  <si>
    <t>XT000091</t>
  </si>
  <si>
    <t>002</t>
  </si>
  <si>
    <t>MASCARA VENTURY ADULTO (1088) X 1 HUDSON</t>
  </si>
  <si>
    <t>XT000024</t>
  </si>
  <si>
    <t>RECARGA ENDOGIA 45 MM ARTICULAR EGIA45AVM  VASCULAR X 1</t>
  </si>
  <si>
    <t>XS000046</t>
  </si>
  <si>
    <t xml:space="preserve">ULTRABLATOR ANGULADO 30Ø A 90Ø DE </t>
  </si>
  <si>
    <t>XD000289</t>
  </si>
  <si>
    <t>DISPOSITIVO DE ACCESO LAPAROSCOPICO ABDOMINAL ALEXIS TALLA M REF C8402</t>
  </si>
  <si>
    <t>XD000260</t>
  </si>
  <si>
    <t>CATETER BALON DE DILATACION GASTROENDOSCOPICOS DE 6  A  15 MM CRE PRO WIREGUIDED BILIAR COLONICO</t>
  </si>
  <si>
    <t>XD000170</t>
  </si>
  <si>
    <t>GUIA HIDROFILICA ROADDRUNER 0.035 X 145 REF RFSPC-35-145</t>
  </si>
  <si>
    <t>XD000067</t>
  </si>
  <si>
    <t>CAMISA  DE ACCESO URETERAL FLEXOR X 35CM-36CM REF FUS-095035-095055 REF M0062502220</t>
  </si>
  <si>
    <t>XD000019</t>
  </si>
  <si>
    <t>BOLSA PARA  UROSTOMIA CON VALVULA  NATURA 45 MM REF 401544-404593</t>
  </si>
  <si>
    <t>XD000015</t>
  </si>
  <si>
    <t>CATETER URETERAL 5-6FR X 70CM PUNTA ABIERTA REF 20040-C6</t>
  </si>
  <si>
    <t>XC000020</t>
  </si>
  <si>
    <t>COMPRESA ABSORBENTE 7X9 CM  CUTIMED SORBACT REF 72165-00</t>
  </si>
  <si>
    <t>XA000083</t>
  </si>
  <si>
    <t>2.400.000 UI</t>
  </si>
  <si>
    <t>PENICILINA G BENZATINICA 2.400.000 UI polvo Estéril para Inyección</t>
  </si>
  <si>
    <t>218006-03</t>
  </si>
  <si>
    <t>001</t>
  </si>
  <si>
    <t>15 mg</t>
  </si>
  <si>
    <t>ARIPIPRAZOL 15mg Tableta</t>
  </si>
  <si>
    <t>20014926-03</t>
  </si>
  <si>
    <t xml:space="preserve">1 g </t>
  </si>
  <si>
    <t>DIPIRONA 1 g / 2 ml Solución inyectable</t>
  </si>
  <si>
    <t>19922562-10</t>
  </si>
  <si>
    <t>PANIN BACCIDINE SACHET X 1CC UNIDAD</t>
  </si>
  <si>
    <t>AA000115</t>
  </si>
  <si>
    <t>016</t>
  </si>
  <si>
    <t>BODEGA SEDE QUIROIGA</t>
  </si>
  <si>
    <t>058</t>
  </si>
  <si>
    <t>300MG-100ML</t>
  </si>
  <si>
    <t>IOHEXOL 300 mg de Iodo Solución inyectable x 100 ml- OMNIPAQUE 300</t>
  </si>
  <si>
    <t>22542-09</t>
  </si>
  <si>
    <t>JERINGA DESECHABLE 10ML-C/A-3 PARTES X 100</t>
  </si>
  <si>
    <t>XJ000010</t>
  </si>
  <si>
    <t>JERINGA DESECHABLE 100ML 3P S/A INYECTOR RX NEMO</t>
  </si>
  <si>
    <t>XJ000009</t>
  </si>
  <si>
    <t>CATETERES PERIFERICOS INTRAVENOSOS INSYTE #18*50</t>
  </si>
  <si>
    <t>XJ000006</t>
  </si>
  <si>
    <t>CATETERES PERIFERICOS INTRAVENOSOS  INSYTE #20*50</t>
  </si>
  <si>
    <t>XJ000002</t>
  </si>
  <si>
    <t>EXTENSION DE ANESTESIA-ARCO473P CAJA X100 EA</t>
  </si>
  <si>
    <t>XE000014</t>
  </si>
  <si>
    <t>GASAS PAQUETE ESTERIL X5</t>
  </si>
  <si>
    <t>XA000035</t>
  </si>
  <si>
    <t>GUANTES FLEXAM DESECHABLES PARA EXAMEN 100 T.M.</t>
  </si>
  <si>
    <t>AA000091</t>
  </si>
  <si>
    <t>225 ML</t>
  </si>
  <si>
    <t>BARIO SULFATO 4.97440 G/100 ML SUSPENSION ORAL BOTELLA X 225</t>
  </si>
  <si>
    <t>49611-01</t>
  </si>
  <si>
    <t>0.9 % - 500 ML</t>
  </si>
  <si>
    <t>SODIO CLORURO 0.9 % Solución Inyectable Bolsa 500 ml</t>
  </si>
  <si>
    <t>29523-05</t>
  </si>
  <si>
    <t>0.9 % - 100 ML</t>
  </si>
  <si>
    <t>SODIO CLORURO 0.9 % Solución Inyectable x 100 ml</t>
  </si>
  <si>
    <t>29523-03</t>
  </si>
  <si>
    <t>HOJA PARA LARINGOSCOPIO UNIDAD CURVA DE 0 A 4 FIBRA OPTICA</t>
  </si>
  <si>
    <t>AM000017</t>
  </si>
  <si>
    <t>015</t>
  </si>
  <si>
    <t>CARRO DE PARO UCI 2</t>
  </si>
  <si>
    <t>057</t>
  </si>
  <si>
    <t>CANULA DE GUEDEL (MAYO) X N.5</t>
  </si>
  <si>
    <t>XT000074</t>
  </si>
  <si>
    <t>CANULA DE GUEDEL (MAYO) X N.4</t>
  </si>
  <si>
    <t>XT000073</t>
  </si>
  <si>
    <t>TUBO SUCCION DAVOL 3 M.X1/4 D.I.DAVOL(36290)*1</t>
  </si>
  <si>
    <t>XT000064</t>
  </si>
  <si>
    <t>TUBO ENDOTRAQUEAL # 7.5-C/B X1</t>
  </si>
  <si>
    <t>XT000048</t>
  </si>
  <si>
    <t>TUBO ENDOTRAQUEAL # 6.5-C/B X1</t>
  </si>
  <si>
    <t>XT000046</t>
  </si>
  <si>
    <t>TUBO ENDOTRAQUEAL # 6.0-C/B X1</t>
  </si>
  <si>
    <t>XT000045</t>
  </si>
  <si>
    <t>TUBO DE TORAX # 30 *1 CATETER</t>
  </si>
  <si>
    <t>XT000036</t>
  </si>
  <si>
    <t>SONDA PARA SUCCION(OJO DE PESCADO)-14FR FR 60CM*1</t>
  </si>
  <si>
    <t>XT000032</t>
  </si>
  <si>
    <t xml:space="preserve">SISTEMA DE SUCCION Y RECOLECCION DE FLUIDOS LINER 1000 ML </t>
  </si>
  <si>
    <t>XT000025</t>
  </si>
  <si>
    <t>MASCARA DE  OXIGENO DE NO REINHALACION ADULTO</t>
  </si>
  <si>
    <t>XT000021</t>
  </si>
  <si>
    <t>GUIA PARA INTUBACION X1 ESTILETE TUBO ENDOTRAQUE</t>
  </si>
  <si>
    <t>XT000017</t>
  </si>
  <si>
    <t>CANULA DE GUEDEL (MAYO) N. 3 X 1</t>
  </si>
  <si>
    <t>XT000002</t>
  </si>
  <si>
    <t>CATETERES PERIFERICOS INTRAVENOSOS INSYTE #16*50</t>
  </si>
  <si>
    <t>XJ000005</t>
  </si>
  <si>
    <t>EQUIPO BOMBA 5000 PRIMARIO XL HOSPIRA REF 1401</t>
  </si>
  <si>
    <t>XE000004</t>
  </si>
  <si>
    <t>SONDA LEVIN-TUBO VENTROL 16 FR NASOGASTRICA120</t>
  </si>
  <si>
    <t>XD000256</t>
  </si>
  <si>
    <t>CATETER VENOSO CENTRAL DOBLE LUMEN  (17702) REF 4162200E-07</t>
  </si>
  <si>
    <t>XC000021</t>
  </si>
  <si>
    <t>APOSITO TRANSPARENTE I.V ADVANCE 8.5 X 11.5</t>
  </si>
  <si>
    <t>XA000013</t>
  </si>
  <si>
    <t>150 mg / 3ml</t>
  </si>
  <si>
    <t>AMIODARONA 150 mg / 3ml Solución Inyectable</t>
  </si>
  <si>
    <t>52271-01</t>
  </si>
  <si>
    <t>2 % - 10 ml</t>
  </si>
  <si>
    <t>LIDOCAINA CLORHIDRATO 2 % S.E. Solución inyectable 10 ml</t>
  </si>
  <si>
    <t>52038-03</t>
  </si>
  <si>
    <t>5 mg / 5ml</t>
  </si>
  <si>
    <t>METOPROLOL 5 mg / 5ml Solución Inyectable</t>
  </si>
  <si>
    <t>39227-05</t>
  </si>
  <si>
    <t>2 % - 30 ml</t>
  </si>
  <si>
    <t>LIDOCAINA CLORHIDRATO 2 % Jalea 30 ML</t>
  </si>
  <si>
    <t>39002-03</t>
  </si>
  <si>
    <t>10 meq / 10 ml</t>
  </si>
  <si>
    <t>SODIO BICARBONATO 10 meq / 10 ml Solución inyectable</t>
  </si>
  <si>
    <t>32250-01</t>
  </si>
  <si>
    <t>50 % - 500 ml</t>
  </si>
  <si>
    <t>DEXTROSA EN AGUA DESTILADA 50%  Solución Inyectable 500 ml</t>
  </si>
  <si>
    <t>29517-01</t>
  </si>
  <si>
    <t>50MG</t>
  </si>
  <si>
    <t xml:space="preserve">NITROGLICERINA / DEXTROSA 0.2 mg / ml + 5% Solución inyectable 250 ml </t>
  </si>
  <si>
    <t>20087310-02</t>
  </si>
  <si>
    <t>6 mg / 2 ml</t>
  </si>
  <si>
    <t>ADENOSINA 6 mg/2 ml Solución Inyectable</t>
  </si>
  <si>
    <t>20058380-01</t>
  </si>
  <si>
    <t>10% - 10 ML</t>
  </si>
  <si>
    <t>CALCIO GLUCONATO 10%  Solución Inyectable 10 ML</t>
  </si>
  <si>
    <t>20039073-01</t>
  </si>
  <si>
    <t>1 mg / ml</t>
  </si>
  <si>
    <t>ADRENALINA Solución inyectable 1 mg / ml</t>
  </si>
  <si>
    <t>20032463-03</t>
  </si>
  <si>
    <t>20 mg / 2 ml</t>
  </si>
  <si>
    <t>FUROSEMIDA 20 mg / 2 ml Solución inyectable</t>
  </si>
  <si>
    <t>20011388-13</t>
  </si>
  <si>
    <t>100 mg / 20 ml</t>
  </si>
  <si>
    <t>LABETALOL 100 mg / 20 ml Solución Inyectable</t>
  </si>
  <si>
    <t>20004699-01</t>
  </si>
  <si>
    <t>4 mg / 4 ml</t>
  </si>
  <si>
    <t>NOREPINEFRINA 4 mg / 4 ml Solución Inyectable</t>
  </si>
  <si>
    <t>1N1025871003100</t>
  </si>
  <si>
    <t xml:space="preserve">AMIODARONA 150 mg / 3ml Solución Inyectable </t>
  </si>
  <si>
    <t>19992832-03</t>
  </si>
  <si>
    <t>100 mg</t>
  </si>
  <si>
    <t>HIDROCORTISONA 100 mg Polvo para reconstituir a solución inyectable</t>
  </si>
  <si>
    <t>19940721-17</t>
  </si>
  <si>
    <t>10 mg</t>
  </si>
  <si>
    <t>VECURONIO BROMURO 10 mg Polvo para reconstituir a solución inyectable</t>
  </si>
  <si>
    <t>19936614-02</t>
  </si>
  <si>
    <t>SODIO CLORURO 0.9 % Solución inyectable x 500 ml Bolsa</t>
  </si>
  <si>
    <t>19932754-02</t>
  </si>
  <si>
    <t>1mg / ml</t>
  </si>
  <si>
    <t>ATROPINA SULFATO 1mg / ml Solución inyectable</t>
  </si>
  <si>
    <t>19930287-01</t>
  </si>
  <si>
    <t>200mg/20ml</t>
  </si>
  <si>
    <t>PROPOFOL 1% Emulsión inyectable 20 ml</t>
  </si>
  <si>
    <t>19917356-04</t>
  </si>
  <si>
    <t>10 % - 500 ml</t>
  </si>
  <si>
    <t>DEXTROSA EN AGUA DESTILADA 10% Solución Inyectable 500 ml</t>
  </si>
  <si>
    <t>1982214-02</t>
  </si>
  <si>
    <t>1.5 KCAL/ML</t>
  </si>
  <si>
    <t>NUTRICIÓN</t>
  </si>
  <si>
    <t>009</t>
  </si>
  <si>
    <t>500 ML</t>
  </si>
  <si>
    <t>1.2 KCAL/ML</t>
  </si>
  <si>
    <t>1,2 KCAL</t>
  </si>
  <si>
    <t>220 ML</t>
  </si>
  <si>
    <t>1mg+3,5mg+1mg - 5 ml</t>
  </si>
  <si>
    <t>CORTICOIDE + NEOMICINA  + POLIMIXINA 1 mg+3.027 mg+ 6.000 UI / ml Solución Oftálmica 5 ML</t>
  </si>
  <si>
    <t>200 mg</t>
  </si>
  <si>
    <t>ALBENDAZOL 200 mg Tableta</t>
  </si>
  <si>
    <t>160 mg + 800 mg</t>
  </si>
  <si>
    <t>TRIMETOPRIM SULFAMETOXAZOL 160 + 800 mg Tableta</t>
  </si>
  <si>
    <t>FLUCONAZOL 200 mg Cápsula</t>
  </si>
  <si>
    <t>AMOXICILINA 500 mg Cápsula</t>
  </si>
  <si>
    <t>1 g</t>
  </si>
  <si>
    <t>80 mg</t>
  </si>
  <si>
    <t>GENTAMICINA 80 mg / 2 ml Solución Inyectable</t>
  </si>
  <si>
    <t>500 mg / 100 ml</t>
  </si>
  <si>
    <t>METRONIDAZOL u ORNIDAZOL 500 mg / 100 ml Solución Inyectable</t>
  </si>
  <si>
    <t>1,5 g</t>
  </si>
  <si>
    <t>AMPICILINA + SULBACTAM Polvo para reconstituir a solución inyectable  1.5 g</t>
  </si>
  <si>
    <t>AMPICILINA SODICA 1 g Polvo para reconstituir a solución inyectable</t>
  </si>
  <si>
    <t>CEFEPIME 1 g Polvo para reconstituir a solución inyectable</t>
  </si>
  <si>
    <t>80 + 400 mg / 5 ML</t>
  </si>
  <si>
    <t>TRIMETOPRIM SULFAMETOXAZOL 80 mg + 400 mg /5 ml Solución inyectable</t>
  </si>
  <si>
    <t>200 mg / 100 ml</t>
  </si>
  <si>
    <t>FLUCONAZOL 200 mg / 100 ml Solución Inyectable</t>
  </si>
  <si>
    <t>MEROPENEM 1 g  Polvo para reconstituir a solución inyectable</t>
  </si>
  <si>
    <t>CEFTRIAXONA 1 g Polvo para reconstituir a solución inyectable</t>
  </si>
  <si>
    <t>CEFALOTINA 1 g  Polvo para reconstituir a solución inyectable</t>
  </si>
  <si>
    <t>100 mg / 10 ml</t>
  </si>
  <si>
    <t>CIPROFLOXACINA 100 mg / 10 ml Solución inyectable</t>
  </si>
  <si>
    <t xml:space="preserve">600 mg </t>
  </si>
  <si>
    <t>CLINDAMICINA 600 mg / 4 ml Solución inyectable</t>
  </si>
  <si>
    <t>60 mg /0.6 ml</t>
  </si>
  <si>
    <t>HEPARINA DE BAJO PESO MOLECULAR 60 mg / 0.6 ml Solución inyectable</t>
  </si>
  <si>
    <t>MEDICAMENTOS ANTICOAGULANTES</t>
  </si>
  <si>
    <t>HEPARINA DE BAJO PESO MOLECULAR 60 mg /0.6 ml Solución inyactable</t>
  </si>
  <si>
    <t>2,5 mg</t>
  </si>
  <si>
    <t>APIXABAN 2.5 mg Tabletas Recubiertas</t>
  </si>
  <si>
    <t>5 mg</t>
  </si>
  <si>
    <t>WARFARINA SODICA 5 mg Tableta</t>
  </si>
  <si>
    <t>80 mg / 0.8 ml</t>
  </si>
  <si>
    <t>HEPARINA DE BAJO PESO MOLECULAR 80 mg / 0.8 ml Solución inyectable</t>
  </si>
  <si>
    <t xml:space="preserve">40 mg / 0.4 </t>
  </si>
  <si>
    <t xml:space="preserve">HEPARINA DE BAJO PESO MOLECULAR 40 mg / 0.4 ml Solución Inyectable </t>
  </si>
  <si>
    <t>CLARITROMICINA 500 mg Polvo para reconstituir a solución inyectable</t>
  </si>
  <si>
    <t>CEFAZOLINA 1 g Polvo para reconstituir a solución inyectable</t>
  </si>
  <si>
    <t>0.2mg/2ml</t>
  </si>
  <si>
    <t>1 mg</t>
  </si>
  <si>
    <t xml:space="preserve">DEXMEDETOMIDINA 100 mcg / ml Solución inyectable x 2 ml </t>
  </si>
  <si>
    <t>100 UI/ml pen 3mL</t>
  </si>
  <si>
    <t>600 mg / 300 ml</t>
  </si>
  <si>
    <t>LINEZOLID 600 mg / 300 ml Solución Inyectable</t>
  </si>
  <si>
    <t>20 % 50 ml</t>
  </si>
  <si>
    <t>ALBUMINA HUMANA NORMAL 20 % Solución inyectable 50 ML</t>
  </si>
  <si>
    <t>50 mg</t>
  </si>
  <si>
    <t>TIGECICLINA 50 mg Polvo para reconstituir a solución inyectable</t>
  </si>
  <si>
    <t>REMIFENTANILO 2 mg Polvo para reconstituir a solución inyectable</t>
  </si>
  <si>
    <t>LORAZEPAM 2 mg Tableta</t>
  </si>
  <si>
    <t>2.000 u.i</t>
  </si>
  <si>
    <t>500 mg / 5 ml</t>
  </si>
  <si>
    <t>TRANEXAMICO ACIDO 500 mg/5 ml Solución Inyectable</t>
  </si>
  <si>
    <t>ACETAMINOFEN 500 mg Tableta</t>
  </si>
  <si>
    <t>COLCHICINA 0.5 mg Tableta</t>
  </si>
  <si>
    <t>20 mg</t>
  </si>
  <si>
    <t>OMEPRAZOL 20 mg Cápsula</t>
  </si>
  <si>
    <t>25 mg</t>
  </si>
  <si>
    <t>HIDROXICINA 25 mg Tableta</t>
  </si>
  <si>
    <t>ENALAPRIL MALEATO 5 mg Tableta</t>
  </si>
  <si>
    <t>LORATADINA 10 mg Tableta</t>
  </si>
  <si>
    <t>FLUOXETINA 20 mg Tableta o Cápsula</t>
  </si>
  <si>
    <t>40 mg</t>
  </si>
  <si>
    <t>OMEPRAZOL 40 mg Polvo para reconstituir a Solución inyectable</t>
  </si>
  <si>
    <t>3000 ml</t>
  </si>
  <si>
    <t>SUCRALFATO 1 g Tableta</t>
  </si>
  <si>
    <t>ACIDO FOLICO 1 mg Tableta</t>
  </si>
  <si>
    <t>500 ml</t>
  </si>
  <si>
    <t>HIDROCLOROTIAZIDA 25 mg Tableta</t>
  </si>
  <si>
    <t>1.5 %</t>
  </si>
  <si>
    <t>75 mg</t>
  </si>
  <si>
    <t>VENLAFAXINA 75 mg Tableta de Liberación prolongada</t>
  </si>
  <si>
    <t>10 mg / ml</t>
  </si>
  <si>
    <t>FITOMENADIONA 10 mg / ml Solución Inyectable</t>
  </si>
  <si>
    <t>20 mg / ml</t>
  </si>
  <si>
    <t>HIOSCINA N BUTIL BROMURO 20 mg / ml Solución inyectable</t>
  </si>
  <si>
    <t>10 ml</t>
  </si>
  <si>
    <t>AGUA  ESTERIL PARA INYECCION 10 ml  Solución Inyectable</t>
  </si>
  <si>
    <t>5.000.000 UI</t>
  </si>
  <si>
    <t>PENICILINA G SODICA 5.000.000 UI Polvo para reconsituir a slución inyectable</t>
  </si>
  <si>
    <t>ACICLOVIR 200 mg Tableta</t>
  </si>
  <si>
    <t>CISATRACURIO AMPOLLA 10 mg / 5 ml Solución inyectable</t>
  </si>
  <si>
    <t>LACTATO DE RINGER Solucion de  Irrigacion Bolsa 3000 mL</t>
  </si>
  <si>
    <t>75 mcg</t>
  </si>
  <si>
    <t>LEVOTIROXINA SODICA 75 mcg Tableta</t>
  </si>
  <si>
    <t>RISPERIDONA 1mg Tableta</t>
  </si>
  <si>
    <t>CLEMASTINA 1 mg / ml Solución inyectable x 2 ml</t>
  </si>
  <si>
    <t>20 mg/ 2 ml</t>
  </si>
  <si>
    <t>NEFOPAM 20 mg/2ml sol inyectable</t>
  </si>
  <si>
    <t>ATORVASTATINA 20 mg Tableta</t>
  </si>
  <si>
    <t>1000mg/100ml</t>
  </si>
  <si>
    <t xml:space="preserve">ACETAMINOFEN 10 mg /ml Solución Inyectable </t>
  </si>
  <si>
    <t>8 mg / 4 ml</t>
  </si>
  <si>
    <t>6.25 mg</t>
  </si>
  <si>
    <t>CARVEDILOL 6.25 mg Tableta</t>
  </si>
  <si>
    <t>5000 UI / 5 ml</t>
  </si>
  <si>
    <t xml:space="preserve">VALPROATO SODICO 500 mg / 5 ml Solución Inyectable </t>
  </si>
  <si>
    <t>PREDNISOLONA 5 mg Tableta</t>
  </si>
  <si>
    <t>200 Puff</t>
  </si>
  <si>
    <t>PREGABALINA 75 mg Cápsula</t>
  </si>
  <si>
    <t xml:space="preserve">CLOPIDOGREL 75 mg Tableta </t>
  </si>
  <si>
    <t>0.9 % - 1000 ML</t>
  </si>
  <si>
    <t>SODIO CLORURO 0.9 % Solución Inyectable x 1000 ml</t>
  </si>
  <si>
    <t>100 mg / 5 ml</t>
  </si>
  <si>
    <t>HIERRO PARENTERAL 100 mg / 5 ml Solución Inyectable</t>
  </si>
  <si>
    <t>AZATIOPRINA 50 mg Tableta</t>
  </si>
  <si>
    <t>ESCITALOPRAM 10 mg Tableta</t>
  </si>
  <si>
    <t xml:space="preserve">8 mg </t>
  </si>
  <si>
    <t>DEXAMETASONA 8 mg /2 ml Solución inyectable</t>
  </si>
  <si>
    <t>LEVETIRACETAM 500 mg Tableta</t>
  </si>
  <si>
    <t>0.05 % - 15 ml</t>
  </si>
  <si>
    <t>OXIMETAZOLINA 0.05 % Solución nasal 15 ML</t>
  </si>
  <si>
    <t>250 mg</t>
  </si>
  <si>
    <t>ACIDO VALPROICO 250 mg Cápsula</t>
  </si>
  <si>
    <t>PRAZOSINA 1 mg Tableta</t>
  </si>
  <si>
    <t>100 UI / ml - 10 ml</t>
  </si>
  <si>
    <t>INSULINA CRISTALINA 100 UI / ml Solución Inyectable vial 10 ml</t>
  </si>
  <si>
    <t>BROMURO DE IPRATROPIO 20 mcg / Dosis- Aerosol 200 Dosis</t>
  </si>
  <si>
    <t>LOSARTAN 50 mg Tableta</t>
  </si>
  <si>
    <t>600 mg</t>
  </si>
  <si>
    <t>ROCURONIO BROMURO 50 mg / 5 ml Solución inyectable</t>
  </si>
  <si>
    <t>200 puff</t>
  </si>
  <si>
    <t>SALBUTAMOL 100 mcg / Puff Solución para Inhalación 200 Dosis</t>
  </si>
  <si>
    <t>QUETIAPINA 100 mg Tableta</t>
  </si>
  <si>
    <t>QUETIAPINA 25 mg Tableta</t>
  </si>
  <si>
    <t>250 mg/5ml - 120 ml</t>
  </si>
  <si>
    <t>ACIDO VALPROICO 250 mg/5ml Jarabe 120 ml</t>
  </si>
  <si>
    <t>10 mg / 2 ml</t>
  </si>
  <si>
    <t>METOCLOPRAMIDA 10 mg / 2 ml  Solución Inyectable</t>
  </si>
  <si>
    <t>20 mEq/10 ml</t>
  </si>
  <si>
    <t>POTASIO CLORURO 20 mEq/10 ml Solución inyectable</t>
  </si>
  <si>
    <t>METILPREDNISOLONA SUCCINATO 500 mg Polvo para reconstituir a solución inyectable</t>
  </si>
  <si>
    <t>50 MG</t>
  </si>
  <si>
    <t>TOPIRAMATO 50 mg Tableta</t>
  </si>
  <si>
    <t>0.5 mg/1 ml</t>
  </si>
  <si>
    <t>NEOSTIGMINA METILSULFATO 0.5 mg/1 ml Solución Inyectable</t>
  </si>
  <si>
    <t>VALSARTAN 80 mg Tableta</t>
  </si>
  <si>
    <t>ESPIRONOLACTONA 25 mg Tableta</t>
  </si>
  <si>
    <t>30 mg</t>
  </si>
  <si>
    <t>NIMODIPINO 30 mg Tableta</t>
  </si>
  <si>
    <t>ESOMEPRAZOL 40 mg Tableta de liberación retardada</t>
  </si>
  <si>
    <t>50 MCG</t>
  </si>
  <si>
    <t>LEVOTIROXINA SODICA 50 mcg Tableta</t>
  </si>
  <si>
    <t>400 mg</t>
  </si>
  <si>
    <t xml:space="preserve">GABAPENTIN 400 mg Cápsula </t>
  </si>
  <si>
    <t>5 MG</t>
  </si>
  <si>
    <t>MOSAPRIDA CITRATO 5 mg Tableta</t>
  </si>
  <si>
    <t>BISACODILO 5 mg Gragea</t>
  </si>
  <si>
    <t>0.45% - 500 ML</t>
  </si>
  <si>
    <t>SODIO CLORURO  0.45 % Solución inyectable x 500 ml</t>
  </si>
  <si>
    <t>LACTATO RINGER Solucion Inyectable bolsa 500 mL</t>
  </si>
  <si>
    <t>1000 ml</t>
  </si>
  <si>
    <t>LACTATO RINGER solución inyectable Bolsa  1000 mL</t>
  </si>
  <si>
    <t>TRAZODONA CLORHIDRATO 50 mg Tableta</t>
  </si>
  <si>
    <t>ACIDO ACETIL SALICILICO  100 mg Tableta</t>
  </si>
  <si>
    <t>BECLOMETASONA DIPROPIONATO 250 mcg / Puff Suspensión para inhalación 200 Dosis</t>
  </si>
  <si>
    <t>75 MG / 3 ML</t>
  </si>
  <si>
    <t>DICLOFENACO SODICO 75 mg / 3 ml Solución inyectable</t>
  </si>
  <si>
    <t>SERTRALINA 50 mg Tableta</t>
  </si>
  <si>
    <t xml:space="preserve">1 mg </t>
  </si>
  <si>
    <t>PREDNISONA 50 mg Tableta</t>
  </si>
  <si>
    <t>DICLOFENACO SODICO 50 mg Gragea</t>
  </si>
  <si>
    <t>MEDICAMENTOS ANTIRETROVIRALES</t>
  </si>
  <si>
    <t>008</t>
  </si>
  <si>
    <t>CIPROFLOXACINA 500 mg Tableta</t>
  </si>
  <si>
    <t>1.000.000 UI</t>
  </si>
  <si>
    <t>PENICILINA G SODICA 1.000.000 UI Polvo para reconsituir a solución inyectable</t>
  </si>
  <si>
    <t>279 mg/mL</t>
  </si>
  <si>
    <t>ACIDO GADOTERICO 279 mg/mL  Solución Inyectable Fco 15 mL</t>
  </si>
  <si>
    <t>DULOXETINA 30 mg Cápsula</t>
  </si>
  <si>
    <t>RIFAXIMINA 200 mg Tableta</t>
  </si>
  <si>
    <t>3 + 3 mg /ml</t>
  </si>
  <si>
    <t>8 mg</t>
  </si>
  <si>
    <t>BETAHISTINA DICLORHIDRATO 8 mg Tableta recubierta</t>
  </si>
  <si>
    <t>850 mg</t>
  </si>
  <si>
    <t>METFORMINA 850 mg Tableta</t>
  </si>
  <si>
    <t>50 mg/ml</t>
  </si>
  <si>
    <t>TRAMADOL 50mg/mL SOLUCION INYECTABLE</t>
  </si>
  <si>
    <t>DIMENHIDRINATO 50 mg Tableta</t>
  </si>
  <si>
    <t>CLARITROMICINA 500 mg Tableta</t>
  </si>
  <si>
    <t>CREMA CONDUCTORA-CONDUGEL-FRASCO X 250ML *1</t>
  </si>
  <si>
    <t>AA000096</t>
  </si>
  <si>
    <t>CARRO DE PARO CRITICO QUIROGA</t>
  </si>
  <si>
    <t>053</t>
  </si>
  <si>
    <t>ESPARADRAPO 1 X 10M *12 ROLLOS-TELA</t>
  </si>
  <si>
    <t>AA000085</t>
  </si>
  <si>
    <t>CONTENEDOR RECOLECTOR  DE CORTOPUNZANTES 2.9 LTS REF:B405800</t>
  </si>
  <si>
    <t>AA000034</t>
  </si>
  <si>
    <t>MASCARA LARINGEA  REUSABLE  No. 4 y 5</t>
  </si>
  <si>
    <t>AM000207</t>
  </si>
  <si>
    <t>HOJA LARINGOSCOPIO   RECTA  DE 0 A 4  FIBRA OPTICA</t>
  </si>
  <si>
    <t>AM000029</t>
  </si>
  <si>
    <t>AMBU (RESUCITADOR) REUSABLE TAMANO ADULTO</t>
  </si>
  <si>
    <t>AM000002</t>
  </si>
  <si>
    <t>35430-01</t>
  </si>
  <si>
    <t>19936181-01</t>
  </si>
  <si>
    <t>TUBO ENDOTRAQUEAL # 8.5-C/B X1</t>
  </si>
  <si>
    <t>XT000050</t>
  </si>
  <si>
    <t>TUBO ENDOTRAQUEAL # 8.0-C/B X1</t>
  </si>
  <si>
    <t>XT000049</t>
  </si>
  <si>
    <t>TUBO ENDOTRAQUEAL # 7.0-C/B X1</t>
  </si>
  <si>
    <t>XT000047</t>
  </si>
  <si>
    <t>TUBO ENDOTRAQUEAL # 4.5-C/B X1</t>
  </si>
  <si>
    <t>XT000042</t>
  </si>
  <si>
    <t>TUBO DE TORAX # 32 *1 CATETER</t>
  </si>
  <si>
    <t>XT000037</t>
  </si>
  <si>
    <t>INHALOCAMARAADULTO (AEROCHAMBER) -MASKBLUE *1</t>
  </si>
  <si>
    <t>XT000020</t>
  </si>
  <si>
    <t>SUTURA QUIRURGICA NO ABSORBIBLE SEDA PERMAHAND 2/0 185T-SC26 X2 DOCENAS SP44420</t>
  </si>
  <si>
    <t>XS000131</t>
  </si>
  <si>
    <t>JERINGA DESECHABLE 50ML-C/A-3 PARTES X 100</t>
  </si>
  <si>
    <t>XJ000014</t>
  </si>
  <si>
    <t>JERINGA DESECHABLE 5 ML-C/A-3 PARTES X 100</t>
  </si>
  <si>
    <t>XJ000013</t>
  </si>
  <si>
    <t>JERINGA DESECHABLE 3 ML-C/A-3 PARTES X100</t>
  </si>
  <si>
    <t>XJ000012</t>
  </si>
  <si>
    <t>JERINGA DESECHABLE 20ML-S/A-3 PARTES X 100</t>
  </si>
  <si>
    <t>XJ000011</t>
  </si>
  <si>
    <t>CATETERES PERIFERICOS INTRAVENOSOS INSYTE #24*50</t>
  </si>
  <si>
    <t>XJ000007</t>
  </si>
  <si>
    <t>CATETERES PERIFERICOS INTRAVENOSOS INSYTE #14*50</t>
  </si>
  <si>
    <t>XJ000004</t>
  </si>
  <si>
    <t>CATETERES PERIFERICOS INTRAVENOSOS  INSYTE #22*50</t>
  </si>
  <si>
    <t>XJ000003</t>
  </si>
  <si>
    <t>HOJA BISTURI # 15 *100</t>
  </si>
  <si>
    <t>XG000028</t>
  </si>
  <si>
    <t>EQUIPO PARA DRENAJE URINARIO CYSTOFLO  MRD2926</t>
  </si>
  <si>
    <t>XE000013</t>
  </si>
  <si>
    <t>EQUIPO DE MACROGOTEO- MRC0002 X 120</t>
  </si>
  <si>
    <t>XE000007</t>
  </si>
  <si>
    <t>CAMISA DESECHABLE ADULTO X  1</t>
  </si>
  <si>
    <t>XD000270</t>
  </si>
  <si>
    <t>SONDA SILICONADA NASOGASTRICA 16 FR</t>
  </si>
  <si>
    <t>XD000148</t>
  </si>
  <si>
    <t>SONDA NELATON # 16 (UREATRAL)*1</t>
  </si>
  <si>
    <t>XD000142</t>
  </si>
  <si>
    <t>SONDA FOLEY 18 X 5ML-2 VIAS *1</t>
  </si>
  <si>
    <t>XD000125</t>
  </si>
  <si>
    <t>SONDA FOLEY 16 X 5ML-2 VIAS *1</t>
  </si>
  <si>
    <t>XD000122</t>
  </si>
  <si>
    <t>LLAVE DE TRES VIAS-DISCOFIX UNIDAD- FE100</t>
  </si>
  <si>
    <t>XD000074</t>
  </si>
  <si>
    <t xml:space="preserve">GUANTE QUIRURGICO ESTERIL T-8.0 *1 PAR </t>
  </si>
  <si>
    <t>XD000062</t>
  </si>
  <si>
    <t xml:space="preserve">GUANTE QUIRURGICO ESTERIL T-7.5 *1 PAR </t>
  </si>
  <si>
    <t>XD000061</t>
  </si>
  <si>
    <t xml:space="preserve">GUANTE QUIRURGICO ESTERIL T-7.0 *1 PAR </t>
  </si>
  <si>
    <t>XD000060</t>
  </si>
  <si>
    <t xml:space="preserve">GUANTE QUIRURGICO ESTERIL T-6.5 *1 PAR </t>
  </si>
  <si>
    <t>XD000059</t>
  </si>
  <si>
    <t>ELECTRODO MONITOREO ADULTO X30-ECG.DESCARTABLE</t>
  </si>
  <si>
    <t>XD000042</t>
  </si>
  <si>
    <t>APOSITO TRANSPARENTE I.V ADVANCE 6.5 X 9 CM REF 7239005</t>
  </si>
  <si>
    <t>XA000012</t>
  </si>
  <si>
    <t>10 g</t>
  </si>
  <si>
    <t xml:space="preserve">LIDOCAINA BASE 10 g  Solución Tópica en Aerosol </t>
  </si>
  <si>
    <t>50709-02</t>
  </si>
  <si>
    <t>32606-02</t>
  </si>
  <si>
    <t>5%</t>
  </si>
  <si>
    <t>DEXTROSA EN AGUA DESTILADA 5%  Solución Inyectable 250 ml</t>
  </si>
  <si>
    <t>29522-03</t>
  </si>
  <si>
    <t>20 UI</t>
  </si>
  <si>
    <t>VASOPRESINA 20 U.I Solución inyectable</t>
  </si>
  <si>
    <t>20096205-01</t>
  </si>
  <si>
    <t>20026869-03</t>
  </si>
  <si>
    <t>2 g / 10 ml</t>
  </si>
  <si>
    <t>MAGNESIO SULFATO 2 g / 10 ml Solución Inyectable</t>
  </si>
  <si>
    <t>19935299-01</t>
  </si>
  <si>
    <t>CEPILLO DE LIMPIEZA LARGO REF BW-20T</t>
  </si>
  <si>
    <t>AM000326</t>
  </si>
  <si>
    <t>CONSIGNACION LM INSTRUMENS S.A</t>
  </si>
  <si>
    <t>052</t>
  </si>
  <si>
    <t>CEPILLO DE LIMPIEZA CORTO PARA GASTRO REF MH-507</t>
  </si>
  <si>
    <t>AM000314</t>
  </si>
  <si>
    <t>PROTECTOR BUCAL REUTILIZABLE</t>
  </si>
  <si>
    <t>AM000266</t>
  </si>
  <si>
    <t xml:space="preserve">CANULA TRAQUEOSTOMIA FENESTRADA CON BALON No 8.0  REF T-302-08 </t>
  </si>
  <si>
    <t>XT000090</t>
  </si>
  <si>
    <t>SISTEMA SUCCION ADAPTADOR #14 TRAQUEAL CERRADA CORTA REF 0291</t>
  </si>
  <si>
    <t>XT000085</t>
  </si>
  <si>
    <t>CANULA PARA TRAQUEOSTOMIA NO FENESTRADA SIN BALON ADULTO  No  7.0 REF 303-07</t>
  </si>
  <si>
    <t>XT000078</t>
  </si>
  <si>
    <t>INTERCAMBIADORES DE TUBOS ADULTOS 14 FR</t>
  </si>
  <si>
    <t>XT000065</t>
  </si>
  <si>
    <t>SISTEMA SUCCION ADAPTADOR #14 TRAQUEAL CERRADA LARGA</t>
  </si>
  <si>
    <t>XT000028</t>
  </si>
  <si>
    <t>FRASCOS RECOLECTORES DE MUESTRAS TRAMPAS DE LUKENS (RECOLECTOR DE SECRECIONES)</t>
  </si>
  <si>
    <t>XT000016</t>
  </si>
  <si>
    <t>AGUJA ESPINAL SPINOCAN  G-26 X 3-1/2 X88MM X25U</t>
  </si>
  <si>
    <t>XG000023</t>
  </si>
  <si>
    <t>AGUJA ESPINAL SPINOCAN  G-25 X 3-1/2 X88MM X25U</t>
  </si>
  <si>
    <t>XG000022</t>
  </si>
  <si>
    <t>AGUJA PARA ESTIMULACION NERVIOSA PERIFERICA STIMUPLEX CANULA G-21X100MM REF 4894260</t>
  </si>
  <si>
    <t>XG000010</t>
  </si>
  <si>
    <t>AGUJA PARA BIOPSIA  SEMI AUTOMATICA 16X15 CM</t>
  </si>
  <si>
    <t>XG000009</t>
  </si>
  <si>
    <t>AGUJA BIOPSIA SEMIAUTOMATICA -16G X 10 CM</t>
  </si>
  <si>
    <t>XG000001</t>
  </si>
  <si>
    <t xml:space="preserve">SISTEMA DE DRENAJE TORAXICO TORA SEAL-III </t>
  </si>
  <si>
    <t>XE000018</t>
  </si>
  <si>
    <t>PINZA DE BIOPSIA DESECHABLE  2.8MM X 1550MM REF FB-210K</t>
  </si>
  <si>
    <t>XD000353</t>
  </si>
  <si>
    <t>CLIP DE FIJACION LARGO  REF HX-610-135L</t>
  </si>
  <si>
    <t>XD000338</t>
  </si>
  <si>
    <t>CLIP DE FIJACION LARGO DE 9 MM DE LARGO PARA ENDOSCOPIA REF HX-610-090L</t>
  </si>
  <si>
    <t>XD000334</t>
  </si>
  <si>
    <t>APLICADOR PARA CLIP ENDOSCOPICO  REUTILIZABLE  REF HX-110UR</t>
  </si>
  <si>
    <t>XD000333</t>
  </si>
  <si>
    <t>CANASTILLA DE RECUPERACION Y LITOTRIPCIA GASTROENTEROLOGIA FG-402Q</t>
  </si>
  <si>
    <t>XD000320</t>
  </si>
  <si>
    <t>CANULA DE TRAQUEOSTOMIA NO FENESTRADA CON BALON No 8.0-8.5  MARCA TWIST  301-08-85</t>
  </si>
  <si>
    <t>XD000302</t>
  </si>
  <si>
    <t>KIT DE TRAQUEOSTOMIA PERCUTANEA  No  8.0 -8.5 320-08/321-08</t>
  </si>
  <si>
    <t>XD000296</t>
  </si>
  <si>
    <t>ESFINTEROTOMO PAPILOTOMO CANULOTOMO  ARCO 5.5FR. 20MM  (ULTRATOME XL) KD-V411M-0320</t>
  </si>
  <si>
    <t>XD000236</t>
  </si>
  <si>
    <t>SISTEMA CERRADO DRENAJE HERIDAS</t>
  </si>
  <si>
    <t>XD000110</t>
  </si>
  <si>
    <t>EXTRACTORA DE CALCULOS PRO XL 12-15 REF M00547110 B-V433P-A</t>
  </si>
  <si>
    <t>XD000049</t>
  </si>
  <si>
    <t xml:space="preserve">DREN PLANO SILICONADO-JACKSON PRATT-SIN TROCAR </t>
  </si>
  <si>
    <t>XD000037</t>
  </si>
  <si>
    <t>ASA DE POLIPECTOMIA (SET ALAMBRE Y CAMISA)REF M00562670</t>
  </si>
  <si>
    <t>XD000004</t>
  </si>
  <si>
    <t xml:space="preserve">INYECTOR DE ESCLEROTERAPIA   M00518301                                                </t>
  </si>
  <si>
    <t>XC000036</t>
  </si>
  <si>
    <t>SUTURA QUIRURGICA ABSORBIBLE VICRYL  4/0 PS-2  3/8 19MM REF JP496G</t>
  </si>
  <si>
    <t>XS000173</t>
  </si>
  <si>
    <t>CONSIGNACION FRIDEN</t>
  </si>
  <si>
    <t>048</t>
  </si>
  <si>
    <t>SUTURA QUIRURGICA NO ABSORBIBLE SEDA PERMAHAND 3/0-184TSC(684) X2 DOCENAS</t>
  </si>
  <si>
    <t>XS000137</t>
  </si>
  <si>
    <t>SUTURA QUIRURGICA ABSORBIBLE  VICRYL 0 J318H SH -REF 812</t>
  </si>
  <si>
    <t>XS000093</t>
  </si>
  <si>
    <t>REMOVEDOR DE GRAPAS APPOSSE CAJA X12 TIJERAS</t>
  </si>
  <si>
    <t>XS000055</t>
  </si>
  <si>
    <t>RECARGA ENDOGIA ARTICULAR 60AVM VASCULAR</t>
  </si>
  <si>
    <t>XS000048</t>
  </si>
  <si>
    <t>GRAPADORA GIA 80 -4.8 GIA 8048S X 1</t>
  </si>
  <si>
    <t>XS000020</t>
  </si>
  <si>
    <t>GRAPADORA GIA 60 -4.8 REF. GIA 6048S</t>
  </si>
  <si>
    <t>XS000019</t>
  </si>
  <si>
    <t>CINTA UMBILICAL ALGODON U10T X2 DOCENAS</t>
  </si>
  <si>
    <t>XS000006</t>
  </si>
  <si>
    <t>APOSITO DE ABDOMEN ABIERTO ABTHERA ADVANCE REF ABT1055</t>
  </si>
  <si>
    <t>XA000059</t>
  </si>
  <si>
    <t>BODEGA HEMODINAMIA CONSIGNACION</t>
  </si>
  <si>
    <t>046</t>
  </si>
  <si>
    <t>CATETER ENDOVASCULAR DE SOPORTE EV3 0.035X150CM  5FR</t>
  </si>
  <si>
    <t>SC-035-150</t>
  </si>
  <si>
    <t>INTRODUCTOR FEMORAL PRELUDE ARTERIAL 7 FR X 11 CM GUIA 0.038 Y AGUJA 18GX7CM</t>
  </si>
  <si>
    <t>PSI-7F-11-038-18G</t>
  </si>
  <si>
    <t>INTRODUCTOR FEMORAL PRELUDE ARTERIAL 6FR X 7CM GUIA 0.038 Y AGUJA 18GX4CM</t>
  </si>
  <si>
    <t>PSI-6F-7-018</t>
  </si>
  <si>
    <t>GUIA HIDROFILICA NITREX 260CMX0.035CM 4 CM</t>
  </si>
  <si>
    <t>N143001</t>
  </si>
  <si>
    <t>GUIA DIAGNOSTICA INQWIRE DE AMPLATZ 0,035 X 260CM PUNTA EN J 3CM</t>
  </si>
  <si>
    <t>IQA502</t>
  </si>
  <si>
    <t xml:space="preserve">CATETER DE APOYO  RUBICON 35 135CM </t>
  </si>
  <si>
    <t>H74939240035130</t>
  </si>
  <si>
    <t>RECUPERADOR FILTRO DE VENA DE CABA</t>
  </si>
  <si>
    <t>GTRS-200-RB</t>
  </si>
  <si>
    <t>AGUJA ANGIGRAFICA MERIT ADVANCE 18G X 7CM GUIA 0.038</t>
  </si>
  <si>
    <t>AD18T71W</t>
  </si>
  <si>
    <t xml:space="preserve">SISTEMA PARA INTERVENCION VASCULAR MAX BALON 55MLX46MM </t>
  </si>
  <si>
    <t>ABXL30/60-800</t>
  </si>
  <si>
    <t>CATETER DIAGNOSTICO TIPO PERFORMA 5 FR MPA 1 MULTIPROPOSITO X 100 CM</t>
  </si>
  <si>
    <t>7533-13</t>
  </si>
  <si>
    <t>CATETER DIAGNOSTICO PERIFERICO IMPRESS LEGATO HIDROFILICO SIMMONS 2 DE 5FRX100CM</t>
  </si>
  <si>
    <t>510038SIM2-H</t>
  </si>
  <si>
    <t>CATETER SIMMOMNS2 HIDROFILICO 5 FR X 100 CM</t>
  </si>
  <si>
    <t>5100038SIM2-H</t>
  </si>
  <si>
    <t>INTRODUCTOR PERIFERICO FLEXIBLE FOSTRESS DE 6FRX45CM PUNTA RECTA</t>
  </si>
  <si>
    <t>386594</t>
  </si>
  <si>
    <t>BODEGA DE CENTRAL DE MEZCLAS</t>
  </si>
  <si>
    <t>043</t>
  </si>
  <si>
    <t>VANCOMICINA CLORHIDRATO 500 mg Polvo para reconstituir a solución inyectable</t>
  </si>
  <si>
    <t>20120229-1</t>
  </si>
  <si>
    <t>5.000 UI/ ML</t>
  </si>
  <si>
    <t>HEPARINA SODICA 5.000 UI/ ML Solución Inyectable</t>
  </si>
  <si>
    <t>19995297-01</t>
  </si>
  <si>
    <t>150 mg</t>
  </si>
  <si>
    <t>20083397-04</t>
  </si>
  <si>
    <t>10 mg / 1ml</t>
  </si>
  <si>
    <t>MORFINA CLORHIDRATO 10 mg / 1ml Solución Inyectable</t>
  </si>
  <si>
    <t>20013906-01</t>
  </si>
  <si>
    <t>EQUIPO BOMBA FOTOSENSIBLE REF. 14007</t>
  </si>
  <si>
    <t>XE000005</t>
  </si>
  <si>
    <t>0.9 % - 250 ML</t>
  </si>
  <si>
    <t>SODIO CLORURO 0.9 % Solución Inyectable Bolsa 250 ml</t>
  </si>
  <si>
    <t>29523-04</t>
  </si>
  <si>
    <t>20MG</t>
  </si>
  <si>
    <t>ROSUVASTATINA 20MG TABLETAS RECUBIERTAS</t>
  </si>
  <si>
    <t>SUCCINILCOLINA 10 ml Solución inyectable</t>
  </si>
  <si>
    <t>20037305-01</t>
  </si>
  <si>
    <t>300 mg</t>
  </si>
  <si>
    <t>LITIO CARBONATO 300 mg Tableta o Cápsula</t>
  </si>
  <si>
    <t>19939225-01</t>
  </si>
  <si>
    <t>SODIO CLORURO 0.9 % Solución Inyectable x 250 ml</t>
  </si>
  <si>
    <t>19932754-03</t>
  </si>
  <si>
    <t>VENDA ELASTICA 6 X 5 *1 UNIDAD</t>
  </si>
  <si>
    <t>XV000018</t>
  </si>
  <si>
    <t>ALMACEN CONSULTA EXTERNA ORTOPEDIA</t>
  </si>
  <si>
    <t>039</t>
  </si>
  <si>
    <t>VENDA ELASTICA 5 X 5 *1 UNIDAD</t>
  </si>
  <si>
    <t>XV000017</t>
  </si>
  <si>
    <t>VENDA ELASTICA 4 X 5 *1 UNIDAD</t>
  </si>
  <si>
    <t>XV000016</t>
  </si>
  <si>
    <t>VENDA DE ALGODON 6 X 5 *1 LAMINADO</t>
  </si>
  <si>
    <t>XV000004</t>
  </si>
  <si>
    <t>VENDA DE ALGODON 5 X 5 *1 LAMINADO</t>
  </si>
  <si>
    <t>XV000003</t>
  </si>
  <si>
    <t>VENDA DE ALGODON 4 X 5 *1 LAMINADO</t>
  </si>
  <si>
    <t>XV000002</t>
  </si>
  <si>
    <t>MEDICAMENTOS EN CUSTODIA</t>
  </si>
  <si>
    <t>035</t>
  </si>
  <si>
    <t>0.02 g / 4 ml</t>
  </si>
  <si>
    <t>BUPIVACAINA PESADA</t>
  </si>
  <si>
    <t>19984160-01</t>
  </si>
  <si>
    <t>20029707-03</t>
  </si>
  <si>
    <t>TERAPIA UCI</t>
  </si>
  <si>
    <t>034</t>
  </si>
  <si>
    <t>SUTURA QUIRURGICA MONOFILAMENTE ESTERIL SINTETICO NO ABSORBIBLE6/0(1397T E11)P8697TP1 X2 DOCENAS</t>
  </si>
  <si>
    <t>XS000128</t>
  </si>
  <si>
    <t>TERAPIA GENERAL</t>
  </si>
  <si>
    <t>033</t>
  </si>
  <si>
    <t>SUTURA QUIRURGICA ABSORBIBLE VICRYL 5/0-J303-RB-1CAJA X1 DOCENA</t>
  </si>
  <si>
    <t>XS000103</t>
  </si>
  <si>
    <t>2% - 20 ml</t>
  </si>
  <si>
    <t>LIDOCAINA HCL CON EPINEFRINA 2% Solución Inyectable Vial 20mL</t>
  </si>
  <si>
    <t>218170-02</t>
  </si>
  <si>
    <t>1% 20 ml</t>
  </si>
  <si>
    <t>LIDOCAINA HCL CON EPINEFRINA 1%  Solución Inyectable Vial 20 mL</t>
  </si>
  <si>
    <t>218168-04</t>
  </si>
  <si>
    <t>15 ml</t>
  </si>
  <si>
    <t>BROMURO DE IPRATROPIO 0.25 mg / ml Soluciónpara Nebulizar</t>
  </si>
  <si>
    <t>1980804-02</t>
  </si>
  <si>
    <t>VENDAJE CON GELATINA DE ZINC (VENDAJE DE UNNA)</t>
  </si>
  <si>
    <t>XV000020</t>
  </si>
  <si>
    <t xml:space="preserve">CLINICA DE HERIDAS                                </t>
  </si>
  <si>
    <t>032</t>
  </si>
  <si>
    <t>PINZA PLASTICA PARA SELLAR BOLSA DE COLOSTOMIA*1</t>
  </si>
  <si>
    <t>XS000142</t>
  </si>
  <si>
    <t>BARRERA COLOSTOMIA NUTURA MOLDEABLE FLEXIBLE 57MM REF 411804-416420</t>
  </si>
  <si>
    <t>XD000448</t>
  </si>
  <si>
    <t>BOLSA DE COLOSTOMIA NATURA 57MM REF 416420-411804</t>
  </si>
  <si>
    <t>XD000447</t>
  </si>
  <si>
    <t>BOLSA DRENABLE DE OSTOMIA ESTEEM 100MM REF 416908</t>
  </si>
  <si>
    <t>XD000314</t>
  </si>
  <si>
    <t>BOLSA DE COLOSTOMIA POSOPERATORIA  100 MM   COLOPLAST REF 19021</t>
  </si>
  <si>
    <t>XD000306</t>
  </si>
  <si>
    <t>PASTA PROTECTORA CUTANEA Y RELLENO STOMAHESIVE RE3F 183910</t>
  </si>
  <si>
    <t>XD000283</t>
  </si>
  <si>
    <t>POLVO PROTECTOR STOMAHESIVE REF 025510</t>
  </si>
  <si>
    <t>XD000277</t>
  </si>
  <si>
    <t>CINTURON PARA EQUIPO DE OSTOMIA REF 1755-07</t>
  </si>
  <si>
    <t>XD000167</t>
  </si>
  <si>
    <t>BOLSA Y  BARRERA DE COLOSTOMIA  POSOPERATORIA ACTIVE LIFE REF 227711</t>
  </si>
  <si>
    <t>XD000018</t>
  </si>
  <si>
    <t>BOLSA PARA UROSTOMIA CON VALVULA ACCUSEAL NATURA 57 MM 401545-404594</t>
  </si>
  <si>
    <t>XD000016</t>
  </si>
  <si>
    <t>BOLSA DE COLOSTOMIA 70MM NATURA</t>
  </si>
  <si>
    <t>XD000013</t>
  </si>
  <si>
    <t>BOLSA DE COLOSTOMIA NATURA 45MM REF 416417</t>
  </si>
  <si>
    <t>XD000011</t>
  </si>
  <si>
    <t>BARRERA DE COLOSTOMIA Y OSTOMIA LISA PARA  20 X 20 CM</t>
  </si>
  <si>
    <t>XD000009</t>
  </si>
  <si>
    <t>BARRERA DE COLOSTOMIA Y   MOLDEABLE CONVEXA NATURA DE 57 MM REF 404594-401545</t>
  </si>
  <si>
    <t>XD000008</t>
  </si>
  <si>
    <t xml:space="preserve">BARRERA DE COLOSTOMIA RECORTABLE NATURA 70MM </t>
  </si>
  <si>
    <t>XD000007</t>
  </si>
  <si>
    <t xml:space="preserve">BARRERA DE COLOSTOMIA PROTECTORA 45MM  SUR-FIT  REF </t>
  </si>
  <si>
    <t>XD000006</t>
  </si>
  <si>
    <t>BARRERA DE COLOSTOMIA  PLANA RECORTABLE LEXIBLE  57MM NUTURA REF 413167</t>
  </si>
  <si>
    <t>XD000005</t>
  </si>
  <si>
    <t>APOSITO PARA HERIDAS MEPILEX BORDER FLEX 10X10 CM REF 595300</t>
  </si>
  <si>
    <t>XA000112</t>
  </si>
  <si>
    <t>APOSITO PARA HERIDAS MEPILEX BORDER FLEX 15X15 CM REF 595400</t>
  </si>
  <si>
    <t>XA000111</t>
  </si>
  <si>
    <t>APOSITO DE FIJACION MEPITEL ONE 10X18CM REF 289500</t>
  </si>
  <si>
    <t>XA000110</t>
  </si>
  <si>
    <t>VENDAJE PARA CICATRIZACION POST OP MEPILEX 10X15CM REF 496300</t>
  </si>
  <si>
    <t>XA000109</t>
  </si>
  <si>
    <t xml:space="preserve">HIDROGEL PARA HERIDAS CON RIGENASE Y POLIHEXANIDA TUBO 20 G </t>
  </si>
  <si>
    <t>XA000108</t>
  </si>
  <si>
    <t>VENDAJE MOLNLYCKE EXUFIBER  10x12 REF 709902</t>
  </si>
  <si>
    <t>XA000107</t>
  </si>
  <si>
    <t>APOSITO  MEPILEX  MOLNLYCKE AG 10 X 10 REF 287100</t>
  </si>
  <si>
    <t>XA000103</t>
  </si>
  <si>
    <t>APOSITO PARA HERIDAS MEPILEX BORDER SACRUM 16 X 20 CM REF 282055</t>
  </si>
  <si>
    <t>XA000102</t>
  </si>
  <si>
    <t>APOSITO PARA HERIDAS MEPILEX BORDER HEEL 22 X 23 CM REF 282790</t>
  </si>
  <si>
    <t>XA000101</t>
  </si>
  <si>
    <t>APOSITO PARA HERIDAS MEPILEX BORDER SACRUM 22 X 25 CM REF 282455</t>
  </si>
  <si>
    <t>XA000100</t>
  </si>
  <si>
    <t>VENDAJE PARA CICATRIZACION MEPILEX BORDER POST OP 10X25CM REF 496455</t>
  </si>
  <si>
    <t>XA000099</t>
  </si>
  <si>
    <t>VENDAJE PARA CICATRIZACION MEPILEX BORDER POST OP 10X20CM REF 496405</t>
  </si>
  <si>
    <t>XA000090</t>
  </si>
  <si>
    <t>VENDAJE PARA CICATRIZACION CON MEDICAMENTO EXUFIBER AG 10x12 REF 603422</t>
  </si>
  <si>
    <t>XA000089</t>
  </si>
  <si>
    <t>APOSITO  MEPILEX  MOLNLYCKE AG 15 X 15 REF 287300</t>
  </si>
  <si>
    <t>XA000088</t>
  </si>
  <si>
    <t>APOSITO DE FIJACION MEPILEX 20 X 20 CM  REF 294499</t>
  </si>
  <si>
    <t>XA000086</t>
  </si>
  <si>
    <t>BARRERA CUTANEA NO IRRITANTE SPRAY 50 ML SENSI CARE</t>
  </si>
  <si>
    <t>XA000079</t>
  </si>
  <si>
    <t>EXTRACTO ACUOSO DE TRITICUM VULGARE 15 %  FITOSTIMOLINE CREMA X 32 GRAMOS</t>
  </si>
  <si>
    <t>XA000078</t>
  </si>
  <si>
    <t>APOSITO DE HIDROFIBRAS PARA HERIDAS AQUACEL EXTRA REF 420672</t>
  </si>
  <si>
    <t>XA000077</t>
  </si>
  <si>
    <t>APOSITO HIDRATANTE PARA HERIDAS DERMICAS CON ALGINATO</t>
  </si>
  <si>
    <t>XA000069</t>
  </si>
  <si>
    <t>GEL HIDROACTIVO DUODERM</t>
  </si>
  <si>
    <t>XA000068</t>
  </si>
  <si>
    <t>APOSITO DE TRANSFERENCIA DE EXHUDADO MEPILEX 15X20CM REF 294899</t>
  </si>
  <si>
    <t>XA000056</t>
  </si>
  <si>
    <t>PELICULA TRANSPARENTE  FIXOMULL 10X15</t>
  </si>
  <si>
    <t>XA000039</t>
  </si>
  <si>
    <t>APOSITOS PEQUEÑOS ESTERILES *5</t>
  </si>
  <si>
    <t>XA000016</t>
  </si>
  <si>
    <t>APOSITO DE HIDROFIBRA CON PLATA AQUACEL-AG 10X10CM CARBOXIMETILCELULOSA SODICA</t>
  </si>
  <si>
    <t>XA000006</t>
  </si>
  <si>
    <t>APOSITO CON FORMULA DE GEL CONTROLADA DUODERM  15X15CM CGF</t>
  </si>
  <si>
    <t>XA000004</t>
  </si>
  <si>
    <t>APOSITO CON FORMULA DE GEL CONTROLADA DUO DERM APOSITO 10X10  CGF   APOSITOS</t>
  </si>
  <si>
    <t>XA000003</t>
  </si>
  <si>
    <t xml:space="preserve">APOSITO CON FORMULA DE GEL CONTROLADA DUO DERM  20X20CM CAJA X5 </t>
  </si>
  <si>
    <t>XA000002</t>
  </si>
  <si>
    <t>MASCARA LARINGEA DESECHABLE 1.0 A 5.0</t>
  </si>
  <si>
    <t>AM000223</t>
  </si>
  <si>
    <t xml:space="preserve">STOCK CUARTO OCCIDENTE                            </t>
  </si>
  <si>
    <t>031</t>
  </si>
  <si>
    <t xml:space="preserve">CARRO DE PARO CUARTO PISO                         </t>
  </si>
  <si>
    <t>029</t>
  </si>
  <si>
    <t>TUBO ENDOTRAQUEAL # 9.0-C/B X1</t>
  </si>
  <si>
    <t>XT000051</t>
  </si>
  <si>
    <t xml:space="preserve">AGUJA DESECHABLE # 20 G.X 1-1/2X100                                                                 </t>
  </si>
  <si>
    <t>XG000037</t>
  </si>
  <si>
    <t>AGUJA DESECHABLE # 22 G.X 1-1/2*100</t>
  </si>
  <si>
    <t>XG000005</t>
  </si>
  <si>
    <t>ELECTRODO MULTIFUNCIONAL REF F7950 PHILIPS</t>
  </si>
  <si>
    <t>XD000331</t>
  </si>
  <si>
    <t>SONDA LEVIN-TUBO VENTROL 14FR NASOGASTRICA120</t>
  </si>
  <si>
    <t>XD000137</t>
  </si>
  <si>
    <t>SONDA FOLEY 16 X 30 DE 2 VIAS</t>
  </si>
  <si>
    <t>XD000121</t>
  </si>
  <si>
    <t xml:space="preserve">GUANTE QUIRURGICO ESTERIL T-8.5 *1 PAR </t>
  </si>
  <si>
    <t>XD000063</t>
  </si>
  <si>
    <t>42849-01</t>
  </si>
  <si>
    <t>20087310-01</t>
  </si>
  <si>
    <t>20023188-06</t>
  </si>
  <si>
    <t>20004032-04</t>
  </si>
  <si>
    <t>19940783-01</t>
  </si>
  <si>
    <t>19940721-13</t>
  </si>
  <si>
    <t>SODIO CLORURO 0.9 % Solución Inyectable x 500 ml</t>
  </si>
  <si>
    <t>19907869-06</t>
  </si>
  <si>
    <t>200 mg / 5 ml</t>
  </si>
  <si>
    <t>DOPAMINA CLORHIDRATO 200 mg / 5 ml Solución Inyectable</t>
  </si>
  <si>
    <t>19901001-01</t>
  </si>
  <si>
    <t xml:space="preserve">CARRO DE PARO TERCER PISO                         </t>
  </si>
  <si>
    <t>026</t>
  </si>
  <si>
    <t>PILA MEDIANA ALKALINA</t>
  </si>
  <si>
    <t>AM000057</t>
  </si>
  <si>
    <t>JERINGA DESECHABLE DE INSULINA 1ML X 100UI.</t>
  </si>
  <si>
    <t>XJ000015</t>
  </si>
  <si>
    <t>SONDA NELATON # 14 (UREATRAL)1</t>
  </si>
  <si>
    <t>XD000141</t>
  </si>
  <si>
    <t>MASCARILLA+VISOR FLUID-SHIELD DESECHABLES X1</t>
  </si>
  <si>
    <t>XD000086</t>
  </si>
  <si>
    <t>20036851-01</t>
  </si>
  <si>
    <t>19941380-02</t>
  </si>
  <si>
    <t xml:space="preserve">CARRO DE PARO GASTROENTEROLOGÌA                   </t>
  </si>
  <si>
    <t>025</t>
  </si>
  <si>
    <t>20043279-03</t>
  </si>
  <si>
    <t>SONDA FOLEY 18 X 30 ML 2 VIAS</t>
  </si>
  <si>
    <t>XD000124</t>
  </si>
  <si>
    <t>SODIO CLORURO 20 mEq/10 ml Solución inyectable</t>
  </si>
  <si>
    <t>211361-06</t>
  </si>
  <si>
    <t>20071601-01</t>
  </si>
  <si>
    <t>010</t>
  </si>
  <si>
    <t>MATERIAL DE OSTEOSINTESIS - MOS</t>
  </si>
  <si>
    <t>024</t>
  </si>
  <si>
    <t>PIN KIRSCHNER DE 1.2 X 150 MM</t>
  </si>
  <si>
    <t>PIN12150</t>
  </si>
  <si>
    <t>ANCLAJE MIRACH TITANIO 2.0 MM 1 SUTURE + NEEDLES</t>
  </si>
  <si>
    <t>43-0703-692029</t>
  </si>
  <si>
    <t>ANCLAJE MIRACH TITANIO 1.8 MM 1 SUTURE + NEEDLES</t>
  </si>
  <si>
    <t>43-0703-691827</t>
  </si>
  <si>
    <t>CHIP ESPONJOSO: 15CC 1.7-10MM LIOFILIZADOS</t>
  </si>
  <si>
    <t>400145</t>
  </si>
  <si>
    <t>Placa Compresión En T 7 Or M1</t>
  </si>
  <si>
    <t>27-01217</t>
  </si>
  <si>
    <t>PLACA COMPRENSION 6 OR RECTA M1</t>
  </si>
  <si>
    <t>27-01206</t>
  </si>
  <si>
    <t>Tornillo Mcd 3,5X38 Canulado M3 Rc</t>
  </si>
  <si>
    <t>08-35238</t>
  </si>
  <si>
    <t>Tornillo Mcd 3,5X30 Canulado M3 Rc</t>
  </si>
  <si>
    <t>08-35230</t>
  </si>
  <si>
    <t xml:space="preserve">Tornillo Mcd  2,3X22Mm M1 Rc No Bloq </t>
  </si>
  <si>
    <t>08-23622</t>
  </si>
  <si>
    <t xml:space="preserve">Tornillo Mcd  2,3X20Mm M1 Rc No Bloq </t>
  </si>
  <si>
    <t>08-23620</t>
  </si>
  <si>
    <t xml:space="preserve">Tornillo Mcd  2,3X16Mm M1 Rc No Bloq </t>
  </si>
  <si>
    <t>08-23616</t>
  </si>
  <si>
    <t xml:space="preserve">Tornillo Mcd  2,3X10Mm M1 Rc No Bloq </t>
  </si>
  <si>
    <t>08-23614</t>
  </si>
  <si>
    <t xml:space="preserve">Tornillo Mcd  2,3X12Mm M1 Rc No Bloq </t>
  </si>
  <si>
    <t>08-23612</t>
  </si>
  <si>
    <t>TENDON EXTENSOR</t>
  </si>
  <si>
    <t>0010001000134</t>
  </si>
  <si>
    <t>CARRO DE VÌA AÉREA DIFÍCIL</t>
  </si>
  <si>
    <t>023</t>
  </si>
  <si>
    <t xml:space="preserve">CARRO DE PARO DE CIRUGIA                          </t>
  </si>
  <si>
    <t>022</t>
  </si>
  <si>
    <t>TIJERAS</t>
  </si>
  <si>
    <t>AP000097</t>
  </si>
  <si>
    <t>011</t>
  </si>
  <si>
    <t>19969030-06</t>
  </si>
  <si>
    <t>19931880-17</t>
  </si>
  <si>
    <t>CATETER DE MANEJO RESPIRATORIO PARA INTUBACIN TRAQUEAL (CRICOTIROTOMIA)</t>
  </si>
  <si>
    <t>XT000097</t>
  </si>
  <si>
    <t>SISTEMA DE DRENAJE TORAXICO TORA-SEAL II</t>
  </si>
  <si>
    <t>XE000021</t>
  </si>
  <si>
    <t>ELECTRODO DESFIBRILADOR REF.P-510- F7961 NIHON KOHDEN</t>
  </si>
  <si>
    <t>XD000041</t>
  </si>
  <si>
    <t>0.9% - 50 ml</t>
  </si>
  <si>
    <t>SODIO CLORURO 0.9% -50 ml Solución Inyectable</t>
  </si>
  <si>
    <t>29523-02</t>
  </si>
  <si>
    <t>0.2 mg / 2 ml</t>
  </si>
  <si>
    <t>BETAMETILDIGOXINA 0.2 mg / 2 ml Solución Inyectable</t>
  </si>
  <si>
    <t>20052758-02</t>
  </si>
  <si>
    <t>PIN DE FIJACION EXTERNA STEINMANN 3.2</t>
  </si>
  <si>
    <t>XD000323</t>
  </si>
  <si>
    <t xml:space="preserve">CENTRAL DE ESTERILIZACION                         </t>
  </si>
  <si>
    <t>021</t>
  </si>
  <si>
    <t>PIN DE FIJACION EXTERNA STEINMANN 2,7</t>
  </si>
  <si>
    <t>XD000322</t>
  </si>
  <si>
    <t>PIN DE FIJACION EXTERNA CLAVO KIRSCHNER 2.0</t>
  </si>
  <si>
    <t>XD000321</t>
  </si>
  <si>
    <t>PIN DE FIJACION EXTERNA STEINMANN 3,5</t>
  </si>
  <si>
    <t>XD000101</t>
  </si>
  <si>
    <t>PIN DE FIJACION EXTERNA STEINMANN 3,0</t>
  </si>
  <si>
    <t>XD000100</t>
  </si>
  <si>
    <t>PIN DE FIJACION EXTERNA STEINMANN 2,5</t>
  </si>
  <si>
    <t>XD000099</t>
  </si>
  <si>
    <t>PIN DE FIJACION EXTERNA CLAVO KIRSCHNER 1,8</t>
  </si>
  <si>
    <t>XD000097</t>
  </si>
  <si>
    <t>PIN DE FIJACION EXTERNA CLAVO DE KIRSCHNER 0,8</t>
  </si>
  <si>
    <t>XD000094</t>
  </si>
  <si>
    <t>PIN DE FIJACION EXTERNA CLAVODE KIRSCHNER  1.5</t>
  </si>
  <si>
    <t>XD000093</t>
  </si>
  <si>
    <t>PIN DE FIJACION EXTERNA  CLAVO DE KIRSCHNER 1,0</t>
  </si>
  <si>
    <t>XD000092</t>
  </si>
  <si>
    <t xml:space="preserve">STOCK FISIOTERAPIA UCI 2                                     </t>
  </si>
  <si>
    <t>020</t>
  </si>
  <si>
    <t xml:space="preserve">SUJETADOR PARA TUBO ENDOBRONQUEAL  ORAL                                                             </t>
  </si>
  <si>
    <t>XT000068</t>
  </si>
  <si>
    <t>INCENTIVO RESPIRATORIO R.1750 X 1 SET</t>
  </si>
  <si>
    <t>XT000019</t>
  </si>
  <si>
    <t>FILTRO ANTIBACTERIANO NARIZ CAMELLO HYGROBAC ADULTO REF 63-804</t>
  </si>
  <si>
    <t>XT000015</t>
  </si>
  <si>
    <t>CANULA NASAL OXIGENO+ADAPTADOR+EXTENSION</t>
  </si>
  <si>
    <t>XT000003</t>
  </si>
  <si>
    <t>JERINGA CON HEPARINA  PARA GASIMETRIA SANGUINEA X 1CC</t>
  </si>
  <si>
    <t>XJ000008</t>
  </si>
  <si>
    <t xml:space="preserve">CARRO DE PARO UCI 1/2                             </t>
  </si>
  <si>
    <t>019</t>
  </si>
  <si>
    <t>20030910-10</t>
  </si>
  <si>
    <t>SONDA PARA SUCCION(OJO DE PESCADO)-16FR-60CM*1</t>
  </si>
  <si>
    <t>XT000084</t>
  </si>
  <si>
    <t>AGUJA DESECHABLE # 18 G.X1-1/2*100</t>
  </si>
  <si>
    <t>XG000003</t>
  </si>
  <si>
    <t>ELECTRODO PARA DESFIBRILACION MINDRAY BENEHEART REF MR60</t>
  </si>
  <si>
    <t>XD000337</t>
  </si>
  <si>
    <t>CATETER CENTRAL PERIFERICO PICC 2 VIAS X 50CM</t>
  </si>
  <si>
    <t>XC000005</t>
  </si>
  <si>
    <t xml:space="preserve">STOCK  FISIOTERAPIA UCI  1                                         </t>
  </si>
  <si>
    <t>018</t>
  </si>
  <si>
    <t>FILTRO ESPIRATORIOREF 4-076887   D/X800</t>
  </si>
  <si>
    <t>XT000086</t>
  </si>
  <si>
    <t>FILTRO INSPIRATORIO DES.22MM REF4-074601-00</t>
  </si>
  <si>
    <t>XT000075</t>
  </si>
  <si>
    <t xml:space="preserve">CARRO DE PARO UCI                                 </t>
  </si>
  <si>
    <t>017</t>
  </si>
  <si>
    <t>SUTURA QUIRURGICA NO ABSORBIBLE SEDA PERMAHAND 2/0 623H KS X3 DOCENAS</t>
  </si>
  <si>
    <t>XS000132</t>
  </si>
  <si>
    <t>CATETER CENTRAL BILUMEN CON GUIA  4 FR  X 50 CM (PICC) PR-05042</t>
  </si>
  <si>
    <t>XC000004</t>
  </si>
  <si>
    <t>ONDANSETRON 8 mg / 4 ml Solución Inyectable</t>
  </si>
  <si>
    <t>20065058-02</t>
  </si>
  <si>
    <t>50 MG / 2 ML</t>
  </si>
  <si>
    <t>NITROPRUSIATO DE SODIO 50 mg/2ml Solución Inyectable</t>
  </si>
  <si>
    <t>20032988-01</t>
  </si>
  <si>
    <t>19992832-01</t>
  </si>
  <si>
    <t>19930286-02</t>
  </si>
  <si>
    <t>19914227-05</t>
  </si>
  <si>
    <t xml:space="preserve">CARRO DE PARO HEMODINAMIA                     </t>
  </si>
  <si>
    <t xml:space="preserve">GUANTE QUIRURGICO ESTERIL T-6.0 *1 PAR </t>
  </si>
  <si>
    <t>XD000058</t>
  </si>
  <si>
    <t>ELECTRODO CATETER BIPOLAR TEMPORAL-PACEL-5FR / 6 FR REF 401771-401770</t>
  </si>
  <si>
    <t>XD000043</t>
  </si>
  <si>
    <t>20028845-09</t>
  </si>
  <si>
    <t>19980849-01</t>
  </si>
  <si>
    <t>19966576-03</t>
  </si>
  <si>
    <t xml:space="preserve">CARRO DE PARO CARDIOLOGIA                            </t>
  </si>
  <si>
    <t>014</t>
  </si>
  <si>
    <t>20014670-07</t>
  </si>
  <si>
    <t>19988938-04</t>
  </si>
  <si>
    <t>19942561-03</t>
  </si>
  <si>
    <t>CANULA GUEDEL No. 0</t>
  </si>
  <si>
    <t>XT000104</t>
  </si>
  <si>
    <t>KIT ATENCIÓN PEDIÀTRICA</t>
  </si>
  <si>
    <t>013</t>
  </si>
  <si>
    <t>TUBO ENDOTRAQUEAL 2.0</t>
  </si>
  <si>
    <t>XT000103</t>
  </si>
  <si>
    <t>CANULA NASAL PARA OXIGENO PEDIATRICA</t>
  </si>
  <si>
    <t>XT000098</t>
  </si>
  <si>
    <t>TUBO ENDOTRAQUEAL 3.0 S/B</t>
  </si>
  <si>
    <t>XT000060</t>
  </si>
  <si>
    <t>TUBO ENDOTRAQUEAL 2.5 S/B</t>
  </si>
  <si>
    <t>XT000059</t>
  </si>
  <si>
    <t>SONDA NELATON # 6 (UREATRAL)*1</t>
  </si>
  <si>
    <t>XD000145</t>
  </si>
  <si>
    <t>CIRCUITO PARA VENTILADOR ZOLL REF 820-0106-00</t>
  </si>
  <si>
    <t>XT000094</t>
  </si>
  <si>
    <t xml:space="preserve">STOCK TERAPIA URGENCIAS                                   </t>
  </si>
  <si>
    <t xml:space="preserve">CARRO DE PARO URGENCIAS                           </t>
  </si>
  <si>
    <t>2 ml / 2 ml</t>
  </si>
  <si>
    <t>MIDAZOLAM 2mg / 2ml solucion inyactable</t>
  </si>
  <si>
    <t>1M1006621004100</t>
  </si>
  <si>
    <t>20055559-1</t>
  </si>
  <si>
    <t>20055558-8</t>
  </si>
  <si>
    <t>SODIO CLORURO 0.9 % Solución inyectable x 100 ml</t>
  </si>
  <si>
    <t>20055558-1</t>
  </si>
  <si>
    <t>19947844-07</t>
  </si>
  <si>
    <t xml:space="preserve">ALMACEN  GENERAL                                         </t>
  </si>
  <si>
    <t xml:space="preserve">GUANTES DE CAUCHO MANGA LARGA </t>
  </si>
  <si>
    <t>AA000160</t>
  </si>
  <si>
    <t>INSECTICIDA RAID</t>
  </si>
  <si>
    <t>AA000159</t>
  </si>
  <si>
    <t>AZUL DE METILENO FRASCO 30 ML</t>
  </si>
  <si>
    <t>AA000158</t>
  </si>
  <si>
    <t>BOLSA 40X60 IMPRESA CON CORDON PARA CUSTODIA</t>
  </si>
  <si>
    <t>AA000156</t>
  </si>
  <si>
    <t>QUINEUTRIM X 3750 CC</t>
  </si>
  <si>
    <t>AA000155</t>
  </si>
  <si>
    <t>ESPONJA ENJABONADA DESECHABLE PQT  (BEGOBANO)</t>
  </si>
  <si>
    <t>AA000148</t>
  </si>
  <si>
    <t>ROLLO DE PAÑOS WYPALL 60X200 MTS</t>
  </si>
  <si>
    <t>AA000133</t>
  </si>
  <si>
    <t>REMOVEDOR DE ESMALTE</t>
  </si>
  <si>
    <t>AA000132</t>
  </si>
  <si>
    <t>ATOMIZADOR PARA FRASCO X UND</t>
  </si>
  <si>
    <t>AA000130</t>
  </si>
  <si>
    <t>QUIRUGER PLUS X 1000 CC REF QP1000</t>
  </si>
  <si>
    <t>AA000121</t>
  </si>
  <si>
    <t>ALCOHOL ANTISEPTICO AL 70 % FRASCO 700 ML</t>
  </si>
  <si>
    <t>AA000119</t>
  </si>
  <si>
    <t>GLUCONATO DE CLORHEXIDINA SIN IPA  FCO. X 1000 MLS</t>
  </si>
  <si>
    <t>AA000116</t>
  </si>
  <si>
    <t>ACEITE MINERAL</t>
  </si>
  <si>
    <t>AA000111</t>
  </si>
  <si>
    <t>SUPRAGEL X 500 MLS FRASCO</t>
  </si>
  <si>
    <t>AA000108</t>
  </si>
  <si>
    <t>ISODINE SOLUCION FRASCO 60 CC</t>
  </si>
  <si>
    <t>AA000107</t>
  </si>
  <si>
    <t>QUIRUGER  GALON (GLUTARALDEHIDO)</t>
  </si>
  <si>
    <t>AA000106</t>
  </si>
  <si>
    <t>ENDOZIME DETERGENTE ENZIMATICO (ENDOZIME)</t>
  </si>
  <si>
    <t>AA000100</t>
  </si>
  <si>
    <t xml:space="preserve">KIT DE ASEO PERSONAL </t>
  </si>
  <si>
    <t>AA000092</t>
  </si>
  <si>
    <t>MICROPORE PIEL 2 PULGADAS X 6 CINTAS</t>
  </si>
  <si>
    <t>AA000089</t>
  </si>
  <si>
    <t>MICROPORE PIEL 1 PULGADA X 12 CINTAS</t>
  </si>
  <si>
    <t>AA000088</t>
  </si>
  <si>
    <t>ESPARADRAPO 2-4PULGADAS .X 10M ROLLO HOSPITALARIO</t>
  </si>
  <si>
    <t>AA000087</t>
  </si>
  <si>
    <t>BACCIDINE SOLUCION X 15 CC</t>
  </si>
  <si>
    <t>AA000084</t>
  </si>
  <si>
    <t>JABON PARA PACIENTE-BARRA INDIVIDUAL X280 U.</t>
  </si>
  <si>
    <t>AA000083</t>
  </si>
  <si>
    <t>ISODINE ESPUMA-JABON   FRASCO 60 CC</t>
  </si>
  <si>
    <t>AA000082</t>
  </si>
  <si>
    <t>PETROLATO BLANCO (VASELINA PURA) 100% UNGUENTO TOPICO POTE X</t>
  </si>
  <si>
    <t>AA000047</t>
  </si>
  <si>
    <t>CLORHEXIDINA DIGLUCONATO 0.2 G  (CLORHEXOL) X180 ML ENJUAGE</t>
  </si>
  <si>
    <t>AA000046</t>
  </si>
  <si>
    <t>GLUCONATO DE CLORHEXIDINA 4%  0.05%   X 30ML SOLUCION</t>
  </si>
  <si>
    <t>AA000044</t>
  </si>
  <si>
    <t>GLUCONATO DE ClORHEXIDINA 4%  0.05% JABON  X 30 ML</t>
  </si>
  <si>
    <t>AA000043</t>
  </si>
  <si>
    <t>GLUCONATO DE CLORHEXIDINA 4%  0.05% SOLUCION TOPICA FRASCO X 15 ML</t>
  </si>
  <si>
    <t>AA000042</t>
  </si>
  <si>
    <t>GLUCONATO DE CLORHEXIDINA 4%  1% JABON LIQUIDO FRASCO X 15 ML</t>
  </si>
  <si>
    <t>AA000041</t>
  </si>
  <si>
    <t>CONTENEDOR CORTOPUNZANTE 9.40 LT</t>
  </si>
  <si>
    <t>AA000038</t>
  </si>
  <si>
    <t>CONTENEDOR RECOLECTOR DE CORTOPUNZANTES 0.3 LTS REF B405700</t>
  </si>
  <si>
    <t>AA000037</t>
  </si>
  <si>
    <t>BOLSA PRECORTE 10'*16'TRANSP.</t>
  </si>
  <si>
    <t>AA000032</t>
  </si>
  <si>
    <t>BACTILOTION BG JABON ANTIBACTERIAL PARA MANOS</t>
  </si>
  <si>
    <t>AA000004</t>
  </si>
  <si>
    <t xml:space="preserve">SOPORTE DE PARED PARA CANISTER </t>
  </si>
  <si>
    <t>AM000389</t>
  </si>
  <si>
    <t>CINTA METRICA RETRACTIL</t>
  </si>
  <si>
    <t>AM000387</t>
  </si>
  <si>
    <t>TALLIMETRO EN ACRILICO</t>
  </si>
  <si>
    <t>AM000386</t>
  </si>
  <si>
    <t>APOYA BRAZOS PARA SILLA DE RUEDAS X PAR</t>
  </si>
  <si>
    <t>AM000384</t>
  </si>
  <si>
    <t>MANGO DE EMPUJE  PARA SILLA DE RUEDAS</t>
  </si>
  <si>
    <t>AM000383</t>
  </si>
  <si>
    <t xml:space="preserve">CABLE ECG COMPLETO TRONCAL Y LEADS 3 DERI. GENERAL ELEC. </t>
  </si>
  <si>
    <t>AM000382</t>
  </si>
  <si>
    <t>RAMAL CABLE EKG ELECTROCARDIOGRAFO  PHILLIPS TC-30 REF 989803151631</t>
  </si>
  <si>
    <t>AM000380</t>
  </si>
  <si>
    <t>RAMAL EKG ELECTROCARDIOGRAFO MINDRAY TIPO BANANA R3YR12</t>
  </si>
  <si>
    <t>AM000379</t>
  </si>
  <si>
    <t>GRAMURIO X UND</t>
  </si>
  <si>
    <t>AM000378</t>
  </si>
  <si>
    <t>TUBO ELASTICO VERDE/ROJO/AMARILLO X MT</t>
  </si>
  <si>
    <t>AM000376</t>
  </si>
  <si>
    <t>SENSORES DE HUMO</t>
  </si>
  <si>
    <t>AM000372</t>
  </si>
  <si>
    <t>TUBOS DE INYECCION OLYMPUS REF MH-946</t>
  </si>
  <si>
    <t>AM000370</t>
  </si>
  <si>
    <t>HOJA VIDEO LARINGOSCOPIO VL3D DESECHABLE</t>
  </si>
  <si>
    <t>AM000368</t>
  </si>
  <si>
    <t>VALVULA EXHALATORIA REF 3365R1V</t>
  </si>
  <si>
    <t>AM000366</t>
  </si>
  <si>
    <t>CINTA KINESIOLOGICA TAPING 5CM X 5 MTS</t>
  </si>
  <si>
    <t>AM000365</t>
  </si>
  <si>
    <t>PAQUETE EN LONA CERVICALES 60X17</t>
  </si>
  <si>
    <t>AM000362</t>
  </si>
  <si>
    <t>PAQUETE FRIO CALOR BUFANDA 15X70CM</t>
  </si>
  <si>
    <t>AM000361</t>
  </si>
  <si>
    <t>PLASTILINA TERAPEUTICA X LIBRA</t>
  </si>
  <si>
    <t>AM000360</t>
  </si>
  <si>
    <t>TAPON CANAL TRABAJO BIOPSIA ENDOSCOPIO</t>
  </si>
  <si>
    <t>AM000359</t>
  </si>
  <si>
    <t>BATERIA PARA MONITOR B650 MARCA GE REF DM2036984-001</t>
  </si>
  <si>
    <t>AM000358</t>
  </si>
  <si>
    <t>PINZA ADSON SIN GARRA</t>
  </si>
  <si>
    <t>AM000355</t>
  </si>
  <si>
    <t>RECIPIENTE 3000 ML  CANISTER</t>
  </si>
  <si>
    <t>AM000353</t>
  </si>
  <si>
    <t>RECIPIENTE 2000 ML  CANISTER</t>
  </si>
  <si>
    <t>AM000352</t>
  </si>
  <si>
    <t>CELDA DE OXIGENO PARA VENTILADOR 900/300 REF MAX-12</t>
  </si>
  <si>
    <t>AM000344</t>
  </si>
  <si>
    <t>O-RING PARA VAPORIZADOR M. A. OHMEDA REF D01102-3043-000</t>
  </si>
  <si>
    <t>AM000342</t>
  </si>
  <si>
    <t>PILA 2032 PARA GLUCOMETRO</t>
  </si>
  <si>
    <t>AM000341</t>
  </si>
  <si>
    <t>DISECTOR LAPAROSCOPICO EN LINEA 5 X 35 CM   REF CY010</t>
  </si>
  <si>
    <t>AM000340</t>
  </si>
  <si>
    <t>PINZA YASARGIL BIPOLAR REF 80-752-20</t>
  </si>
  <si>
    <t>AM000337</t>
  </si>
  <si>
    <t>MANGUERA P/COMPRESOR  REF 9528 CARDINAL</t>
  </si>
  <si>
    <t>AM000335</t>
  </si>
  <si>
    <t>CABLE  DE ECG INTERFAZ PARA MSV MINDRAY</t>
  </si>
  <si>
    <t>AM000334</t>
  </si>
  <si>
    <t>SET JUEGO DE TUBERIAS CON FILTRO PAR REF GS1016</t>
  </si>
  <si>
    <t>AM000331</t>
  </si>
  <si>
    <t>GRAMERA DIGITAL CAPACIDAD 50 G</t>
  </si>
  <si>
    <t>AM000330</t>
  </si>
  <si>
    <t>BOQUILLA DE GASTRO DESECHABLE</t>
  </si>
  <si>
    <t>AM000328</t>
  </si>
  <si>
    <t>ESPECULO DESECHABLE PARA OTOSCOPIO REF 24400U</t>
  </si>
  <si>
    <t>AM000327</t>
  </si>
  <si>
    <t>ESCALPELO 20.5 FR HEMICICLO</t>
  </si>
  <si>
    <t>AM000325</t>
  </si>
  <si>
    <t>CABLE BIPOLAR EN SILICONA 3 MT</t>
  </si>
  <si>
    <t>AM000324</t>
  </si>
  <si>
    <t>COJIN INFLABLE PARA PACIENTE</t>
  </si>
  <si>
    <t>AM000312</t>
  </si>
  <si>
    <t>BOMBILLO 03000 PARA EQUIPO DE ORGANOS</t>
  </si>
  <si>
    <t>AM000311</t>
  </si>
  <si>
    <t>CABLE TRONCAL ECG PHILIPS REF 989803151651</t>
  </si>
  <si>
    <t>AM000303</t>
  </si>
  <si>
    <t>SENSOR DE TEMPERATURA TIPO PIEL PHILIPS</t>
  </si>
  <si>
    <t>AM000302</t>
  </si>
  <si>
    <t>AMBU RESUCITADOR REUSABLE NEONATAL-PEDIATRICO</t>
  </si>
  <si>
    <t>AM000301</t>
  </si>
  <si>
    <t>BOMBILLO TIPO CAMPANA 15 V X 150W</t>
  </si>
  <si>
    <t>AM000299</t>
  </si>
  <si>
    <t>BANDA ELASTICA THERABAND VERDE/AZUL/ROJO  X METRO</t>
  </si>
  <si>
    <t>AM000297</t>
  </si>
  <si>
    <t>INDICADOR BIOLOGICO SUPER RAPIDO VAPOR 1  HORA REF1492V-CN</t>
  </si>
  <si>
    <t>AM000296</t>
  </si>
  <si>
    <t>PRUEBAS SUPER  RAPIDO  VAPOR 3M REF 41482VF CAJA X 24</t>
  </si>
  <si>
    <t>AM000295</t>
  </si>
  <si>
    <t>BATERIA GENERICA PARA DESFIBRILADOR</t>
  </si>
  <si>
    <t>AM000287</t>
  </si>
  <si>
    <t>FILTRO PARA CANISTER MAQUINA AESPIRE G.E REF 861407-3201-000 G.BARCO</t>
  </si>
  <si>
    <t>AM000282</t>
  </si>
  <si>
    <t>JUEGO DE CHUPAS ADULTO PARA ELECTROCARDIOGRAFO</t>
  </si>
  <si>
    <t>AM000280</t>
  </si>
  <si>
    <t>SENSOR SPO2 ADULTO  MINDRAY LARGO</t>
  </si>
  <si>
    <t>AM000279</t>
  </si>
  <si>
    <t>PINZA TORNILLO ADULTO JUEGO X 4</t>
  </si>
  <si>
    <t>AM000278</t>
  </si>
  <si>
    <t>TRAMPA DE AGUA DRAGER WATERLOCK2  REF 6872130</t>
  </si>
  <si>
    <t>AM000277</t>
  </si>
  <si>
    <t>BISTURI INDUSTRIAL</t>
  </si>
  <si>
    <t>AM000276</t>
  </si>
  <si>
    <t>SOCKET LARINGO CON BOMBILLO WELCH ALLYN REF 608125-501</t>
  </si>
  <si>
    <t>AM000270</t>
  </si>
  <si>
    <t>BOMBILLO WELCH ALLYN REF 03100</t>
  </si>
  <si>
    <t>AM000264</t>
  </si>
  <si>
    <t>TRAMPA DE AGUA D-FEND HEMBRA/NEGRA CO2 GE REF 876446-HEL</t>
  </si>
  <si>
    <t>AM000257</t>
  </si>
  <si>
    <t>CONECTOR PLASTICO DE NIBP PARA BRAZALETE REF BM9054</t>
  </si>
  <si>
    <t>AM000238</t>
  </si>
  <si>
    <t>FONENDOSCOPIO REF BK3007</t>
  </si>
  <si>
    <t>AM000237</t>
  </si>
  <si>
    <t>PAPEL PARA IMPRIMR STERIS V REF 93914-204</t>
  </si>
  <si>
    <t>AM000235</t>
  </si>
  <si>
    <t>PAPEL CREPADO 60 GR (60CMX100MTS) REF PECR002</t>
  </si>
  <si>
    <t>AM000234</t>
  </si>
  <si>
    <t>CONECTOR EN T DE 2 "</t>
  </si>
  <si>
    <t>AM000230</t>
  </si>
  <si>
    <t>TELA NOVOTEX DE 100 * 100</t>
  </si>
  <si>
    <t>AM000229</t>
  </si>
  <si>
    <t>VAPROX HC 15*3 PEROXIDO 59% REFPB011</t>
  </si>
  <si>
    <t>AM000228</t>
  </si>
  <si>
    <t>INDICADOR CLASE IV PEROXIDO REF 4500002012 VH202</t>
  </si>
  <si>
    <t>AM000227</t>
  </si>
  <si>
    <t>INDICADOR TIRAS MULTIPARAMETROS VAPOR REF RS 1250</t>
  </si>
  <si>
    <t>AM000226</t>
  </si>
  <si>
    <t>INDICADOR TIRAS MULTIPARAMETROS GAS EO REF RS 1251</t>
  </si>
  <si>
    <t>AM000224</t>
  </si>
  <si>
    <t>INFUSOR DE 1000ML REUSABLE REF  5275</t>
  </si>
  <si>
    <t>AM000220</t>
  </si>
  <si>
    <t>PAPEL GRADO MEDICO PLANO 15CM</t>
  </si>
  <si>
    <t>AM000219</t>
  </si>
  <si>
    <t>PAPEL GRADO MEDICO PLANO X 7.5CM</t>
  </si>
  <si>
    <t>AM000218</t>
  </si>
  <si>
    <t>PAPEL GRADO MEDICO CON FUELLE 38.8CM</t>
  </si>
  <si>
    <t>AM000217</t>
  </si>
  <si>
    <t>PAPEL GRADO MEDICO CON FUELLE X 25 CMS</t>
  </si>
  <si>
    <t>AM000216</t>
  </si>
  <si>
    <t>OXIDO DE ETILENO CAPSULA REF. 4-100</t>
  </si>
  <si>
    <t>AM000215</t>
  </si>
  <si>
    <t>INDICADOR BIOLOGICO  GAS RAPID READ 3M REF 1294 CAJA X 50</t>
  </si>
  <si>
    <t>AM000214</t>
  </si>
  <si>
    <t>MASCARA PARA  ANESTESIA  N§</t>
  </si>
  <si>
    <t>AM000212</t>
  </si>
  <si>
    <t>PRUEBA BOWIE DICK 3M REF 135LF CAJA X 30 HOJAS</t>
  </si>
  <si>
    <t>AM000211</t>
  </si>
  <si>
    <t>INDICADOR BIOLOGICO  DE LECTURA RAPIDA   VAPOR REF 1292</t>
  </si>
  <si>
    <t>AM000210</t>
  </si>
  <si>
    <t>CINTA CONTROL QUIMICO PARA PEROXIDO H202 REF 00PCC071</t>
  </si>
  <si>
    <t>AM000208</t>
  </si>
  <si>
    <t>CINTA CONTROL A VAPOR</t>
  </si>
  <si>
    <t>AM000205</t>
  </si>
  <si>
    <t>CINTA CONTROL A GAS</t>
  </si>
  <si>
    <t>AM000204</t>
  </si>
  <si>
    <t>CAL SODADA INTERSORB  X 4.5 KG</t>
  </si>
  <si>
    <t>AM000203</t>
  </si>
  <si>
    <t>RESERVORIO DESECHABLE PARA OXIGENO ADULTO-AMBU</t>
  </si>
  <si>
    <t>AM000202</t>
  </si>
  <si>
    <t>PAPEL PARA EQUIPO STERIVAC REF 1217</t>
  </si>
  <si>
    <t>AM000200</t>
  </si>
  <si>
    <t>ROLLO PLANO DE 38 CM * 70 METROS -TYVEK</t>
  </si>
  <si>
    <t>AM000197</t>
  </si>
  <si>
    <t>ROLLO PLANO DE 15CM * 100 MTS TYVEK</t>
  </si>
  <si>
    <t>AM000196</t>
  </si>
  <si>
    <t>CIRCUITO DE ANESTESIA X 2 LITROS</t>
  </si>
  <si>
    <t>AM000195</t>
  </si>
  <si>
    <t>ROLLO PLANO DE 25 CM * 100METROS -TYVEK</t>
  </si>
  <si>
    <t>AM000194</t>
  </si>
  <si>
    <t>ROLLO PLANO DE 7.5CM *100 MT  TYVEK</t>
  </si>
  <si>
    <t>AM000193</t>
  </si>
  <si>
    <t>TRAMPA DE  AGUA PARA MODULOS E-SCAIO DATEX OHMEDA REF M1182629</t>
  </si>
  <si>
    <t>AM000187</t>
  </si>
  <si>
    <t>GAFAS PROTECCION  PLASTICAS</t>
  </si>
  <si>
    <t>AM000185</t>
  </si>
  <si>
    <t>SOPORTE PARA CONTEN.CORTO(GUARDIAN)</t>
  </si>
  <si>
    <t>AM000181</t>
  </si>
  <si>
    <t>TAPAOIDOS X PQT</t>
  </si>
  <si>
    <t>AM000175</t>
  </si>
  <si>
    <t>LATIGUILLOS PARA CABLE ECG  GE MODELO B650</t>
  </si>
  <si>
    <t>AM000173</t>
  </si>
  <si>
    <t>HOJA REPUESTO BISTURI</t>
  </si>
  <si>
    <t>AM000171</t>
  </si>
  <si>
    <t>BOMBILLO 23V 100W CON ALETAS</t>
  </si>
  <si>
    <t>AM000152</t>
  </si>
  <si>
    <t>AMARRES PLASTICO CARRO DE PARO</t>
  </si>
  <si>
    <t>AM000149</t>
  </si>
  <si>
    <t>REPUESTO PEDAL PARA CANECA DE 20 LITROS</t>
  </si>
  <si>
    <t>AM000144</t>
  </si>
  <si>
    <t>BOMBILLO 24 V 100W  SIN ALETAS</t>
  </si>
  <si>
    <t>AM000143</t>
  </si>
  <si>
    <t>LATIGUILLO 3 DERIVADAS NIHON KODEN REF TCMKB3-90P   M398</t>
  </si>
  <si>
    <t>AM000135</t>
  </si>
  <si>
    <t>LATIGUILLO DE 3 DERIVADAS MARQUETTE</t>
  </si>
  <si>
    <t>AM000134</t>
  </si>
  <si>
    <t>BOMBILLO WELCH ALLYN REF.2800 EQUIPO DE ORGANOS</t>
  </si>
  <si>
    <t>AM000127</t>
  </si>
  <si>
    <t>CANDADO PEQUE¤O</t>
  </si>
  <si>
    <t>AM000120</t>
  </si>
  <si>
    <t>BOMBILLO LARINGOSCOPIO WELCHALLYN REF 06000</t>
  </si>
  <si>
    <t>AM000119</t>
  </si>
  <si>
    <t>BOMBILLO HALOGENO 33V-235W</t>
  </si>
  <si>
    <t>AM000111</t>
  </si>
  <si>
    <t>SILICONA BARRA  5/16"X10"</t>
  </si>
  <si>
    <t>AM000076</t>
  </si>
  <si>
    <t>BOMBILLO EQUIPO WELL ALLYN 03400</t>
  </si>
  <si>
    <t>AM000075</t>
  </si>
  <si>
    <t>PILA DOBLE AA</t>
  </si>
  <si>
    <t>AM000062</t>
  </si>
  <si>
    <t>PILA ALKACELL TRIPLE AAA</t>
  </si>
  <si>
    <t>AM000046</t>
  </si>
  <si>
    <t>SENSOR SPO2 MONITOR  OHMEDA REF TC410-121</t>
  </si>
  <si>
    <t>AM000032</t>
  </si>
  <si>
    <t>TRAMPA DE AGUA PARA MONITOR GENERAL ELECTRIC B650/MINDRAY REF 100-000080-00</t>
  </si>
  <si>
    <t>AM000031</t>
  </si>
  <si>
    <t>SENSOR DE SPO2 ADULTO NELLCOR CORTO</t>
  </si>
  <si>
    <t>AM000030</t>
  </si>
  <si>
    <t>BRAZALETE PARA NIBP PARA BARIATRICOS 2 VIAS Y UNA VIA</t>
  </si>
  <si>
    <t>AM000025</t>
  </si>
  <si>
    <t>SENSOR DE SPO2 MINDAY MEC 1200 Y BC 800  E058</t>
  </si>
  <si>
    <t>AM000022</t>
  </si>
  <si>
    <t>TRAMPAS DE AGUA PARA CAPNOGRAFIA G.E</t>
  </si>
  <si>
    <t>AM000020</t>
  </si>
  <si>
    <t>LINEA DE MUESTRA PARA CAPNOGRAFIA  MACHO-MACHO</t>
  </si>
  <si>
    <t>AM000019</t>
  </si>
  <si>
    <t>CABLE ECG NIHON KODEN REF TCNK-2509    E032</t>
  </si>
  <si>
    <t>AM000014</t>
  </si>
  <si>
    <t>MANILLA DE IDENTIFICACION PACIENTE</t>
  </si>
  <si>
    <t>AM000013</t>
  </si>
  <si>
    <t>PATO ORINAL EN ACERO INOXIDABLE</t>
  </si>
  <si>
    <t>AM000012</t>
  </si>
  <si>
    <t>PAPEL PARA DESFIBRILADOR HP MODEL.CODE MASTER REF 1005020</t>
  </si>
  <si>
    <t>AM000011</t>
  </si>
  <si>
    <t>INFUSOR DE 500 ML REUSABLE REF 5270</t>
  </si>
  <si>
    <t>AM000009</t>
  </si>
  <si>
    <t>NIPLE PARA OXIGENOTERAPIA</t>
  </si>
  <si>
    <t>AM000008</t>
  </si>
  <si>
    <t>BRAZALETE PNI ADULT.40401C 1 VIA UCI</t>
  </si>
  <si>
    <t>AM000007</t>
  </si>
  <si>
    <t>SENSOR DE FLUJO  VENT Y MAQ DE ANES DRAGEER REF 8403735-10</t>
  </si>
  <si>
    <t>AM000006</t>
  </si>
  <si>
    <t>PERA TENSIOMETRO</t>
  </si>
  <si>
    <t>AM000005</t>
  </si>
  <si>
    <t>BRAZALETE TENSIOMETRO 2 VIAS</t>
  </si>
  <si>
    <t>AM000001</t>
  </si>
  <si>
    <t xml:space="preserve">ALMOHADA COJIN PARA PRONACION CIRUGIA </t>
  </si>
  <si>
    <t>AR000053</t>
  </si>
  <si>
    <t>COLCHONETA PARA MESA CIRUGIA</t>
  </si>
  <si>
    <t>AR000045</t>
  </si>
  <si>
    <t>CORTINA ANTIFLUIDO EN TEXTILIA</t>
  </si>
  <si>
    <t>AR000044</t>
  </si>
  <si>
    <t>COLCHON ANTIESCARAS 90X190X15CM</t>
  </si>
  <si>
    <t>AR000043</t>
  </si>
  <si>
    <t>TOP MUJER X 1</t>
  </si>
  <si>
    <t>AR000042</t>
  </si>
  <si>
    <t>MEDIAS TODAS LA TALLAS</t>
  </si>
  <si>
    <t>AR000039</t>
  </si>
  <si>
    <t xml:space="preserve">CAMISETA UNISEX </t>
  </si>
  <si>
    <t>AR000038</t>
  </si>
  <si>
    <t>COMPRESAS ESTERIL REF 2242</t>
  </si>
  <si>
    <t>AR000037</t>
  </si>
  <si>
    <t>BATA CON CREMALLERA LABORATORIO</t>
  </si>
  <si>
    <t>AR000036</t>
  </si>
  <si>
    <t>BATA DESECHABLE MANGA LARGA</t>
  </si>
  <si>
    <t>AR000035</t>
  </si>
  <si>
    <t>PANTALON DE SUDADERA X 1</t>
  </si>
  <si>
    <t>AR000034</t>
  </si>
  <si>
    <t>ROPA INTERIOR UNISEX</t>
  </si>
  <si>
    <t>AR000033</t>
  </si>
  <si>
    <t>SABANA DESECHABLE 2.0 X 9.0</t>
  </si>
  <si>
    <t>AR000032</t>
  </si>
  <si>
    <t>PANTALONETA DESECHABLE HOMBRE</t>
  </si>
  <si>
    <t>AR000031</t>
  </si>
  <si>
    <t>PANTY DESECHABLE MUJER</t>
  </si>
  <si>
    <t>AR000030</t>
  </si>
  <si>
    <t>VESTIDO QUIRURGICO DESECHABLE (PIJAMA MEDICO)</t>
  </si>
  <si>
    <t>AR000029</t>
  </si>
  <si>
    <t>COMPRESAS NO ESTERIL</t>
  </si>
  <si>
    <t>AR000006</t>
  </si>
  <si>
    <t>FORRO PARA COLCHON CON CREMALLERA 102X206X18 CM</t>
  </si>
  <si>
    <t>AR000002</t>
  </si>
  <si>
    <t>FORRO PARA COLCHONETA CON CREMALLERA 57X177X8CM</t>
  </si>
  <si>
    <t>AR000001</t>
  </si>
  <si>
    <t xml:space="preserve">PANTALON ANTIFLUIDO AZUL </t>
  </si>
  <si>
    <t>AD000059</t>
  </si>
  <si>
    <t>CAJA DE TORNIQUETES X 25CMS REF 367203</t>
  </si>
  <si>
    <t>AD000058</t>
  </si>
  <si>
    <t>SEMIMASCARA CONFORT 2 LT M6400</t>
  </si>
  <si>
    <t>AD000057</t>
  </si>
  <si>
    <t>KIT DE 2 DISCOS FILTRANTES SERIE M600</t>
  </si>
  <si>
    <t>AD000056</t>
  </si>
  <si>
    <t>CASCO ANTIRUIDO CON OREJERAS</t>
  </si>
  <si>
    <t>AD000055</t>
  </si>
  <si>
    <t>IMPERMEABLE PANTALON Y CHAQUETA</t>
  </si>
  <si>
    <t>AD000053</t>
  </si>
  <si>
    <t>RODILLERA EN GEL  X PAR</t>
  </si>
  <si>
    <t>AD000052</t>
  </si>
  <si>
    <t>CAMISA JEAN MANTENIMIENTO</t>
  </si>
  <si>
    <t>AD000045</t>
  </si>
  <si>
    <t>PANTALON JEAN MANTENIMIENTO</t>
  </si>
  <si>
    <t>AD000044</t>
  </si>
  <si>
    <t>BOTAS DE CAUCHO PUNTA DE ACERO</t>
  </si>
  <si>
    <t>AD000042</t>
  </si>
  <si>
    <t>BATA MANGA LARGA EN TELA DONACION S.S.</t>
  </si>
  <si>
    <t>AD000041</t>
  </si>
  <si>
    <t>MONOGAFAS DE PROTECCION ERGONOMICAS</t>
  </si>
  <si>
    <t>AD000034</t>
  </si>
  <si>
    <t>BOTA DIELECTRICA CON PUNTERA NEGRA</t>
  </si>
  <si>
    <t>AD000027</t>
  </si>
  <si>
    <t xml:space="preserve">OVEROL DOTACION </t>
  </si>
  <si>
    <t>AD000026</t>
  </si>
  <si>
    <t>GUANTES CARNAZA REFORZADOS</t>
  </si>
  <si>
    <t>AD000021</t>
  </si>
  <si>
    <t>UNIFORME COCINA CONBINADO 148</t>
  </si>
  <si>
    <t>AD000020</t>
  </si>
  <si>
    <t>GUANTE  VAQUETA TIPO INGENIERO</t>
  </si>
  <si>
    <t>AD000016</t>
  </si>
  <si>
    <t>UNIFORME AZUL OSCURO 141</t>
  </si>
  <si>
    <t>AD000014</t>
  </si>
  <si>
    <t>UNIFORME    ANTIFLUIDO COLORES VARIOS</t>
  </si>
  <si>
    <t>AD000013</t>
  </si>
  <si>
    <t>UNIFORME GRIS  OSCURO 150</t>
  </si>
  <si>
    <t>AD000011</t>
  </si>
  <si>
    <t>MALLAS  COCINA</t>
  </si>
  <si>
    <t>AD000009</t>
  </si>
  <si>
    <t>ZAPATO AZUL/NEGROEVACOL</t>
  </si>
  <si>
    <t>AD000007</t>
  </si>
  <si>
    <t>UNIFORME COLOR PASTRANA 148-1</t>
  </si>
  <si>
    <t>AD000003</t>
  </si>
  <si>
    <t>UNIFORME  AZUL PETROLEO 147</t>
  </si>
  <si>
    <t>AD000002</t>
  </si>
  <si>
    <t>VASO DE CARTON 9 ONZAS X 20 UND</t>
  </si>
  <si>
    <t>AC000025</t>
  </si>
  <si>
    <t>012</t>
  </si>
  <si>
    <t>VASOS DESECHABLES X 7 ONZAS-UNIDAD</t>
  </si>
  <si>
    <t>AC000020</t>
  </si>
  <si>
    <t>BOTELLON DE AGUA X 20 LITROS</t>
  </si>
  <si>
    <t>AC000019</t>
  </si>
  <si>
    <t>SERVILLETAS   CAJA   REF.7205</t>
  </si>
  <si>
    <t>AC000018</t>
  </si>
  <si>
    <t>VASO 3.5 ONZ TRANSPARENTE</t>
  </si>
  <si>
    <t>AC000010</t>
  </si>
  <si>
    <t>PAPEL PELICULA VINIPEL X 1500 METROS X 30CMS</t>
  </si>
  <si>
    <t>AC000001</t>
  </si>
  <si>
    <t>MANILLA POLIPROPILENO 1X10 TERMICO ROJA</t>
  </si>
  <si>
    <t>AP000186</t>
  </si>
  <si>
    <t>MANILLA POLIPROPILENO 1X10 TERMICO AZUL</t>
  </si>
  <si>
    <t>AP000185</t>
  </si>
  <si>
    <t>DIGITURNO ROLLO POR 3000 TICKETS</t>
  </si>
  <si>
    <t>AP000184</t>
  </si>
  <si>
    <t>COLORES</t>
  </si>
  <si>
    <t>AP000183</t>
  </si>
  <si>
    <t>LIBRETA DE RECIBOS DE CAJA  X 50 JUEGOS</t>
  </si>
  <si>
    <t>AP000177</t>
  </si>
  <si>
    <t>STICKERS BLANCOS 635X2.5 CM X HOJA  COCINA REF 3556</t>
  </si>
  <si>
    <t>AP000175</t>
  </si>
  <si>
    <t>STICKERS MARCACIONES TABLETERIA FARMACIA X HOJA REF 3521</t>
  </si>
  <si>
    <t>AP000173</t>
  </si>
  <si>
    <t>STICKERS MARCACION AMPOLLAS GRANDE X HOJA  REF 3510</t>
  </si>
  <si>
    <t>AP000172</t>
  </si>
  <si>
    <t>ETIQUETA LASA Y ALTO RIESGO GRANDE</t>
  </si>
  <si>
    <t>AP000168</t>
  </si>
  <si>
    <t>STICKER 25 X 55 MM  LABORATORIO</t>
  </si>
  <si>
    <t>AP000165</t>
  </si>
  <si>
    <t>PAPEL 80X20 PARA ELECTROCARDIOGRAFO MINDRAY MODELO R3</t>
  </si>
  <si>
    <t>AP000164</t>
  </si>
  <si>
    <t>CINTA PARA IMPRESORA ESTERILIZACION REF ERC-22 B   REF P150828440</t>
  </si>
  <si>
    <t>AP000163</t>
  </si>
  <si>
    <t>PERFORADORA INDUSTRIAL 100 HOJAS</t>
  </si>
  <si>
    <t>AP000156</t>
  </si>
  <si>
    <t>COSEDORA INDUSTRIAL DE 100 HOJAS</t>
  </si>
  <si>
    <t>AP000155</t>
  </si>
  <si>
    <t>MARCADOR BORRABLE</t>
  </si>
  <si>
    <t>AP000149</t>
  </si>
  <si>
    <t>CORRECTOR LIQUIDO LAPIZ</t>
  </si>
  <si>
    <t>AP000146</t>
  </si>
  <si>
    <t>CARPETA YUTE OFICIO SIN MEMBRETE</t>
  </si>
  <si>
    <t>AP000145</t>
  </si>
  <si>
    <t xml:space="preserve">STICKERS TARJETA DE IDENTIFICACION DE CONTROL MEDICAMENTO </t>
  </si>
  <si>
    <t>AP000143</t>
  </si>
  <si>
    <t>BANDA DE CAUCHO REF 22 X KILO</t>
  </si>
  <si>
    <t>AP000142</t>
  </si>
  <si>
    <t>LIBRO DE CONTABILIDAD DE 300 FOLIOS</t>
  </si>
  <si>
    <t>AP000141</t>
  </si>
  <si>
    <t>PAPEL PARA  ELECTROCARDIOGRAFO RESMA X 200  PHILIPS REF:31015</t>
  </si>
  <si>
    <t>AP000140</t>
  </si>
  <si>
    <t>PAPEL MINDRAY BENEHEARTH D3-D6 50X20</t>
  </si>
  <si>
    <t>AP000139</t>
  </si>
  <si>
    <t>PAPEL BOND IMPRESORA MATACHANA REFB 15 X 41602.3</t>
  </si>
  <si>
    <t>AP000138</t>
  </si>
  <si>
    <t>GANCHOS NODRIZA X1 UNIDADES-EAGLE</t>
  </si>
  <si>
    <t>AP000136</t>
  </si>
  <si>
    <t>IDENTIFICACION DE LLAVES PARA MARCAR</t>
  </si>
  <si>
    <t>AP000125</t>
  </si>
  <si>
    <t>TARJETAS DE CUMPLEAÑOS 13 CM TROQUELADAS</t>
  </si>
  <si>
    <t>AP000122</t>
  </si>
  <si>
    <t>STIKER REF.1070 AZUL/VERDE/ROJO</t>
  </si>
  <si>
    <t>AP000121</t>
  </si>
  <si>
    <t>CD-R 700MB TORRE POR 50 UNID.IMATIO</t>
  </si>
  <si>
    <t>AP000116</t>
  </si>
  <si>
    <t>BOLSILLO PARA CDS</t>
  </si>
  <si>
    <t>AP000115</t>
  </si>
  <si>
    <t>STICKERS PARA ROTULO DE EQUIPOS</t>
  </si>
  <si>
    <t>AP000114</t>
  </si>
  <si>
    <t>PASTA CATALOGO 3 HUECOS    TAMA¥O CARTA</t>
  </si>
  <si>
    <t>AP000112</t>
  </si>
  <si>
    <t>RECOMENDACIONES PACIENTES QUIRURGICOS</t>
  </si>
  <si>
    <t>AP000108</t>
  </si>
  <si>
    <t>GANCHOS METALICOS ESCARAPELAS</t>
  </si>
  <si>
    <t>AP000105</t>
  </si>
  <si>
    <t>REGLAS 30CM</t>
  </si>
  <si>
    <t>AP000103</t>
  </si>
  <si>
    <t>HUMEDECEDORES PARA DEDOS</t>
  </si>
  <si>
    <t>AP000101</t>
  </si>
  <si>
    <t>TINTA PARA SELLO</t>
  </si>
  <si>
    <t>AP000100</t>
  </si>
  <si>
    <t>TINTA CHINA NEGRA 30 CC</t>
  </si>
  <si>
    <t>AP000099</t>
  </si>
  <si>
    <t>TAJALAPICES</t>
  </si>
  <si>
    <t>AP000096</t>
  </si>
  <si>
    <t>PLANILLERO ACRILICO TAMA¥O OFICIO</t>
  </si>
  <si>
    <t>AP000095</t>
  </si>
  <si>
    <t>SOBRES MEMBRETEADOS</t>
  </si>
  <si>
    <t>AP000094</t>
  </si>
  <si>
    <t>CARPETA PLASTIFICADA CON BOLSILLO Y LOGO</t>
  </si>
  <si>
    <t>AP000092</t>
  </si>
  <si>
    <t>SACA GANCHOS COSEDORA</t>
  </si>
  <si>
    <t>AP000091</t>
  </si>
  <si>
    <t>RESMA PAPEL TAMA¤O OFICIO</t>
  </si>
  <si>
    <t>AP000087</t>
  </si>
  <si>
    <t>RESMA PAPEL TAMA¤O CARTA</t>
  </si>
  <si>
    <t>AP000086</t>
  </si>
  <si>
    <t>RESALTADORES</t>
  </si>
  <si>
    <t>AP000085</t>
  </si>
  <si>
    <t>REFUERZOS AUTOADHESIVOS</t>
  </si>
  <si>
    <t>AP000084</t>
  </si>
  <si>
    <t>FORMULARIO ORDEN MEDICA  MEDICAMENTOS DE CONTROL</t>
  </si>
  <si>
    <t>AP000083</t>
  </si>
  <si>
    <t>ARCHIVADOR AZ CARTA</t>
  </si>
  <si>
    <t>AP000080</t>
  </si>
  <si>
    <t>CALCULADORA TRULY</t>
  </si>
  <si>
    <t>AP000077</t>
  </si>
  <si>
    <t>PEGASTICK 40 GR</t>
  </si>
  <si>
    <t>AP000075</t>
  </si>
  <si>
    <t>ROLLO PAPEL-CONTAC TRANSPARENTE X METRO</t>
  </si>
  <si>
    <t>AP000073</t>
  </si>
  <si>
    <t>ROLLO PAPEL TERMICO DE 80*60M</t>
  </si>
  <si>
    <t>AP000070</t>
  </si>
  <si>
    <t>PAPEL CARBON CARTA</t>
  </si>
  <si>
    <t>AP000069</t>
  </si>
  <si>
    <t>MARCADOR SHARPIE PERMANENTE PUNTA FINA</t>
  </si>
  <si>
    <t>AP000061</t>
  </si>
  <si>
    <t>MARCADORE PERMANETE</t>
  </si>
  <si>
    <t>AP000060</t>
  </si>
  <si>
    <t>LAPICES NEGROS</t>
  </si>
  <si>
    <t>AP000058</t>
  </si>
  <si>
    <t>SEPARADORES PARA FOLDER</t>
  </si>
  <si>
    <t>AP000055</t>
  </si>
  <si>
    <t>GRAPAS COSEDORA STANDAR 26/6-GRAP23/08 PENMAX</t>
  </si>
  <si>
    <t>AP000054</t>
  </si>
  <si>
    <t>GANCHO LEGAJADOR</t>
  </si>
  <si>
    <t>AP000053</t>
  </si>
  <si>
    <t>CARTUCHO IMPRESORA HP662XL NEGRO- COLOR</t>
  </si>
  <si>
    <t>AP000052</t>
  </si>
  <si>
    <t>ESFEROS ROJOS</t>
  </si>
  <si>
    <t>AP000047</t>
  </si>
  <si>
    <t>ESFEROS NEGROS</t>
  </si>
  <si>
    <t>AP000046</t>
  </si>
  <si>
    <t>HUELLERO</t>
  </si>
  <si>
    <t>AP000044</t>
  </si>
  <si>
    <t>CUADERNO CUADRICULADO  PEQUE¥O</t>
  </si>
  <si>
    <t>AP000040</t>
  </si>
  <si>
    <t>CUADERNO ANILLADO CUADRICULADO GRAN</t>
  </si>
  <si>
    <t>AP000038</t>
  </si>
  <si>
    <t>COSEDORA RANK 690</t>
  </si>
  <si>
    <t>AP000037</t>
  </si>
  <si>
    <t>RESMA MEMBRETE CARTA (X500)</t>
  </si>
  <si>
    <t>AP000033</t>
  </si>
  <si>
    <t>CLIP WINGO*100(CAJA)</t>
  </si>
  <si>
    <t>AP000031</t>
  </si>
  <si>
    <t>CLIP MARIPOSA WINGO*50(CAJA)</t>
  </si>
  <si>
    <t>AP000030</t>
  </si>
  <si>
    <t>CINTA TRANSPARENTE</t>
  </si>
  <si>
    <t>AP000028</t>
  </si>
  <si>
    <t>ORDEN DE SALIDA</t>
  </si>
  <si>
    <t>AP000027</t>
  </si>
  <si>
    <t>CINTA DE ENMASCARAR 18MM X 40 M</t>
  </si>
  <si>
    <t>AP000023</t>
  </si>
  <si>
    <t>CINTA DE EMPAQUE</t>
  </si>
  <si>
    <t>AP000020</t>
  </si>
  <si>
    <t>CARPETAS COLGANTES PLASTIFICADAS</t>
  </si>
  <si>
    <t>AP000017</t>
  </si>
  <si>
    <t>DVD MATRIX  (CDPARA DVD)-R</t>
  </si>
  <si>
    <t>AP000016</t>
  </si>
  <si>
    <t>BORRADOR NATA</t>
  </si>
  <si>
    <t>AP000013</t>
  </si>
  <si>
    <t>MANUAL DE INFORMACION PARA PACIENTE Y ACOMPAÑANTE</t>
  </si>
  <si>
    <t>AP000011</t>
  </si>
  <si>
    <t>PROTECTOR TRANSPARENTE CARTA</t>
  </si>
  <si>
    <t>AP000009</t>
  </si>
  <si>
    <t>ARCHIVADOR-AZ OFICIO</t>
  </si>
  <si>
    <t>AP000008</t>
  </si>
  <si>
    <t>CEPILLO PARA LIMPIEZA  INSTRUMENTAL ENDO BRUSH REF 345EBS</t>
  </si>
  <si>
    <t>AM000323</t>
  </si>
  <si>
    <t>ELEMENTO DE CONSUMO</t>
  </si>
  <si>
    <t>003</t>
  </si>
  <si>
    <t>BRAZALETE REUSABLE 2 VIAS PEDIATRICO REF C6621</t>
  </si>
  <si>
    <t>AM000321</t>
  </si>
  <si>
    <t>BRAZALETE REUSABLE 2 VIAS INFANTE REF C6521</t>
  </si>
  <si>
    <t>AM000320</t>
  </si>
  <si>
    <t>BRAZALETE REUSABLE 1 VIA INFANTE  REF C6511</t>
  </si>
  <si>
    <t>AM000318</t>
  </si>
  <si>
    <t>VALVULA DE BIOPSIA CX</t>
  </si>
  <si>
    <t>AM000292</t>
  </si>
  <si>
    <t>SENSOR SP02 ADULTO PHILIPS REF M1191BL</t>
  </si>
  <si>
    <t>AM000288</t>
  </si>
  <si>
    <t>KIT BATERIAS EVITA INTERNAS EVITA 4 REF 8421988</t>
  </si>
  <si>
    <t>AM000285</t>
  </si>
  <si>
    <t>CARETA CON VISOR DONACION</t>
  </si>
  <si>
    <t>AD000028</t>
  </si>
  <si>
    <t>TINTURA DE BENJUI FRASCO X 30 ML</t>
  </si>
  <si>
    <t>AA000152</t>
  </si>
  <si>
    <t>VASELINA PURA 30 GRAMOS</t>
  </si>
  <si>
    <t>AA000151</t>
  </si>
  <si>
    <t>BOLSA PLASTICA AZUL COMPRESERO 80X100</t>
  </si>
  <si>
    <t>AA000134</t>
  </si>
  <si>
    <t>APLICADORES PQT X 2 UND</t>
  </si>
  <si>
    <t>XT000088</t>
  </si>
  <si>
    <t>POLAINA ANTIDESLIZANTE X PAR</t>
  </si>
  <si>
    <t>XD000276</t>
  </si>
  <si>
    <t>GUANTE DE  VINILO TALLA M-L X PAR</t>
  </si>
  <si>
    <t>XD000259</t>
  </si>
  <si>
    <t>TAPABOCAS DE ALTA EFICIENCIA N 95</t>
  </si>
  <si>
    <t>XD000153</t>
  </si>
  <si>
    <t>TAPABOCA DESECHABLE-FACE MASK *50 U.CX</t>
  </si>
  <si>
    <t>XD000152</t>
  </si>
  <si>
    <t>GORROS DESECHABLES-ENFERMERA-CIRUJANO *1 CX</t>
  </si>
  <si>
    <t>XD000056</t>
  </si>
  <si>
    <t>GASA ADESHIVA  FIXOMULL-10CM X1M STRETCH</t>
  </si>
  <si>
    <t>XA000034</t>
  </si>
  <si>
    <t>RECOMENDACIONES Y CUIDADOS POSQUIRUGICOS</t>
  </si>
  <si>
    <t>AP000182</t>
  </si>
  <si>
    <t xml:space="preserve">CONSIGNACIÓN CROSSWELL                         </t>
  </si>
  <si>
    <t xml:space="preserve">ALMACEN MEDICOQUIRURGICOS   </t>
  </si>
  <si>
    <t>VENDA ELASTICA 3 X 5 *1 UNIDAD</t>
  </si>
  <si>
    <t>XV000015</t>
  </si>
  <si>
    <t>VENDA DE YESO 6P.X 5Y-II RAPIDA *1</t>
  </si>
  <si>
    <t>XV000013</t>
  </si>
  <si>
    <t>VENDA DE YESO 5P.X 5Y-II RAPIDA *1</t>
  </si>
  <si>
    <t>XV000012</t>
  </si>
  <si>
    <t>VENDA DE GASA 6 X 5 *1 UNIDAD</t>
  </si>
  <si>
    <t>XV000009</t>
  </si>
  <si>
    <t>CANULA DE OXIGENO ADULTO 15 MT</t>
  </si>
  <si>
    <t>XT000102</t>
  </si>
  <si>
    <t>EXTENCION DE OXIGENO 2 METROS X UND</t>
  </si>
  <si>
    <t>XT000101</t>
  </si>
  <si>
    <t>CIRCUITO JACSON REES DE 2 LT</t>
  </si>
  <si>
    <t>XT000083</t>
  </si>
  <si>
    <t>NEBULIZADOR DE ALTO VOLUMEN CON ENTRADA</t>
  </si>
  <si>
    <t>XT000077</t>
  </si>
  <si>
    <t>TUBO ENDOBRONQUIAL 37 FR DERECHO / IZQUIERDO X 1</t>
  </si>
  <si>
    <t>XT000076</t>
  </si>
  <si>
    <t>CIRCUITO DE VENTILACION DOBLE RAMA</t>
  </si>
  <si>
    <t>XT000069</t>
  </si>
  <si>
    <t>TUBO ENDOTRAQUEAL #7.5 REFORZADO X5</t>
  </si>
  <si>
    <t>XT000055</t>
  </si>
  <si>
    <t>TUBO ENDOTRAQUEAL #7.0 REFORZADO X5</t>
  </si>
  <si>
    <t>XT000054</t>
  </si>
  <si>
    <t>TUBO ENDOTRAQUEAL # 5.5-C/B X1</t>
  </si>
  <si>
    <t>XT000044</t>
  </si>
  <si>
    <t>TUBO ENDOTRAQUEAL # 5.0-C/B X1</t>
  </si>
  <si>
    <t>XT000043</t>
  </si>
  <si>
    <t>TUBO ENDOTRAQUEAL # 4.0-C/B X1</t>
  </si>
  <si>
    <t>XT000041</t>
  </si>
  <si>
    <t>TUBO ENDOBRONQUIAL 35FR SIN CPAP IZQUIERDO/35FR</t>
  </si>
  <si>
    <t>XT000040</t>
  </si>
  <si>
    <t>TUBO DE TORAX # 36 *1 CATETER</t>
  </si>
  <si>
    <t>XT000039</t>
  </si>
  <si>
    <t>TUBO DE TORAX # 34 *1 CATETER</t>
  </si>
  <si>
    <t>XT000038</t>
  </si>
  <si>
    <t>TUBO DE TORAX # 28 *1 CATETER</t>
  </si>
  <si>
    <t>XT000035</t>
  </si>
  <si>
    <t>SISTEMA VENTILACIÓN BITRAC FULLFACE REF:3139010</t>
  </si>
  <si>
    <t>XT000031</t>
  </si>
  <si>
    <t>SISTEMA DE SUCCION Y RECOLECCION DE FLUIDOS LINER 1500 ML A 2000 ML</t>
  </si>
  <si>
    <t>XT000026</t>
  </si>
  <si>
    <t>MASCARA PARA TRAQUEOTOMIA ADULTO(1075)*1 AEROSOLTERAP</t>
  </si>
  <si>
    <t>XT000023</t>
  </si>
  <si>
    <t>MASCARA DE OXIGENO REF HS-MZ01XL</t>
  </si>
  <si>
    <t>XT000022</t>
  </si>
  <si>
    <t>HUMIDIFICADOR PARA OXIGENO  DESECHABLE(3230)BURBUJA X1 HUDSON</t>
  </si>
  <si>
    <t>XT000018</t>
  </si>
  <si>
    <t>CIRCUITO DE UNA SOLA RAMA CON FILTRO REF 5805000</t>
  </si>
  <si>
    <t>XT000014</t>
  </si>
  <si>
    <t>CIRCUITO ADULTO VENTILADOR X1 SET COMPLETO 1617</t>
  </si>
  <si>
    <t>XT000013</t>
  </si>
  <si>
    <t>CANULA PARA TRAQUEOTOMIA #8.0 X 1 PORTEX</t>
  </si>
  <si>
    <t>XT000008</t>
  </si>
  <si>
    <t>ADAPTADOR DE MOUNT CON CODO 90 GRADOS</t>
  </si>
  <si>
    <t>XT000001</t>
  </si>
  <si>
    <t>SISTEMA DE SELLADO DE VASOS PINZA LIGASURE LF 1923</t>
  </si>
  <si>
    <t>XS100153</t>
  </si>
  <si>
    <t>SUTURA QUIRURGICA ABSORBIBLE VICRYL RAPID 3/0   75CM  REF SV-425</t>
  </si>
  <si>
    <t>XS000171</t>
  </si>
  <si>
    <t>GRAPADORA CIRCULAR HEMORROIDAL  REF PPH03  33MM / HEM3348</t>
  </si>
  <si>
    <t>XS000167</t>
  </si>
  <si>
    <t>DISPOSITIVO DE CIERRE DE HERIDAS V-LOC 90 2-0 CV-21 REF. VLOCM0315</t>
  </si>
  <si>
    <t>XS000159</t>
  </si>
  <si>
    <t>TIJERA PARA LAPAROSCOPIA ENDO SHEARS 5 MM REF 176643 EPIX REF CB030</t>
  </si>
  <si>
    <t>XS000148</t>
  </si>
  <si>
    <t>SUTURA QUIRURGICA NO ABSORBIBLE SEDA PERMAHAND 3/0SSP53TS/A(SA84T) X3 DOCENAS</t>
  </si>
  <si>
    <t>XS000138</t>
  </si>
  <si>
    <t>SUTURA QUIRURGICA NO ABSORBIBLE SEDA PERMAHAND 3/0 K832H SH X3 DOCENAS</t>
  </si>
  <si>
    <t>XS000136</t>
  </si>
  <si>
    <t>SUTURA QUIRURGICA NO ABSORBIBLE SEDA PERMAHAND 3/0 622H KS X3 DOCENAS</t>
  </si>
  <si>
    <t>XS000135</t>
  </si>
  <si>
    <t>SUTURA QUIRURGICA NO ABSORBIBLE SEDA PERMAHAND 2/0 SSP54TS/A 85  SP420E</t>
  </si>
  <si>
    <t>XS000134</t>
  </si>
  <si>
    <t>SUTURA QUIRURGICA NO ABSORBIBLE SEDA PERMAHAND 2/0 K833H SH X3 DOCENAS</t>
  </si>
  <si>
    <t>XS000133</t>
  </si>
  <si>
    <t>SUTURA QUIRURGICA NO ABSORBIBLE SEDA PERMAHAND 0 SSP55TS/A(SA86T) X2 DOCENAS</t>
  </si>
  <si>
    <t>XS000130</t>
  </si>
  <si>
    <t>SUTURA QUIRURGICA NO ABSORBIBLE SEDA PERMAHAND 0 K834H SH X3 DOCENAS</t>
  </si>
  <si>
    <t>XS000129</t>
  </si>
  <si>
    <t>SUTURA QUIRURGICA MONOFILAMENTE ESTERIL SINTETICO NO ABSORBIBLE6/0 8726T C-1 X2 DOCENAS</t>
  </si>
  <si>
    <t>XS000127</t>
  </si>
  <si>
    <t>SUTURA QUIRURGICA MONOFILAMENTE ESTERIL SINTETICO NO ABSORBIBLE4/0(1382T E19)P8682TPS2 X2 DOCENAS</t>
  </si>
  <si>
    <t>XS000126</t>
  </si>
  <si>
    <t>SUTURA QUIRURGICA MONOFILAMENTE ESTERIL SINTETICO NO ABSORBIBLE1 CT-1 8425</t>
  </si>
  <si>
    <t>XS000124</t>
  </si>
  <si>
    <t>SUTURA QUIRURGICA MONOFILAMENTE ESTERIL SINTETICO NO ABSORBIBLE 5/0(1398T E13)P8698TP3 X2 DOCENAS</t>
  </si>
  <si>
    <t>XS000122</t>
  </si>
  <si>
    <t>SUTURA QUIRURGICA MONOFILAMENTE ESTERIL SINTETICO NO ABSORBIBLE 5/0(1386T E19)P8686TPS2 X2 DOCENAS</t>
  </si>
  <si>
    <t>XS000121</t>
  </si>
  <si>
    <t>SUTURA QUIRURGICA MONOFILAMENTE ESTERIL SINTETICO NO ABSORBIBLE 5/0 9556T RB1/RB1 X2 DOCENAS</t>
  </si>
  <si>
    <t>XS000120</t>
  </si>
  <si>
    <t>SUTURA QUIRURGICA MONOFILAMENTE ESTERIL SINTETICO NO ABSORBIBLE 3/0(1363T E24)P8663TPS X2 DOCENAS SP5663</t>
  </si>
  <si>
    <t>XS000118</t>
  </si>
  <si>
    <t>SUTURA QUIRURGICA MONOFILAMENTE ESTERIL SINTETICO NO ABSORBIBLE 3/0 8522T SH X2 DOCENAS C.V.</t>
  </si>
  <si>
    <t>XS000117</t>
  </si>
  <si>
    <t>SUTURA QUIRURGICA MONOFILAMENTE ESTERIL SINTETICO NO ABSORBIBLE 2/0-CT2 (8411T) X2 DOCENAS</t>
  </si>
  <si>
    <t>XS000116</t>
  </si>
  <si>
    <t>SUTURA QUIRURGICA MONOFILAMENTE ESTERIL SINTETICO NO ABSORBIBLE 2/0 8623H KS X3 DOCENAS</t>
  </si>
  <si>
    <t>XS000115</t>
  </si>
  <si>
    <t>SUTURA QUIRURGICA MONOFILAMENTE ESTERIL SINTETICO NO ABSORBIBLE 2/0 8423T CT-1 X2 DOCENAS</t>
  </si>
  <si>
    <t>XS000114</t>
  </si>
  <si>
    <t>SUTURA QUIRURGICA MONOFILAMENTE ESTERIL SINTETICO NO ABSORBIBLE 2/0 8185T SC-26 45CM X 2 DOCENAS</t>
  </si>
  <si>
    <t>XS000113</t>
  </si>
  <si>
    <t>SUTURA QUIRURGICA MONOFILAMENTE ESTERIL SINTETICO NO ABSORBIBLE REF O CT-1 8424</t>
  </si>
  <si>
    <t>XS000111</t>
  </si>
  <si>
    <t>SUTURA QUIRURGICA DE GLICONATO MONOFILAMENTO ABSORBIBLE MONOSYN 3/0 DS19 X 70CM REF. 23405</t>
  </si>
  <si>
    <t>XS000108</t>
  </si>
  <si>
    <t>SUTURA QUIRURGICA ABSORBIBLE VICRYL 6/0 J570G S-14 X1 DOCENA</t>
  </si>
  <si>
    <t>XS000104</t>
  </si>
  <si>
    <t>SUTURA QUIRURGICA ABSORBIBLE VICRYL 5/0(J113G-E13)JP493G-P3 X1DOCENA</t>
  </si>
  <si>
    <t>XS000102</t>
  </si>
  <si>
    <t>SUTURA QUIRURGICA ABSORBIBLE VICRYL 4/0 J304H RB-1 X3 DOCENAS</t>
  </si>
  <si>
    <t>XS000101</t>
  </si>
  <si>
    <t>SUTURA QUIRURGICA ABSORBIBLE VICRYL 3/0 J311H SH-1 X3 DOCENAS X70CM</t>
  </si>
  <si>
    <t>XS000100</t>
  </si>
  <si>
    <t>SUTURA QUIRURGICA ABSORBIBLE VICRYL 2/0 J345H CT-1 X3 DOCENAS</t>
  </si>
  <si>
    <t>XS000099</t>
  </si>
  <si>
    <t>SUTURA QUIRURGICA ABSORBIBLE VICRYL 2/0 J317H SH -GL123</t>
  </si>
  <si>
    <t>XS000098</t>
  </si>
  <si>
    <t>SUTURA QUIRURGICA ABSORBIBLE VICRYL 1 J335H CT-2 X3 DOCENAS</t>
  </si>
  <si>
    <t>XS000096</t>
  </si>
  <si>
    <t>SUTURA QUIRURGICA ABSORBIBLE VICRYL 0 J346H CT-1 -REF 924</t>
  </si>
  <si>
    <t>XS000095</t>
  </si>
  <si>
    <t>SUTURA NO ABSORBIBLEETHILON 9/0-2813-BV 130-4 (2808) X1 DOCENA</t>
  </si>
  <si>
    <t>XS000092</t>
  </si>
  <si>
    <t>SUTURA NO ABSORBIBLEETHILON 8/0 BV130-5 W2808 X13CM A/R X1 DOCENA</t>
  </si>
  <si>
    <t>XS000091</t>
  </si>
  <si>
    <t>SUTURA DE POLIESTERETHIBOND 2/0(B411H-CT1)B411H X3 DOCENAS</t>
  </si>
  <si>
    <t>XS000087</t>
  </si>
  <si>
    <t>SUTURA DE POLIESTER 0 ETHIBOND B412H CT-2 X3 DOCENAS</t>
  </si>
  <si>
    <t>XS000083</t>
  </si>
  <si>
    <t>SUTURA DE COLAGENO CROMADO CROMADO 4/0 G121T SH X2 DOCENAS</t>
  </si>
  <si>
    <t>XS000080</t>
  </si>
  <si>
    <t>SUTURA DE COLAGENO CROMADO CROMADO 2/0 G123T SH X2 DOCENAS</t>
  </si>
  <si>
    <t>XS000076</t>
  </si>
  <si>
    <t>SUTURA DE COLAGENO CROMADO CROMADO 2/0 923T CT-1 X2 DOCENAS</t>
  </si>
  <si>
    <t>XS000075</t>
  </si>
  <si>
    <t>SUTURA DE COLAGENO CROMADO CROMADO 1 925T CT-1 X2 DOCENAS</t>
  </si>
  <si>
    <t>XS000074</t>
  </si>
  <si>
    <t>SURGICEL FIBRILAR 4X4" 10.2 CM X 10.2 CM X 1  411963</t>
  </si>
  <si>
    <t>XS000069</t>
  </si>
  <si>
    <t>SUJECION ARTICULADA ENDO CLINCH II 5 MM GRASPER DE DIENTE REF 174317/17406 X 1 EPIX REF C4130</t>
  </si>
  <si>
    <t>XS000065</t>
  </si>
  <si>
    <t>SISTEMA DE SELLADO DE VASOS LIGASURE PRECISE LS-1200-1212</t>
  </si>
  <si>
    <t>XS000060</t>
  </si>
  <si>
    <t>RECARGA GIA 80 3.8 MM GI8038L X 1</t>
  </si>
  <si>
    <t>XS000051</t>
  </si>
  <si>
    <t>RECARGA ENDO GIA 45 MM ARTICULAR EGIA45AMT X 1</t>
  </si>
  <si>
    <t>XS000043</t>
  </si>
  <si>
    <t>POLIDIOXANONA SUTURA (CON/SIN AGUJA) PDS II 3/0 REF. Z316 SH X 3 DOCENAS</t>
  </si>
  <si>
    <t>XS000039</t>
  </si>
  <si>
    <t>POLIDIOXANONA SUTURA (CON/SIN AGUJA) PDS II 1 XLH REF. Z881H</t>
  </si>
  <si>
    <t>XS000038</t>
  </si>
  <si>
    <t>HEMOCLIP PLUS SMALL AMARILLO T125 CX12 CARTUCHOS</t>
  </si>
  <si>
    <t>XS000036</t>
  </si>
  <si>
    <t>HEMOCLIP PLUS MEDIUM AZUL T 125 C X 10 CARTUCHOS</t>
  </si>
  <si>
    <t>XS000034</t>
  </si>
  <si>
    <t>GRAPADORA PROTACK 5 MM REF. 174006 X 1</t>
  </si>
  <si>
    <t>XS000028</t>
  </si>
  <si>
    <t>GRAPADORA LINEAL CORTANTE GIA80-3.8 GIA8038S X 1</t>
  </si>
  <si>
    <t>XS000023</t>
  </si>
  <si>
    <t>GRAPADORA CORTANTE CURVA CONTOUR CS40G</t>
  </si>
  <si>
    <t>XS000016</t>
  </si>
  <si>
    <t>GRAPADORA CIRCULAR  CORTANTE EEA-28</t>
  </si>
  <si>
    <t>XS000012</t>
  </si>
  <si>
    <t>DISPOSITIVO DE LIGADURA  DE BANDAS MULTIPLES X 7 BANDAS</t>
  </si>
  <si>
    <t>XS000010</t>
  </si>
  <si>
    <t>DISPOSITIVO DE CIERRE DE HERIDAS V-LOC 180 3-0 CV-23 REF. VLOCL0604 X 1</t>
  </si>
  <si>
    <t>XS000008</t>
  </si>
  <si>
    <t>CERA OSEA.1029754 CAJA X 2 DOCENAS CERA HUESOS</t>
  </si>
  <si>
    <t>XS000005</t>
  </si>
  <si>
    <t xml:space="preserve">TORNIQUETE ANTI-HEMORRAGICO </t>
  </si>
  <si>
    <t>XO000059</t>
  </si>
  <si>
    <t>SISTEMA COMPRESION NEUMATICA INTERMITENTE TALLA XL</t>
  </si>
  <si>
    <t>XO000055</t>
  </si>
  <si>
    <t>COLLAR CERVICAL PHILADELPHIA PEDIATRICO UNIDAD</t>
  </si>
  <si>
    <t>XO000052</t>
  </si>
  <si>
    <t>FAJA LUMBAR TIPO CAMP TALLA M</t>
  </si>
  <si>
    <t>XO000050</t>
  </si>
  <si>
    <t>FERULA PARA DEDOS STAX  INMOVILIZADOR  DE 1 A 5</t>
  </si>
  <si>
    <t>XO000041</t>
  </si>
  <si>
    <t>COSTILLERO DAMA TALLA M</t>
  </si>
  <si>
    <t>XO000038</t>
  </si>
  <si>
    <t>FAJA LUMBAR TIPO CAMP TALLA L</t>
  </si>
  <si>
    <t>XO000037</t>
  </si>
  <si>
    <t>FAJA LUMBAR TIPO CAMP TALLA S</t>
  </si>
  <si>
    <t>XO000036</t>
  </si>
  <si>
    <t>BRACE DE TOBILLO ABIERTA TALLA XL</t>
  </si>
  <si>
    <t>XO000033</t>
  </si>
  <si>
    <t>TOBILLERA  ABIERTA TALLA M</t>
  </si>
  <si>
    <t>XO000032</t>
  </si>
  <si>
    <t>FERULA ORTOPEDICA DEDOS BASEBALL</t>
  </si>
  <si>
    <t>XO000031</t>
  </si>
  <si>
    <t>SISTEMA COMPRESION NEUMATICA INTERMITENTE TALLA S</t>
  </si>
  <si>
    <t>XO000028</t>
  </si>
  <si>
    <t>SISTEMA COMPRESION NEUMATICA INTERMITENTE TALLA M</t>
  </si>
  <si>
    <t>XO000027</t>
  </si>
  <si>
    <t>SISTEMA COMPRESION NEUMATICA INTERMITENTE  TALLA L</t>
  </si>
  <si>
    <t>XO000026</t>
  </si>
  <si>
    <t>MULETA AXILANTE PAR PARA MARCHA</t>
  </si>
  <si>
    <t>XO000024</t>
  </si>
  <si>
    <t>MEDIA ANTIEMBOLICA TALLA S  PAR MEDIA T.E.D.*6</t>
  </si>
  <si>
    <t>XO000023</t>
  </si>
  <si>
    <t>MEDIA ANTIEMBOLICA TALLA M PAR MEDIA T.E.D.*6</t>
  </si>
  <si>
    <t>XO000022</t>
  </si>
  <si>
    <t>MEDIA ANTIEMBOLICA TALLA L  PAR MEDIA T.E.D.*6</t>
  </si>
  <si>
    <t>XO000021</t>
  </si>
  <si>
    <t>MEDIA ANTIEMBOLICA  TALLA XXL  PAR MEDIA 3184LF X1</t>
  </si>
  <si>
    <t>XO000020</t>
  </si>
  <si>
    <t>INMOVILIZADOR HOMBRO M GRIS  BANDA</t>
  </si>
  <si>
    <t>XO000019</t>
  </si>
  <si>
    <t>INMOVILIZADOR HOMBRO L GRIS BANDA</t>
  </si>
  <si>
    <t>XO000018</t>
  </si>
  <si>
    <t>COLLAR CERVICAL TALLA S  BLANDO</t>
  </si>
  <si>
    <t>XO000014</t>
  </si>
  <si>
    <t>COLLAR CERVICAL TALLA M BLANDO</t>
  </si>
  <si>
    <t>XO000013</t>
  </si>
  <si>
    <t>COLLAR CERVICAL TALLA L  BLANDO</t>
  </si>
  <si>
    <t>XO000012</t>
  </si>
  <si>
    <t>COLLAR CERVICAL PHILADELPHIA M UNIDAD</t>
  </si>
  <si>
    <t>XO000010</t>
  </si>
  <si>
    <t>COLLAR CERVICAL PHILADELPHIA L UNIDAD</t>
  </si>
  <si>
    <t>XO000009</t>
  </si>
  <si>
    <t>CAMINADOR EN ALUMINIO MEDIGHAN</t>
  </si>
  <si>
    <t>XO000008</t>
  </si>
  <si>
    <t>CABESTRILLO ADULTO (3080) X1 BOLSA 3005</t>
  </si>
  <si>
    <t>XO000007</t>
  </si>
  <si>
    <t xml:space="preserve">BRACE MUNECA DERECHA/IZQUIERDA S </t>
  </si>
  <si>
    <t>XO000004</t>
  </si>
  <si>
    <t xml:space="preserve">BRACE MUNECA DERECHA/IZQUIERDA M </t>
  </si>
  <si>
    <t>XO000003</t>
  </si>
  <si>
    <t xml:space="preserve">BRACE MUNECA DERECHA/IZQUIERDA L </t>
  </si>
  <si>
    <t>XO000002</t>
  </si>
  <si>
    <t>CUCHILLA CLIPPER CIRUGIA GENERAL  B.D X 1 REF 4406</t>
  </si>
  <si>
    <t>XJ000020</t>
  </si>
  <si>
    <t>JERINGA PARA SONDAS CON ENFIT PARA NUTRICION ENTERAL  50 ML REF NCE50SEC</t>
  </si>
  <si>
    <t>XJ000019</t>
  </si>
  <si>
    <t>JERINGA PARA SONDAS CON ENFIT PARA NUTRICION ENTERAL  20 ML REF NCE20SEC</t>
  </si>
  <si>
    <t>XJ000018</t>
  </si>
  <si>
    <t>JERINGA PUNTA CATETER X60ML S/A 3PARTES X40 X1</t>
  </si>
  <si>
    <t>XJ000017</t>
  </si>
  <si>
    <t>JERINGA PARA  IRRIGACION DE BOLA X1 ASEPTO</t>
  </si>
  <si>
    <t>XJ000016</t>
  </si>
  <si>
    <t xml:space="preserve">AGUJA BIOPSIA TRUCUT 16GX16CM -2N2702X </t>
  </si>
  <si>
    <t>XG000046</t>
  </si>
  <si>
    <t>AGUJA PARA INYECCION CISTOSCOPIA WILLIAMS 5 FR REF 090001</t>
  </si>
  <si>
    <t>XG000045</t>
  </si>
  <si>
    <t>AGUJA PARA BIOPSIA SEMI AUTOMATICA 18X25 REF.MN1825</t>
  </si>
  <si>
    <t>XG000039</t>
  </si>
  <si>
    <t>AGUJA PERCUTANEA PARA CENTESIS REF G10100 OSC-4F-10 / OSC-5F-10</t>
  </si>
  <si>
    <t>XG000031</t>
  </si>
  <si>
    <t>TAPON LIBRE DE AGUJAS CLEARLINK</t>
  </si>
  <si>
    <t>XG000030</t>
  </si>
  <si>
    <t>HOJA BISTURI # 20 *100</t>
  </si>
  <si>
    <t>XG000029</t>
  </si>
  <si>
    <t>HOJA BISTURI # 12 *100</t>
  </si>
  <si>
    <t>XG000027</t>
  </si>
  <si>
    <t>AGUJA ESPINAL SPINOCAN G-22 X4 3/4-120MM *25 LARGO R.</t>
  </si>
  <si>
    <t>XG000025</t>
  </si>
  <si>
    <t>AGUJA ESPINAL SPINOCAN  G-27 X 3-1/2 X88MM X25U</t>
  </si>
  <si>
    <t>XG000024</t>
  </si>
  <si>
    <t>AGUJA ESPINAL SPINOCAN  G-22 X 3-1/2 X88MM X25U</t>
  </si>
  <si>
    <t>XG000021</t>
  </si>
  <si>
    <t>HOJA BISTURI # 11 *100</t>
  </si>
  <si>
    <t>XG000018</t>
  </si>
  <si>
    <t>AGUJA PARA ESTIMULACION NERVIOSA PERIFERICA STIMUPLEX CANULA G-22 X50MM 4894502 G-50 X25</t>
  </si>
  <si>
    <t>XG000011</t>
  </si>
  <si>
    <t>AGUJA HIPODERMICA  TIPO PEN CALIBRE 32</t>
  </si>
  <si>
    <t>XG000007</t>
  </si>
  <si>
    <t>AGUJA DESECHABLE # 21 G.X 1-1/2*100</t>
  </si>
  <si>
    <t>XG000004</t>
  </si>
  <si>
    <t>EQUIPO DE BOMBA ENTERAL PRIMARIO NUTRICION REF 14257</t>
  </si>
  <si>
    <t>XE000033</t>
  </si>
  <si>
    <t xml:space="preserve">SET EXTENCION MICROCLAVE DE DOS VIAS </t>
  </si>
  <si>
    <t>XE000032</t>
  </si>
  <si>
    <t>SET CONECTOR DE EXTENCION MICROCLAVE</t>
  </si>
  <si>
    <t>XE000031</t>
  </si>
  <si>
    <t>MICRONEBULIZADOR KIT NEONATAL</t>
  </si>
  <si>
    <t>XE000028</t>
  </si>
  <si>
    <t>TRANSDUCTOR DE PRESION 5200 DT-4812/6012 SENCILL</t>
  </si>
  <si>
    <t>XE000019</t>
  </si>
  <si>
    <t>MICRONEBULIZADOR ADULTO SET-1885 MASC+MANG.HUDSO</t>
  </si>
  <si>
    <t>XE000016</t>
  </si>
  <si>
    <t>KIT DE TRACCION CUTANEA ADULTO SENCILLO.</t>
  </si>
  <si>
    <t>XE000015</t>
  </si>
  <si>
    <t>EQUIPO PARA ADMINISTRACION DE PLAQUETAS</t>
  </si>
  <si>
    <t>XE000012</t>
  </si>
  <si>
    <t>EQUIPO FREEGO PUNZON REFS790  ENTERAL *30</t>
  </si>
  <si>
    <t>XE000011</t>
  </si>
  <si>
    <t>EQUIPO FREEGO BOLSA(S810) 1.5LITRO *30</t>
  </si>
  <si>
    <t>XE000010</t>
  </si>
  <si>
    <t>EQUIPO EN.Y.TUR PARA IRRIGACION-CAJA X60</t>
  </si>
  <si>
    <t>XE000009</t>
  </si>
  <si>
    <t>EQUIPO BURETROL 150ML (ARC2421) *40</t>
  </si>
  <si>
    <t>XE000006</t>
  </si>
  <si>
    <t xml:space="preserve">EQUIPO DE BOMBA PRIMARIO SANGUINEO REF 14211 </t>
  </si>
  <si>
    <t>XE000003</t>
  </si>
  <si>
    <t>EQUIPO ADMINISTRACION DE FLUIDOS TEMP REF 24200 3M</t>
  </si>
  <si>
    <t>XE000002</t>
  </si>
  <si>
    <t>MARCADOR QUIRURGICO ESTERIL VIOLETA</t>
  </si>
  <si>
    <t>XD000453</t>
  </si>
  <si>
    <t>KIT EN T AUTOSELLADO NEBULIZADOR REF 2609000</t>
  </si>
  <si>
    <t>XD000452</t>
  </si>
  <si>
    <t>BOLSA DE COLOSTOMIA NATURA 70MM REF 416422-416423/411806-421041</t>
  </si>
  <si>
    <t>XD000449</t>
  </si>
  <si>
    <t>BARRERA COLOSTOMIA NUTURA MOLDEABLE FLEXIBLE 70MM REF 411806-421041/416423-416422</t>
  </si>
  <si>
    <t>XD000446</t>
  </si>
  <si>
    <t>MALLA QUIRUGICA SUAVE DE 15CMX15CM REF 0117011</t>
  </si>
  <si>
    <t>XD000445</t>
  </si>
  <si>
    <t>MALLA 3D MAX  M BAJA DENSIDAD HERNIA DERECHA 7.9 X 13.4  REF 0117320</t>
  </si>
  <si>
    <t>XD000443</t>
  </si>
  <si>
    <t>MALLA 3D MAX M BAJA DENSIDAD HERNIA IZQUIERDA 7.9 X 13.4  REF 0117310</t>
  </si>
  <si>
    <t>XD000442</t>
  </si>
  <si>
    <t>MANTA TERMICA DE EMERGENCIA DESECHABLE</t>
  </si>
  <si>
    <t>XD000441</t>
  </si>
  <si>
    <t>TAMPON O.B</t>
  </si>
  <si>
    <t>XD000408</t>
  </si>
  <si>
    <t>SISTEMA DE STENT PANCREATICO 5 FR X 7 CM REF M00537530</t>
  </si>
  <si>
    <t>XD000347</t>
  </si>
  <si>
    <t>BOLSA DE DRENAJE PARA NEFROSTOMIA REF MDD600</t>
  </si>
  <si>
    <t>XD000336</t>
  </si>
  <si>
    <t>BRACE CON PULGAR EN ADUCCION</t>
  </si>
  <si>
    <t>XD000317</t>
  </si>
  <si>
    <t>PINZA PARA BIOPSIA 2.8MM X 160 CM REF M00513300</t>
  </si>
  <si>
    <t>XD000313</t>
  </si>
  <si>
    <t>PINZA PARA BIOPSIA 2.8MMX240CM   REF M00513320</t>
  </si>
  <si>
    <t>XD000312</t>
  </si>
  <si>
    <t>MALLA POLIPROPILENO HERNIA DERECHA  3D MAX  REF 0117321</t>
  </si>
  <si>
    <t>XD000305</t>
  </si>
  <si>
    <t xml:space="preserve">BOLSA PARA CADAVER </t>
  </si>
  <si>
    <t>XD000293</t>
  </si>
  <si>
    <t>CAMISA DE ACCESO URTERAL FELXOR 12FRX35 CM REF FUS120035</t>
  </si>
  <si>
    <t>XD000290</t>
  </si>
  <si>
    <t>GUIA SENSOR DUAL FLEX 0.35 PUNTA RECTA   LONG 150 CM</t>
  </si>
  <si>
    <t>XD000286</t>
  </si>
  <si>
    <t>STENTS BILIARES PLASTICOS PROTESIS BILIAR  7X10-10X7-7X7-10X10</t>
  </si>
  <si>
    <t>XD000281</t>
  </si>
  <si>
    <t>STENT URETERAL  FR 22-32 CM(DOBLE J) REF POLARIS ULTRA REF 192132</t>
  </si>
  <si>
    <t>XD000279</t>
  </si>
  <si>
    <t>CUCHILLA PARA CORTE DE HUESO REF 9BA50</t>
  </si>
  <si>
    <t>XD000271</t>
  </si>
  <si>
    <t>INTRODUCTOR PERCUTANEO SWAN 7.0 FR X1</t>
  </si>
  <si>
    <t>XD000265</t>
  </si>
  <si>
    <t>ASA DE SILICONA SURG-I-LOOP</t>
  </si>
  <si>
    <t>XD000262</t>
  </si>
  <si>
    <t>SONDA LEVIN-TUBO VENTROL 18FR NASOGASTRICA120</t>
  </si>
  <si>
    <t>XD000257</t>
  </si>
  <si>
    <t>CONECTOR EN -Y- PLASTICO REFLM86-2012</t>
  </si>
  <si>
    <t>XD000253</t>
  </si>
  <si>
    <t>MALLA POLIPROPILENO HERNIA IZQUIEDA 3D MAX  REF 0117311</t>
  </si>
  <si>
    <t>XD000176</t>
  </si>
  <si>
    <t>GUIA UROLOGIA REVESTIDA DE PTFE 0.035X150CM REF M0066201100</t>
  </si>
  <si>
    <t>XD000169</t>
  </si>
  <si>
    <t>SONDA FOLEY 18FRX5ML 2VIAS SILICONA 100%</t>
  </si>
  <si>
    <t>XD000164</t>
  </si>
  <si>
    <t>TUBO PRESION 48P.MACHO/HEMBRA ARTERIAL X1</t>
  </si>
  <si>
    <t>XD000161</t>
  </si>
  <si>
    <t>SONDA NELATON # 8 (UREATRAL)*1</t>
  </si>
  <si>
    <t>XD000146</t>
  </si>
  <si>
    <t>SONDA NELATON # 18 (UREATRAL)*1</t>
  </si>
  <si>
    <t>XD000143</t>
  </si>
  <si>
    <t>SONDA NELATON # 10 (UREATRAL)</t>
  </si>
  <si>
    <t>XD000139</t>
  </si>
  <si>
    <t>SONDA FOLEY 8 X 3ML-2 VIAS *1 CATETER</t>
  </si>
  <si>
    <t>XD000136</t>
  </si>
  <si>
    <t>SONDA FOLEY 24 X30ML-3 VIAS *1</t>
  </si>
  <si>
    <t>XD000135</t>
  </si>
  <si>
    <t>SONDA FOLEY 24 X30ML-2 VIAS *1</t>
  </si>
  <si>
    <t>XD000134</t>
  </si>
  <si>
    <t>SONDA FOLEY 24 X 5ML-2 VIAS *1</t>
  </si>
  <si>
    <t>XD000133</t>
  </si>
  <si>
    <t>SONDA FOLEY 22 X30ML-3 VIAS *1</t>
  </si>
  <si>
    <t>XD000132</t>
  </si>
  <si>
    <t>SONDA FOLEY 22 X30ML-2 VIAS *1</t>
  </si>
  <si>
    <t>XD000131</t>
  </si>
  <si>
    <t>SONDA FOLEY 20 X30ML-3 VIAS *1</t>
  </si>
  <si>
    <t>XD000129</t>
  </si>
  <si>
    <t>SONDA FOLEY 20 X30ML-2 VIAS *1</t>
  </si>
  <si>
    <t>XD000128</t>
  </si>
  <si>
    <t>SONDA FOLEY 20 X 5ML-2 VIAS *1</t>
  </si>
  <si>
    <t>XD000127</t>
  </si>
  <si>
    <t>SONDA FOLEY 16FRX5ML 2VIAS SILICONA 100%</t>
  </si>
  <si>
    <t>XD000123</t>
  </si>
  <si>
    <t>SONDA 12 FR PUNTA TUGSTENO (475) CAJA *10</t>
  </si>
  <si>
    <t>XD000115</t>
  </si>
  <si>
    <t>SET DE ANESTESIA EPIDURAL PERIFIX-301-401 G-18 L.O.R.</t>
  </si>
  <si>
    <t>XD000108</t>
  </si>
  <si>
    <t>SABANA PARA AMORTAJAR KAMBRAL BLANCO 50G-1.50M X 2.00M X 1</t>
  </si>
  <si>
    <t>XD000107</t>
  </si>
  <si>
    <t>ROPA DESECHABLE LAPARATOMIA(29130)*1 P.COMPLETO</t>
  </si>
  <si>
    <t>XD000106</t>
  </si>
  <si>
    <t>PLACA PACIENTE.ELECTROBISTURI 9130 UNIVERSAL X1</t>
  </si>
  <si>
    <t>XD000103</t>
  </si>
  <si>
    <t>PAPILOTOMO CANULOTOMO CORTE 5.5FR.  (MICROKNIFE XL) KD-V451M</t>
  </si>
  <si>
    <t>XD000091</t>
  </si>
  <si>
    <t xml:space="preserve">PANAL DESECHABLE INDIVIDUAL ADULTO </t>
  </si>
  <si>
    <t>XD000090</t>
  </si>
  <si>
    <t>MAQUINA AFEITAR DESECHABLE-DOBLE HOJA X 1</t>
  </si>
  <si>
    <t>XD000085</t>
  </si>
  <si>
    <t>MANTA QUIRURGICA CARDIACA 63500</t>
  </si>
  <si>
    <t>XD000084</t>
  </si>
  <si>
    <t>LAPIZ ELECTROBISTURI VALLEYLAB-CON CABLE X 1</t>
  </si>
  <si>
    <t>XD000072</t>
  </si>
  <si>
    <t>INTRODUCTOR PERCUTANEO DE 4.0 A 6.0 FR PARA CATETER PACEL REF SI-09600</t>
  </si>
  <si>
    <t>XD000070</t>
  </si>
  <si>
    <t>HOJA LARGA CORTE PUNTA P.ELECTROBISTURI REF E1552</t>
  </si>
  <si>
    <t>XD000068</t>
  </si>
  <si>
    <t>GUIA HIDROFILICA 0.035X450CM  JAGWIRE REF M00556581</t>
  </si>
  <si>
    <t>XD000066</t>
  </si>
  <si>
    <t>GUANTE QUIRURGICO CON REVESTIMIENTO EN BIOGEL ANTICORTE</t>
  </si>
  <si>
    <t>XD000057</t>
  </si>
  <si>
    <t>GLUCOMETRIA- INSUMOS</t>
  </si>
  <si>
    <t>XD000055</t>
  </si>
  <si>
    <t>EXO-VAC 1/8 -3.2MM-CAJA *10 UNIDADES</t>
  </si>
  <si>
    <t>XD000046</t>
  </si>
  <si>
    <t>EXO-VAC 1/4 -6.4MM-CAJA *10 UNIDADES</t>
  </si>
  <si>
    <t>XD000045</t>
  </si>
  <si>
    <t>DRENES DE PENROSE UNIDAD-TODO TAMANO *12</t>
  </si>
  <si>
    <t>XD000039</t>
  </si>
  <si>
    <t>DRENAJE VENTRICULAR EXTERNO EDS VENTRICIL.821730</t>
  </si>
  <si>
    <t>XD000038</t>
  </si>
  <si>
    <t>CUCHILLA PARA CORTE HUESO REF.10BA40D REF 5820012040</t>
  </si>
  <si>
    <t>XD000036</t>
  </si>
  <si>
    <t>CUCHILLA PARA CORTE HUESO REF. 9BA75 REF 5820110075</t>
  </si>
  <si>
    <t>XD000034</t>
  </si>
  <si>
    <t>CUCHILLA PARA CORTE HUESO REF. 9AC75</t>
  </si>
  <si>
    <t>XD000033</t>
  </si>
  <si>
    <t>CUCHILLA PARA CORTE HUESO REF. 8TA23 REF 5400071058</t>
  </si>
  <si>
    <t>XD000032</t>
  </si>
  <si>
    <t>CUCHILLA PARA CORTE HUESO REF. 10BA50 REF 5820110050</t>
  </si>
  <si>
    <t>XD000030</t>
  </si>
  <si>
    <t>CUCHILLA PARA CORTE HUESO REF. 10BA40 REF 5820110040</t>
  </si>
  <si>
    <t>XD000029</t>
  </si>
  <si>
    <t>CUCHILLA OSEA CORTE HUESO 10BA30D REF 5820012030</t>
  </si>
  <si>
    <t>XD000025</t>
  </si>
  <si>
    <t>CAMISA DE ACCESO URETRAL FLEXOR X 45 CM REF FUS-120045</t>
  </si>
  <si>
    <t>XD000020</t>
  </si>
  <si>
    <t>BOLSA VACIA PARA ADMINISTRACION DE ENEMA 1500ML PARA ADMINISTRACION ENEMA-BRD0021</t>
  </si>
  <si>
    <t>XD000017</t>
  </si>
  <si>
    <t>BOLSA DE COLOSTOMIA 57MM NATURA PLANA  REF 402534</t>
  </si>
  <si>
    <t>XD000012</t>
  </si>
  <si>
    <t>BARRERA DE COLOSTOMIA  MOLDEABLE CONVEXA  DE 45 MM REF 404593-401544</t>
  </si>
  <si>
    <t>XD000010</t>
  </si>
  <si>
    <t>ADAPTADOR MACHO-MACHO*B BRAUN*</t>
  </si>
  <si>
    <t>XD000003</t>
  </si>
  <si>
    <t>CATETER DE RADIOFRECUENCIA 7 FR REFCF-7-100</t>
  </si>
  <si>
    <t>XC000042</t>
  </si>
  <si>
    <t>CATETER PARA EMBOLECTOMIA FOGARTY #02 FR (160126) X 1</t>
  </si>
  <si>
    <t>XC000040</t>
  </si>
  <si>
    <t>SISTEMA DE CATETER DE ACCESO ARTERIAL  SET  20gax8 REF SAC-00820</t>
  </si>
  <si>
    <t>XC000038</t>
  </si>
  <si>
    <t>CATETER MULTIPROPOSITO 8.5FR  ULTB-8,5-35-25-P-5S-CLDM-HC</t>
  </si>
  <si>
    <t>XC000037</t>
  </si>
  <si>
    <t>KIT DE GASTROSTOMIA 20-24 FR REF M00568381</t>
  </si>
  <si>
    <t>XC000035</t>
  </si>
  <si>
    <t xml:space="preserve">SONDA PARA NUTRICION ENTERAL POR GASTROSTOMIA 22FR X1 </t>
  </si>
  <si>
    <t>XC000030</t>
  </si>
  <si>
    <t>CATETER  MULTIPROPOSITO  ULTB-10,2-38-25-P-5D CLDM-HC</t>
  </si>
  <si>
    <t>XC000025</t>
  </si>
  <si>
    <t>CATETER VENOSO CENTRAL MONO LUMEN  *5 (04301)</t>
  </si>
  <si>
    <t>XC000022</t>
  </si>
  <si>
    <t xml:space="preserve">SONDA PARA NUTRICION ENTERAL POR GASTROSTOMIA 24FR X1 </t>
  </si>
  <si>
    <t>XC000014</t>
  </si>
  <si>
    <t>CATETER PARA EMBOLECTOMIA FOGARTY #06 (120806F) X 1</t>
  </si>
  <si>
    <t>XC000012</t>
  </si>
  <si>
    <t>CATETER PARA EMBOLECTOMIA FOGARTY #04 (120804F) X 1</t>
  </si>
  <si>
    <t>XC000011</t>
  </si>
  <si>
    <t>CATETER PARA EMBOLECTOMIA FOGARTY #03 (120803F) X 1</t>
  </si>
  <si>
    <t>XC000010</t>
  </si>
  <si>
    <t>CATETER PARA EMBOLECTOMIA  FOGARTY #05 (120805F) X 1</t>
  </si>
  <si>
    <t>XC000009</t>
  </si>
  <si>
    <t>CATETER  DOBLE LUMEN X 70 CM(PICC)</t>
  </si>
  <si>
    <t>XC000001</t>
  </si>
  <si>
    <t>ESPONJA QUIRURGICA ESTERIL SIN TUBO-400402</t>
  </si>
  <si>
    <t>XA000033</t>
  </si>
  <si>
    <t>ESPONJA QUIRURGICA ESTERIL CON TUBO-400410</t>
  </si>
  <si>
    <t>XA000032</t>
  </si>
  <si>
    <t xml:space="preserve">ESPONJA HEMOSTATICA DE COLAGENO GELFOAM ESPONJA ESTERIL SZ12 12CM </t>
  </si>
  <si>
    <t>XA000030</t>
  </si>
  <si>
    <t>COTONOIDE RADIOPACO REF 801403 XRAY 1X1 REF 0425</t>
  </si>
  <si>
    <t>XA000027</t>
  </si>
  <si>
    <t>COTONOIDE RADIOPACO REF.801407 *10 XRAY 1/2 X  1407-0435</t>
  </si>
  <si>
    <t>XA000026</t>
  </si>
  <si>
    <t>COTONOIDE RADIOPACO REF.801401 *10 XRAY</t>
  </si>
  <si>
    <t>XA000025</t>
  </si>
  <si>
    <t>COTONOIDE RADIOPACO REF.801400 *10 XRAY</t>
  </si>
  <si>
    <t>XA000024</t>
  </si>
  <si>
    <t>CINTA TOT OBTRYX-HALO REFM0068505000</t>
  </si>
  <si>
    <t>XA000022</t>
  </si>
  <si>
    <t>CAMPOS DE INCISION PARA ADHESIVOS STERI DRAP  U DRAPE 10X15</t>
  </si>
  <si>
    <t>XA000019</t>
  </si>
  <si>
    <t>CAMPO INCISION ANTIMICROBIAL IOBAN 6640-60 X 35 *10</t>
  </si>
  <si>
    <t>XA000018</t>
  </si>
  <si>
    <t>CAMPO INCISION ANTIMICROBIAL IOBAN  6650/6648</t>
  </si>
  <si>
    <t>XA000017</t>
  </si>
  <si>
    <t>APOSITOS OCULARES ESTERILES-CAJA *50 UNIDADES</t>
  </si>
  <si>
    <t>XA000015</t>
  </si>
  <si>
    <t>APOSITO TRANSPARENTE TEGADERM -10X12 REF 1626 REF 7238102</t>
  </si>
  <si>
    <t>XA000014</t>
  </si>
  <si>
    <t xml:space="preserve">APOSITO EXTRA DELGADO DUO DERM  15X15CM EXTRA THIN </t>
  </si>
  <si>
    <t>XA000009</t>
  </si>
  <si>
    <t>MARCAPASOS PG PROPONENT BICAMERAL MRI-PG PROPONENT MRI DR EL L231</t>
  </si>
  <si>
    <t>L231</t>
  </si>
  <si>
    <t>MARCAPASOS PG PROPONENT UNICAMERAL MRI-PG PROPONENT MRI SR SL L210</t>
  </si>
  <si>
    <t>L210</t>
  </si>
  <si>
    <t>ETAMBUTOL 400 mg Tableta</t>
  </si>
  <si>
    <t>MEDICAMENTOS SALUD PUBLICA</t>
  </si>
  <si>
    <t>ALMACEN MEDICAMENTOS</t>
  </si>
  <si>
    <t>32</t>
  </si>
  <si>
    <t>AISLADO DE PROTEINA (PROWHEY PLUS) SOBRES 32 GR</t>
  </si>
  <si>
    <t>160152</t>
  </si>
  <si>
    <t>OSMOLITE HN 1.2  LIQUIDO LPC 1500 ML</t>
  </si>
  <si>
    <t>150420</t>
  </si>
  <si>
    <t>OSMOLITE HN 1.2 LIQUIDO LATA 237 ML</t>
  </si>
  <si>
    <t>150408</t>
  </si>
  <si>
    <t>FRESUBIN 2 KCAL HP LIQUIDO EASYBAG 500 ML</t>
  </si>
  <si>
    <t>150306</t>
  </si>
  <si>
    <t>200 ML</t>
  </si>
  <si>
    <t>FRESUBIN 2 KCAL DRINK LIQUIDO BOTELLA 200 ML</t>
  </si>
  <si>
    <t>150305</t>
  </si>
  <si>
    <t>ENSURE CLINICAL LIQUIDO BOTELLA 220 ML</t>
  </si>
  <si>
    <t>150101</t>
  </si>
  <si>
    <t>FRESUBIN RENAL LIQUIDO BOTELLA  200 ML</t>
  </si>
  <si>
    <t>141008</t>
  </si>
  <si>
    <t>FRESUBIN HEPA DRINK LIQUIDO BOTELLA 200 ML</t>
  </si>
  <si>
    <t>140601</t>
  </si>
  <si>
    <t>DIBEN DRINK  LIQUIDO BOTELLA  200 ML</t>
  </si>
  <si>
    <t>140111</t>
  </si>
  <si>
    <t>ALIMENTO OLIGOMERICO HIPERCALORICO VITAL 1.5 KCAL 220 ML</t>
  </si>
  <si>
    <t>130106</t>
  </si>
  <si>
    <t>600 MG / 300 MG</t>
  </si>
  <si>
    <t>ABACAVIR + LAMIVUDINA 600/300MG</t>
  </si>
  <si>
    <t>20103720-2</t>
  </si>
  <si>
    <t>400MG</t>
  </si>
  <si>
    <t>RALTEGRAVIR 400MG TABLETAS</t>
  </si>
  <si>
    <t>19988423-01</t>
  </si>
  <si>
    <t>DICLOXACILINA 500 mg Cápsula</t>
  </si>
  <si>
    <t>52239-03</t>
  </si>
  <si>
    <t>51063-03</t>
  </si>
  <si>
    <t>37619-02</t>
  </si>
  <si>
    <t>1 %</t>
  </si>
  <si>
    <t>500mg</t>
  </si>
  <si>
    <t>CLOTRIMAZOL 1 % Crema Vaginal 40 G</t>
  </si>
  <si>
    <t>21475-02</t>
  </si>
  <si>
    <t>20196204-2</t>
  </si>
  <si>
    <t>20179998-2</t>
  </si>
  <si>
    <t>750 mg</t>
  </si>
  <si>
    <t>CEFUROXIMA 750 mg Polvo para Reconstituir</t>
  </si>
  <si>
    <t>20163216-4</t>
  </si>
  <si>
    <t>1.200.000 UI</t>
  </si>
  <si>
    <t>PENICILINA G BENZATINICA 1.200.000 UI Polvo para reconstituir a suspensión inyectable</t>
  </si>
  <si>
    <t>20145221-2</t>
  </si>
  <si>
    <t>20104186-01</t>
  </si>
  <si>
    <t>400 MG</t>
  </si>
  <si>
    <t>MOXIFLOXACINO 400 mg Tableta</t>
  </si>
  <si>
    <t>MEROPENEM 1 G VIAL POLVO PARA RECONSTITUIR</t>
  </si>
  <si>
    <t>20085484-1</t>
  </si>
  <si>
    <t>20059276-1</t>
  </si>
  <si>
    <t>20054696-2</t>
  </si>
  <si>
    <t>20054318-03</t>
  </si>
  <si>
    <t>OXACILINA 1 g Polvo para reconstituir a solución inyectable</t>
  </si>
  <si>
    <t>20049275-02</t>
  </si>
  <si>
    <t>20046873-01</t>
  </si>
  <si>
    <t>PENICILINA G SODICA 5.000.000 UI Polvo para reconsituir a solución inyectable</t>
  </si>
  <si>
    <t>20046872-01</t>
  </si>
  <si>
    <t>20036512-02</t>
  </si>
  <si>
    <t xml:space="preserve">NITAZOXANIDA 500 mg Tableta </t>
  </si>
  <si>
    <t>20028350-03</t>
  </si>
  <si>
    <t>20026118-2</t>
  </si>
  <si>
    <t>0.6 % - 5 ml</t>
  </si>
  <si>
    <t>IVERMECTINA 0.6 % Suspensión Oral 5 ML</t>
  </si>
  <si>
    <t>20006411-4</t>
  </si>
  <si>
    <t>19999738-06</t>
  </si>
  <si>
    <t>19988939-04</t>
  </si>
  <si>
    <t>19980678-01</t>
  </si>
  <si>
    <t>19978219-1</t>
  </si>
  <si>
    <t xml:space="preserve">CLOTRIMAZOL 1 % Crema Tópica 40 g </t>
  </si>
  <si>
    <t>19973788-1</t>
  </si>
  <si>
    <t>250mg</t>
  </si>
  <si>
    <t>CLOROQUINA FOSFATO  250 mg  Tableta</t>
  </si>
  <si>
    <t>19973372-03</t>
  </si>
  <si>
    <t>METRONIDAZOL 500 mg Tableta</t>
  </si>
  <si>
    <t>19959772-01</t>
  </si>
  <si>
    <t>DOXICICLINA 100 mg Tableta o Cápsula</t>
  </si>
  <si>
    <t>19950177-01</t>
  </si>
  <si>
    <t>19948731-5</t>
  </si>
  <si>
    <t>3 g</t>
  </si>
  <si>
    <t xml:space="preserve">FOSFOMICINA TROMETAMOL 3 g Granulado </t>
  </si>
  <si>
    <t>19943837-05</t>
  </si>
  <si>
    <t>19943350-28</t>
  </si>
  <si>
    <t>19938260-02</t>
  </si>
  <si>
    <t>RIVAROXABAN 20 mg Comprimidos Recubiertos</t>
  </si>
  <si>
    <t>20158642-2</t>
  </si>
  <si>
    <t>20139305-4</t>
  </si>
  <si>
    <t>RIVAROXABAN 15 mg Tableta</t>
  </si>
  <si>
    <t>20129727-1</t>
  </si>
  <si>
    <t>20096037-06</t>
  </si>
  <si>
    <t>20084690-18</t>
  </si>
  <si>
    <t>20084687-6</t>
  </si>
  <si>
    <t>20084685-40</t>
  </si>
  <si>
    <t>100% - 250 ml</t>
  </si>
  <si>
    <t xml:space="preserve">SEVOFLUORANO 100 % Solución para inhalación 250 ml </t>
  </si>
  <si>
    <t>58816-02</t>
  </si>
  <si>
    <t>100 UI</t>
  </si>
  <si>
    <t>ALTEPLASE (TPA) 50 mg  polvo Estéril para Inyección</t>
  </si>
  <si>
    <t>33103-02</t>
  </si>
  <si>
    <t>350 mg - 50 ml</t>
  </si>
  <si>
    <t>IOHEXOL 300 mg de Iodo Solución inyectable x 50 ml- OMNIPAQUE 300</t>
  </si>
  <si>
    <t>22542-08</t>
  </si>
  <si>
    <t>500.000 UI</t>
  </si>
  <si>
    <t>POLIMIXINA B 500000 UI</t>
  </si>
  <si>
    <t>20255064-1</t>
  </si>
  <si>
    <t>12.5MG/250ML</t>
  </si>
  <si>
    <t>TIROFIBAN 12.5MG / 250ML SOLUCION INYECTABLE</t>
  </si>
  <si>
    <t>20172612-1</t>
  </si>
  <si>
    <t>20152146-01</t>
  </si>
  <si>
    <t>240mL</t>
  </si>
  <si>
    <t>DESFLURANO  Solución para inhalación Fco 240mL</t>
  </si>
  <si>
    <t>201181-01</t>
  </si>
  <si>
    <t>20099144-02</t>
  </si>
  <si>
    <t>100 mg / ml  - 300 ml</t>
  </si>
  <si>
    <t>LEVETIRACETAM 100 mg / ml Solución oral x 300 ml</t>
  </si>
  <si>
    <t>20098490-1</t>
  </si>
  <si>
    <t xml:space="preserve">50 mg </t>
  </si>
  <si>
    <t>ANFOTERICINA B 50 mg Polvo para reconstituir a solución inyectable 10 ML</t>
  </si>
  <si>
    <t>20087299-01</t>
  </si>
  <si>
    <t>10 MG</t>
  </si>
  <si>
    <t>EMPAGLIFLOZINA 10 MG TABLETA</t>
  </si>
  <si>
    <t>20073367-3</t>
  </si>
  <si>
    <t>4 g</t>
  </si>
  <si>
    <t>FOSFOMICINA DISODICA 4 g Polvo para reconstituir a solución inyectable</t>
  </si>
  <si>
    <t>20071230-01</t>
  </si>
  <si>
    <t>DAPAGLIFLOZINA 10 MG</t>
  </si>
  <si>
    <t>20067183-2</t>
  </si>
  <si>
    <t>1448 ML</t>
  </si>
  <si>
    <t>SOPORTE NUTRICIONAL PARENTERAL PERIFERICO + LIPIDOS BOLSA 1448mL</t>
  </si>
  <si>
    <t>20061748-05</t>
  </si>
  <si>
    <t>20059630-2</t>
  </si>
  <si>
    <t>500 mg / 10 ml</t>
  </si>
  <si>
    <t>GANCICLOVIR 500 mg / 10 ml Solución Inyectable</t>
  </si>
  <si>
    <t>20059263-01</t>
  </si>
  <si>
    <t>500MG</t>
  </si>
  <si>
    <t>CARBOXIMALTOSA DE HIERRO 50 mg / ml Solución inyectable</t>
  </si>
  <si>
    <t>20042955-07</t>
  </si>
  <si>
    <t>20029185-01</t>
  </si>
  <si>
    <t>5MG</t>
  </si>
  <si>
    <t>LINAGLIPTINA 5MG TABLETAS RECUBIERTOS</t>
  </si>
  <si>
    <t>20023511-03</t>
  </si>
  <si>
    <t>50+250 mcg</t>
  </si>
  <si>
    <t>SALMETEROL + FLUTICASONA 50 + 250 mcg Polvo para Inhalación</t>
  </si>
  <si>
    <t>20013309-02</t>
  </si>
  <si>
    <t>200 mg / 20 ml</t>
  </si>
  <si>
    <t>LACOSAMIDA 200 mg / 20 ml Solución Inyectable</t>
  </si>
  <si>
    <t>20010106-01</t>
  </si>
  <si>
    <t>20002059-06</t>
  </si>
  <si>
    <t>7.5 mg / 06 ml</t>
  </si>
  <si>
    <t>FONDAPARINUX SODICA Solución inyectable 7.5 mg / 0.6 ml</t>
  </si>
  <si>
    <t>19968360-01</t>
  </si>
  <si>
    <t>19947668-01</t>
  </si>
  <si>
    <t>10.000 UI</t>
  </si>
  <si>
    <t>TENECTEPLASE 50 mg Equivalente a 10.000 UI</t>
  </si>
  <si>
    <t>19932170-01</t>
  </si>
  <si>
    <t xml:space="preserve">ERTAPENEM 1g Polvo para reconstituir a solución inyectable </t>
  </si>
  <si>
    <t>19931619-01</t>
  </si>
  <si>
    <t>12.5 mg / 5</t>
  </si>
  <si>
    <t>LEVOSIMENDAN 12.5 mg / 5 ml Solución Inyectable</t>
  </si>
  <si>
    <t>2.5 mg / 05 ml</t>
  </si>
  <si>
    <t>FONDAPARINUX SODICA Solución inyectable 2.5 mg / 05 ml</t>
  </si>
  <si>
    <t>19928346-01</t>
  </si>
  <si>
    <t>50 + 500 mcg</t>
  </si>
  <si>
    <t>SALMETEROL + FLUTICASONA 50 + 500 mcg Suspensión para inhalación</t>
  </si>
  <si>
    <t>19902533-03</t>
  </si>
  <si>
    <t>10 mg / ml - 150 ml</t>
  </si>
  <si>
    <t>ITRACONAZOL 10 mg / ml Solución Oral 150 ml</t>
  </si>
  <si>
    <t>1980747-01</t>
  </si>
  <si>
    <t>CLOBAZAM 20 mg Tableta</t>
  </si>
  <si>
    <t xml:space="preserve">AZUL DE METILENO 10 mg / ml Solución Inyectable  </t>
  </si>
  <si>
    <t>PROPRANOLOL CLORHIDRATO 40 mg Tableta</t>
  </si>
  <si>
    <t>57771-01</t>
  </si>
  <si>
    <t xml:space="preserve">5 ML </t>
  </si>
  <si>
    <t>AGUA ESTERIL PARA INYECCION 5ml Solución Inyectable</t>
  </si>
  <si>
    <t>0.5% - 10 ml</t>
  </si>
  <si>
    <t>BUPIVACAINA CLORHIDRATO 0.5 % Solución inyectable 10 ML</t>
  </si>
  <si>
    <t>52033-04</t>
  </si>
  <si>
    <t>800 mg</t>
  </si>
  <si>
    <t>ACICLOVIR 800 mg Tableta</t>
  </si>
  <si>
    <t>51715-01</t>
  </si>
  <si>
    <t>110-1 g</t>
  </si>
  <si>
    <t>POLIETILENGLICOL + ELECTROLITOS 110.1 g Polvo para reconstituir a solución oral</t>
  </si>
  <si>
    <t>50476-13</t>
  </si>
  <si>
    <t>47792-01</t>
  </si>
  <si>
    <t>AMIODARONA CLORHIDRATO 200 mg Tableta</t>
  </si>
  <si>
    <t>CARBAMAZEPINA 200 mg Tableta</t>
  </si>
  <si>
    <t>44969-09</t>
  </si>
  <si>
    <t>43757-05</t>
  </si>
  <si>
    <t>1% - 10 ml</t>
  </si>
  <si>
    <t>LIDOCAINA HCL SIN EPINEFRINA 1% Solución Inyectable 10mL</t>
  </si>
  <si>
    <t>43735-03</t>
  </si>
  <si>
    <t>4 mg</t>
  </si>
  <si>
    <t>CLORFENIRAMINA MALEATO 4 mg Tableta</t>
  </si>
  <si>
    <t>43493-06</t>
  </si>
  <si>
    <t>100 mcg</t>
  </si>
  <si>
    <t>LEVOTIROXINA SODICA 100 mcg Tableta</t>
  </si>
  <si>
    <t>42722-08</t>
  </si>
  <si>
    <t>FUROSEMIDA 40 mg Tableta</t>
  </si>
  <si>
    <t>42216-13</t>
  </si>
  <si>
    <t>20 g</t>
  </si>
  <si>
    <t>SUCRALFATO 200 ml Suspensión Oral Frasco 200ml</t>
  </si>
  <si>
    <t>41528-04</t>
  </si>
  <si>
    <t>METIMAZOL 5 mg Tableta</t>
  </si>
  <si>
    <t>41072-10</t>
  </si>
  <si>
    <t>40927-14</t>
  </si>
  <si>
    <t>LOVASTATINA 20 mg Tableta</t>
  </si>
  <si>
    <t>1MG</t>
  </si>
  <si>
    <t>CIANOCOBALAMINA 1mg/ml Solución inyectable</t>
  </si>
  <si>
    <t>40260-02</t>
  </si>
  <si>
    <t>HIDROCORTISONA 1% Crema Tópica 15 g</t>
  </si>
  <si>
    <t>40194-02</t>
  </si>
  <si>
    <t>50 ML</t>
  </si>
  <si>
    <t>LIDOCAINA HCL SIN EPINEFRINA 1% Solución Inyectable 50mL</t>
  </si>
  <si>
    <t>4001722-01</t>
  </si>
  <si>
    <t>0.05 g / 10 ml</t>
  </si>
  <si>
    <t>BUPIVACAINA+ EPINEFRINA 0.05 g / 10ml Solución Inyectable</t>
  </si>
  <si>
    <t>39007-02</t>
  </si>
  <si>
    <t>BUPIVACAINA + DEXTROSA 0.02 g / 4 ml Solución inyectable</t>
  </si>
  <si>
    <t>38995-04</t>
  </si>
  <si>
    <t>TRIAMCINOLONA ACETONIDO 50 mg Suspensión Inyectable</t>
  </si>
  <si>
    <t>38991-02</t>
  </si>
  <si>
    <t>38818-14</t>
  </si>
  <si>
    <t>HIDROXICINA 100 mg / 2 ml Solución inyectable</t>
  </si>
  <si>
    <t>66,7 % - 15 ml</t>
  </si>
  <si>
    <t>LACTULOSA 66,7 % Solución Oral en Sobre x 15 ml</t>
  </si>
  <si>
    <t>1000 mg/10</t>
  </si>
  <si>
    <t>TIAMINA 1000 mg/10 ml Solución inyectable</t>
  </si>
  <si>
    <t>38332-02</t>
  </si>
  <si>
    <t>AGUA ESTERIL PARA IRRIGACION 3000 ml</t>
  </si>
  <si>
    <t>INSULINA ZINC NPH 100 UI / ml Suspensión inyectable x 10 ml</t>
  </si>
  <si>
    <t>4g +4g +0.4 g - 360 ml</t>
  </si>
  <si>
    <t>ALUMINIO HIDROXIDO + MAGNESIO HIDROXIDO + SIMETICONA 4 g +4 g + 0.4 g Suspensión Oral 360 ml</t>
  </si>
  <si>
    <t>37223-10</t>
  </si>
  <si>
    <t>35662-05</t>
  </si>
  <si>
    <t>4% - 120 ML</t>
  </si>
  <si>
    <t>AGUA OXIGENADA 4% Solución Tópica 120 ML</t>
  </si>
  <si>
    <t>35578-02</t>
  </si>
  <si>
    <t>LOPERAMIDA CLORHIDRATO 2 mg Tableta</t>
  </si>
  <si>
    <t>34537-02</t>
  </si>
  <si>
    <t>BISOPROLOL FUMARATO 5 mg Tableta</t>
  </si>
  <si>
    <t>34016-02</t>
  </si>
  <si>
    <t>33519-01</t>
  </si>
  <si>
    <t>16g + 6g - 133 ml</t>
  </si>
  <si>
    <t>FOSFATO Y BIFOSFATO 16g + 6g Solución Rectal Bolsa 133 mL</t>
  </si>
  <si>
    <t>32609-01</t>
  </si>
  <si>
    <t>32606-03</t>
  </si>
  <si>
    <t>NAPROXENO 500 mg Tableta</t>
  </si>
  <si>
    <t>31190-01</t>
  </si>
  <si>
    <t>RIFAMPICINA 300 mg Cápsula</t>
  </si>
  <si>
    <t>30168-01</t>
  </si>
  <si>
    <t>29523-06</t>
  </si>
  <si>
    <t>5 % - 500 ml</t>
  </si>
  <si>
    <t>DEXTROSA EN AGUA DESTILADA 5%  Solución Inyectable 500 ml</t>
  </si>
  <si>
    <t>29522-04</t>
  </si>
  <si>
    <t>20 % - 500 ml</t>
  </si>
  <si>
    <t>MANITOL 20 % Solución inyectable bolsa 500ml</t>
  </si>
  <si>
    <t>29514-02</t>
  </si>
  <si>
    <t>TIAMINA 300 mg Tableta</t>
  </si>
  <si>
    <t>23440-09</t>
  </si>
  <si>
    <t>COLESTIRAMINA 4 g Granulado Oral</t>
  </si>
  <si>
    <t>227601-02</t>
  </si>
  <si>
    <t>LANSOPRAZOL 30mg Cápsula de liberaciòn prolongada</t>
  </si>
  <si>
    <t>TOPIRAMATO 25 mg Tableta</t>
  </si>
  <si>
    <t>225390-05</t>
  </si>
  <si>
    <t>225064-07</t>
  </si>
  <si>
    <t>22501-19</t>
  </si>
  <si>
    <t>AGUA ESTERIL PARA INYECCIONN 500 ml</t>
  </si>
  <si>
    <t>22501-10</t>
  </si>
  <si>
    <t>375 MG</t>
  </si>
  <si>
    <t>SULTAMICILINA 375 MG TABLETA</t>
  </si>
  <si>
    <t>224929-03</t>
  </si>
  <si>
    <t>30 mg / ml - 60 ml</t>
  </si>
  <si>
    <t>20 mg / 5 ml - 70 ml</t>
  </si>
  <si>
    <t>FLUOXETINA 20 mg / 5 ml Jarabe Frasco 70 ml</t>
  </si>
  <si>
    <t>218000-16</t>
  </si>
  <si>
    <t>5 mL polvo</t>
  </si>
  <si>
    <t>MULTIVITAMINAS 5 mL polvo liofilizado</t>
  </si>
  <si>
    <t>215439-01</t>
  </si>
  <si>
    <t>214251-07</t>
  </si>
  <si>
    <t>MESALAZINA 500 mg Supositorio</t>
  </si>
  <si>
    <t>207347-03</t>
  </si>
  <si>
    <t>206776-12</t>
  </si>
  <si>
    <t>FENAZOPIRIDINA HCL 200 mg  tableta cubierta</t>
  </si>
  <si>
    <t>2 % - 20 ml</t>
  </si>
  <si>
    <t>20263958-3</t>
  </si>
  <si>
    <t>20216416-2</t>
  </si>
  <si>
    <t>20208549-1</t>
  </si>
  <si>
    <t>20203819-1</t>
  </si>
  <si>
    <t>325MG-37,5 MG</t>
  </si>
  <si>
    <t>TRAMADOL + ACETAMINOFEN CLORHIDRATO 37.5mg + 325 mg  tableta</t>
  </si>
  <si>
    <t>20189657-1</t>
  </si>
  <si>
    <t>ACETAMINOFEN 1000 mg / 6.7 ml Sol Inyectable</t>
  </si>
  <si>
    <t>20179253-2</t>
  </si>
  <si>
    <t>300 mg / 3ml</t>
  </si>
  <si>
    <t>N-ACETILCISTEINA 300 mg / 3 ml Solución inyectable</t>
  </si>
  <si>
    <t>20176947-1</t>
  </si>
  <si>
    <t>90MG</t>
  </si>
  <si>
    <t>TICAGRELOR 90MG TABLETAS</t>
  </si>
  <si>
    <t>20163351-1</t>
  </si>
  <si>
    <t>20162259-4</t>
  </si>
  <si>
    <t>20156587-01</t>
  </si>
  <si>
    <t>60</t>
  </si>
  <si>
    <t>ETORICOXIB 60MG TABLETA</t>
  </si>
  <si>
    <t>20153572-1</t>
  </si>
  <si>
    <t>31.2%  - 180 ml</t>
  </si>
  <si>
    <t>GLUCONATO DE POTASIO 31.2% Elixir Fco 180mL</t>
  </si>
  <si>
    <t>20151815-01</t>
  </si>
  <si>
    <t>20150258-1</t>
  </si>
  <si>
    <t>20149724-1</t>
  </si>
  <si>
    <t>IRBESARTAN 150 MG</t>
  </si>
  <si>
    <t>20142721-1</t>
  </si>
  <si>
    <t>200 + 300  mg</t>
  </si>
  <si>
    <t>TENOFOVIR/EMTRICITABINA 300/200MG</t>
  </si>
  <si>
    <t>20140868-1</t>
  </si>
  <si>
    <t>0.4 mg</t>
  </si>
  <si>
    <t>TAMSULOSINA 0.4 mg Cápsula de Liberación Prolongada</t>
  </si>
  <si>
    <t>20140779-02</t>
  </si>
  <si>
    <t>LACOSAMIDA 200 mg  Comprimido recubierto</t>
  </si>
  <si>
    <t>20139041-2</t>
  </si>
  <si>
    <t>20138304-3</t>
  </si>
  <si>
    <t>80MG</t>
  </si>
  <si>
    <t>TELMISARTAN 80MG TABLETAS</t>
  </si>
  <si>
    <t>20132549-19</t>
  </si>
  <si>
    <t>APIXABAN 5MG TABLETA</t>
  </si>
  <si>
    <t>20128791-4</t>
  </si>
  <si>
    <t>17 g</t>
  </si>
  <si>
    <t>POLIETILENGLICOL SIN ELECTROLITOS 3350 SOBRE 17 g Polvo para reconstituir a solución oral</t>
  </si>
  <si>
    <t>ACIDO TRANEXAMICO 500 MG</t>
  </si>
  <si>
    <t>20124854-4</t>
  </si>
  <si>
    <t>0.75 mg</t>
  </si>
  <si>
    <t>LEVONORGESTREL 0.75 mg Tableta</t>
  </si>
  <si>
    <t>20122840-01</t>
  </si>
  <si>
    <t>20121570-2</t>
  </si>
  <si>
    <t>SULFASALAZINA 500 mg Tableta</t>
  </si>
  <si>
    <t>201145-01</t>
  </si>
  <si>
    <t>20108472-02</t>
  </si>
  <si>
    <t>2.5 mg</t>
  </si>
  <si>
    <t xml:space="preserve">BISOPROLOL FUMARATO 2.5 mg Tableta </t>
  </si>
  <si>
    <t>CELECOXIB 200 mg Tableta</t>
  </si>
  <si>
    <t>20106196-2</t>
  </si>
  <si>
    <t>2000 UI</t>
  </si>
  <si>
    <t>VITAMINA D3 2000 UI CÁPSULAS BLANDAS</t>
  </si>
  <si>
    <t>20106115-02</t>
  </si>
  <si>
    <t>20105871-01</t>
  </si>
  <si>
    <t>20104687-1</t>
  </si>
  <si>
    <t>325 MG + 5 MG</t>
  </si>
  <si>
    <t>ACETAMINOFEN + HIDROCODONA 325 mg + 5 mg Tableta</t>
  </si>
  <si>
    <t>20103181-05</t>
  </si>
  <si>
    <t>20102676-2</t>
  </si>
  <si>
    <t>15ML</t>
  </si>
  <si>
    <t>Carboximetilcelulosa  Solución Oftálmica Estéril Frasco 15 ml</t>
  </si>
  <si>
    <t>20097544-01</t>
  </si>
  <si>
    <t>20096872-01</t>
  </si>
  <si>
    <t>20096492-01</t>
  </si>
  <si>
    <t>20093306-1</t>
  </si>
  <si>
    <t>150MG</t>
  </si>
  <si>
    <t>PREGABALINA 150MG CAPSULAS</t>
  </si>
  <si>
    <t>20093160-3</t>
  </si>
  <si>
    <t>20093155-6</t>
  </si>
  <si>
    <t>SACUBITRIL VALSARTAN 24.3MG +25.7MG TABLETAS</t>
  </si>
  <si>
    <t>20088574-01</t>
  </si>
  <si>
    <t>20087855-01</t>
  </si>
  <si>
    <t>20087761-02</t>
  </si>
  <si>
    <t>325 mg + 30 mg</t>
  </si>
  <si>
    <t>20087008-08</t>
  </si>
  <si>
    <t>20086955-06</t>
  </si>
  <si>
    <t>20084123-01</t>
  </si>
  <si>
    <t>100 mg/ml - 10 ML</t>
  </si>
  <si>
    <t>TRAMADOL CLORHIDRATO 100 mg/ml Solución Oral 10 ML</t>
  </si>
  <si>
    <t>2 mL</t>
  </si>
  <si>
    <t>BUDESONIDA 0.5 mg / ml Suspensión para inhalación 2 ML</t>
  </si>
  <si>
    <t>20078974-42</t>
  </si>
  <si>
    <t>100 MG</t>
  </si>
  <si>
    <t>GLICINA 1.5 % Solución para Irrigación Urológica 3000 ML</t>
  </si>
  <si>
    <t>20071108-01</t>
  </si>
  <si>
    <t>20068280-3</t>
  </si>
  <si>
    <t>250 mg-20ml</t>
  </si>
  <si>
    <t>DOBUTAMINA 250 mg / 20 ml Solución Inyectable</t>
  </si>
  <si>
    <t>20068276-03</t>
  </si>
  <si>
    <t>20067505-03</t>
  </si>
  <si>
    <t>20066836-01</t>
  </si>
  <si>
    <t>20066793-16</t>
  </si>
  <si>
    <t>20066116-14</t>
  </si>
  <si>
    <t>NIFEDIPINO 30MG CAPSULAS DE LIBERACION CONTROLADA 12 HORAS</t>
  </si>
  <si>
    <t>20061399-01</t>
  </si>
  <si>
    <t>HALOPERIDOL 5 mg / ml Solución Inyectable</t>
  </si>
  <si>
    <t>20061284-01</t>
  </si>
  <si>
    <t>20059258-03</t>
  </si>
  <si>
    <t>20056480-05</t>
  </si>
  <si>
    <t>20056052-13</t>
  </si>
  <si>
    <t>20055559-02</t>
  </si>
  <si>
    <t>40 GR</t>
  </si>
  <si>
    <t>NITROFURAZONA 0.2% UNGUENTO TOPICO  Tubo 40g</t>
  </si>
  <si>
    <t>20055151-3</t>
  </si>
  <si>
    <t>METOPROLOL SUCCINATO 50MG TABLETAS</t>
  </si>
  <si>
    <t>200541-11</t>
  </si>
  <si>
    <t>15 g</t>
  </si>
  <si>
    <t>POLIESTIRENO SULFONATO DE CALCIO 15 g Polvo para suspensión oral</t>
  </si>
  <si>
    <t>20052492-02</t>
  </si>
  <si>
    <t>0.5 ml</t>
  </si>
  <si>
    <t>TOXOIDE TETANICO 0.5 ml Suspensión Inyectable</t>
  </si>
  <si>
    <t>100 MG/2 ML</t>
  </si>
  <si>
    <t>TRAMADOL CLORHIDRATO 100 mg/2 mL Solucion Inyectable</t>
  </si>
  <si>
    <t>20045072-04</t>
  </si>
  <si>
    <t>600mg+200UI</t>
  </si>
  <si>
    <t>CALCIO CARBONATO+ VITAMINA D3 600mg + 200 UI Tableta</t>
  </si>
  <si>
    <t>20044615-01</t>
  </si>
  <si>
    <t>20041806-01</t>
  </si>
  <si>
    <t>PREGABALINA 50 mg Cápsula</t>
  </si>
  <si>
    <t>20041735-05</t>
  </si>
  <si>
    <t>20039622-02</t>
  </si>
  <si>
    <t>20039014-3</t>
  </si>
  <si>
    <t xml:space="preserve">ACETAMINOFEN + CODEINA 325 mg + 30 mg Tableta </t>
  </si>
  <si>
    <t>4% 500 ml</t>
  </si>
  <si>
    <t>SUSTITUTO DE PLASMA HUMANO 4 % 500 ml</t>
  </si>
  <si>
    <t>20029994-01</t>
  </si>
  <si>
    <t>25MG</t>
  </si>
  <si>
    <t>PREGABALINA CAPSULAS 25MG</t>
  </si>
  <si>
    <t>20028918-03</t>
  </si>
  <si>
    <t>20027702-29</t>
  </si>
  <si>
    <t>20026284-4</t>
  </si>
  <si>
    <t>NIFEDIPINA 30 mg Cápsula</t>
  </si>
  <si>
    <t>20025310-09</t>
  </si>
  <si>
    <t>60MG</t>
  </si>
  <si>
    <t>DULOXETINA 60MG CAPSULA</t>
  </si>
  <si>
    <t>SACCHAROMYCES BOULARDII 250 mg Càpsula</t>
  </si>
  <si>
    <t>20019908-04</t>
  </si>
  <si>
    <t>20019105-06</t>
  </si>
  <si>
    <t>MEMANTINA 10 mg Tableta</t>
  </si>
  <si>
    <t>20014721-01</t>
  </si>
  <si>
    <t>20012960-02</t>
  </si>
  <si>
    <t>20011983-01</t>
  </si>
  <si>
    <t>20011084-05</t>
  </si>
  <si>
    <t>20010760-04</t>
  </si>
  <si>
    <t>12.5 mg</t>
  </si>
  <si>
    <t>CARVEDILOL 12.5 mg Tableta</t>
  </si>
  <si>
    <t>20005109-07</t>
  </si>
  <si>
    <t>20004631-2</t>
  </si>
  <si>
    <t>10 mg /10 ml</t>
  </si>
  <si>
    <t>MILRINONA 10 mg /10 ml Solución inyectable</t>
  </si>
  <si>
    <t>20003652-02</t>
  </si>
  <si>
    <t>20003537-02</t>
  </si>
  <si>
    <t>20003209-01</t>
  </si>
  <si>
    <t>4 ML</t>
  </si>
  <si>
    <t>BETAMETASONA FOSFATO + BETAMETASONA ACETATO 3 + 3 mg /ml Solución inyectable-RETARD</t>
  </si>
  <si>
    <t>20001727-2</t>
  </si>
  <si>
    <t>TRIMEBUTINA 200 mg Tableta</t>
  </si>
  <si>
    <t>19999947-10</t>
  </si>
  <si>
    <t>500 mg / ml 5 ml</t>
  </si>
  <si>
    <t>LEVETIRACETAM 100 mg / ml Solución Inyectable x 5 ml</t>
  </si>
  <si>
    <t>19999765-01</t>
  </si>
  <si>
    <t>50</t>
  </si>
  <si>
    <t>QUETIAPINA 50MG LIBERACION SOSTENIDA</t>
  </si>
  <si>
    <t>19999459-02</t>
  </si>
  <si>
    <t>ENALAPRIL MALEATO 20 mg Tableta</t>
  </si>
  <si>
    <t>19999405-01</t>
  </si>
  <si>
    <t>60 mg</t>
  </si>
  <si>
    <t>PIRIDOSTIGMINA 60 mg Tableta</t>
  </si>
  <si>
    <t>19999057-01</t>
  </si>
  <si>
    <t>19998377-01</t>
  </si>
  <si>
    <t>19997831-01</t>
  </si>
  <si>
    <t>DEXAMETASONA 8 mg /2 ml solucion inyectable</t>
  </si>
  <si>
    <t>19997625-07</t>
  </si>
  <si>
    <t>19997616-05</t>
  </si>
  <si>
    <t>100.000 UI/ml 60 ML</t>
  </si>
  <si>
    <t>NISTATINA 100.000 UI/ml Suspensión Oral Frasco 60ml</t>
  </si>
  <si>
    <t>19997076-01</t>
  </si>
  <si>
    <t>HIOSCINA BUTIL BROMURO 10 mg tableta</t>
  </si>
  <si>
    <t>19996536-1</t>
  </si>
  <si>
    <t>0.150 mg</t>
  </si>
  <si>
    <t>CLONIDINA CLORHIDRATO 0.150 mg Tableta</t>
  </si>
  <si>
    <t>19995299-07</t>
  </si>
  <si>
    <t>SILDENAFIL 50MG TABLETAS</t>
  </si>
  <si>
    <t>19993835-02</t>
  </si>
  <si>
    <t>19993036-08</t>
  </si>
  <si>
    <t>CETIRIZINA 10 mg Tableta</t>
  </si>
  <si>
    <t>19992435-7</t>
  </si>
  <si>
    <t xml:space="preserve">METILPREDNISOLONA SUCCINATO 500 </t>
  </si>
  <si>
    <t>19990590-16</t>
  </si>
  <si>
    <t>250 mg/ 5ml</t>
  </si>
  <si>
    <t>FENITOINA SODICA 50 mg/ ml Solución Inyectable</t>
  </si>
  <si>
    <t>19990588-06</t>
  </si>
  <si>
    <t>19988137-11</t>
  </si>
  <si>
    <t>19980816-01</t>
  </si>
  <si>
    <t>OLANZAPINA 5 mg Tableta</t>
  </si>
  <si>
    <t>19979472-6</t>
  </si>
  <si>
    <t>SODIO CLORURO 0.9% 1000ML FCO</t>
  </si>
  <si>
    <t>19979158-5</t>
  </si>
  <si>
    <t>1 gramo</t>
  </si>
  <si>
    <t>MESALAZINA GRANULOS DE LIBERACION PROLONGADA 1 GR Sobres</t>
  </si>
  <si>
    <t>19978379-1</t>
  </si>
  <si>
    <t>NITROFURANTOINA 100 mg Tableta o Cápsula</t>
  </si>
  <si>
    <t>19977699-03</t>
  </si>
  <si>
    <t>19976553-06</t>
  </si>
  <si>
    <t>2mg</t>
  </si>
  <si>
    <t>DOXAZOSINA 2 mg Tableta</t>
  </si>
  <si>
    <t>19975169-04</t>
  </si>
  <si>
    <t>100MG</t>
  </si>
  <si>
    <t>SITAGLIPTINA 100MG TABLETAS</t>
  </si>
  <si>
    <t>19975048-01</t>
  </si>
  <si>
    <t>OLANZAPINA 10 mg Tableta</t>
  </si>
  <si>
    <t>19974253-02</t>
  </si>
  <si>
    <t>2 mg / ml - 15 ml</t>
  </si>
  <si>
    <t>HALOPERIDOL 2 mg / ml Solución Oral</t>
  </si>
  <si>
    <t>19974149-02</t>
  </si>
  <si>
    <t>Naproxeno 250mg Tableta</t>
  </si>
  <si>
    <t>19973313-11</t>
  </si>
  <si>
    <t>5% 15 g</t>
  </si>
  <si>
    <t>ACICLOVIR 5% Ungüento Topico tubo 15g</t>
  </si>
  <si>
    <t>19971982-1</t>
  </si>
  <si>
    <t xml:space="preserve">CLINDAMICINA 300 mg Cápsula </t>
  </si>
  <si>
    <t>19970681-01</t>
  </si>
  <si>
    <t xml:space="preserve"> 38 mEqK + 26 - 10 ML</t>
  </si>
  <si>
    <t>POTASIO FOSFATO 38 mEqK + 26 mmol de Fosfato /10 ml Solución Inyectable</t>
  </si>
  <si>
    <t>19966575-03</t>
  </si>
  <si>
    <t>19966222-1</t>
  </si>
  <si>
    <t>19965195-03</t>
  </si>
  <si>
    <t>19963352-15</t>
  </si>
  <si>
    <t>Espironolactona 100 mg tabletas</t>
  </si>
  <si>
    <t>19963165-2</t>
  </si>
  <si>
    <t>19961688-03</t>
  </si>
  <si>
    <t>ACETAZOLAMIDA 250mg tableta</t>
  </si>
  <si>
    <t>19961676-01</t>
  </si>
  <si>
    <t>19961372-07</t>
  </si>
  <si>
    <t>0.4 mg /1 ml</t>
  </si>
  <si>
    <t>NALOXONA CLORHIDRATO 0.4 mg / 1 ml Solución Inyectable</t>
  </si>
  <si>
    <t>19960975-01</t>
  </si>
  <si>
    <t>ACETAMINOFEN 30mg/ml Jarabe</t>
  </si>
  <si>
    <t>19956951-03</t>
  </si>
  <si>
    <t>19955370-13</t>
  </si>
  <si>
    <t>19954947-10</t>
  </si>
  <si>
    <t>BISACODILO 5 mg Tableta</t>
  </si>
  <si>
    <t>19953922-02</t>
  </si>
  <si>
    <t>MINOXIDIL 10 mg Tableta o Tableta Recubierta</t>
  </si>
  <si>
    <t>19953252-04</t>
  </si>
  <si>
    <t>19948385-03</t>
  </si>
  <si>
    <t>METOCARBAMOL 750 mg Tableta</t>
  </si>
  <si>
    <t>19948280-04</t>
  </si>
  <si>
    <t>19946412-16</t>
  </si>
  <si>
    <t>ACICLOVIR 250 mg Polvo para Inyección</t>
  </si>
  <si>
    <t>19945134-05</t>
  </si>
  <si>
    <t>3% - 500 ml</t>
  </si>
  <si>
    <t>SODIO CLORURO 3% Solución inyectable bolsa 500 mL</t>
  </si>
  <si>
    <t>19943753-02</t>
  </si>
  <si>
    <t>19942695-02</t>
  </si>
  <si>
    <t>ESPIRONOLACTONA 100 mg Tableta</t>
  </si>
  <si>
    <t>19942429-02</t>
  </si>
  <si>
    <t>METOCLOPRAMIDA CLORHIDRATO 10 mg Tableta</t>
  </si>
  <si>
    <t>19941418-04</t>
  </si>
  <si>
    <t>ACETILCISTEINA 300 mg / 3 ml Solución inyectable</t>
  </si>
  <si>
    <t>19940454-01</t>
  </si>
  <si>
    <t>IMIPRAMINA CLORHIDRATO 25 mg Gragea</t>
  </si>
  <si>
    <t>19940399-02</t>
  </si>
  <si>
    <t>19940375-06</t>
  </si>
  <si>
    <t>MESALAZINA 500 mg Tableta de liberación retardada</t>
  </si>
  <si>
    <t>19940343-02</t>
  </si>
  <si>
    <t>1000 mg</t>
  </si>
  <si>
    <t>AZTREONAM 1000 mg Polvo para reconstituir a solución inyectable</t>
  </si>
  <si>
    <t>19937565-3</t>
  </si>
  <si>
    <t>19936296-11</t>
  </si>
  <si>
    <t>19935303-04</t>
  </si>
  <si>
    <t>0.25 mcg</t>
  </si>
  <si>
    <t>CALCITRIOL 0.25 mcg Cápsula</t>
  </si>
  <si>
    <t>19934690-01</t>
  </si>
  <si>
    <t>19934265-03</t>
  </si>
  <si>
    <t>19931153-04</t>
  </si>
  <si>
    <t>SULFADIAZINA DE PLATA 1 % Crema Tópica 30 g</t>
  </si>
  <si>
    <t>19930887-3</t>
  </si>
  <si>
    <t>30mg</t>
  </si>
  <si>
    <t xml:space="preserve">MIRTAZAPINA 30 mg Tableta </t>
  </si>
  <si>
    <t>25MG/2.5ML</t>
  </si>
  <si>
    <t>ACIDO HIALURONICO 25 MG/2.5ML  SOLUCION INYECTABLE</t>
  </si>
  <si>
    <t>19928855-1</t>
  </si>
  <si>
    <t>19927064-01</t>
  </si>
  <si>
    <t>19926707-01</t>
  </si>
  <si>
    <t>19925329-04</t>
  </si>
  <si>
    <t>19924520-04</t>
  </si>
  <si>
    <t>19924285-34</t>
  </si>
  <si>
    <t>19922566-09</t>
  </si>
  <si>
    <t>SULFATO FERROSO 300 mg Gragea</t>
  </si>
  <si>
    <t>19914806-06</t>
  </si>
  <si>
    <t>CELECOXIB 100 mg Cápsula</t>
  </si>
  <si>
    <t>19914682-01</t>
  </si>
  <si>
    <t>CELECOXIB 200 mg Cápsula</t>
  </si>
  <si>
    <t>19914681-01</t>
  </si>
  <si>
    <t>19913783-102</t>
  </si>
  <si>
    <t>CAFEINA ANHIDRA + ERGOTAMINA TARTRATO -100mg + 1mg -Tableta</t>
  </si>
  <si>
    <t>19912966-07</t>
  </si>
  <si>
    <t>2 ml</t>
  </si>
  <si>
    <t>AMIKACINA SULFATO 500 mg/2 ml Solución Inyectable</t>
  </si>
  <si>
    <t>19908236-07</t>
  </si>
  <si>
    <t>19907962-4</t>
  </si>
  <si>
    <t>FOSFATO Y BIFOSFATO 16g + 6g Solución Oral Fco 133 mL</t>
  </si>
  <si>
    <t>19906526-03</t>
  </si>
  <si>
    <t>19906237-05</t>
  </si>
  <si>
    <t>19905554-12</t>
  </si>
  <si>
    <t>0,75% - 10 ml</t>
  </si>
  <si>
    <t>LEVOBUPIVACAINA HCL  ANHIDRA 0,75% Solución Inyectable ampullepack 10 mL</t>
  </si>
  <si>
    <t>19902579-02</t>
  </si>
  <si>
    <t>19900905-1</t>
  </si>
  <si>
    <t>5g / 10ml</t>
  </si>
  <si>
    <t>L-ORNITINA-L-ASPARTATO 5g / 10ml Solución inyectable</t>
  </si>
  <si>
    <t>19900482-01</t>
  </si>
  <si>
    <t xml:space="preserve">DICLOFENACO SODICO 1% Gel Tópico </t>
  </si>
  <si>
    <t>1982542-01</t>
  </si>
  <si>
    <t>250ML</t>
  </si>
  <si>
    <t>DEXTROSA EN AGUA DESTILADA  AL 10% bolsa  250</t>
  </si>
  <si>
    <t>1982214-01</t>
  </si>
  <si>
    <t>250 mg + 25 mg</t>
  </si>
  <si>
    <t>LEVODOPA + CARBIDOPA 250 mg + 25 mg Tableta</t>
  </si>
  <si>
    <t>1980397-01</t>
  </si>
  <si>
    <t>NAPROXENO 250 mg Tableta</t>
  </si>
  <si>
    <t>17145-18</t>
  </si>
  <si>
    <t>AMITRIPTILINA CLORHIDRATO 25 mg Tableta</t>
  </si>
  <si>
    <t>17144-09</t>
  </si>
  <si>
    <t>CARRO DE PARO RADIOLOGIA</t>
  </si>
  <si>
    <t>50709-04</t>
  </si>
  <si>
    <t>CARRO  DE PARO RECUPERACION HEMODINAMIA</t>
  </si>
  <si>
    <t>19940877-02</t>
  </si>
  <si>
    <t xml:space="preserve">FARMACIA DE CIRUGIA                               </t>
  </si>
  <si>
    <t>220027-27</t>
  </si>
  <si>
    <t>20120233-01</t>
  </si>
  <si>
    <t>20114030-01</t>
  </si>
  <si>
    <t>19963653-04</t>
  </si>
  <si>
    <t>19942878-01</t>
  </si>
  <si>
    <t>20160166-3</t>
  </si>
  <si>
    <t>TOXINA BOTULINICA Tipo A 100 UI Solución Inyectable</t>
  </si>
  <si>
    <t>20049559-02</t>
  </si>
  <si>
    <t>5ml</t>
  </si>
  <si>
    <t xml:space="preserve">FLUMAZENIL 0.5mg/5ml Solución Inyectable </t>
  </si>
  <si>
    <t>20044623-01</t>
  </si>
  <si>
    <t>200UI</t>
  </si>
  <si>
    <t>TOXINA BOTULINICA 200UI POLVO PARA RECONSTITUIR A SOLUCION INYECTABLE</t>
  </si>
  <si>
    <t>20019432-01</t>
  </si>
  <si>
    <t>FIBRINOGENO+APROTININA+TROMBINA+ CLORURO DE CALCIO 4 ML CONGELADO</t>
  </si>
  <si>
    <t>20002144-5</t>
  </si>
  <si>
    <t>ALBUMINA HUMANA NORMAL 20 % Solución inyectable</t>
  </si>
  <si>
    <t>19968918-01</t>
  </si>
  <si>
    <t>500UI</t>
  </si>
  <si>
    <t>TOXINA BOTULINICA Tipo A 500UI Polvo para reconstituir a Solucion inyectable</t>
  </si>
  <si>
    <t>19913029-01</t>
  </si>
  <si>
    <t>20044646-06</t>
  </si>
  <si>
    <t>VENDA DE YESO 4P X 5Y-II RAPIDA *1</t>
  </si>
  <si>
    <t>XV000011</t>
  </si>
  <si>
    <t>VENDA DE GASA 4 X 5 *1 UNIDAD</t>
  </si>
  <si>
    <t>XV000007</t>
  </si>
  <si>
    <t>VENDA DE ALGODON 3 X 5 *1 LAMINADO</t>
  </si>
  <si>
    <t>XV000001</t>
  </si>
  <si>
    <t>CANULA DE TRAQUEOSTOMIA FENESTRADA CON BALON No 7.0 REF 302-07</t>
  </si>
  <si>
    <t>XT000093</t>
  </si>
  <si>
    <t>BAJALENGUAS X  UND</t>
  </si>
  <si>
    <t>XT000087</t>
  </si>
  <si>
    <t>TUBO ENDOTRAQUEAL #8.0 REFORZADO X5</t>
  </si>
  <si>
    <t>XT000056</t>
  </si>
  <si>
    <t>POLIDIOXANONA SUTURA (CON AGUJA) PDS PLUS 1 CT REF. PDP353</t>
  </si>
  <si>
    <t>XS000176</t>
  </si>
  <si>
    <t>ADEHESIVO TISULAR DE ENBUCRILATO HISTOACRYL</t>
  </si>
  <si>
    <t>XS000172</t>
  </si>
  <si>
    <t>KIT SISTEMAS DE ACCESO TROCAR CUCHILLA  REF CKITCUCHCLINUE</t>
  </si>
  <si>
    <t>XS000165</t>
  </si>
  <si>
    <t>SIERRA DE GIGLI X 50  CM-OLIVECROMA X 1</t>
  </si>
  <si>
    <t>XS000163</t>
  </si>
  <si>
    <t>MATRIZ HEMOSTATICA FLOSEAL 5 ML</t>
  </si>
  <si>
    <t>XS000154</t>
  </si>
  <si>
    <t>SUTURA QUIRURGICA MONOFILAMENTE ESTERIL SINTETICO NO ABSORBIBLE 7/0 M8702T BV-1 X2 DOCENAS</t>
  </si>
  <si>
    <t>XS000123</t>
  </si>
  <si>
    <t>SUTURA QUIRURGICA MONOFILAMENTE ESTERIL SINTETICO NO ABSORBIBLE 4/0 9557T RB-1 X2 DOCENAS</t>
  </si>
  <si>
    <t>XS000119</t>
  </si>
  <si>
    <t>SUTURA QUIRURGICA MONOFILAMENTE ESTERIL SINTETICO NO ABSORBIBLE 0 75CM 8412T X 2 DOCENAS</t>
  </si>
  <si>
    <t>XS000112</t>
  </si>
  <si>
    <t>SUTURA QUIRURGICA DE GLICONATO MONOFILAMENTO ABSORBIBLE MONOSYN 4/0 DS 19X70CM REF.23404</t>
  </si>
  <si>
    <t>XS000109</t>
  </si>
  <si>
    <t>SUTURA QUIRURGICA ABSORBIBLE VICRYL 1 J347H CT-1 X3 DOCENAS X90CM REF 813</t>
  </si>
  <si>
    <t>XS000097</t>
  </si>
  <si>
    <t>SUTURA QUIRURGICA ABSORBIBLE VICRYL  4/0 P-3  45CM   REF JP494G X 1</t>
  </si>
  <si>
    <t>XS000094</t>
  </si>
  <si>
    <t>SUTURA DE NYLON NEGRO TRENZADO NO ABSORBIBLE NUROLON 4-0 N104T TF 8HEB 45CM X2 DOCENAS</t>
  </si>
  <si>
    <t>XS000082</t>
  </si>
  <si>
    <t>SUTURA DE COLAGENO CROMADO CROMADO 4/0 U203T RB-1 X2 DOCENAS</t>
  </si>
  <si>
    <t>XS000081</t>
  </si>
  <si>
    <t>SUTURA DE COLAGENO CROMADO CROMADO 3/0 G122T SH X2 DOCENAS</t>
  </si>
  <si>
    <t>XS000078</t>
  </si>
  <si>
    <t>SUTURA DE COLAGENO CROMADO 0 924T CT-1 X2 DOCENAS-CG924 GS21</t>
  </si>
  <si>
    <t>XS000073</t>
  </si>
  <si>
    <t>SURGICEL FIBRILAR 5.1X10.2 HEMOSTATICO SOBRE REF: 411962</t>
  </si>
  <si>
    <t>XS000070</t>
  </si>
  <si>
    <t>SURGICEL FIBRILAR 2.5X5 HEMOSTATICO SOBRE REF: 411961</t>
  </si>
  <si>
    <t>XS000068</t>
  </si>
  <si>
    <t>SISTEMA DE SELLADO DE VASOS PINZA LIGASURE IMPACT LF4418 -4318</t>
  </si>
  <si>
    <t>XS000063</t>
  </si>
  <si>
    <t>SISTEMA DE SELLADO DE VASOS PINZA LIGASURE 5MM REF 1837-1937</t>
  </si>
  <si>
    <t>XS000062</t>
  </si>
  <si>
    <t>SISTEMA DE LIGADURA LIGACLIPS TITANIUN CLIP MED/L  LT300  REF0301-06ML</t>
  </si>
  <si>
    <t>XS000057</t>
  </si>
  <si>
    <t>RECARGA GIA 60 -4.8 MM GIA6048L X 1</t>
  </si>
  <si>
    <t>XS000050</t>
  </si>
  <si>
    <t>RECARGA ENDO GIA 60 MM ARTICULADA MEDIANA REF.EGIA60AMT</t>
  </si>
  <si>
    <t>XS000044</t>
  </si>
  <si>
    <t>POLIDIOXANONA SUTURA PDS 5-0  RB-1 REF PX285017 -Z320(DEMEDIOX) X 1</t>
  </si>
  <si>
    <t>XS000037</t>
  </si>
  <si>
    <t>GRAPADORA LINEAL CORTANTE GIA 60-3.8 GIA6038S X1</t>
  </si>
  <si>
    <t>XS000022</t>
  </si>
  <si>
    <t>GRAPADORA ENDO GIA II (030402-30449) X12MM X1 EGIAUXL</t>
  </si>
  <si>
    <t>XS000017</t>
  </si>
  <si>
    <t>GRAPADORA CIRCULAR  EEA31 (111989) *1 PISTOLA</t>
  </si>
  <si>
    <t>XS000013</t>
  </si>
  <si>
    <t>GRAPA DE PIEL APPOSSE 803712 X1 GRAPADORA</t>
  </si>
  <si>
    <t>XS000011</t>
  </si>
  <si>
    <t>CLIP DE POLIMERO NO ABSORBIBLE PARA LIGADURA HEMOLOK DORADO XL</t>
  </si>
  <si>
    <t>XS000007</t>
  </si>
  <si>
    <t>ALAMBRE PARA OSTEOSINTESIS X 1</t>
  </si>
  <si>
    <t>XO000047</t>
  </si>
  <si>
    <t>INMOVILIZADOR DE DEDOS FLEJE BLANCO X1LAMINA ZIMMER</t>
  </si>
  <si>
    <t>XO000017</t>
  </si>
  <si>
    <t>AGUJA HIPODERMICA 30G X 1</t>
  </si>
  <si>
    <t>XG000050</t>
  </si>
  <si>
    <t>AGUJA HIPODERMICA DESECHABLE 25X5/8</t>
  </si>
  <si>
    <t>XG000049</t>
  </si>
  <si>
    <t>AGUJA DE BIOPSIA DE MEDULA OSEA  8 GA X 4-6"</t>
  </si>
  <si>
    <t>XG000047</t>
  </si>
  <si>
    <t>AGUJA DE BIOPSIA DE MEDULA OSEA  11 GA X 4-6"</t>
  </si>
  <si>
    <t>XG000043</t>
  </si>
  <si>
    <t>AGUJA HIPODERMICA 30G X 1/2</t>
  </si>
  <si>
    <t>XG000038</t>
  </si>
  <si>
    <t>CUCHILLA PARA DERMATOMO PDGETT X 1</t>
  </si>
  <si>
    <t>XG000033</t>
  </si>
  <si>
    <t>PARCHE BIOLOGICO XENOSURE DE PERICARDIO BOVINO DE 0.8 X 8 CM REF 08P8</t>
  </si>
  <si>
    <t>XD000351</t>
  </si>
  <si>
    <t>SHUNT CAROTIDA OUTLYING PUERTO T 9 FR 31 CM REF 201210</t>
  </si>
  <si>
    <t>XD000350</t>
  </si>
  <si>
    <t>SHUNT CAROTIDA INLYING PUERTO T 9 FR 15 CM REF 201212</t>
  </si>
  <si>
    <t>XD000349</t>
  </si>
  <si>
    <t>PROTESIS VASCULAR GELSOFT 14 X 7MM X 45CM REF 631407</t>
  </si>
  <si>
    <t>XD000345</t>
  </si>
  <si>
    <t>PROTESIS VASCULAR GELSOFT 18 X 9MM X 45CM REF 631809</t>
  </si>
  <si>
    <t>XD000344</t>
  </si>
  <si>
    <t>PROTESIS VASCULAR P.T.F.E 80CM X 8MM REF R08080C8</t>
  </si>
  <si>
    <t>XD000343</t>
  </si>
  <si>
    <t>PROTESIS VASCULAR GELSOFT 16 X 8MM X 45CM REF 631608</t>
  </si>
  <si>
    <t>XD000341</t>
  </si>
  <si>
    <t>MATRIZ PARA INJERTO DE DURA DURAGEN 2.5 X 7. 5 CM X 1 REF ID-1301-I</t>
  </si>
  <si>
    <t>XD000319</t>
  </si>
  <si>
    <t>PINZA DE BIOPSIA ESTANDAR FENESTRADA 2300MM 2.8MM REF FB-28U-1</t>
  </si>
  <si>
    <t>XD000309</t>
  </si>
  <si>
    <t>CUCHILLA OSEA SHAVER 3.5-5.5 07205305-07</t>
  </si>
  <si>
    <t>XD000288</t>
  </si>
  <si>
    <t>FRESA SHAVER ARTROSCOPIA X 1 FRESA 3.5/4.2MM</t>
  </si>
  <si>
    <t>XD000287</t>
  </si>
  <si>
    <t>ASA DE CORTE MONOPOLAR ANGULADA 24/26 ASA STORZ</t>
  </si>
  <si>
    <t>XD000284</t>
  </si>
  <si>
    <t>CUCHILLA PARA CORTE DE HUESO REF T12MH25D</t>
  </si>
  <si>
    <t>XD000274</t>
  </si>
  <si>
    <t>DISPOSITIVO DE ACCESO LAPAROSCOPICO SEPARADOR ALEXIS T-S</t>
  </si>
  <si>
    <t>XD000261</t>
  </si>
  <si>
    <t>PROTESIS VASCULAR P.T.F.E 80CM X 6MM REF R06080C8</t>
  </si>
  <si>
    <t>XD000242</t>
  </si>
  <si>
    <t>CANASTILLA EXTRACTORA DE CALCULOS</t>
  </si>
  <si>
    <t>XD000235</t>
  </si>
  <si>
    <t>VALVULA PROGRAMABLE HAKIM (KIT:823100) X 1</t>
  </si>
  <si>
    <t>XD000163</t>
  </si>
  <si>
    <t>SONDA NELATON # 12 (UREATRAL)</t>
  </si>
  <si>
    <t>XD000140</t>
  </si>
  <si>
    <t>PIN DE FIJACION EXTERNA CLAVO KIRSCHNER  1,2</t>
  </si>
  <si>
    <t>XD000095</t>
  </si>
  <si>
    <t xml:space="preserve">MATRIZ PARA INJERTO DE DURA DURAGEN 5 X 5 CM X 1  REF DP1022  </t>
  </si>
  <si>
    <t>XD000087</t>
  </si>
  <si>
    <t xml:space="preserve">FUNDA PARA MICROSCOPIO                  </t>
  </si>
  <si>
    <t>XD000054</t>
  </si>
  <si>
    <t>EXO-VAC 3/16 -4.8MM-CAJA *10 UNIDADES</t>
  </si>
  <si>
    <t>XD000047</t>
  </si>
  <si>
    <t>CUCHILLA PARA CORTE HUESO REF. 10BA50D REF 5820012050</t>
  </si>
  <si>
    <t>XD000031</t>
  </si>
  <si>
    <t>CUCHILLA PARA CORTE HUESO 10BA30 REF 5820110030</t>
  </si>
  <si>
    <t>XD000027</t>
  </si>
  <si>
    <t>BOLSA DRENAJE VENTRICULAR EXTERNO CODMAN 821722/821732</t>
  </si>
  <si>
    <t>XD000014</t>
  </si>
  <si>
    <t>SISTEMA DE CATETER Y DRENAJE MULTIPROPOSITO 10,2FRX 25CM CLM-10,2-RH-NPAS-NT</t>
  </si>
  <si>
    <t>XC000026</t>
  </si>
  <si>
    <t>MECHAS GRANDES QUIRURGICAS X 1 REF 0383</t>
  </si>
  <si>
    <t>XA000038</t>
  </si>
  <si>
    <t>GASAS-CIRUGIA-PAQUETE X8 ESTERIL REF0384</t>
  </si>
  <si>
    <t>XA000036</t>
  </si>
  <si>
    <t>APOSITO CON FORMULA DE GEL CONTROLADA DUODERM APOSITO 20 X 30CM</t>
  </si>
  <si>
    <t>XA000005</t>
  </si>
  <si>
    <t>211363-03</t>
  </si>
  <si>
    <t xml:space="preserve">CEFALOTINA 1 g polvo para reconstituir a solución inyectable </t>
  </si>
  <si>
    <t>208131-13</t>
  </si>
  <si>
    <t>20176786-1</t>
  </si>
  <si>
    <t>20152993-1</t>
  </si>
  <si>
    <t>20119728-01</t>
  </si>
  <si>
    <t>20069787-01</t>
  </si>
  <si>
    <t>20041806-02</t>
  </si>
  <si>
    <t>20037783-01</t>
  </si>
  <si>
    <t>20026310-10</t>
  </si>
  <si>
    <t>20011750-01</t>
  </si>
  <si>
    <t>20007502-5</t>
  </si>
  <si>
    <t>19995241-02</t>
  </si>
  <si>
    <t>19995161-03</t>
  </si>
  <si>
    <t>19993923-15</t>
  </si>
  <si>
    <t>250 mg / 5 ml</t>
  </si>
  <si>
    <t>DOBUTAMINA 250 mg / 5 ml Solución inyectable</t>
  </si>
  <si>
    <t>19942779-01</t>
  </si>
  <si>
    <t>19934768-18</t>
  </si>
  <si>
    <t>METILPREDNISOLONA ACETATO 40 mg Polvo para reconstituir a solución Inyección 1 ML</t>
  </si>
  <si>
    <t>19927243-01</t>
  </si>
  <si>
    <t>800100-12</t>
  </si>
  <si>
    <t xml:space="preserve">FARMACIA CENTRAL                                  </t>
  </si>
  <si>
    <t>150 mg + 75 mg</t>
  </si>
  <si>
    <t>RIFAMPICINA 150 mg, ISONIAZIDA 75 mg Tableta</t>
  </si>
  <si>
    <t>800100-05</t>
  </si>
  <si>
    <t>150 mg+ 75 mg+ 275 mg+ 400 mg</t>
  </si>
  <si>
    <t>RIFAMPICINA 150 mg, ISONIAZIDA 75 mg, PIRAZINAMIDA 400 mg, ETAMBUTOL 275 mg Tableta</t>
  </si>
  <si>
    <t>800100-03</t>
  </si>
  <si>
    <t>OSELTAMIVIR 75 mg Cápsula</t>
  </si>
  <si>
    <t>19905790-01</t>
  </si>
  <si>
    <t>3 X 10 MILLONES</t>
  </si>
  <si>
    <t>IBS BIOTIC PROBIOTICOS</t>
  </si>
  <si>
    <t>NT000041</t>
  </si>
  <si>
    <t>-</t>
  </si>
  <si>
    <t>SOPORTE NUTRICIONAL PARENTERAL TOTAL  ADULTO</t>
  </si>
  <si>
    <t>NT000013</t>
  </si>
  <si>
    <t>1.5 CAL/ML</t>
  </si>
  <si>
    <t>PIVOT 1.5 CAL LIQUIDO  LPC 1000 ML</t>
  </si>
  <si>
    <t>140527</t>
  </si>
  <si>
    <t>DIBEN 1,5 KCAL HP LIQUIDO EASYBAG  1000 ML</t>
  </si>
  <si>
    <t>140119</t>
  </si>
  <si>
    <t>SURVIMED OPD HN LIQUIDO 500 ML EASY BAG</t>
  </si>
  <si>
    <t>130105</t>
  </si>
  <si>
    <t xml:space="preserve">EMTRICITABINA + TENOFOVIR  200 + 300 mg Tabletas recubiertas </t>
  </si>
  <si>
    <t>20092764-02</t>
  </si>
  <si>
    <t>DOLUTEGRAVIR 50 mg tableta</t>
  </si>
  <si>
    <t>20071938-01</t>
  </si>
  <si>
    <t>60 mL</t>
  </si>
  <si>
    <t>CEFALEXINA 250 mg / 5 ml Polvo para reconstituir a solución oral 60 ML</t>
  </si>
  <si>
    <t>60069-1</t>
  </si>
  <si>
    <t>56152-02</t>
  </si>
  <si>
    <t>CEFALEXINA 250 mg / 5 ml Polvo para reconstituir a solución oral Frasco 60mL</t>
  </si>
  <si>
    <t>210465-02</t>
  </si>
  <si>
    <t>200mg</t>
  </si>
  <si>
    <t>HIDROXICLOROQUINA 200 mg Tableta</t>
  </si>
  <si>
    <t>206166-03</t>
  </si>
  <si>
    <t>20131753-02</t>
  </si>
  <si>
    <t>20080533-02</t>
  </si>
  <si>
    <t>20049276-01</t>
  </si>
  <si>
    <t>20020358-8</t>
  </si>
  <si>
    <t>19982144-01</t>
  </si>
  <si>
    <t>19965102-02</t>
  </si>
  <si>
    <t>CLOTRIMAZOL 100 MG OVULO VAGINAL</t>
  </si>
  <si>
    <t>19942488-2</t>
  </si>
  <si>
    <t>3 mg / ml - 10 ML</t>
  </si>
  <si>
    <t>GENTAMICINA 3 mg / ml Solución Oftálmica 10 ML</t>
  </si>
  <si>
    <t>19936817-01</t>
  </si>
  <si>
    <t>19931216-05</t>
  </si>
  <si>
    <t>19928054-17</t>
  </si>
  <si>
    <t>19912977-02</t>
  </si>
  <si>
    <t>56401-02</t>
  </si>
  <si>
    <t>56400-06</t>
  </si>
  <si>
    <t>36241-06</t>
  </si>
  <si>
    <t>20158710-2</t>
  </si>
  <si>
    <t>RIVAROXABAN 2.5 MG COMPRIMIDOS RECUBIERTOS</t>
  </si>
  <si>
    <t>20067147-2</t>
  </si>
  <si>
    <t>20032093-08</t>
  </si>
  <si>
    <t>19960641-01</t>
  </si>
  <si>
    <t>5.000 UI / 0.2</t>
  </si>
  <si>
    <t>DALTEPARINA SODICA 5.000 UI / 0.2 ml Solución inyectable</t>
  </si>
  <si>
    <t>19904162-02</t>
  </si>
  <si>
    <t>100 UI/mL</t>
  </si>
  <si>
    <t>INSULINA LISPRO 100 UI /ml Solucin Inyectable Pen 3ml</t>
  </si>
  <si>
    <t>224030-06</t>
  </si>
  <si>
    <t>CICLOFOSFAMIDA 500 mg Polvo para reconstituir a solución inyectable</t>
  </si>
  <si>
    <t>21534-01</t>
  </si>
  <si>
    <t>2g/0.5g</t>
  </si>
  <si>
    <t>CEFTAZIDIMA-AVIBACTAM 2g/0.5g polvo para solucion para infusion</t>
  </si>
  <si>
    <t>20157002-01</t>
  </si>
  <si>
    <t>20151033-1</t>
  </si>
  <si>
    <t>500 MG</t>
  </si>
  <si>
    <t>FLUCITOSINA 500 MG</t>
  </si>
  <si>
    <t>20135088-1</t>
  </si>
  <si>
    <t>20093733-1</t>
  </si>
  <si>
    <t>0.1 mg/ml</t>
  </si>
  <si>
    <t xml:space="preserve">DESMOPRESINA ACETATO 0.1 mg/ml Solución Nasal </t>
  </si>
  <si>
    <t>20080728-03</t>
  </si>
  <si>
    <t>62.5+25MCG</t>
  </si>
  <si>
    <t>UMECLINIDIO + VILANTEROL 62.5 + 25MCG</t>
  </si>
  <si>
    <t>20073341-01</t>
  </si>
  <si>
    <t>POLIMIXINA B 500.000 UI Polvo para reconstituir a solución inyectable</t>
  </si>
  <si>
    <t>20068002-01</t>
  </si>
  <si>
    <t>ANFOTERICINA B LIPOSOMAL 50mg Soluciòn Inyectable</t>
  </si>
  <si>
    <t>20049640-05</t>
  </si>
  <si>
    <t>PRASUGREL 10 MG</t>
  </si>
  <si>
    <t>20006437-1</t>
  </si>
  <si>
    <t>19990851-01</t>
  </si>
  <si>
    <t>700MG</t>
  </si>
  <si>
    <t>LIDOCAINA  700MG PARCHES TRASDERMICOS</t>
  </si>
  <si>
    <t>19982562-01</t>
  </si>
  <si>
    <t>DAPTOMICINA 500 mg Polvo para reconstituir Solución Inyectable</t>
  </si>
  <si>
    <t>19981181-01</t>
  </si>
  <si>
    <t>350 MG</t>
  </si>
  <si>
    <t>DAPTOMICINA 350 mg Polvo para reconstituir Solución Inyectable</t>
  </si>
  <si>
    <t>19981180-1</t>
  </si>
  <si>
    <t>TERLIPRESINA ACETATO 1 mg Polvo para reconstituir a solución inyectable</t>
  </si>
  <si>
    <t>19979420-02</t>
  </si>
  <si>
    <t>100 UI / ml - 3 ml</t>
  </si>
  <si>
    <t>INSULINA DETEMIR 100 UI / ml Solución inyectable Pluma 3 ml</t>
  </si>
  <si>
    <t>19972118-08</t>
  </si>
  <si>
    <t>397g</t>
  </si>
  <si>
    <t>BARIO SULFATO 96 % Bolsa x 397 g Polvo para enema rectal</t>
  </si>
  <si>
    <t>19960909-01</t>
  </si>
  <si>
    <t>100 UI /ml Pen 3mL</t>
  </si>
  <si>
    <t>INSULINA GLULISINA 100 UI / ml Solución inyectable lapiz x 3mL</t>
  </si>
  <si>
    <t>19950479-19</t>
  </si>
  <si>
    <t>70 mg</t>
  </si>
  <si>
    <t>CASPOFUNGINA 70 mg Polvo para reconstituir a solución inyectable</t>
  </si>
  <si>
    <t>19926496-02</t>
  </si>
  <si>
    <t>CASPOFUNGINA 50 mg Polvo para reconstituir a solución inyectable</t>
  </si>
  <si>
    <t>19926495-01</t>
  </si>
  <si>
    <t>4.5/160MCG</t>
  </si>
  <si>
    <t>FORMOTEROL+BUDESONIDA 4.5/160 MCG DOSIS</t>
  </si>
  <si>
    <t>19918906-1</t>
  </si>
  <si>
    <t>15 mcg</t>
  </si>
  <si>
    <t>DESMOPRESINA ACETATO 15 mcg / 1 ml Solución inyectable</t>
  </si>
  <si>
    <t>19917457-04</t>
  </si>
  <si>
    <t>INSULINA GLARGINA 100 UI/ml Solucion Inyectable Lápiz x 3 ml</t>
  </si>
  <si>
    <t>19914312-20</t>
  </si>
  <si>
    <t>100 UI / ml - 10 ml vial</t>
  </si>
  <si>
    <t>INSULINA GLARGINA 300 UI/ml Solucion Inyectable vialx 3 ml</t>
  </si>
  <si>
    <t>19914312-12</t>
  </si>
  <si>
    <t>44747-2</t>
  </si>
  <si>
    <t>0,5 mg</t>
  </si>
  <si>
    <t>ALPRAZOLAM 0.5 mg Tableta</t>
  </si>
  <si>
    <t>227600-01</t>
  </si>
  <si>
    <t>3 % 30 ML</t>
  </si>
  <si>
    <t>MORFINA CLORHIDRATO 3 % Solución Oral 30 ML</t>
  </si>
  <si>
    <t>218190-01</t>
  </si>
  <si>
    <t>2.5mg/mL</t>
  </si>
  <si>
    <t>CLONAZEPAM 2.5 mg / m Solución Oral frasco 20 mL</t>
  </si>
  <si>
    <t>20054403-1</t>
  </si>
  <si>
    <t>20019151-06</t>
  </si>
  <si>
    <t>20013906-01.</t>
  </si>
  <si>
    <t>20008612-01.</t>
  </si>
  <si>
    <t>2.5mg</t>
  </si>
  <si>
    <t>HIDROMORFONA CLORHIDRATO 2.5 mg 
Tableta</t>
  </si>
  <si>
    <t>19989418-01</t>
  </si>
  <si>
    <t>CLOZAPINA 25 mg Tableta</t>
  </si>
  <si>
    <t>19975977-03</t>
  </si>
  <si>
    <t>10mg</t>
  </si>
  <si>
    <t>METADONA 10mg Tableta</t>
  </si>
  <si>
    <t>19966033-01</t>
  </si>
  <si>
    <t>19914657-03</t>
  </si>
  <si>
    <t>FENOBARBITAL 100 mg Tableta</t>
  </si>
  <si>
    <t>19905549-01</t>
  </si>
  <si>
    <t>LORAZEPAM 1 mg Tableta</t>
  </si>
  <si>
    <t>19902391-03</t>
  </si>
  <si>
    <t>VENDA ALGODON 2 X 5 YARDAS</t>
  </si>
  <si>
    <t>XV000021</t>
  </si>
  <si>
    <t>SONDA DE SUCCION CERRADA No 16 FR ADULTO CORTA</t>
  </si>
  <si>
    <t>XT000081</t>
  </si>
  <si>
    <t>CANULA PARA TRAQUEOSTOMIA FENESTRADA SIN/BALON ADULTO No 70 REF 304-07</t>
  </si>
  <si>
    <t>XT000011</t>
  </si>
  <si>
    <t>TALONERA TIPO TULIS X PAR</t>
  </si>
  <si>
    <t>XO000062</t>
  </si>
  <si>
    <t>PLANTILLA EN RAMPLA PARA PIE IZQUIERDO O DERECHO</t>
  </si>
  <si>
    <t>XO000054</t>
  </si>
  <si>
    <t>KIT DE TRACCION CUTANEA PARA FEMUR O CADERA</t>
  </si>
  <si>
    <t>XO000051</t>
  </si>
  <si>
    <t>SILLA DE RUEDAS</t>
  </si>
  <si>
    <t>XO000043</t>
  </si>
  <si>
    <t>SANDALIA POS OPERATORIA</t>
  </si>
  <si>
    <t>XO000039</t>
  </si>
  <si>
    <t>COSTILLERO HOMBRE M UNIDAD</t>
  </si>
  <si>
    <t>XO000016</t>
  </si>
  <si>
    <t>COLLAR CERVICAL PHILADELPHIA S UNIDAD</t>
  </si>
  <si>
    <t>XO000011</t>
  </si>
  <si>
    <t>BRACE TOBILLO LARGE   TOBILLERA</t>
  </si>
  <si>
    <t>XO000006</t>
  </si>
  <si>
    <t>HOJA CUCHILLA MINORA X 1</t>
  </si>
  <si>
    <t>XJ000026</t>
  </si>
  <si>
    <t xml:space="preserve">AGUJA DE BIOPSIA DE MEDULA OSEA  11 GA X 150 MM </t>
  </si>
  <si>
    <t>XG000044</t>
  </si>
  <si>
    <t>AGUJA PARA BIOPSIA SEMI AUTOMATICA 18X20  REF PRE1820</t>
  </si>
  <si>
    <t>XG000040</t>
  </si>
  <si>
    <t>PRESERVATIVO TODAY X UNIDAD</t>
  </si>
  <si>
    <t>XD000407</t>
  </si>
  <si>
    <t xml:space="preserve">AGUJA PARA BIOPSIA SEMI AUTOMATICA 18GX 10 CM </t>
  </si>
  <si>
    <t>XD000298</t>
  </si>
  <si>
    <t xml:space="preserve">AGUJA DE ACCESO PERCUTANEO 18/20 M0067001220                                                        </t>
  </si>
  <si>
    <t>XD000228</t>
  </si>
  <si>
    <t>ACICLOVIR 5% Ungüento Topico tubo 15 g</t>
  </si>
  <si>
    <t>57693-02</t>
  </si>
  <si>
    <t>56622-02</t>
  </si>
  <si>
    <t>AMLODIPINO 5 mg Tableta</t>
  </si>
  <si>
    <t>55895-06</t>
  </si>
  <si>
    <t>CAPTOPRIL 25 mg Tableta</t>
  </si>
  <si>
    <t>54972-03</t>
  </si>
  <si>
    <t>IBUPROFENO 400 mg Tableta</t>
  </si>
  <si>
    <t>51330-17</t>
  </si>
  <si>
    <t>48568-02</t>
  </si>
  <si>
    <t>44569-25</t>
  </si>
  <si>
    <t>44405-03</t>
  </si>
  <si>
    <t>38292-01</t>
  </si>
  <si>
    <t>120 mg</t>
  </si>
  <si>
    <t>VERAPAMILO CLORHIDRATO 120 mg Tableta</t>
  </si>
  <si>
    <t>37897-04</t>
  </si>
  <si>
    <t xml:space="preserve">VERAPAMILO CLORHIDRATO 80 mg Tableta </t>
  </si>
  <si>
    <t>37892-04</t>
  </si>
  <si>
    <t>ISOSORBIDE DINITRATO 5MG TABLETAS</t>
  </si>
  <si>
    <t>37246-01</t>
  </si>
  <si>
    <t>GEMFIBROZILO 600 mg Tableta</t>
  </si>
  <si>
    <t>36269-02</t>
  </si>
  <si>
    <t>35618-01</t>
  </si>
  <si>
    <t>N-ACETILCISTEINA 200 mg Granulado</t>
  </si>
  <si>
    <t>33777-03</t>
  </si>
  <si>
    <t xml:space="preserve">CARBONATO DE CALCIO Tableta 600 mg </t>
  </si>
  <si>
    <t>30969-05</t>
  </si>
  <si>
    <t>29653-03</t>
  </si>
  <si>
    <t>27190-03</t>
  </si>
  <si>
    <t>400mg/4mL</t>
  </si>
  <si>
    <t xml:space="preserve">MESNA 400mg/4mL Solución inyectable </t>
  </si>
  <si>
    <t>24063-01</t>
  </si>
  <si>
    <t>226859-10</t>
  </si>
  <si>
    <t>TOLTERODINA L 2 mg TABLETA</t>
  </si>
  <si>
    <t>226031-01</t>
  </si>
  <si>
    <t>225392-02</t>
  </si>
  <si>
    <t>212764-10</t>
  </si>
  <si>
    <t>20199943-1</t>
  </si>
  <si>
    <t>10 G</t>
  </si>
  <si>
    <t>CICLOSILICATO DE SODIO Y ZIRCONIO 10 GRAMOS SACHET</t>
  </si>
  <si>
    <t>20176758-1</t>
  </si>
  <si>
    <t>20159461-1</t>
  </si>
  <si>
    <t>PENICILINA G BENZATINICA 2.400.000 UI polvo Estéril para InyecciónPENICILINA G BENZATINICA 2.400.000</t>
  </si>
  <si>
    <t>20146885-2</t>
  </si>
  <si>
    <t>20143309-01</t>
  </si>
  <si>
    <t>20134604-09</t>
  </si>
  <si>
    <t>50 MG+50MG</t>
  </si>
  <si>
    <t>TRAMADOL+DICLOFENACO 50MG+50MG TABLETA</t>
  </si>
  <si>
    <t>20121750-3</t>
  </si>
  <si>
    <t>20116782-01</t>
  </si>
  <si>
    <t>20096371-25</t>
  </si>
  <si>
    <t>PIRIDOXINA HCL 50 mg Cápsula</t>
  </si>
  <si>
    <t>20095530-02</t>
  </si>
  <si>
    <t>20094213-01</t>
  </si>
  <si>
    <t>20093311-1</t>
  </si>
  <si>
    <t>20067414-11</t>
  </si>
  <si>
    <t>20067121-1</t>
  </si>
  <si>
    <t>20064456-1</t>
  </si>
  <si>
    <t>100 UI/ml - 3 ml</t>
  </si>
  <si>
    <t xml:space="preserve">INSULINA DEGLUDEC 100 UI/mlSolución inyectable Pluma x 3 ml </t>
  </si>
  <si>
    <t>20059262-02</t>
  </si>
  <si>
    <t>150 MG</t>
  </si>
  <si>
    <t>BUPROPION 150 MG TAB</t>
  </si>
  <si>
    <t>20058938-2</t>
  </si>
  <si>
    <t>LACTATO RINGER Solucion Inyectable frasco 500 mL</t>
  </si>
  <si>
    <t>20055559-9</t>
  </si>
  <si>
    <t>20052424-06</t>
  </si>
  <si>
    <t>ERITROPOYETINA 2.000 UI solución inyectable</t>
  </si>
  <si>
    <t>20047839-02</t>
  </si>
  <si>
    <t>20046741-04</t>
  </si>
  <si>
    <t>20046007-02</t>
  </si>
  <si>
    <t xml:space="preserve">TIZANIDINA 2 mg Tableta </t>
  </si>
  <si>
    <t>20044925-2</t>
  </si>
  <si>
    <t>20043928-01</t>
  </si>
  <si>
    <t>20039359-03</t>
  </si>
  <si>
    <t>20038991-2</t>
  </si>
  <si>
    <t>20028604-02</t>
  </si>
  <si>
    <t>20025656-02</t>
  </si>
  <si>
    <t>20025310-02</t>
  </si>
  <si>
    <t>MIDODRINA 5 MG TAB</t>
  </si>
  <si>
    <t>20022446-02</t>
  </si>
  <si>
    <t>20019446-03</t>
  </si>
  <si>
    <t>20010105-02</t>
  </si>
  <si>
    <t>20006150-07</t>
  </si>
  <si>
    <t>20005911-02</t>
  </si>
  <si>
    <t>20005748-07</t>
  </si>
  <si>
    <t>LAMOTRIGINA 100 mg Tableta</t>
  </si>
  <si>
    <t>20001515-03</t>
  </si>
  <si>
    <t>PROTAMINA CLORHIDRATO  50 MG/5ML Solución Inyectable</t>
  </si>
  <si>
    <t>1P1039971001100</t>
  </si>
  <si>
    <t>1A1014821001100</t>
  </si>
  <si>
    <t>0.05%</t>
  </si>
  <si>
    <t>BETAMETASONA 0.05 % Crema Tópica</t>
  </si>
  <si>
    <t>19999832-02</t>
  </si>
  <si>
    <t>19998076-1</t>
  </si>
  <si>
    <t>19995244-01</t>
  </si>
  <si>
    <t xml:space="preserve">1MG+3.5MG+6000 UI </t>
  </si>
  <si>
    <t>DEXAMETASONA + NEOMICINA + POLIMIXINA 1MG+3.5MG+6000  UI</t>
  </si>
  <si>
    <t>19993998-8</t>
  </si>
  <si>
    <t>19992190-03</t>
  </si>
  <si>
    <t>19990978-3</t>
  </si>
  <si>
    <t>19990584-03</t>
  </si>
  <si>
    <t>88MCG</t>
  </si>
  <si>
    <t>LEVOTIROXINA SODICA 88MCG</t>
  </si>
  <si>
    <t>19987947-8</t>
  </si>
  <si>
    <t>19985876-02</t>
  </si>
  <si>
    <t>25 mcg</t>
  </si>
  <si>
    <t>LEVOTIROXINA SODICA 25 mcg Tableta</t>
  </si>
  <si>
    <t>19980015-9</t>
  </si>
  <si>
    <t>40 mg/ml - 20 ml</t>
  </si>
  <si>
    <t>LEVOMEPROMAZINA 40 mg/ml Solución Oral Fco 20mL</t>
  </si>
  <si>
    <t>19977387-02</t>
  </si>
  <si>
    <t>19976365-11</t>
  </si>
  <si>
    <t>19974415-3</t>
  </si>
  <si>
    <t>19973358-02</t>
  </si>
  <si>
    <t>19973061-05</t>
  </si>
  <si>
    <t>19970870-2</t>
  </si>
  <si>
    <t>ACETILCISTEINA 600mg</t>
  </si>
  <si>
    <t>19969414-02</t>
  </si>
  <si>
    <t>PROPAFENONA CLORHIDRATO 150mg</t>
  </si>
  <si>
    <t>19969143-01</t>
  </si>
  <si>
    <t>8MG</t>
  </si>
  <si>
    <t>ONDANSETRON 8MG TABLETA</t>
  </si>
  <si>
    <t>19968954-01</t>
  </si>
  <si>
    <t>19966420-04</t>
  </si>
  <si>
    <t>340 g</t>
  </si>
  <si>
    <t>BARIO SULFATO 98 % Frasco x 340 g Polvo para suspensión oral</t>
  </si>
  <si>
    <t>19961974-01</t>
  </si>
  <si>
    <t>176 g</t>
  </si>
  <si>
    <t>BARIO SULFATO 96 % Frasco x 176 g Polvo para suspensión oral</t>
  </si>
  <si>
    <t>19961973-01</t>
  </si>
  <si>
    <t>ESOMEPRAZOL 40 mg Tabletas entericas</t>
  </si>
  <si>
    <t>19960390-14</t>
  </si>
  <si>
    <t>19960116-14</t>
  </si>
  <si>
    <t>170 MG/80 MG</t>
  </si>
  <si>
    <t>PANCREATINA+SIMETICONA 170MG/80MG</t>
  </si>
  <si>
    <t>19957711-4</t>
  </si>
  <si>
    <t>19955212-21</t>
  </si>
  <si>
    <t>19949079-5</t>
  </si>
  <si>
    <t>OLANZAPINA  5mg Tableta</t>
  </si>
  <si>
    <t>19946498-01</t>
  </si>
  <si>
    <t>1 % - 20 ML</t>
  </si>
  <si>
    <t>RIFAMICINA 1% Solución Tópica 20 ML</t>
  </si>
  <si>
    <t>19943272-01</t>
  </si>
  <si>
    <t>35 MG</t>
  </si>
  <si>
    <t>TRIMETAZIDINA 35 MG</t>
  </si>
  <si>
    <t>19942431-5</t>
  </si>
  <si>
    <t>300MG</t>
  </si>
  <si>
    <t xml:space="preserve">GABAPENTIN 300mg CAPSULAS </t>
  </si>
  <si>
    <t>19942333-3</t>
  </si>
  <si>
    <t>19941742-05</t>
  </si>
  <si>
    <t>AMANTADINA SULFATO  100 mg Cápsula</t>
  </si>
  <si>
    <t>19931778-13</t>
  </si>
  <si>
    <t>200 PUFF</t>
  </si>
  <si>
    <t>BROMURO DE IPATROPIO + BROMHIDRATO DE FENOTEROL 0.50 mg + 0.25 mg / ml Inhalador</t>
  </si>
  <si>
    <t>19931241-01</t>
  </si>
  <si>
    <t>19930893-2</t>
  </si>
  <si>
    <t>19929866-03</t>
  </si>
  <si>
    <t>19928485-09</t>
  </si>
  <si>
    <t xml:space="preserve">AMLODIPINO 5mg </t>
  </si>
  <si>
    <t>19928329-01</t>
  </si>
  <si>
    <t>19924189-01</t>
  </si>
  <si>
    <t>INSULINA ASPARTA 100 UI/ml Solución inyectable pluma x 3 ml</t>
  </si>
  <si>
    <t>19910693-06</t>
  </si>
  <si>
    <t>19907962-04</t>
  </si>
  <si>
    <t>19901852-2</t>
  </si>
  <si>
    <t>2 MG</t>
  </si>
  <si>
    <t>BIPERIDENO 2 MG TABLETA</t>
  </si>
  <si>
    <t>19900906-20</t>
  </si>
  <si>
    <t>1980184-8</t>
  </si>
  <si>
    <t>ALOPURINOL TABLETAS 300MG</t>
  </si>
  <si>
    <t>11415-4</t>
  </si>
  <si>
    <t>Costo Total</t>
  </si>
  <si>
    <t>Costo Unitario</t>
  </si>
  <si>
    <t>Cantidad</t>
  </si>
  <si>
    <t>Concentración</t>
  </si>
  <si>
    <t>Unidad de Medida Nombre</t>
  </si>
  <si>
    <t>Unidad de Medida Código</t>
  </si>
  <si>
    <t>Fecha Vencimiento</t>
  </si>
  <si>
    <t>Lote</t>
  </si>
  <si>
    <t>Producto Nombre</t>
  </si>
  <si>
    <t>Producto Código</t>
  </si>
  <si>
    <t>Grupo Nombre</t>
  </si>
  <si>
    <t>Grupo Código</t>
  </si>
  <si>
    <t>Almacen Nombre</t>
  </si>
  <si>
    <t>Almacen Código</t>
  </si>
  <si>
    <t>Concepto</t>
  </si>
  <si>
    <t>Saldo Contab</t>
  </si>
  <si>
    <t>Saldo Inventarios</t>
  </si>
  <si>
    <t>Diferencia</t>
  </si>
  <si>
    <t>TOTAL</t>
  </si>
  <si>
    <t>Etiquetas de fila</t>
  </si>
  <si>
    <t>Total general</t>
  </si>
  <si>
    <t>Suma de 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</si>
</sst>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Book Antiqua"/>
      <family val="1"/>
    </font>
    <font>
      <b/>
      <sz val="8"/>
      <color theme="1"/>
      <name val="Book Antiqua"/>
      <family val="1"/>
    </font>
    <font>
      <b/>
      <sz val="12"/>
      <color rgb="FF000000"/>
      <name val="Book Antiqua"/>
      <family val="1"/>
    </font>
    <font>
      <sz val="12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/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1" fontId="1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4" fillId="0" borderId="2" xfId="0" applyNumberFormat="1" applyFont="1" applyBorder="1"/>
    <xf numFmtId="0" fontId="3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1" fillId="0" borderId="0" xfId="0" pivotButton="1" applyFont="1"/>
    <xf numFmtId="0" fontId="1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101">
    <dxf>
      <numFmt numFmtId="164" formatCode="#,##0.00_ ;[Red]\-#,##0.00\ "/>
    </dxf>
    <dxf>
      <numFmt numFmtId="164" formatCode="#,##0.00_ ;[Red]\-#,##0.00\ "/>
    </dxf>
    <dxf>
      <numFmt numFmtId="164" formatCode="#,##0.00_ ;[Red]\-#,##0.00\ 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rlos Miticanoy Crespo" refreshedDate="45628.294480671299" createdVersion="8" refreshedVersion="8" minRefreshableVersion="3" recordCount="3496" xr:uid="{BC885B23-DBDA-4208-A79A-7A0ED911C6AE}">
  <cacheSource type="worksheet">
    <worksheetSource ref="A1:N3497" sheet="Inventario"/>
  </cacheSource>
  <cacheFields count="14">
    <cacheField name="Almacen Código" numFmtId="0">
      <sharedItems/>
    </cacheField>
    <cacheField name="Almacen Nombre" numFmtId="0">
      <sharedItems/>
    </cacheField>
    <cacheField name="Grupo Código" numFmtId="0">
      <sharedItems count="17">
        <s v="001"/>
        <s v="015"/>
        <s v="002"/>
        <s v="007"/>
        <s v="005"/>
        <s v="011"/>
        <s v="004"/>
        <s v="016"/>
        <s v="006"/>
        <s v="003"/>
        <s v="013"/>
        <s v="010"/>
        <s v="014"/>
        <s v="012"/>
        <s v="009"/>
        <s v="017"/>
        <s v="008"/>
      </sharedItems>
    </cacheField>
    <cacheField name="Grupo Nombre" numFmtId="0">
      <sharedItems count="17">
        <s v="MEDICAMENTOS"/>
        <s v="MATERIALES Y REPUESTOS"/>
        <s v="MATERIAL MEDICO QUIRURGICO"/>
        <s v="MEDICAMENTOS ANTIMICROBIANOS"/>
        <s v="MEDICAMENTOS ALTO COSTO"/>
        <s v="PAPELERIA Y ELEMENTOS DE OFICINA"/>
        <s v="MEDICAMENTOS CONTROL ESPECIAL"/>
        <s v="ELEMENTOS DE ASEO"/>
        <s v="MEDICAMENTOS ANTICOAGULANTES"/>
        <s v="ELEMENTO DE CONSUMO"/>
        <s v="DOTACION TRABAJADORES"/>
        <s v="MATERIAL DE OSTEOSINTESIS"/>
        <s v="ROPERIA"/>
        <s v="MENAJE Y UTENSILIOS DE COCINA"/>
        <s v="NUTRICIÓN"/>
        <s v="MEDICAMENTOS SALUD PUBLICA"/>
        <s v="MEDICAMENTOS ANTIRETROVIRALES"/>
      </sharedItems>
    </cacheField>
    <cacheField name="Producto Código" numFmtId="0">
      <sharedItems/>
    </cacheField>
    <cacheField name="Producto Nombre" numFmtId="0">
      <sharedItems/>
    </cacheField>
    <cacheField name="Lote" numFmtId="0">
      <sharedItems/>
    </cacheField>
    <cacheField name="Fecha Vencimiento" numFmtId="14">
      <sharedItems containsNonDate="0"/>
    </cacheField>
    <cacheField name="Unidad de Medida Código" numFmtId="0">
      <sharedItems/>
    </cacheField>
    <cacheField name="Unidad de Medida Nombre" numFmtId="0">
      <sharedItems/>
    </cacheField>
    <cacheField name="Concentración" numFmtId="0">
      <sharedItems/>
    </cacheField>
    <cacheField name="Cantidad" numFmtId="1">
      <sharedItems containsSemiMixedTypes="0" containsString="0" containsNumber="1" containsInteger="1" minValue="-10" maxValue="26800"/>
    </cacheField>
    <cacheField name="Costo Unitario" numFmtId="164">
      <sharedItems containsSemiMixedTypes="0" containsString="0" containsNumber="1" minValue="-2924062.96" maxValue="6783000"/>
    </cacheField>
    <cacheField name="Costo Total" numFmtId="164">
      <sharedItems containsSemiMixedTypes="0" containsString="0" containsNumber="1" minValue="-15884343.848816028" maxValue="14908037.0869203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6">
  <r>
    <s v="005"/>
    <s v="ALMACEN MEDICAMENTOS"/>
    <x v="0"/>
    <x v="0"/>
    <s v="20058380-01"/>
    <s v="ADENOSINA 6 mg/2 ml Solución Inyectable"/>
    <s v=""/>
    <s v=""/>
    <s v=""/>
    <s v=""/>
    <s v="6 mg / 2 ml"/>
    <n v="-10"/>
    <n v="17324.682926829268"/>
    <n v="-173246.82926829267"/>
  </r>
  <r>
    <s v="008"/>
    <s v="ALMACEN  GENERAL                                         "/>
    <x v="1"/>
    <x v="1"/>
    <s v="AM000228"/>
    <s v="VAPROX HC 15*3 PEROXIDO 59% REFPB011"/>
    <s v=""/>
    <s v=""/>
    <s v="006"/>
    <s v="Unidad"/>
    <s v=""/>
    <n v="1"/>
    <n v="-2924062.96"/>
    <n v="-2924062.96"/>
  </r>
  <r>
    <s v="010"/>
    <s v="STOCK TERAPIA URGENCIAS                                   "/>
    <x v="2"/>
    <x v="2"/>
    <s v="XT000085"/>
    <s v="SISTEMA SUCCION ADAPTADOR #14 TRAQUEAL CERRADA CORTA REF 0291"/>
    <s v=""/>
    <s v=""/>
    <s v="006"/>
    <s v="Unidad"/>
    <s v=""/>
    <n v="1"/>
    <n v="-133257.26047619048"/>
    <n v="-133257.26047619048"/>
  </r>
  <r>
    <s v="018"/>
    <s v="STOCK  FISIOTERAPIA UCI  1                                         "/>
    <x v="2"/>
    <x v="2"/>
    <s v="XT000085"/>
    <s v="SISTEMA SUCCION ADAPTADOR #14 TRAQUEAL CERRADA CORTA REF 0291"/>
    <s v=""/>
    <s v=""/>
    <s v="006"/>
    <s v="Unidad"/>
    <s v=""/>
    <n v="1"/>
    <n v="-133257.26047619048"/>
    <n v="-133257.26047619048"/>
  </r>
  <r>
    <s v="020"/>
    <s v="STOCK FISIOTERAPIA UCI 2                                     "/>
    <x v="2"/>
    <x v="2"/>
    <s v="XT000085"/>
    <s v="SISTEMA SUCCION ADAPTADOR #14 TRAQUEAL CERRADA CORTA REF 0291"/>
    <s v=""/>
    <s v=""/>
    <s v="006"/>
    <s v="Unidad"/>
    <s v=""/>
    <n v="1"/>
    <n v="-133257.26047619048"/>
    <n v="-133257.26047619048"/>
  </r>
  <r>
    <s v="010"/>
    <s v="STOCK TERAPIA URGENCIAS                                   "/>
    <x v="2"/>
    <x v="2"/>
    <s v="XT000028"/>
    <s v="SISTEMA SUCCION ADAPTADOR #14 TRAQUEAL CERRADA LARGA"/>
    <s v=""/>
    <s v=""/>
    <s v="006"/>
    <s v="Unidad"/>
    <s v=""/>
    <n v="1"/>
    <n v="-123798.43206896551"/>
    <n v="-123798.43206896551"/>
  </r>
  <r>
    <s v="018"/>
    <s v="STOCK  FISIOTERAPIA UCI  1                                         "/>
    <x v="2"/>
    <x v="2"/>
    <s v="XT000028"/>
    <s v="SISTEMA SUCCION ADAPTADOR #14 TRAQUEAL CERRADA LARGA"/>
    <s v=""/>
    <s v=""/>
    <s v="006"/>
    <s v="Unidad"/>
    <s v=""/>
    <n v="1"/>
    <n v="-123798.43206896551"/>
    <n v="-123798.43206896551"/>
  </r>
  <r>
    <s v="020"/>
    <s v="STOCK FISIOTERAPIA UCI 2                                     "/>
    <x v="2"/>
    <x v="2"/>
    <s v="XT000028"/>
    <s v="SISTEMA SUCCION ADAPTADOR #14 TRAQUEAL CERRADA LARGA"/>
    <s v=""/>
    <s v=""/>
    <s v="006"/>
    <s v="Unidad"/>
    <s v=""/>
    <n v="1"/>
    <n v="-123798.43206896551"/>
    <n v="-123798.43206896551"/>
  </r>
  <r>
    <s v="018"/>
    <s v="STOCK  FISIOTERAPIA UCI  1                                         "/>
    <x v="2"/>
    <x v="2"/>
    <s v="XT000017"/>
    <s v="GUIA PARA INTUBACION X1 ESTILETE TUBO ENDOTRAQUE"/>
    <s v=""/>
    <s v=""/>
    <s v="006"/>
    <s v="Unidad"/>
    <s v=""/>
    <n v="1"/>
    <n v="-58082.704199999993"/>
    <n v="-58082.7042"/>
  </r>
  <r>
    <s v="020"/>
    <s v="STOCK FISIOTERAPIA UCI 2                                     "/>
    <x v="2"/>
    <x v="2"/>
    <s v="XT000017"/>
    <s v="GUIA PARA INTUBACION X1 ESTILETE TUBO ENDOTRAQUE"/>
    <s v=""/>
    <s v=""/>
    <s v="006"/>
    <s v="Unidad"/>
    <s v=""/>
    <n v="1"/>
    <n v="-58082.704199999993"/>
    <n v="-58082.7042"/>
  </r>
  <r>
    <s v="052"/>
    <s v="CONSIGNACION LM INSTRUMENS S.A"/>
    <x v="2"/>
    <x v="2"/>
    <s v="XT000090"/>
    <s v="CANULA TRAQUEOSTOMIA FENESTRADA CON BALON No 8.0  REF T-302-08 "/>
    <s v=""/>
    <s v=""/>
    <s v="006"/>
    <s v="Unidad"/>
    <s v=""/>
    <n v="1"/>
    <n v="-33029.870000000003"/>
    <n v="-33029.870000000003"/>
  </r>
  <r>
    <s v="010"/>
    <s v="STOCK TERAPIA URGENCIAS                                   "/>
    <x v="0"/>
    <x v="0"/>
    <s v="29523-02"/>
    <s v="SODIO CLORURO 0.9% -50 ml Solución Inyectable"/>
    <s v=""/>
    <s v=""/>
    <s v=""/>
    <s v=""/>
    <s v="0.9% - 50 ml"/>
    <n v="1"/>
    <n v="-9389.8194444444453"/>
    <n v="-9389.8194444444398"/>
  </r>
  <r>
    <s v="010"/>
    <s v="STOCK TERAPIA URGENCIAS                                   "/>
    <x v="2"/>
    <x v="2"/>
    <s v="XT000015"/>
    <s v="FILTRO ANTIBACTERIANO NARIZ CAMELLO HYGROBAC ADULTO REF 63-804"/>
    <s v=""/>
    <s v=""/>
    <s v="006"/>
    <s v="Unidad"/>
    <s v=""/>
    <n v="1"/>
    <n v="-7674.6067999999996"/>
    <n v="-7674.6067999999996"/>
  </r>
  <r>
    <s v="020"/>
    <s v="STOCK FISIOTERAPIA UCI 2                                     "/>
    <x v="2"/>
    <x v="2"/>
    <s v="XT000015"/>
    <s v="FILTRO ANTIBACTERIANO NARIZ CAMELLO HYGROBAC ADULTO REF 63-804"/>
    <s v=""/>
    <s v=""/>
    <s v="006"/>
    <s v="Unidad"/>
    <s v=""/>
    <n v="1"/>
    <n v="-7674.6067999999996"/>
    <n v="-7674.6067999999996"/>
  </r>
  <r>
    <s v="003"/>
    <s v="CARRO  DE PARO RECUPERACION HEMODINAMIA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04"/>
    <s v="CARRO DE PARO RADIOLOGIA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14"/>
    <s v="CARRO DE PARO CARDIOLOGIA       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15"/>
    <s v="CARRO DE PARO HEMODINAMIA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17"/>
    <s v="CARRO DE PARO UCI            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22"/>
    <s v="CARRO DE PARO DE CIRUGIA     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26"/>
    <s v="CARRO DE PARO TERCER PISO    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29"/>
    <s v="CARRO DE PARO CUARTO PISO                         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57"/>
    <s v="CARRO DE PARO UCI 2"/>
    <x v="2"/>
    <x v="2"/>
    <s v="XA000013"/>
    <s v="APOSITO TRANSPARENTE I.V ADVANCE 8.5 X 11.5"/>
    <s v=""/>
    <s v=""/>
    <s v="006"/>
    <s v="Unidad"/>
    <s v=""/>
    <n v="1"/>
    <n v="-1276.1739304812834"/>
    <n v="-1276.17393048128"/>
  </r>
  <r>
    <s v="009"/>
    <s v="CARRO DE PARO URGENCIAS                           "/>
    <x v="2"/>
    <x v="2"/>
    <s v="XG000003"/>
    <s v="AGUJA DESECHABLE # 18 G.X1-1/2*100"/>
    <s v=""/>
    <s v=""/>
    <s v="006"/>
    <s v="Unidad"/>
    <s v=""/>
    <n v="1"/>
    <n v="70.974907834101387"/>
    <n v="70.974907834099994"/>
  </r>
  <r>
    <s v="001"/>
    <s v="FARMACIA CENTRAL                                  "/>
    <x v="3"/>
    <x v="3"/>
    <s v="19950177-01"/>
    <s v="DOXICICLINA 100 mg Tableta o Cápsula"/>
    <s v=""/>
    <s v=""/>
    <s v=""/>
    <s v=""/>
    <s v="100 mg"/>
    <n v="1"/>
    <n v="214.08702970297031"/>
    <n v="214.08702970297"/>
  </r>
  <r>
    <s v="026"/>
    <s v="CARRO DE PARO TERCER PISO                         "/>
    <x v="2"/>
    <x v="2"/>
    <s v="XJ000012"/>
    <s v="JERINGA DESECHABLE 3 ML-C/A-3 PARTES X100"/>
    <s v=""/>
    <s v=""/>
    <s v="006"/>
    <s v="Unidad"/>
    <s v=""/>
    <n v="1"/>
    <n v="223.90058038692462"/>
    <n v="223.90058038692001"/>
  </r>
  <r>
    <s v="026"/>
    <s v="CARRO DE PARO TERCER PISO                         "/>
    <x v="2"/>
    <x v="2"/>
    <s v="XJ000015"/>
    <s v="JERINGA DESECHABLE DE INSULINA 1ML X 100UI."/>
    <s v=""/>
    <s v=""/>
    <s v="006"/>
    <s v="Unidad"/>
    <s v=""/>
    <n v="1"/>
    <n v="229.47137931034484"/>
    <n v="229.47137931034001"/>
  </r>
  <r>
    <s v="004"/>
    <s v="CARRO DE PARO RADIOLOGIA"/>
    <x v="2"/>
    <x v="2"/>
    <s v="XG000028"/>
    <s v="HOJA BISTURI # 15 *100"/>
    <s v=""/>
    <s v=""/>
    <s v="006"/>
    <s v="Unidad"/>
    <s v=""/>
    <n v="1"/>
    <n v="285.17608450704222"/>
    <n v="285.17608450704"/>
  </r>
  <r>
    <s v="009"/>
    <s v="CARRO DE PARO URGENCIAS                           "/>
    <x v="2"/>
    <x v="2"/>
    <s v="XG000028"/>
    <s v="HOJA BISTURI # 15 *100"/>
    <s v=""/>
    <s v=""/>
    <s v="006"/>
    <s v="Unidad"/>
    <s v=""/>
    <n v="1"/>
    <n v="285.17608450704222"/>
    <n v="285.17608450704"/>
  </r>
  <r>
    <s v="014"/>
    <s v="CARRO DE PARO CARDIOLOGIA                            "/>
    <x v="2"/>
    <x v="2"/>
    <s v="XG000028"/>
    <s v="HOJA BISTURI # 15 *100"/>
    <s v=""/>
    <s v=""/>
    <s v="006"/>
    <s v="Unidad"/>
    <s v=""/>
    <n v="1"/>
    <n v="285.17608450704222"/>
    <n v="285.17608450704"/>
  </r>
  <r>
    <s v="026"/>
    <s v="CARRO DE PARO TERCER PISO                         "/>
    <x v="2"/>
    <x v="2"/>
    <s v="XG000028"/>
    <s v="HOJA BISTURI # 15 *100"/>
    <s v=""/>
    <s v=""/>
    <s v="006"/>
    <s v="Unidad"/>
    <s v=""/>
    <n v="1"/>
    <n v="285.17608450704222"/>
    <n v="285.17608450704"/>
  </r>
  <r>
    <s v="018"/>
    <s v="STOCK  FISIOTERAPIA UCI  1                                         "/>
    <x v="2"/>
    <x v="2"/>
    <s v="XA000035"/>
    <s v="GASAS PAQUETE ESTERIL X5"/>
    <s v=""/>
    <s v=""/>
    <s v="006"/>
    <s v="Unidad"/>
    <s v=""/>
    <n v="1"/>
    <n v="303.54016676418956"/>
    <n v="303.54016676419002"/>
  </r>
  <r>
    <s v="059"/>
    <s v="BODEGA CUARENTENA"/>
    <x v="3"/>
    <x v="3"/>
    <s v="19929856-13"/>
    <s v="CEFALEXINA 500 mg Cápsula"/>
    <s v=""/>
    <s v=""/>
    <s v=""/>
    <s v=""/>
    <s v="500 mg"/>
    <n v="1"/>
    <n v="330.70025188916878"/>
    <n v="330.70025188916998"/>
  </r>
  <r>
    <s v="001"/>
    <s v="FARMACIA CENTRAL                                  "/>
    <x v="0"/>
    <x v="0"/>
    <s v="201145-01"/>
    <s v="SULFASALAZINA 500 mg Tableta"/>
    <s v=""/>
    <s v=""/>
    <s v=""/>
    <s v=""/>
    <s v="500mg"/>
    <n v="1"/>
    <n v="473.72245901639349"/>
    <n v="473.72245901639002"/>
  </r>
  <r>
    <s v="022"/>
    <s v="CARRO DE PARO DE CIRUGIA                          "/>
    <x v="2"/>
    <x v="2"/>
    <s v="XD000141"/>
    <s v="SONDA NELATON # 14 (UREATRAL)1"/>
    <s v=""/>
    <s v=""/>
    <s v="006"/>
    <s v="Unidad"/>
    <s v=""/>
    <n v="1"/>
    <n v="574.28377990430624"/>
    <n v="574.28377990430999"/>
  </r>
  <r>
    <s v="026"/>
    <s v="CARRO DE PARO TERCER PISO                         "/>
    <x v="2"/>
    <x v="2"/>
    <s v="XD000141"/>
    <s v="SONDA NELATON # 14 (UREATRAL)1"/>
    <s v=""/>
    <s v=""/>
    <s v="006"/>
    <s v="Unidad"/>
    <s v=""/>
    <n v="1"/>
    <n v="574.28377990430624"/>
    <n v="574.28377990430999"/>
  </r>
  <r>
    <s v="001"/>
    <s v="FARMACIA CENTRAL                                  "/>
    <x v="0"/>
    <x v="0"/>
    <s v="19993923-15"/>
    <s v="METOCLOPRAMIDA 10 mg / 2 ml  Solución Inyectable"/>
    <s v=""/>
    <s v=""/>
    <s v=""/>
    <s v=""/>
    <s v="10 mg / 2 ml"/>
    <n v="1"/>
    <n v="592.11500000000001"/>
    <n v="592.11500000000001"/>
  </r>
  <r>
    <s v="002"/>
    <s v="FARMACIA DE CIRUGIA                               "/>
    <x v="0"/>
    <x v="0"/>
    <s v="19993923-15"/>
    <s v="METOCLOPRAMIDA 10 mg / 2 ml  Solución Inyectable"/>
    <s v=""/>
    <s v=""/>
    <s v=""/>
    <s v=""/>
    <s v="10 mg / 2 ml"/>
    <n v="1"/>
    <n v="592.11500000000001"/>
    <n v="592.11500000000001"/>
  </r>
  <r>
    <s v="002"/>
    <s v="FARMACIA DE CIRUGIA                               "/>
    <x v="0"/>
    <x v="0"/>
    <s v="19993036-08"/>
    <s v="DIPIRONA 1 g / 2 ml Solución inyectable"/>
    <s v=""/>
    <s v=""/>
    <s v=""/>
    <s v=""/>
    <s v="1 g "/>
    <n v="1"/>
    <n v="612.47447105788433"/>
    <n v="612.47447105788001"/>
  </r>
  <r>
    <s v="004"/>
    <s v="CARRO DE PARO RADIOLOGIA"/>
    <x v="0"/>
    <x v="0"/>
    <s v="211361-06"/>
    <s v="SODIO CLORURO 20 mEq/10 ml Solución inyectable"/>
    <s v=""/>
    <s v=""/>
    <s v=""/>
    <s v=""/>
    <s v="20 mEq/10 ml"/>
    <n v="1"/>
    <n v="654.54545454545462"/>
    <n v="654.54545454544996"/>
  </r>
  <r>
    <s v="022"/>
    <s v="CARRO DE PARO DE CIRUGIA                          "/>
    <x v="2"/>
    <x v="2"/>
    <s v="XD000142"/>
    <s v="SONDA NELATON # 16 (UREATRAL)*1"/>
    <s v=""/>
    <s v=""/>
    <s v="006"/>
    <s v="Unidad"/>
    <s v=""/>
    <n v="1"/>
    <n v="669.47519999999997"/>
    <n v="669.47519999999997"/>
  </r>
  <r>
    <s v="053"/>
    <s v="CARRO DE PARO CRITICO QUIROGA"/>
    <x v="2"/>
    <x v="2"/>
    <s v="XD000142"/>
    <s v="SONDA NELATON # 16 (UREATRAL)*1"/>
    <s v=""/>
    <s v=""/>
    <s v="006"/>
    <s v="Unidad"/>
    <s v=""/>
    <n v="1"/>
    <n v="669.47519999999997"/>
    <n v="669.47519999999997"/>
  </r>
  <r>
    <s v="001"/>
    <s v="FARMACIA CENTRAL                                  "/>
    <x v="2"/>
    <x v="2"/>
    <s v="XO000016"/>
    <s v="COSTILLERO HOMBRE M UNIDAD"/>
    <s v=""/>
    <s v=""/>
    <s v="006"/>
    <s v="Unidad"/>
    <s v=""/>
    <n v="1"/>
    <n v="684"/>
    <n v="684"/>
  </r>
  <r>
    <s v="059"/>
    <s v="BODEGA CUARENTENA"/>
    <x v="0"/>
    <x v="0"/>
    <s v="19922562-10"/>
    <s v="DIPIRONA 1 g / 2 ml Solución inyectable"/>
    <s v=""/>
    <s v=""/>
    <s v=""/>
    <s v=""/>
    <s v="1 g "/>
    <n v="1"/>
    <n v="709.34430088495583"/>
    <n v="709.34430088496003"/>
  </r>
  <r>
    <s v="001"/>
    <s v="FARMACIA CENTRAL                                  "/>
    <x v="0"/>
    <x v="0"/>
    <s v="20045072-04"/>
    <s v="TRAMADOL CLORHIDRATO 100 mg/2 mL Solucion Inyectable"/>
    <s v=""/>
    <s v=""/>
    <s v=""/>
    <s v=""/>
    <s v="100 MG/2 ML"/>
    <n v="1"/>
    <n v="755.54084507042251"/>
    <n v="755.54084507042"/>
  </r>
  <r>
    <s v="002"/>
    <s v="FARMACIA DE CIRUGIA                               "/>
    <x v="2"/>
    <x v="2"/>
    <s v="XG000007"/>
    <s v="AGUJA HIPODERMICA  TIPO PEN CALIBRE 32"/>
    <s v=""/>
    <s v=""/>
    <s v="006"/>
    <s v="Unidad"/>
    <s v=""/>
    <n v="1"/>
    <n v="818.82290598290604"/>
    <n v="818.82290598291002"/>
  </r>
  <r>
    <s v="003"/>
    <s v="CARRO  DE PARO RECUPERACION HEMODINAMIA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04"/>
    <s v="CARRO DE PARO RADIOLOGIA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09"/>
    <s v="CARRO DE PARO URGENCIAS  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14"/>
    <s v="CARRO DE PARO CARDIOLOGIA   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15"/>
    <s v="CARRO DE PARO HEMODINAMIA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19"/>
    <s v="CARRO DE PARO UCI 1/2    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22"/>
    <s v="CARRO DE PARO DE CIRUGIA 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26"/>
    <s v="CARRO DE PARO TERCER PISO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29"/>
    <s v="CARRO DE PARO CUARTO PISO                         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53"/>
    <s v="CARRO DE PARO CRITICO QUIROGA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57"/>
    <s v="CARRO DE PARO UCI 2"/>
    <x v="2"/>
    <x v="2"/>
    <s v="XD000256"/>
    <s v="SONDA LEVIN-TUBO VENTROL 16 FR NASOGASTRICA120"/>
    <s v=""/>
    <s v=""/>
    <s v="006"/>
    <s v="Unidad"/>
    <s v=""/>
    <n v="1"/>
    <n v="841.07974358974366"/>
    <n v="841.07974358974002"/>
  </r>
  <r>
    <s v="001"/>
    <s v="FARMACIA CENTRAL                                  "/>
    <x v="0"/>
    <x v="0"/>
    <s v="20039359-03"/>
    <s v="VALSARTAN 80 mg Tableta"/>
    <s v=""/>
    <s v=""/>
    <s v=""/>
    <s v=""/>
    <s v="80 mg"/>
    <n v="1"/>
    <n v="843.59"/>
    <n v="843.59"/>
  </r>
  <r>
    <s v="009"/>
    <s v="CARRO DE PARO URGENCIAS                           "/>
    <x v="2"/>
    <x v="2"/>
    <s v="XE000007"/>
    <s v="EQUIPO DE MACROGOTEO- MRC0002 X 120"/>
    <s v=""/>
    <s v=""/>
    <s v="006"/>
    <s v="Unidad"/>
    <s v=""/>
    <n v="1"/>
    <n v="863.47163555555562"/>
    <n v="863.47163555556006"/>
  </r>
  <r>
    <s v="009"/>
    <s v="CARRO DE PARO URGENCIAS                           "/>
    <x v="2"/>
    <x v="2"/>
    <s v="XD000086"/>
    <s v="MASCARILLA+VISOR FLUID-SHIELD DESECHABLES X1"/>
    <s v=""/>
    <s v=""/>
    <s v="006"/>
    <s v="Unidad"/>
    <s v=""/>
    <n v="1"/>
    <n v="868"/>
    <n v="868"/>
  </r>
  <r>
    <s v="019"/>
    <s v="CARRO DE PARO UCI 1/2                             "/>
    <x v="2"/>
    <x v="2"/>
    <s v="XD000086"/>
    <s v="MASCARILLA+VISOR FLUID-SHIELD DESECHABLES X1"/>
    <s v=""/>
    <s v=""/>
    <s v="006"/>
    <s v="Unidad"/>
    <s v=""/>
    <n v="1"/>
    <n v="868"/>
    <n v="868"/>
  </r>
  <r>
    <s v="026"/>
    <s v="CARRO DE PARO TERCER PISO                         "/>
    <x v="2"/>
    <x v="2"/>
    <s v="XD000086"/>
    <s v="MASCARILLA+VISOR FLUID-SHIELD DESECHABLES X1"/>
    <s v=""/>
    <s v=""/>
    <s v="006"/>
    <s v="Unidad"/>
    <s v=""/>
    <n v="1"/>
    <n v="868"/>
    <n v="868"/>
  </r>
  <r>
    <s v="029"/>
    <s v="CARRO DE PARO CUARTO PISO                         "/>
    <x v="0"/>
    <x v="0"/>
    <s v="20032463-03"/>
    <s v="ADRENALINA Solución inyectable 1 mg / ml"/>
    <s v=""/>
    <s v=""/>
    <s v=""/>
    <s v=""/>
    <s v="1 mg / ml"/>
    <n v="1"/>
    <n v="868.85911602209944"/>
    <n v="868.85911602210001"/>
  </r>
  <r>
    <s v="010"/>
    <s v="STOCK TERAPIA URGENCIAS                                   "/>
    <x v="2"/>
    <x v="2"/>
    <s v="XT000032"/>
    <s v="SONDA PARA SUCCION(OJO DE PESCADO)-14FR FR 60CM*1"/>
    <s v=""/>
    <s v=""/>
    <s v="006"/>
    <s v="Unidad"/>
    <s v=""/>
    <n v="1"/>
    <n v="1015.8373846153846"/>
    <n v="1015.83738461538"/>
  </r>
  <r>
    <s v="018"/>
    <s v="STOCK  FISIOTERAPIA UCI  1                                         "/>
    <x v="2"/>
    <x v="2"/>
    <s v="XT000032"/>
    <s v="SONDA PARA SUCCION(OJO DE PESCADO)-14FR FR 60CM*1"/>
    <s v=""/>
    <s v=""/>
    <s v="006"/>
    <s v="Unidad"/>
    <s v=""/>
    <n v="1"/>
    <n v="1015.8373846153846"/>
    <n v="1015.83738461538"/>
  </r>
  <r>
    <s v="018"/>
    <s v="STOCK  FISIOTERAPIA UCI  1                                         "/>
    <x v="2"/>
    <x v="2"/>
    <s v="XD000059"/>
    <s v="GUANTE QUIRURGICO ESTERIL T-6.5 *1 PAR "/>
    <s v=""/>
    <s v=""/>
    <s v="006"/>
    <s v="Unidad"/>
    <s v=""/>
    <n v="1"/>
    <n v="1018.0292795883362"/>
    <n v="1018.02927958834"/>
  </r>
  <r>
    <s v="003"/>
    <s v="CARRO  DE PARO RECUPERACION HEMODINAMIA"/>
    <x v="2"/>
    <x v="2"/>
    <s v="XT000074"/>
    <s v="CANULA DE GUEDEL (MAYO) X N.5"/>
    <s v=""/>
    <s v=""/>
    <s v="006"/>
    <s v="Unidad"/>
    <s v=""/>
    <n v="1"/>
    <n v="1061.3860465116279"/>
    <n v="1061.38604651163"/>
  </r>
  <r>
    <s v="004"/>
    <s v="CARRO DE PARO RADIOLOGIA"/>
    <x v="2"/>
    <x v="2"/>
    <s v="XT000074"/>
    <s v="CANULA DE GUEDEL (MAYO) X N.5"/>
    <s v=""/>
    <s v=""/>
    <s v="006"/>
    <s v="Unidad"/>
    <s v=""/>
    <n v="1"/>
    <n v="1061.3860465116279"/>
    <n v="1061.38604651163"/>
  </r>
  <r>
    <s v="010"/>
    <s v="STOCK TERAPIA URGENCIAS         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14"/>
    <s v="CARRO DE PARO CARDIOLOGIA  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15"/>
    <s v="CARRO DE PARO HEMODINAMIA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17"/>
    <s v="CARRO DE PARO UCI       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19"/>
    <s v="CARRO DE PARO UCI 1/2   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20"/>
    <s v="STOCK FISIOTERAPIA UCI 2           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22"/>
    <s v="CARRO DE PARO DE CIRUGIA 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25"/>
    <s v="CARRO DE PARO GASTROENTEROLOGÌA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26"/>
    <s v="CARRO DE PARO TERCER PISO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29"/>
    <s v="CARRO DE PARO CUARTO PISO                         "/>
    <x v="2"/>
    <x v="2"/>
    <s v="XT000074"/>
    <s v="CANULA DE GUEDEL (MAYO) X N.5"/>
    <s v=""/>
    <s v=""/>
    <s v="006"/>
    <s v="Unidad"/>
    <s v=""/>
    <n v="1"/>
    <n v="1061.3860465116279"/>
    <n v="1061.38604651163"/>
  </r>
  <r>
    <s v="057"/>
    <s v="CARRO DE PARO UCI 2"/>
    <x v="2"/>
    <x v="2"/>
    <s v="XT000074"/>
    <s v="CANULA DE GUEDEL (MAYO) X N.5"/>
    <s v=""/>
    <s v=""/>
    <s v="006"/>
    <s v="Unidad"/>
    <s v=""/>
    <n v="1"/>
    <n v="1061.3860465116279"/>
    <n v="1061.38604651163"/>
  </r>
  <r>
    <s v="003"/>
    <s v="CARRO  DE PARO RECUPERACION HEMODINAMIA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04"/>
    <s v="CARRO DE PARO RADIOLOGIA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09"/>
    <s v="CARRO DE PARO URGENCIAS  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14"/>
    <s v="CARRO DE PARO CARDIOLOGIA   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15"/>
    <s v="CARRO DE PARO HEMODINAMIA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17"/>
    <s v="CARRO DE PARO UCI        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19"/>
    <s v="CARRO DE PARO UCI 1/2    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22"/>
    <s v="CARRO DE PARO DE CIRUGIA 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25"/>
    <s v="CARRO DE PARO GASTROENTEROLOGÌA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26"/>
    <s v="CARRO DE PARO TERCER PISO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29"/>
    <s v="CARRO DE PARO CUARTO PISO                         "/>
    <x v="2"/>
    <x v="2"/>
    <s v="XD000137"/>
    <s v="SONDA LEVIN-TUBO VENTROL 14FR NASOGASTRICA120"/>
    <s v=""/>
    <s v=""/>
    <s v="006"/>
    <s v="Unidad"/>
    <s v=""/>
    <n v="1"/>
    <n v="1072.3889285714286"/>
    <n v="1072.3889285714299"/>
  </r>
  <r>
    <s v="018"/>
    <s v="STOCK  FISIOTERAPIA UCI  1                                         "/>
    <x v="2"/>
    <x v="2"/>
    <s v="XT000003"/>
    <s v="CANULA NASAL OXIGENO+ADAPTADOR+EXTENSION"/>
    <s v=""/>
    <s v=""/>
    <s v="006"/>
    <s v="Unidad"/>
    <s v=""/>
    <n v="1"/>
    <n v="1195.9290592334494"/>
    <n v="1195.9290592334501"/>
  </r>
  <r>
    <s v="020"/>
    <s v="STOCK FISIOTERAPIA UCI 2                                     "/>
    <x v="2"/>
    <x v="2"/>
    <s v="XT000003"/>
    <s v="CANULA NASAL OXIGENO+ADAPTADOR+EXTENSION"/>
    <s v=""/>
    <s v=""/>
    <s v="006"/>
    <s v="Unidad"/>
    <s v=""/>
    <n v="1"/>
    <n v="1195.9290592334494"/>
    <n v="1195.9290592334501"/>
  </r>
  <r>
    <s v="020"/>
    <s v="STOCK FISIOTERAPIA UCI 2                                     "/>
    <x v="2"/>
    <x v="2"/>
    <s v="XD000061"/>
    <s v="GUANTE QUIRURGICO ESTERIL T-7.5 *1 PAR "/>
    <s v=""/>
    <s v=""/>
    <s v="006"/>
    <s v="Unidad"/>
    <s v=""/>
    <n v="1"/>
    <n v="1204.1314579901152"/>
    <n v="1204.13145799012"/>
  </r>
  <r>
    <s v="003"/>
    <s v="CARRO  DE PARO RECUPERACION HEMODINAMIA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04"/>
    <s v="CARRO DE PARO RADIOLOGIA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09"/>
    <s v="CARRO DE PARO URGENCIAS      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15"/>
    <s v="CARRO DE PARO HEMODINAMIA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17"/>
    <s v="CARRO DE PARO UCI            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19"/>
    <s v="CARRO DE PARO UCI 1/2        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25"/>
    <s v="CARRO DE PARO GASTROENTEROLOGÌA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26"/>
    <s v="CARRO DE PARO TERCER PISO    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29"/>
    <s v="CARRO DE PARO CUARTO PISO                         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53"/>
    <s v="CARRO DE PARO CRITICO QUIROGA"/>
    <x v="2"/>
    <x v="2"/>
    <s v="XJ000014"/>
    <s v="JERINGA DESECHABLE 50ML-C/A-3 PARTES X 100"/>
    <s v=""/>
    <s v=""/>
    <s v="006"/>
    <s v="Unidad"/>
    <s v=""/>
    <n v="1"/>
    <n v="1323.9450549450551"/>
    <n v="1323.9450549450501"/>
  </r>
  <r>
    <s v="002"/>
    <s v="FARMACIA DE CIRUGIA                               "/>
    <x v="0"/>
    <x v="0"/>
    <s v="20104687-1"/>
    <s v="CEFTRIAXONA 1 g Polvo para reconstituir a solución inyectable"/>
    <s v=""/>
    <s v=""/>
    <s v=""/>
    <s v=""/>
    <s v="1 g"/>
    <n v="1"/>
    <n v="1373.1057627118644"/>
    <n v="1373.1057627118601"/>
  </r>
  <r>
    <s v="035"/>
    <s v="MEDICAMENTOS EN CUSTODIA"/>
    <x v="0"/>
    <x v="0"/>
    <s v="19984160-01"/>
    <s v="BUPIVACAINA PESADA"/>
    <s v=""/>
    <s v=""/>
    <s v=""/>
    <s v=""/>
    <s v="0.02 g / 4 ml"/>
    <n v="1"/>
    <n v="1433"/>
    <n v="1433"/>
  </r>
  <r>
    <s v="002"/>
    <s v="FARMACIA DE CIRUGIA                               "/>
    <x v="3"/>
    <x v="3"/>
    <s v="20054696-2"/>
    <s v="AMPICILINA SODICA 1 g Polvo para reconstituir a solución inyectable"/>
    <s v=""/>
    <s v=""/>
    <s v=""/>
    <s v=""/>
    <s v="1 g"/>
    <n v="1"/>
    <n v="1496.0608609271524"/>
    <n v="1496.0608609271501"/>
  </r>
  <r>
    <s v="002"/>
    <s v="FARMACIA DE CIRUGIA                               "/>
    <x v="0"/>
    <x v="0"/>
    <s v="20026284-4"/>
    <s v="CIPROFLOXACINA 100 mg / 10 ml Solución inyectable"/>
    <s v=""/>
    <s v=""/>
    <s v=""/>
    <s v=""/>
    <s v="100 mg / 10 ml"/>
    <n v="1"/>
    <n v="1499.5596019900497"/>
    <n v="1499.5596019900499"/>
  </r>
  <r>
    <s v="013"/>
    <s v="KIT ATENCIÓN PEDIÀTRICA"/>
    <x v="2"/>
    <x v="2"/>
    <s v="XT000104"/>
    <s v="CANULA GUEDEL No. 0"/>
    <s v=""/>
    <s v=""/>
    <s v="006"/>
    <s v="Unidad"/>
    <s v=""/>
    <n v="1"/>
    <n v="1500"/>
    <n v="1500"/>
  </r>
  <r>
    <s v="001"/>
    <s v="FARMACIA CENTRAL         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03"/>
    <s v="CARRO  DE PARO RECUPERACION HEMODINAMIA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04"/>
    <s v="CARRO DE PARO RADIOLOGIA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14"/>
    <s v="CARRO DE PARO CARDIOLOGIA   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15"/>
    <s v="CARRO DE PARO HEMODINAMIA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17"/>
    <s v="CARRO DE PARO UCI        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18"/>
    <s v="STOCK  FISIOTERAPIA UCI  1                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19"/>
    <s v="CARRO DE PARO UCI 1/2    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25"/>
    <s v="CARRO DE PARO GASTROENTEROLOGÌA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26"/>
    <s v="CARRO DE PARO TERCER PISO                         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57"/>
    <s v="CARRO DE PARO UCI 2"/>
    <x v="2"/>
    <x v="2"/>
    <s v="XT000073"/>
    <s v="CANULA DE GUEDEL (MAYO) X N.4"/>
    <s v=""/>
    <s v=""/>
    <s v="006"/>
    <s v="Unidad"/>
    <s v=""/>
    <n v="1"/>
    <n v="1537.0346428571427"/>
    <n v="1537.0346428571399"/>
  </r>
  <r>
    <s v="043"/>
    <s v="BODEGA DE CENTRAL DE MEZCLAS"/>
    <x v="4"/>
    <x v="4"/>
    <s v="20152991-01"/>
    <s v="PIPERACILINA + TAZOBACTAM 4.5 g Polvo para reconsituir a solución inyectable"/>
    <s v=""/>
    <s v=""/>
    <s v=""/>
    <s v=""/>
    <s v="4.5 g"/>
    <n v="1"/>
    <n v="1584.2822696245735"/>
    <n v="1584.2822696245701"/>
  </r>
  <r>
    <s v="059"/>
    <s v="BODEGA CUARENTENA"/>
    <x v="4"/>
    <x v="4"/>
    <s v="20152991-01"/>
    <s v="PIPERACILINA + TAZOBACTAM 4.5 g Polvo para reconsituir a solución inyectable"/>
    <s v=""/>
    <s v=""/>
    <s v=""/>
    <s v=""/>
    <s v="4.5 g"/>
    <n v="1"/>
    <n v="1584.2822696245735"/>
    <n v="1584.2822696245701"/>
  </r>
  <r>
    <s v="002"/>
    <s v="FARMACIA DE CIRUGIA                               "/>
    <x v="3"/>
    <x v="3"/>
    <s v="220027-27"/>
    <s v="PENICILINA G SODICA 1.000.000 UI Polvo para reconsituir a solución inyectable"/>
    <s v=""/>
    <s v=""/>
    <s v=""/>
    <s v=""/>
    <s v="1.000.000 UI"/>
    <n v="1"/>
    <n v="1654.8"/>
    <n v="1654.8"/>
  </r>
  <r>
    <s v="001"/>
    <s v="FARMACIA CENTRAL                                  "/>
    <x v="2"/>
    <x v="2"/>
    <s v="XV000001"/>
    <s v="VENDA DE ALGODON 3 X 5 *1 LAMINADO"/>
    <s v=""/>
    <s v=""/>
    <s v="006"/>
    <s v="Unidad"/>
    <s v=""/>
    <n v="1"/>
    <n v="1678"/>
    <n v="1678"/>
  </r>
  <r>
    <s v="002"/>
    <s v="FARMACIA DE CIRUGIA                               "/>
    <x v="2"/>
    <x v="2"/>
    <s v="XV000001"/>
    <s v="VENDA DE ALGODON 3 X 5 *1 LAMINADO"/>
    <s v=""/>
    <s v=""/>
    <s v="006"/>
    <s v="Unidad"/>
    <s v=""/>
    <n v="1"/>
    <n v="1678"/>
    <n v="1678"/>
  </r>
  <r>
    <s v="002"/>
    <s v="FARMACIA DE CIRUGIA                               "/>
    <x v="2"/>
    <x v="2"/>
    <s v="XO000017"/>
    <s v="INMOVILIZADOR DE DEDOS FLEJE BLANCO X1LAMINA ZIMMER"/>
    <s v=""/>
    <s v=""/>
    <s v="006"/>
    <s v="Unidad"/>
    <s v=""/>
    <n v="1"/>
    <n v="1762"/>
    <n v="1762"/>
  </r>
  <r>
    <s v="002"/>
    <s v="FARMACIA DE CIRUGIA                               "/>
    <x v="0"/>
    <x v="0"/>
    <s v="20152993-1"/>
    <s v="HALOPERIDOL 5 mg / ml Solución Inyectable"/>
    <s v=""/>
    <s v=""/>
    <s v=""/>
    <s v=""/>
    <s v="5 mg"/>
    <n v="1"/>
    <n v="1768"/>
    <n v="1768"/>
  </r>
  <r>
    <s v="003"/>
    <s v="CARRO  DE PARO RECUPERACION HEMODINAMIA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04"/>
    <s v="CARRO DE PARO RADIOLOGIA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14"/>
    <s v="CARRO DE PARO CARDIOLOGIA       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15"/>
    <s v="CARRO DE PARO HEMODINAMIA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17"/>
    <s v="CARRO DE PARO UCI            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19"/>
    <s v="CARRO DE PARO UCI 1/2        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25"/>
    <s v="CARRO DE PARO GASTROENTEROLOGÌA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26"/>
    <s v="CARRO DE PARO TERCER PISO    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29"/>
    <s v="CARRO DE PARO CUARTO PISO                         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53"/>
    <s v="CARRO DE PARO CRITICO QUIROGA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57"/>
    <s v="CARRO DE PARO UCI 2"/>
    <x v="2"/>
    <x v="2"/>
    <s v="XT000002"/>
    <s v="CANULA DE GUEDEL (MAYO) N. 3 X 1"/>
    <s v=""/>
    <s v=""/>
    <s v="006"/>
    <s v="Unidad"/>
    <s v=""/>
    <n v="1"/>
    <n v="1874.4585185185185"/>
    <n v="1874.4585185185199"/>
  </r>
  <r>
    <s v="017"/>
    <s v="CARRO DE PARO UCI              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19"/>
    <s v="CARRO DE PARO UCI 1/2          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22"/>
    <s v="CARRO DE PARO DE CIRUGIA       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25"/>
    <s v="CARRO DE PARO GASTROENTEROLOGÌA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26"/>
    <s v="CARRO DE PARO TERCER PISO      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29"/>
    <s v="CARRO DE PARO CUARTO PISO                         "/>
    <x v="0"/>
    <x v="0"/>
    <s v="20023188-06"/>
    <s v="DEXTROSA EN AGUA DESTILADA 10% Solución Inyectable 500 ml"/>
    <s v=""/>
    <s v=""/>
    <s v=""/>
    <s v=""/>
    <s v="10 % - 500 ml"/>
    <n v="1"/>
    <n v="1900"/>
    <n v="1900"/>
  </r>
  <r>
    <s v="039"/>
    <s v="ALMACEN CONSULTA EXTERNA ORTOPEDIA"/>
    <x v="2"/>
    <x v="2"/>
    <s v="XV000004"/>
    <s v="VENDA DE ALGODON 6 X 5 *1 LAMINADO"/>
    <s v=""/>
    <s v=""/>
    <s v="006"/>
    <s v="Unidad"/>
    <s v=""/>
    <n v="1"/>
    <n v="1936.3739855072463"/>
    <n v="1936.3739855072499"/>
  </r>
  <r>
    <s v="029"/>
    <s v="CARRO DE PARO CUARTO PISO                         "/>
    <x v="2"/>
    <x v="2"/>
    <s v="XD000063"/>
    <s v="GUANTE QUIRURGICO ESTERIL T-8.5 *1 PAR "/>
    <s v=""/>
    <s v=""/>
    <s v="006"/>
    <s v="Unidad"/>
    <s v=""/>
    <n v="1"/>
    <n v="1959.4821739130434"/>
    <n v="1959.48217391304"/>
  </r>
  <r>
    <s v="017"/>
    <s v="CARRO DE PARO UCI                                 "/>
    <x v="0"/>
    <x v="0"/>
    <s v="19992832-01"/>
    <s v="AMIODARONA 150 mg / 3ml Solución Inyectable "/>
    <s v=""/>
    <s v=""/>
    <s v=""/>
    <s v=""/>
    <s v="150 mg / 3ml"/>
    <n v="1"/>
    <n v="2010"/>
    <n v="2010"/>
  </r>
  <r>
    <s v="008"/>
    <s v="ALMACEN  GENERAL                                         "/>
    <x v="5"/>
    <x v="5"/>
    <s v="AP000084"/>
    <s v="REFUERZOS AUTOADHESIVOS"/>
    <s v=""/>
    <s v=""/>
    <s v="006"/>
    <s v="Unidad"/>
    <s v=""/>
    <n v="1"/>
    <n v="2063.35"/>
    <n v="2063.35"/>
  </r>
  <r>
    <s v="001"/>
    <s v="FARMACIA CENTRAL                                  "/>
    <x v="0"/>
    <x v="0"/>
    <s v="20028604-02"/>
    <s v="CEFTRIAXONA 1 g Polvo para reconstituir a solución inyectable"/>
    <s v=""/>
    <s v=""/>
    <s v=""/>
    <s v=""/>
    <s v="1 g"/>
    <n v="1"/>
    <n v="2069.13"/>
    <n v="2069.13"/>
  </r>
  <r>
    <s v="009"/>
    <s v="CARRO DE PARO URGENCIAS                           "/>
    <x v="2"/>
    <x v="2"/>
    <s v="XD000270"/>
    <s v="CAMISA DESECHABLE ADULTO X  1"/>
    <s v=""/>
    <s v=""/>
    <s v="006"/>
    <s v="Unidad"/>
    <s v=""/>
    <n v="1"/>
    <n v="2132.3942065491183"/>
    <n v="2132.3942065491201"/>
  </r>
  <r>
    <s v="022"/>
    <s v="CARRO DE PARO DE CIRUGIA                          "/>
    <x v="2"/>
    <x v="2"/>
    <s v="XD000270"/>
    <s v="CAMISA DESECHABLE ADULTO X  1"/>
    <s v=""/>
    <s v=""/>
    <s v="006"/>
    <s v="Unidad"/>
    <s v=""/>
    <n v="1"/>
    <n v="2132.3942065491183"/>
    <n v="2132.3942065491201"/>
  </r>
  <r>
    <s v="053"/>
    <s v="CARRO DE PARO CRITICO QUIROGA"/>
    <x v="2"/>
    <x v="2"/>
    <s v="XD000270"/>
    <s v="CAMISA DESECHABLE ADULTO X  1"/>
    <s v=""/>
    <s v=""/>
    <s v="006"/>
    <s v="Unidad"/>
    <s v=""/>
    <n v="1"/>
    <n v="2132.3942065491183"/>
    <n v="2132.3942065491201"/>
  </r>
  <r>
    <s v="009"/>
    <s v="CARRO DE PARO URGENCIAS                           "/>
    <x v="0"/>
    <x v="0"/>
    <s v="19947844-07"/>
    <s v="DEXTROSA EN AGUA DESTILADA 10% Solución Inyectable 500 ml"/>
    <s v=""/>
    <s v=""/>
    <s v=""/>
    <s v=""/>
    <s v="10 % - 500 ml"/>
    <n v="1"/>
    <n v="2172"/>
    <n v="2172"/>
  </r>
  <r>
    <s v="001"/>
    <s v="FARMACIA CENTRAL                                  "/>
    <x v="4"/>
    <x v="4"/>
    <s v="20152146-01"/>
    <s v="CEFAZOLINA 1 g Polvo para reconstituir a solución inyectable"/>
    <s v=""/>
    <s v=""/>
    <s v=""/>
    <s v=""/>
    <s v="1 g"/>
    <n v="1"/>
    <n v="2236.8357692307691"/>
    <n v="2236.83576923077"/>
  </r>
  <r>
    <s v="022"/>
    <s v="CARRO DE PARO DE CIRUGIA                          "/>
    <x v="0"/>
    <x v="0"/>
    <s v="19940783-01"/>
    <s v="NOREPINEFRINA 4 mg / 4 ml Solución Inyectable"/>
    <s v=""/>
    <s v=""/>
    <s v=""/>
    <s v=""/>
    <s v="4 mg / 4 ml"/>
    <n v="1"/>
    <n v="2256.593404255319"/>
    <n v="2256.5934042553199"/>
  </r>
  <r>
    <s v="043"/>
    <s v="BODEGA DE CENTRAL DE MEZCLAS"/>
    <x v="6"/>
    <x v="6"/>
    <s v="19931880-09"/>
    <s v="FENTANILO CITRATO 0.5 mg / 10 ml Solución Inyectable"/>
    <s v=""/>
    <s v=""/>
    <s v=""/>
    <s v=""/>
    <s v="0,5 MG / 10 ML"/>
    <n v="1"/>
    <n v="2291"/>
    <n v="2291"/>
  </r>
  <r>
    <s v="003"/>
    <s v="CARRO  DE PARO RECUPERACION HEMODINAMIA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04"/>
    <s v="CARRO DE PARO RADIOLOGIA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09"/>
    <s v="CARRO DE PARO URGENCIAS                           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15"/>
    <s v="CARRO DE PARO HEMODINAMIA                     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17"/>
    <s v="CARRO DE PARO UCI                                 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19"/>
    <s v="CARRO DE PARO UCI 1/2                             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22"/>
    <s v="CARRO DE PARO DE CIRUGIA                          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53"/>
    <s v="CARRO DE PARO CRITICO QUIROGA"/>
    <x v="2"/>
    <x v="2"/>
    <s v="XD000122"/>
    <s v="SONDA FOLEY 16 X 5ML-2 VIAS *1"/>
    <s v=""/>
    <s v=""/>
    <s v="006"/>
    <s v="Unidad"/>
    <s v=""/>
    <n v="1"/>
    <n v="2343.1153424657537"/>
    <n v="2343.11534246575"/>
  </r>
  <r>
    <s v="001"/>
    <s v="FARMACIA CENTRAL                                  "/>
    <x v="2"/>
    <x v="2"/>
    <s v="XT000051"/>
    <s v="TUBO ENDOTRAQUEAL # 9.0-C/B X1"/>
    <s v=""/>
    <s v=""/>
    <s v="006"/>
    <s v="Unidad"/>
    <s v=""/>
    <n v="1"/>
    <n v="2355.9733333333334"/>
    <n v="2355.9733333333302"/>
  </r>
  <r>
    <s v="023"/>
    <s v="CARRO DE VÌA AÉREA DIFÍCIL"/>
    <x v="2"/>
    <x v="2"/>
    <s v="XT000051"/>
    <s v="TUBO ENDOTRAQUEAL # 9.0-C/B X1"/>
    <s v=""/>
    <s v=""/>
    <s v="006"/>
    <s v="Unidad"/>
    <s v=""/>
    <n v="1"/>
    <n v="2355.9733333333334"/>
    <n v="2355.9733333333302"/>
  </r>
  <r>
    <s v="029"/>
    <s v="CARRO DE PARO CUARTO PISO                         "/>
    <x v="2"/>
    <x v="2"/>
    <s v="XT000051"/>
    <s v="TUBO ENDOTRAQUEAL # 9.0-C/B X1"/>
    <s v=""/>
    <s v=""/>
    <s v="006"/>
    <s v="Unidad"/>
    <s v=""/>
    <n v="1"/>
    <n v="2355.9733333333334"/>
    <n v="2355.9733333333302"/>
  </r>
  <r>
    <s v="001"/>
    <s v="FARMACIA CENTRAL                                  "/>
    <x v="0"/>
    <x v="0"/>
    <s v="20146885-2"/>
    <s v="PENICILINA G BENZATINICA 2.400.000 UI polvo Estéril para InyecciónPENICILINA G BENZATINICA 2.400.000"/>
    <s v=""/>
    <s v=""/>
    <s v=""/>
    <s v=""/>
    <s v="2.400.000 UI"/>
    <n v="1"/>
    <n v="2489.9699999999998"/>
    <n v="2489.9699999999998"/>
  </r>
  <r>
    <s v="003"/>
    <s v="CARRO  DE PARO RECUPERACION HEMODINAMIA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04"/>
    <s v="CARRO DE PARO RADIOLOGIA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09"/>
    <s v="CARRO DE PARO URGENCIAS  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14"/>
    <s v="CARRO DE PARO CARDIOLOGIA   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17"/>
    <s v="CARRO DE PARO UCI        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19"/>
    <s v="CARRO DE PARO UCI 1/2    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22"/>
    <s v="CARRO DE PARO DE CIRUGIA 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26"/>
    <s v="CARRO DE PARO TERCER PISO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29"/>
    <s v="CARRO DE PARO CUARTO PISO                         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53"/>
    <s v="CARRO DE PARO CRITICO QUIROGA"/>
    <x v="2"/>
    <x v="2"/>
    <s v="XD000125"/>
    <s v="SONDA FOLEY 18 X 5ML-2 VIAS *1"/>
    <s v=""/>
    <s v=""/>
    <s v="006"/>
    <s v="Unidad"/>
    <s v=""/>
    <n v="1"/>
    <n v="2529.7741935483873"/>
    <n v="2529.77419354839"/>
  </r>
  <r>
    <s v="015"/>
    <s v="CARRO DE PARO HEMODINAMIA                     "/>
    <x v="2"/>
    <x v="2"/>
    <s v="XD000124"/>
    <s v="SONDA FOLEY 18 X 30 ML 2 VIAS"/>
    <s v=""/>
    <s v=""/>
    <s v="006"/>
    <s v="Unidad"/>
    <s v=""/>
    <n v="1"/>
    <n v="2559"/>
    <n v="2559"/>
  </r>
  <r>
    <s v="025"/>
    <s v="CARRO DE PARO GASTROENTEROLOGÌA                   "/>
    <x v="2"/>
    <x v="2"/>
    <s v="XD000124"/>
    <s v="SONDA FOLEY 18 X 30 ML 2 VIAS"/>
    <s v=""/>
    <s v=""/>
    <s v="006"/>
    <s v="Unidad"/>
    <s v=""/>
    <n v="1"/>
    <n v="2559"/>
    <n v="2559"/>
  </r>
  <r>
    <s v="026"/>
    <s v="CARRO DE PARO TERCER PISO                         "/>
    <x v="0"/>
    <x v="0"/>
    <s v="32606-02"/>
    <s v="LACTATO RINGER Solucion Inyectable bolsa 500 mL"/>
    <s v=""/>
    <s v=""/>
    <s v=""/>
    <s v=""/>
    <s v="500 ml"/>
    <n v="1"/>
    <n v="2745.2384554455443"/>
    <n v="2745.2384554455398"/>
  </r>
  <r>
    <s v="053"/>
    <s v="CARRO DE PARO CRITICO QUIROGA"/>
    <x v="0"/>
    <x v="0"/>
    <s v="32606-02"/>
    <s v="LACTATO RINGER Solucion Inyectable bolsa 500 mL"/>
    <s v=""/>
    <s v=""/>
    <s v=""/>
    <s v=""/>
    <s v="500 ml"/>
    <n v="1"/>
    <n v="2745.2384554455443"/>
    <n v="2745.2384554455398"/>
  </r>
  <r>
    <s v="002"/>
    <s v="FARMACIA DE CIRUGIA                               "/>
    <x v="0"/>
    <x v="0"/>
    <s v="208131-13"/>
    <s v="CEFALOTINA 1 g polvo para reconstituir a solución inyectable "/>
    <s v=""/>
    <s v=""/>
    <s v=""/>
    <s v=""/>
    <s v="1 g"/>
    <n v="1"/>
    <n v="2788.68"/>
    <n v="2788.68"/>
  </r>
  <r>
    <s v="013"/>
    <s v="KIT ATENCIÓN PEDIÀTRICA"/>
    <x v="2"/>
    <x v="2"/>
    <s v="XT000059"/>
    <s v="TUBO ENDOTRAQUEAL 2.5 S/B"/>
    <s v=""/>
    <s v=""/>
    <s v="006"/>
    <s v="Unidad"/>
    <s v=""/>
    <n v="1"/>
    <n v="2791"/>
    <n v="2791"/>
  </r>
  <r>
    <s v="001"/>
    <s v="FARMACIA CENTRAL                                  "/>
    <x v="0"/>
    <x v="0"/>
    <s v="19971982-1"/>
    <s v="ACICLOVIR 5% Ungüento Topico tubo 15g"/>
    <s v=""/>
    <s v=""/>
    <s v=""/>
    <s v=""/>
    <s v="5% 15 g"/>
    <n v="1"/>
    <n v="2803"/>
    <n v="2803"/>
  </r>
  <r>
    <s v="005"/>
    <s v="ALMACEN MEDICAMENTOS"/>
    <x v="0"/>
    <x v="0"/>
    <s v="19971982-1"/>
    <s v="ACICLOVIR 5% Ungüento Topico tubo 15g"/>
    <s v=""/>
    <s v=""/>
    <s v=""/>
    <s v=""/>
    <s v="5% 15 g"/>
    <n v="1"/>
    <n v="2803"/>
    <n v="2803"/>
  </r>
  <r>
    <s v="002"/>
    <s v="FARMACIA DE CIRUGIA                               "/>
    <x v="2"/>
    <x v="2"/>
    <s v="XT000044"/>
    <s v="TUBO ENDOTRAQUEAL # 5.5-C/B X1"/>
    <s v=""/>
    <s v=""/>
    <s v="006"/>
    <s v="Unidad"/>
    <s v=""/>
    <n v="1"/>
    <n v="2900"/>
    <n v="2900"/>
  </r>
  <r>
    <s v="013"/>
    <s v="KIT ATENCIÓN PEDIÀTRICA"/>
    <x v="2"/>
    <x v="2"/>
    <s v="XT000060"/>
    <s v="TUBO ENDOTRAQUEAL 3.0 S/B"/>
    <s v=""/>
    <s v=""/>
    <s v="006"/>
    <s v="Unidad"/>
    <s v=""/>
    <n v="1"/>
    <n v="2900"/>
    <n v="2900"/>
  </r>
  <r>
    <s v="002"/>
    <s v="FARMACIA DE CIRUGIA                               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03"/>
    <s v="CARRO  DE PARO RECUPERACION HEMODINAMIA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04"/>
    <s v="CARRO DE PARO RADIOLOGIA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14"/>
    <s v="CARRO DE PARO CARDIOLOGIA                            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15"/>
    <s v="CARRO DE PARO HEMODINAMIA                     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57"/>
    <s v="CARRO DE PARO UCI 2"/>
    <x v="0"/>
    <x v="0"/>
    <s v="1982214-02"/>
    <s v="DEXTROSA EN AGUA DESTILADA 10% Solución Inyectable 500 ml"/>
    <s v=""/>
    <s v=""/>
    <s v=""/>
    <s v=""/>
    <s v="10 % - 500 ml"/>
    <n v="1"/>
    <n v="2915.8510465116278"/>
    <n v="2915.8510465116301"/>
  </r>
  <r>
    <s v="002"/>
    <s v="FARMACIA DE CIRUGIA                               "/>
    <x v="0"/>
    <x v="0"/>
    <s v="20119728-01"/>
    <s v="TRANEXAMICO ACIDO 500 mg/5 ml Solución Inyectable"/>
    <s v=""/>
    <s v=""/>
    <s v=""/>
    <s v=""/>
    <s v="500 mg / 5 ml"/>
    <n v="1"/>
    <n v="3007"/>
    <n v="3007"/>
  </r>
  <r>
    <s v="001"/>
    <s v="FARMACIA CENTRAL         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02"/>
    <s v="FARMACIA DE CIRUGIA      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04"/>
    <s v="CARRO DE PARO RADIOLOGIA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17"/>
    <s v="CARRO DE PARO UCI        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19"/>
    <s v="CARRO DE PARO UCI 1/2    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22"/>
    <s v="CARRO DE PARO DE CIRUGIA 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26"/>
    <s v="CARRO DE PARO TERCER PISO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29"/>
    <s v="CARRO DE PARO CUARTO PISO                         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53"/>
    <s v="CARRO DE PARO CRITICO QUIROGA"/>
    <x v="2"/>
    <x v="2"/>
    <s v="XT000042"/>
    <s v="TUBO ENDOTRAQUEAL # 4.5-C/B X1"/>
    <s v=""/>
    <s v=""/>
    <s v="006"/>
    <s v="Unidad"/>
    <s v=""/>
    <n v="1"/>
    <n v="3056.5454545454545"/>
    <n v="3056.54545454545"/>
  </r>
  <r>
    <s v="014"/>
    <s v="CARRO DE PARO CARDIOLOGIA                            "/>
    <x v="2"/>
    <x v="2"/>
    <s v="XD000121"/>
    <s v="SONDA FOLEY 16 X 30 DE 2 VIAS"/>
    <s v=""/>
    <s v=""/>
    <s v="006"/>
    <s v="Unidad"/>
    <s v=""/>
    <n v="1"/>
    <n v="3095.4549999999999"/>
    <n v="3095.4549999999999"/>
  </r>
  <r>
    <s v="025"/>
    <s v="CARRO DE PARO GASTROENTEROLOGÌA                   "/>
    <x v="2"/>
    <x v="2"/>
    <s v="XD000121"/>
    <s v="SONDA FOLEY 16 X 30 DE 2 VIAS"/>
    <s v=""/>
    <s v=""/>
    <s v="006"/>
    <s v="Unidad"/>
    <s v=""/>
    <n v="1"/>
    <n v="3095.4549999999999"/>
    <n v="3095.4549999999999"/>
  </r>
  <r>
    <s v="026"/>
    <s v="CARRO DE PARO TERCER PISO                         "/>
    <x v="2"/>
    <x v="2"/>
    <s v="XD000121"/>
    <s v="SONDA FOLEY 16 X 30 DE 2 VIAS"/>
    <s v=""/>
    <s v=""/>
    <s v="006"/>
    <s v="Unidad"/>
    <s v=""/>
    <n v="1"/>
    <n v="3095.4549999999999"/>
    <n v="3095.4549999999999"/>
  </r>
  <r>
    <s v="029"/>
    <s v="CARRO DE PARO CUARTO PISO                         "/>
    <x v="2"/>
    <x v="2"/>
    <s v="XD000121"/>
    <s v="SONDA FOLEY 16 X 30 DE 2 VIAS"/>
    <s v=""/>
    <s v=""/>
    <s v="006"/>
    <s v="Unidad"/>
    <s v=""/>
    <n v="1"/>
    <n v="3095.4549999999999"/>
    <n v="3095.4549999999999"/>
  </r>
  <r>
    <s v="002"/>
    <s v="FARMACIA DE CIRUGIA                               "/>
    <x v="3"/>
    <x v="3"/>
    <s v="20046872-01"/>
    <s v="PENICILINA G SODICA 5.000.000 UI Polvo para reconsituir a solución inyectable"/>
    <s v=""/>
    <s v=""/>
    <s v=""/>
    <s v=""/>
    <s v="5.000.000 UI"/>
    <n v="1"/>
    <n v="3119.0335238095236"/>
    <n v="3119.0335238095199"/>
  </r>
  <r>
    <s v="001"/>
    <s v="FARMACIA CENTRAL                                  "/>
    <x v="2"/>
    <x v="2"/>
    <s v="XE000028"/>
    <s v="MICRONEBULIZADOR KIT NEONATAL"/>
    <s v=""/>
    <s v=""/>
    <s v="006"/>
    <s v="Unidad"/>
    <s v=""/>
    <n v="1"/>
    <n v="3133"/>
    <n v="3133"/>
  </r>
  <r>
    <s v="006"/>
    <s v="ALMACEN MEDICOQUIRURGICOS   "/>
    <x v="2"/>
    <x v="2"/>
    <s v="XE000028"/>
    <s v="MICRONEBULIZADOR KIT NEONATAL"/>
    <s v=""/>
    <s v=""/>
    <s v="006"/>
    <s v="Unidad"/>
    <s v=""/>
    <n v="1"/>
    <n v="3133"/>
    <n v="3133"/>
  </r>
  <r>
    <s v="002"/>
    <s v="FARMACIA DE CIRUGIA      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03"/>
    <s v="CARRO  DE PARO RECUPERACION HEMODINAMIA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04"/>
    <s v="CARRO DE PARO RADIOLOGIA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14"/>
    <s v="CARRO DE PARO CARDIOLOGIA   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15"/>
    <s v="CARRO DE PARO HEMODINAMIA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17"/>
    <s v="CARRO DE PARO UCI        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19"/>
    <s v="CARRO DE PARO UCI 1/2    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22"/>
    <s v="CARRO DE PARO DE CIRUGIA 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25"/>
    <s v="CARRO DE PARO GASTROENTEROLOGÌA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29"/>
    <s v="CARRO DE PARO CUARTO PISO                         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53"/>
    <s v="CARRO DE PARO CRITICO QUIROGA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57"/>
    <s v="CARRO DE PARO UCI 2"/>
    <x v="2"/>
    <x v="2"/>
    <s v="XT000045"/>
    <s v="TUBO ENDOTRAQUEAL # 6.0-C/B X1"/>
    <s v=""/>
    <s v=""/>
    <s v="006"/>
    <s v="Unidad"/>
    <s v=""/>
    <n v="1"/>
    <n v="3146.0238095238092"/>
    <n v="3146.0238095238101"/>
  </r>
  <r>
    <s v="003"/>
    <s v="CARRO  DE PARO RECUPERACION HEMODINAMIA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04"/>
    <s v="CARRO DE PARO RADIOLOGIA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09"/>
    <s v="CARRO DE PARO URGENCIAS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14"/>
    <s v="CARRO DE PARO CARDIOLOGIA 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15"/>
    <s v="CARRO DE PARO HEMODINAMIA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17"/>
    <s v="CARRO DE PARO UCI      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18"/>
    <s v="STOCK  FISIOTERAPIA UCI  1              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19"/>
    <s v="CARRO DE PARO UCI 1/2  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20"/>
    <s v="STOCK FISIOTERAPIA UCI 2            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25"/>
    <s v="CARRO DE PARO GASTROENTEROLOGÌA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26"/>
    <s v="CARRO DE PARO TERCER PISO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29"/>
    <s v="CARRO DE PARO CUARTO PISO                         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57"/>
    <s v="CARRO DE PARO UCI 2"/>
    <x v="2"/>
    <x v="2"/>
    <s v="XT000021"/>
    <s v="MASCARA DE  OXIGENO DE NO REINHALACION ADULTO"/>
    <s v=""/>
    <s v=""/>
    <s v="006"/>
    <s v="Unidad"/>
    <s v=""/>
    <n v="1"/>
    <n v="3147.4638144329897"/>
    <n v="3147.4638144329901"/>
  </r>
  <r>
    <s v="002"/>
    <s v="FARMACIA DE CIRUGIA      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03"/>
    <s v="CARRO  DE PARO RECUPERACION HEMODINAMIA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04"/>
    <s v="CARRO DE PARO RADIOLOGIA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09"/>
    <s v="CARRO DE PARO URGENCIAS  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14"/>
    <s v="CARRO DE PARO CARDIOLOGIA   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15"/>
    <s v="CARRO DE PARO HEMODINAMIA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17"/>
    <s v="CARRO DE PARO UCI        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22"/>
    <s v="CARRO DE PARO DE CIRUGIA 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25"/>
    <s v="CARRO DE PARO GASTROENTEROLOGÌA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26"/>
    <s v="CARRO DE PARO TERCER PISO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29"/>
    <s v="CARRO DE PARO CUARTO PISO                         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53"/>
    <s v="CARRO DE PARO CRITICO QUIROGA"/>
    <x v="2"/>
    <x v="2"/>
    <s v="XT000050"/>
    <s v="TUBO ENDOTRAQUEAL # 8.5-C/B X1"/>
    <s v=""/>
    <s v=""/>
    <s v="006"/>
    <s v="Unidad"/>
    <s v=""/>
    <n v="1"/>
    <n v="3156.7916666666665"/>
    <n v="3156.7916666666702"/>
  </r>
  <r>
    <s v="013"/>
    <s v="KIT ATENCIÓN PEDIÀTRICA"/>
    <x v="2"/>
    <x v="2"/>
    <s v="XT000103"/>
    <s v="TUBO ENDOTRAQUEAL 2.0"/>
    <s v=""/>
    <s v=""/>
    <s v="006"/>
    <s v="Unidad"/>
    <s v=""/>
    <n v="1"/>
    <n v="3200"/>
    <n v="3200"/>
  </r>
  <r>
    <s v="003"/>
    <s v="CARRO  DE PARO RECUPERACION HEMODINAMIA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04"/>
    <s v="CARRO DE PARO RADIOLOGIA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09"/>
    <s v="CARRO DE PARO URGENCIAS      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14"/>
    <s v="CARRO DE PARO CARDIOLOGIA       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15"/>
    <s v="CARRO DE PARO HEMODINAMIA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17"/>
    <s v="CARRO DE PARO UCI            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22"/>
    <s v="CARRO DE PARO DE CIRUGIA     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25"/>
    <s v="CARRO DE PARO GASTROENTEROLOGÌA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26"/>
    <s v="CARRO DE PARO TERCER PISO                         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57"/>
    <s v="CARRO DE PARO UCI 2"/>
    <x v="2"/>
    <x v="2"/>
    <s v="XT000046"/>
    <s v="TUBO ENDOTRAQUEAL # 6.5-C/B X1"/>
    <s v=""/>
    <s v=""/>
    <s v="006"/>
    <s v="Unidad"/>
    <s v=""/>
    <n v="1"/>
    <n v="3219.5391304347827"/>
    <n v="3219.53913043478"/>
  </r>
  <r>
    <s v="002"/>
    <s v="FARMACIA DE CIRUGIA                               "/>
    <x v="0"/>
    <x v="0"/>
    <s v="22501-10"/>
    <s v="AGUA ESTERIL PARA INYECCIONN 500 ml"/>
    <s v=""/>
    <s v=""/>
    <s v=""/>
    <s v=""/>
    <s v="500 ml"/>
    <n v="1"/>
    <n v="3243.3902499999999"/>
    <n v="3243.3902499999999"/>
  </r>
  <r>
    <s v="001"/>
    <s v="FARMACIA CENTRAL         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03"/>
    <s v="CARRO  DE PARO RECUPERACION HEMODINAMIA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04"/>
    <s v="CARRO DE PARO RADIOLOGIA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14"/>
    <s v="CARRO DE PARO CARDIOLOGIA   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15"/>
    <s v="CARRO DE PARO HEMODINAMIA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19"/>
    <s v="CARRO DE PARO UCI 1/2    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22"/>
    <s v="CARRO DE PARO DE CIRUGIA 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25"/>
    <s v="CARRO DE PARO GASTROENTEROLOGÌA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26"/>
    <s v="CARRO DE PARO TERCER PISO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29"/>
    <s v="CARRO DE PARO CUARTO PISO                         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53"/>
    <s v="CARRO DE PARO CRITICO QUIROGA"/>
    <x v="2"/>
    <x v="2"/>
    <s v="XT000049"/>
    <s v="TUBO ENDOTRAQUEAL # 8.0-C/B X1"/>
    <s v=""/>
    <s v=""/>
    <s v="006"/>
    <s v="Unidad"/>
    <s v=""/>
    <n v="1"/>
    <n v="3250.4286666666667"/>
    <n v="3250.4286666666699"/>
  </r>
  <r>
    <s v="003"/>
    <s v="CARRO  DE PARO RECUPERACION HEMODINAMIA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04"/>
    <s v="CARRO DE PARO RADIOLOGIA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14"/>
    <s v="CARRO DE PARO CARDIOLOGIA       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15"/>
    <s v="CARRO DE PARO HEMODINAMIA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17"/>
    <s v="CARRO DE PARO UCI            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19"/>
    <s v="CARRO DE PARO UCI 1/2        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25"/>
    <s v="CARRO DE PARO GASTROENTEROLOGÌA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26"/>
    <s v="CARRO DE PARO TERCER PISO    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29"/>
    <s v="CARRO DE PARO CUARTO PISO                         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53"/>
    <s v="CARRO DE PARO CRITICO QUIROGA"/>
    <x v="2"/>
    <x v="2"/>
    <s v="XT000047"/>
    <s v="TUBO ENDOTRAQUEAL # 7.0-C/B X1"/>
    <s v=""/>
    <s v=""/>
    <s v="006"/>
    <s v="Unidad"/>
    <s v=""/>
    <n v="1"/>
    <n v="3269.9845714285716"/>
    <n v="3269.9845714285698"/>
  </r>
  <r>
    <s v="001"/>
    <s v="FARMACIA CENTRAL        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03"/>
    <s v="CARRO  DE PARO RECUPERACION HEMODINAMIA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09"/>
    <s v="CARRO DE PARO URGENCIAS 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14"/>
    <s v="CARRO DE PARO CARDIOLOGIA  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15"/>
    <s v="CARRO DE PARO HEMODINAMIA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17"/>
    <s v="CARRO DE PARO UCI       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19"/>
    <s v="CARRO DE PARO UCI 1/2   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22"/>
    <s v="CARRO DE PARO DE CIRUGIA 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23"/>
    <s v="CARRO DE VÌA AÉREA DIFÍCIL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25"/>
    <s v="CARRO DE PARO GASTROENTEROLOGÌA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26"/>
    <s v="CARRO DE PARO TERCER PISO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29"/>
    <s v="CARRO DE PARO CUARTO PISO                         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53"/>
    <s v="CARRO DE PARO CRITICO QUIROGA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57"/>
    <s v="CARRO DE PARO UCI 2"/>
    <x v="2"/>
    <x v="2"/>
    <s v="XT000048"/>
    <s v="TUBO ENDOTRAQUEAL # 7.5-C/B X1"/>
    <s v=""/>
    <s v=""/>
    <s v="006"/>
    <s v="Unidad"/>
    <s v=""/>
    <n v="1"/>
    <n v="3280.1967213114754"/>
    <n v="3280.1967213114799"/>
  </r>
  <r>
    <s v="002"/>
    <s v="FARMACIA DE CIRUGIA                               "/>
    <x v="3"/>
    <x v="3"/>
    <s v="19963653-04"/>
    <s v="CEFEPIME 1 g Polvo para reconstituir a solución inyectable"/>
    <s v=""/>
    <s v=""/>
    <s v=""/>
    <s v=""/>
    <s v="1 g"/>
    <n v="1"/>
    <n v="3363.14"/>
    <n v="3363.14"/>
  </r>
  <r>
    <s v="002"/>
    <s v="FARMACIA DE CIRUGIA                               "/>
    <x v="2"/>
    <x v="2"/>
    <s v="XT000041"/>
    <s v="TUBO ENDOTRAQUEAL # 4.0-C/B X1"/>
    <s v=""/>
    <s v=""/>
    <s v="006"/>
    <s v="Unidad"/>
    <s v=""/>
    <n v="1"/>
    <n v="3411.1904761904761"/>
    <n v="3411.1904761904798"/>
  </r>
  <r>
    <s v="001"/>
    <s v="FARMACIA CENTRAL                                  "/>
    <x v="3"/>
    <x v="3"/>
    <s v="20120233-01"/>
    <s v="CEFEPIME 1 g Polvo para reconstituir a solución inyectable"/>
    <s v=""/>
    <s v=""/>
    <s v=""/>
    <s v=""/>
    <s v="1 g"/>
    <n v="1"/>
    <n v="3498"/>
    <n v="3498"/>
  </r>
  <r>
    <s v="001"/>
    <s v="FARMACIA CENTRAL                                  "/>
    <x v="0"/>
    <x v="0"/>
    <s v="19995244-01"/>
    <s v="CLOTRIMAZOL 1 % Crema Tópica 40 g "/>
    <s v=""/>
    <s v=""/>
    <s v=""/>
    <s v=""/>
    <s v="1 %"/>
    <n v="1"/>
    <n v="3500"/>
    <n v="3500"/>
  </r>
  <r>
    <s v="004"/>
    <s v="CARRO DE PARO RADIOLOGIA"/>
    <x v="2"/>
    <x v="2"/>
    <s v="XT000024"/>
    <s v="MASCARA VENTURY ADULTO (1088) X 1 HUDSON"/>
    <s v=""/>
    <s v=""/>
    <s v="006"/>
    <s v="Unidad"/>
    <s v=""/>
    <n v="1"/>
    <n v="3766.5286274509804"/>
    <n v="3766.5286274509799"/>
  </r>
  <r>
    <s v="019"/>
    <s v="CARRO DE PARO UCI 1/2                             "/>
    <x v="2"/>
    <x v="2"/>
    <s v="XT000024"/>
    <s v="MASCARA VENTURY ADULTO (1088) X 1 HUDSON"/>
    <s v=""/>
    <s v=""/>
    <s v="006"/>
    <s v="Unidad"/>
    <s v=""/>
    <n v="1"/>
    <n v="3766.5286274509804"/>
    <n v="3766.5286274509799"/>
  </r>
  <r>
    <s v="020"/>
    <s v="STOCK FISIOTERAPIA UCI 2                                     "/>
    <x v="2"/>
    <x v="2"/>
    <s v="XT000024"/>
    <s v="MASCARA VENTURY ADULTO (1088) X 1 HUDSON"/>
    <s v=""/>
    <s v=""/>
    <s v="006"/>
    <s v="Unidad"/>
    <s v=""/>
    <n v="1"/>
    <n v="3766.5286274509804"/>
    <n v="3766.5286274509799"/>
  </r>
  <r>
    <s v="059"/>
    <s v="BODEGA CUARENTENA"/>
    <x v="2"/>
    <x v="2"/>
    <s v="XT000024"/>
    <s v="MASCARA VENTURY ADULTO (1088) X 1 HUDSON"/>
    <s v=""/>
    <s v=""/>
    <s v="006"/>
    <s v="Unidad"/>
    <s v=""/>
    <n v="1"/>
    <n v="3766.5286274509804"/>
    <n v="3766.5286274509799"/>
  </r>
  <r>
    <s v="053"/>
    <s v="CARRO DE PARO CRITICO QUIROGA"/>
    <x v="0"/>
    <x v="0"/>
    <s v="52038-03"/>
    <s v="LIDOCAINA CLORHIDRATO 2 % S.E. Solución inyectable 10 ml"/>
    <s v=""/>
    <s v=""/>
    <s v=""/>
    <s v=""/>
    <s v="2 % - 10 ml"/>
    <n v="1"/>
    <n v="3825.5590000000002"/>
    <n v="3825.5590000000002"/>
  </r>
  <r>
    <s v="057"/>
    <s v="CARRO DE PARO UCI 2"/>
    <x v="0"/>
    <x v="0"/>
    <s v="52038-03"/>
    <s v="LIDOCAINA CLORHIDRATO 2 % S.E. Solución inyectable 10 ml"/>
    <s v=""/>
    <s v=""/>
    <s v=""/>
    <s v=""/>
    <s v="2 % - 10 ml"/>
    <n v="1"/>
    <n v="3825.5590000000002"/>
    <n v="3825.5590000000002"/>
  </r>
  <r>
    <s v="001"/>
    <s v="FARMACIA CENTRAL                                  "/>
    <x v="2"/>
    <x v="2"/>
    <s v="XT000035"/>
    <s v="TUBO DE TORAX # 28 *1 CATETER"/>
    <s v=""/>
    <s v=""/>
    <s v="006"/>
    <s v="Unidad"/>
    <s v=""/>
    <n v="1"/>
    <n v="3846.7933333333335"/>
    <n v="3846.7933333333299"/>
  </r>
  <r>
    <s v="003"/>
    <s v="CARRO  DE PARO RECUPERACION HEMODINAMIA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04"/>
    <s v="CARRO DE PARO RADIOLOGIA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09"/>
    <s v="CARRO DE PARO URGENCIAS                           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14"/>
    <s v="CARRO DE PARO CARDIOLOGIA                            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17"/>
    <s v="CARRO DE PARO UCI                                 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22"/>
    <s v="CARRO DE PARO DE CIRUGIA                          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25"/>
    <s v="CARRO DE PARO GASTROENTEROLOGÌA                   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57"/>
    <s v="CARRO DE PARO UCI 2"/>
    <x v="0"/>
    <x v="0"/>
    <s v="19992832-03"/>
    <s v="AMIODARONA 150 mg / 3ml Solución Inyectable "/>
    <s v=""/>
    <s v=""/>
    <s v=""/>
    <s v=""/>
    <s v="150 mg / 3ml"/>
    <n v="1"/>
    <n v="3894.9839393939396"/>
    <n v="3894.9839393939401"/>
  </r>
  <r>
    <s v="001"/>
    <s v="FARMACIA CENTRAL                                  "/>
    <x v="3"/>
    <x v="3"/>
    <s v="21475-02"/>
    <s v="CLOTRIMAZOL 1 % Crema Vaginal 40 G"/>
    <s v=""/>
    <s v=""/>
    <s v=""/>
    <s v=""/>
    <s v="1 %"/>
    <n v="1"/>
    <n v="4019.3333333333335"/>
    <n v="4019.3333333333298"/>
  </r>
  <r>
    <s v="003"/>
    <s v="CARRO  DE PARO RECUPERACION HEMODINAMIA"/>
    <x v="2"/>
    <x v="2"/>
    <s v="XT000036"/>
    <s v="TUBO DE TORAX # 30 *1 CATETER"/>
    <s v=""/>
    <s v=""/>
    <s v="006"/>
    <s v="Unidad"/>
    <s v=""/>
    <n v="1"/>
    <n v="4187"/>
    <n v="4187"/>
  </r>
  <r>
    <s v="004"/>
    <s v="CARRO DE PARO RADIOLOGIA"/>
    <x v="2"/>
    <x v="2"/>
    <s v="XT000036"/>
    <s v="TUBO DE TORAX # 30 *1 CATETER"/>
    <s v=""/>
    <s v=""/>
    <s v="006"/>
    <s v="Unidad"/>
    <s v=""/>
    <n v="1"/>
    <n v="4187"/>
    <n v="4187"/>
  </r>
  <r>
    <s v="014"/>
    <s v="CARRO DE PARO CARDIOLOGIA                            "/>
    <x v="2"/>
    <x v="2"/>
    <s v="XT000036"/>
    <s v="TUBO DE TORAX # 30 *1 CATETER"/>
    <s v=""/>
    <s v=""/>
    <s v="006"/>
    <s v="Unidad"/>
    <s v=""/>
    <n v="1"/>
    <n v="4187"/>
    <n v="4187"/>
  </r>
  <r>
    <s v="015"/>
    <s v="CARRO DE PARO HEMODINAMIA                     "/>
    <x v="2"/>
    <x v="2"/>
    <s v="XT000036"/>
    <s v="TUBO DE TORAX # 30 *1 CATETER"/>
    <s v=""/>
    <s v=""/>
    <s v="006"/>
    <s v="Unidad"/>
    <s v=""/>
    <n v="1"/>
    <n v="4187"/>
    <n v="4187"/>
  </r>
  <r>
    <s v="017"/>
    <s v="CARRO DE PARO UCI                                 "/>
    <x v="2"/>
    <x v="2"/>
    <s v="XT000036"/>
    <s v="TUBO DE TORAX # 30 *1 CATETER"/>
    <s v=""/>
    <s v=""/>
    <s v="006"/>
    <s v="Unidad"/>
    <s v=""/>
    <n v="1"/>
    <n v="4187"/>
    <n v="4187"/>
  </r>
  <r>
    <s v="019"/>
    <s v="CARRO DE PARO UCI 1/2                             "/>
    <x v="2"/>
    <x v="2"/>
    <s v="XT000036"/>
    <s v="TUBO DE TORAX # 30 *1 CATETER"/>
    <s v=""/>
    <s v=""/>
    <s v="006"/>
    <s v="Unidad"/>
    <s v=""/>
    <n v="1"/>
    <n v="4187"/>
    <n v="4187"/>
  </r>
  <r>
    <s v="022"/>
    <s v="CARRO DE PARO DE CIRUGIA                          "/>
    <x v="2"/>
    <x v="2"/>
    <s v="XT000036"/>
    <s v="TUBO DE TORAX # 30 *1 CATETER"/>
    <s v=""/>
    <s v=""/>
    <s v="006"/>
    <s v="Unidad"/>
    <s v=""/>
    <n v="1"/>
    <n v="4187"/>
    <n v="4187"/>
  </r>
  <r>
    <s v="025"/>
    <s v="CARRO DE PARO GASTROENTEROLOGÌA                   "/>
    <x v="2"/>
    <x v="2"/>
    <s v="XT000036"/>
    <s v="TUBO DE TORAX # 30 *1 CATETER"/>
    <s v=""/>
    <s v=""/>
    <s v="006"/>
    <s v="Unidad"/>
    <s v=""/>
    <n v="1"/>
    <n v="4187"/>
    <n v="4187"/>
  </r>
  <r>
    <s v="026"/>
    <s v="CARRO DE PARO TERCER PISO                         "/>
    <x v="2"/>
    <x v="2"/>
    <s v="XT000036"/>
    <s v="TUBO DE TORAX # 30 *1 CATETER"/>
    <s v=""/>
    <s v=""/>
    <s v="006"/>
    <s v="Unidad"/>
    <s v=""/>
    <n v="1"/>
    <n v="4187"/>
    <n v="4187"/>
  </r>
  <r>
    <s v="029"/>
    <s v="CARRO DE PARO CUARTO PISO                         "/>
    <x v="2"/>
    <x v="2"/>
    <s v="XT000036"/>
    <s v="TUBO DE TORAX # 30 *1 CATETER"/>
    <s v=""/>
    <s v=""/>
    <s v="006"/>
    <s v="Unidad"/>
    <s v=""/>
    <n v="1"/>
    <n v="4187"/>
    <n v="4187"/>
  </r>
  <r>
    <s v="057"/>
    <s v="CARRO DE PARO UCI 2"/>
    <x v="2"/>
    <x v="2"/>
    <s v="XT000036"/>
    <s v="TUBO DE TORAX # 30 *1 CATETER"/>
    <s v=""/>
    <s v=""/>
    <s v="006"/>
    <s v="Unidad"/>
    <s v=""/>
    <n v="1"/>
    <n v="4187"/>
    <n v="4187"/>
  </r>
  <r>
    <s v="003"/>
    <s v="CARRO  DE PARO RECUPERACION HEMODINAMIA"/>
    <x v="5"/>
    <x v="5"/>
    <s v="AP000097"/>
    <s v="TIJERAS"/>
    <s v=""/>
    <s v=""/>
    <s v="006"/>
    <s v="Unidad"/>
    <s v=""/>
    <n v="1"/>
    <n v="4226.4341176470589"/>
    <n v="4226.4341176470598"/>
  </r>
  <r>
    <s v="004"/>
    <s v="CARRO DE PARO RADIOLOGIA"/>
    <x v="5"/>
    <x v="5"/>
    <s v="AP000097"/>
    <s v="TIJERAS"/>
    <s v=""/>
    <s v=""/>
    <s v="006"/>
    <s v="Unidad"/>
    <s v=""/>
    <n v="1"/>
    <n v="4226.4341176470589"/>
    <n v="4226.4341176470598"/>
  </r>
  <r>
    <s v="014"/>
    <s v="CARRO DE PARO CARDIOLOGIA                            "/>
    <x v="5"/>
    <x v="5"/>
    <s v="AP000097"/>
    <s v="TIJERAS"/>
    <s v=""/>
    <s v=""/>
    <s v="006"/>
    <s v="Unidad"/>
    <s v=""/>
    <n v="1"/>
    <n v="4226.4341176470589"/>
    <n v="4226.4341176470598"/>
  </r>
  <r>
    <s v="015"/>
    <s v="CARRO DE PARO HEMODINAMIA                     "/>
    <x v="5"/>
    <x v="5"/>
    <s v="AP000097"/>
    <s v="TIJERAS"/>
    <s v=""/>
    <s v=""/>
    <s v="006"/>
    <s v="Unidad"/>
    <s v=""/>
    <n v="1"/>
    <n v="4226.4341176470589"/>
    <n v="4226.4341176470598"/>
  </r>
  <r>
    <s v="017"/>
    <s v="CARRO DE PARO UCI                                 "/>
    <x v="5"/>
    <x v="5"/>
    <s v="AP000097"/>
    <s v="TIJERAS"/>
    <s v=""/>
    <s v=""/>
    <s v="006"/>
    <s v="Unidad"/>
    <s v=""/>
    <n v="1"/>
    <n v="4226.4341176470589"/>
    <n v="4226.4341176470598"/>
  </r>
  <r>
    <s v="019"/>
    <s v="CARRO DE PARO UCI 1/2                             "/>
    <x v="5"/>
    <x v="5"/>
    <s v="AP000097"/>
    <s v="TIJERAS"/>
    <s v=""/>
    <s v=""/>
    <s v="006"/>
    <s v="Unidad"/>
    <s v=""/>
    <n v="1"/>
    <n v="4226.4341176470589"/>
    <n v="4226.4341176470598"/>
  </r>
  <r>
    <s v="022"/>
    <s v="CARRO DE PARO DE CIRUGIA                          "/>
    <x v="5"/>
    <x v="5"/>
    <s v="AP000097"/>
    <s v="TIJERAS"/>
    <s v=""/>
    <s v=""/>
    <s v="006"/>
    <s v="Unidad"/>
    <s v=""/>
    <n v="1"/>
    <n v="4226.4341176470589"/>
    <n v="4226.4341176470598"/>
  </r>
  <r>
    <s v="003"/>
    <s v="CARRO  DE PARO RECUPERACION HEMODINAMIA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04"/>
    <s v="CARRO DE PARO RADIOLOGIA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09"/>
    <s v="CARRO DE PARO URGENCIAS  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14"/>
    <s v="CARRO DE PARO CARDIOLOGIA   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15"/>
    <s v="CARRO DE PARO HEMODINAMIA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17"/>
    <s v="CARRO DE PARO UCI        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19"/>
    <s v="CARRO DE PARO UCI 1/2    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22"/>
    <s v="CARRO DE PARO DE CIRUGIA 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25"/>
    <s v="CARRO DE PARO GASTROENTEROLOGÌA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26"/>
    <s v="CARRO DE PARO TERCER PISO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29"/>
    <s v="CARRO DE PARO CUARTO PISO                         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53"/>
    <s v="CARRO DE PARO CRITICO QUIROGA"/>
    <x v="2"/>
    <x v="2"/>
    <s v="XT000037"/>
    <s v="TUBO DE TORAX # 32 *1 CATETER"/>
    <s v=""/>
    <s v=""/>
    <s v="006"/>
    <s v="Unidad"/>
    <s v=""/>
    <n v="1"/>
    <n v="4259.3705405405408"/>
    <n v="4259.3705405405399"/>
  </r>
  <r>
    <s v="005"/>
    <s v="ALMACEN MEDICAMENTOS"/>
    <x v="0"/>
    <x v="0"/>
    <s v="19930887-3"/>
    <s v="SULFADIAZINA DE PLATA 1 % Crema Tópica 30 g"/>
    <s v=""/>
    <s v=""/>
    <s v=""/>
    <s v=""/>
    <s v="1 %"/>
    <n v="1"/>
    <n v="4270"/>
    <n v="4270"/>
  </r>
  <r>
    <s v="001"/>
    <s v="FARMACIA CENTRAL                                  "/>
    <x v="2"/>
    <x v="2"/>
    <s v="XV000009"/>
    <s v="VENDA DE GASA 6 X 5 *1 UNIDAD"/>
    <s v=""/>
    <s v=""/>
    <s v="006"/>
    <s v="Unidad"/>
    <s v=""/>
    <n v="1"/>
    <n v="4369.3103448275861"/>
    <n v="4369.3103448275897"/>
  </r>
  <r>
    <s v="001"/>
    <s v="FARMACIA CENTRAL                                  "/>
    <x v="2"/>
    <x v="2"/>
    <s v="XT000039"/>
    <s v="TUBO DE TORAX # 36 *1 CATETER"/>
    <s v=""/>
    <s v=""/>
    <s v="006"/>
    <s v="Unidad"/>
    <s v=""/>
    <n v="1"/>
    <n v="4398.5443333333333"/>
    <n v="4398.5443333333296"/>
  </r>
  <r>
    <s v="010"/>
    <s v="STOCK TERAPIA URGENCIAS       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14"/>
    <s v="CARRO DE PARO CARDIOLOGIA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17"/>
    <s v="CARRO DE PARO UCI     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18"/>
    <s v="STOCK  FISIOTERAPIA UCI  1             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19"/>
    <s v="CARRO DE PARO UCI 1/2 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20"/>
    <s v="STOCK FISIOTERAPIA UCI 2            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25"/>
    <s v="CARRO DE PARO GASTROENTEROLOGÌA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26"/>
    <s v="CARRO DE PARO TERCER PISO                         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53"/>
    <s v="CARRO DE PARO CRITICO QUIROGA"/>
    <x v="2"/>
    <x v="2"/>
    <s v="XT000064"/>
    <s v="TUBO SUCCION DAVOL 3 M.X1/4 D.I.DAVOL(36290)*1"/>
    <s v=""/>
    <s v=""/>
    <s v="006"/>
    <s v="Unidad"/>
    <s v=""/>
    <n v="1"/>
    <n v="4436.8685029940125"/>
    <n v="4436.8685029940098"/>
  </r>
  <r>
    <s v="004"/>
    <s v="CARRO DE PARO RADIOLOGIA"/>
    <x v="7"/>
    <x v="7"/>
    <s v="AA000034"/>
    <s v="CONTENEDOR RECOLECTOR  DE CORTOPUNZANTES 2.9 LTS REF:B405800"/>
    <s v=""/>
    <s v=""/>
    <s v="006"/>
    <s v="Unidad"/>
    <s v=""/>
    <n v="1"/>
    <n v="4459.875"/>
    <n v="4459.875"/>
  </r>
  <r>
    <s v="009"/>
    <s v="CARRO DE PARO URGENCIAS                           "/>
    <x v="7"/>
    <x v="7"/>
    <s v="AA000034"/>
    <s v="CONTENEDOR RECOLECTOR  DE CORTOPUNZANTES 2.9 LTS REF:B405800"/>
    <s v=""/>
    <s v=""/>
    <s v="006"/>
    <s v="Unidad"/>
    <s v=""/>
    <n v="1"/>
    <n v="4459.875"/>
    <n v="4459.875"/>
  </r>
  <r>
    <s v="026"/>
    <s v="CARRO DE PARO TERCER PISO                         "/>
    <x v="7"/>
    <x v="7"/>
    <s v="AA000034"/>
    <s v="CONTENEDOR RECOLECTOR  DE CORTOPUNZANTES 2.9 LTS REF:B405800"/>
    <s v=""/>
    <s v=""/>
    <s v="006"/>
    <s v="Unidad"/>
    <s v=""/>
    <n v="1"/>
    <n v="4459.875"/>
    <n v="4459.875"/>
  </r>
  <r>
    <s v="053"/>
    <s v="CARRO DE PARO CRITICO QUIROGA"/>
    <x v="7"/>
    <x v="7"/>
    <s v="AA000034"/>
    <s v="CONTENEDOR RECOLECTOR  DE CORTOPUNZANTES 2.9 LTS REF:B405800"/>
    <s v=""/>
    <s v=""/>
    <s v="006"/>
    <s v="Unidad"/>
    <s v=""/>
    <n v="1"/>
    <n v="4459.875"/>
    <n v="4459.875"/>
  </r>
  <r>
    <s v="001"/>
    <s v="FARMACIA CENTRAL                                  "/>
    <x v="0"/>
    <x v="0"/>
    <s v="218000-16"/>
    <s v="PENICILINA G SODICA 5.000.000 UI Polvo para reconsituir a slución inyectable"/>
    <s v=""/>
    <s v=""/>
    <s v=""/>
    <s v=""/>
    <s v="5.000.000 UI"/>
    <n v="1"/>
    <n v="4594.8019801980199"/>
    <n v="4594.8019801980199"/>
  </r>
  <r>
    <s v="002"/>
    <s v="FARMACIA DE CIRUGIA                               "/>
    <x v="3"/>
    <x v="3"/>
    <s v="20026118-2"/>
    <s v="FLUCONAZOL 200 mg / 100 ml Solución Inyectable"/>
    <s v=""/>
    <s v=""/>
    <s v=""/>
    <s v=""/>
    <s v="200 mg / 100 ml"/>
    <n v="1"/>
    <n v="4610.7261428571428"/>
    <n v="4610.7261428571401"/>
  </r>
  <r>
    <s v="002"/>
    <s v="FARMACIA DE CIRUGIA                               "/>
    <x v="0"/>
    <x v="0"/>
    <s v="20011983-01"/>
    <s v="SALBUTAMOL 100 mcg / Puff Solución para Inhalación 200 Dosis"/>
    <s v=""/>
    <s v=""/>
    <s v=""/>
    <s v=""/>
    <s v="200 puff"/>
    <n v="1"/>
    <n v="4708.1851851851852"/>
    <n v="4708.1851851851898"/>
  </r>
  <r>
    <s v="001"/>
    <s v="FARMACIA CENTRAL                                  "/>
    <x v="3"/>
    <x v="3"/>
    <s v="19912977-02"/>
    <s v="CLOTRIMAZOL 1 % Crema Tópica 40 g "/>
    <s v=""/>
    <s v=""/>
    <s v=""/>
    <s v=""/>
    <s v="1 %"/>
    <n v="1"/>
    <n v="4796"/>
    <n v="4796"/>
  </r>
  <r>
    <s v="001"/>
    <s v="FARMACIA CENTRAL                                  "/>
    <x v="3"/>
    <x v="3"/>
    <s v="20163216-4"/>
    <s v="CEFUROXIMA 750 mg Polvo para Reconstituir"/>
    <s v=""/>
    <s v=""/>
    <s v=""/>
    <s v=""/>
    <s v="750 mg"/>
    <n v="1"/>
    <n v="4918.666666666667"/>
    <n v="4918.6666666666697"/>
  </r>
  <r>
    <s v="005"/>
    <s v="ALMACEN MEDICAMENTOS"/>
    <x v="0"/>
    <x v="0"/>
    <s v="20097544-01"/>
    <s v="Carboximetilcelulosa  Solución Oftálmica Estéril Frasco 15 ml"/>
    <s v=""/>
    <s v=""/>
    <s v=""/>
    <s v=""/>
    <s v="15ML"/>
    <n v="1"/>
    <n v="5498"/>
    <n v="5498"/>
  </r>
  <r>
    <s v="008"/>
    <s v="ALMACEN  GENERAL                                         "/>
    <x v="7"/>
    <x v="7"/>
    <s v="AA000132"/>
    <s v="REMOVEDOR DE ESMALTE"/>
    <s v=""/>
    <s v=""/>
    <s v="006"/>
    <s v="Unidad"/>
    <s v=""/>
    <n v="1"/>
    <n v="5679.96"/>
    <n v="5679.96"/>
  </r>
  <r>
    <s v="003"/>
    <s v="CARRO  DE PARO RECUPERACION HEMODINAMIA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04"/>
    <s v="CARRO DE PARO RADIOLOGIA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09"/>
    <s v="CARRO DE PARO URGENCIAS  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14"/>
    <s v="CARRO DE PARO CARDIOLOGIA   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15"/>
    <s v="CARRO DE PARO HEMODINAMIA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17"/>
    <s v="CARRO DE PARO UCI        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22"/>
    <s v="CARRO DE PARO DE CIRUGIA 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25"/>
    <s v="CARRO DE PARO GASTROENTEROLOGÌA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26"/>
    <s v="CARRO DE PARO TERCER PISO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29"/>
    <s v="CARRO DE PARO CUARTO PISO                         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53"/>
    <s v="CARRO DE PARO CRITICO QUIROGA"/>
    <x v="7"/>
    <x v="7"/>
    <s v="AA000096"/>
    <s v="CREMA CONDUCTORA-CONDUGEL-FRASCO X 250ML *1"/>
    <s v=""/>
    <s v=""/>
    <s v="006"/>
    <s v="Unidad"/>
    <s v=""/>
    <n v="1"/>
    <n v="5873.5638461538456"/>
    <n v="5873.5638461538501"/>
  </r>
  <r>
    <s v="005"/>
    <s v="ALMACEN MEDICAMENTOS"/>
    <x v="0"/>
    <x v="0"/>
    <s v="40194-02"/>
    <s v="HIDROCORTISONA 1% Crema Tópica 15 g"/>
    <s v=""/>
    <s v=""/>
    <s v=""/>
    <s v=""/>
    <s v="1 %"/>
    <n v="1"/>
    <n v="5956.8666666666668"/>
    <n v="5956.8666666666704"/>
  </r>
  <r>
    <s v="004"/>
    <s v="CARRO DE PARO RADIOLOGIA"/>
    <x v="7"/>
    <x v="7"/>
    <s v="AA000089"/>
    <s v="MICROPORE PIEL 2 PULGADAS X 6 CINTAS"/>
    <s v=""/>
    <s v=""/>
    <s v="006"/>
    <s v="Unidad"/>
    <s v=""/>
    <n v="1"/>
    <n v="6004.2436893203885"/>
    <n v="6004.2436893203903"/>
  </r>
  <r>
    <s v="001"/>
    <s v="FARMACIA CENTRAL                                  "/>
    <x v="2"/>
    <x v="2"/>
    <s v="XT000098"/>
    <s v="CANULA NASAL PARA OXIGENO PEDIATRICA"/>
    <s v=""/>
    <s v=""/>
    <s v="006"/>
    <s v="Unidad"/>
    <s v=""/>
    <n v="1"/>
    <n v="6176"/>
    <n v="6176"/>
  </r>
  <r>
    <s v="013"/>
    <s v="KIT ATENCIÓN PEDIÀTRICA"/>
    <x v="2"/>
    <x v="2"/>
    <s v="XT000098"/>
    <s v="CANULA NASAL PARA OXIGENO PEDIATRICA"/>
    <s v=""/>
    <s v=""/>
    <s v="006"/>
    <s v="Unidad"/>
    <s v=""/>
    <n v="1"/>
    <n v="6176"/>
    <n v="6176"/>
  </r>
  <r>
    <s v="018"/>
    <s v="STOCK  FISIOTERAPIA UCI  1                                         "/>
    <x v="2"/>
    <x v="2"/>
    <s v="XT000019"/>
    <s v="INCENTIVO RESPIRATORIO R.1750 X 1 SET"/>
    <s v=""/>
    <s v=""/>
    <s v="006"/>
    <s v="Unidad"/>
    <s v=""/>
    <n v="1"/>
    <n v="6438.768"/>
    <n v="6438.768"/>
  </r>
  <r>
    <s v="020"/>
    <s v="STOCK FISIOTERAPIA UCI 2                                     "/>
    <x v="2"/>
    <x v="2"/>
    <s v="XT000019"/>
    <s v="INCENTIVO RESPIRATORIO R.1750 X 1 SET"/>
    <s v=""/>
    <s v=""/>
    <s v="006"/>
    <s v="Unidad"/>
    <s v=""/>
    <n v="1"/>
    <n v="6438.768"/>
    <n v="6438.768"/>
  </r>
  <r>
    <s v="053"/>
    <s v="CARRO DE PARO CRITICO QUIROGA"/>
    <x v="7"/>
    <x v="7"/>
    <s v="AA000085"/>
    <s v="ESPARADRAPO 1 X 10M *12 ROLLOS-TELA"/>
    <s v=""/>
    <s v=""/>
    <s v="006"/>
    <s v="Unidad"/>
    <s v=""/>
    <n v="1"/>
    <n v="6452.4775690607739"/>
    <n v="6452.4775690607703"/>
  </r>
  <r>
    <s v="022"/>
    <s v="CARRO DE PARO DE CIRUGIA                          "/>
    <x v="2"/>
    <x v="2"/>
    <s v="XA000012"/>
    <s v="APOSITO TRANSPARENTE I.V ADVANCE 6.5 X 9 CM REF 7239005"/>
    <s v=""/>
    <s v=""/>
    <s v="006"/>
    <s v="Unidad"/>
    <s v=""/>
    <n v="1"/>
    <n v="6828.93"/>
    <n v="6828.93"/>
  </r>
  <r>
    <s v="005"/>
    <s v="ALMACEN MEDICAMENTOS"/>
    <x v="0"/>
    <x v="0"/>
    <s v="19977699-03"/>
    <s v="ALUMINIO HIDROXIDO + MAGNESIO HIDROXIDO + SIMETICONA 4 g +4 g + 0.4 g Suspensión Oral 360 ml"/>
    <s v=""/>
    <s v=""/>
    <s v=""/>
    <s v=""/>
    <s v="4g +4g +0.4 g - 360 ml"/>
    <n v="1"/>
    <n v="6890"/>
    <n v="6890"/>
  </r>
  <r>
    <s v="008"/>
    <s v="ALMACEN  GENERAL                                         "/>
    <x v="1"/>
    <x v="1"/>
    <s v="AM000355"/>
    <s v="PINZA ADSON SIN GARRA"/>
    <s v=""/>
    <s v=""/>
    <s v="006"/>
    <s v="Unidad"/>
    <s v=""/>
    <n v="1"/>
    <n v="7000"/>
    <n v="7000"/>
  </r>
  <r>
    <s v="001"/>
    <s v="FARMACIA CENTRAL                                  "/>
    <x v="0"/>
    <x v="0"/>
    <s v="20037305-01"/>
    <s v="SUCCINILCOLINA 10 ml Solución inyectable"/>
    <s v=""/>
    <s v=""/>
    <s v=""/>
    <s v=""/>
    <s v="10 ml"/>
    <n v="1"/>
    <n v="7714.5542857142855"/>
    <n v="7714.55428571429"/>
  </r>
  <r>
    <s v="053"/>
    <s v="CARRO DE PARO CRITICO QUIROGA"/>
    <x v="0"/>
    <x v="0"/>
    <s v="20026869-03"/>
    <s v="PROPOFOL 1% Emulsión inyectable 20 ml"/>
    <s v=""/>
    <s v=""/>
    <s v=""/>
    <s v=""/>
    <s v="200mg/20ml"/>
    <n v="1"/>
    <n v="8400.3259602649014"/>
    <n v="8400.3259602648995"/>
  </r>
  <r>
    <s v="002"/>
    <s v="FARMACIA DE CIRUGIA                               "/>
    <x v="2"/>
    <x v="2"/>
    <s v="XD000123"/>
    <s v="SONDA FOLEY 16FRX5ML 2VIAS SILICONA 100%"/>
    <s v=""/>
    <s v=""/>
    <s v="006"/>
    <s v="Unidad"/>
    <s v=""/>
    <n v="1"/>
    <n v="8440.2525000000005"/>
    <n v="8440.2525000000005"/>
  </r>
  <r>
    <s v="004"/>
    <s v="CARRO DE PARO RADIOLOGIA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09"/>
    <s v="CARRO DE PARO URGENCIAS  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14"/>
    <s v="CARRO DE PARO CARDIOLOGIA   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17"/>
    <s v="CARRO DE PARO UCI        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19"/>
    <s v="CARRO DE PARO UCI 1/2    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22"/>
    <s v="CARRO DE PARO DE CIRUGIA 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25"/>
    <s v="CARRO DE PARO GASTROENTEROLOGÌA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26"/>
    <s v="CARRO DE PARO TERCER PISO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29"/>
    <s v="CARRO DE PARO CUARTO PISO                         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57"/>
    <s v="CARRO DE PARO UCI 2"/>
    <x v="0"/>
    <x v="0"/>
    <s v="39002-03"/>
    <s v="LIDOCAINA CLORHIDRATO 2 % Jalea 30 ML"/>
    <s v=""/>
    <s v=""/>
    <s v=""/>
    <s v=""/>
    <s v="2 % - 30 ml"/>
    <n v="1"/>
    <n v="9728.7152252252235"/>
    <n v="9728.7152252252308"/>
  </r>
  <r>
    <s v="001"/>
    <s v="FARMACIA CENTRAL                                  "/>
    <x v="2"/>
    <x v="2"/>
    <s v="XS000099"/>
    <s v="SUTURA QUIRURGICA ABSORBIBLE VICRYL 2/0 J345H CT-1 X3 DOCENAS"/>
    <s v=""/>
    <s v=""/>
    <s v="006"/>
    <s v="Unidad"/>
    <s v=""/>
    <n v="1"/>
    <n v="9973.8160465116289"/>
    <n v="9973.8160465116307"/>
  </r>
  <r>
    <s v="003"/>
    <s v="CARRO  DE PARO RECUPERACION HEMODINAMIA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04"/>
    <s v="CARRO DE PARO RADIOLOGIA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09"/>
    <s v="CARRO DE PARO URGENCIAS  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14"/>
    <s v="CARRO DE PARO CARDIOLOGIA   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15"/>
    <s v="CARRO DE PARO HEMODINAMIA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17"/>
    <s v="CARRO DE PARO UCI        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19"/>
    <s v="CARRO DE PARO UCI 1/2    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22"/>
    <s v="CARRO DE PARO DE CIRUGIA 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25"/>
    <s v="CARRO DE PARO GASTROENTEROLOGÌA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26"/>
    <s v="CARRO DE PARO TERCER PISO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29"/>
    <s v="CARRO DE PARO CUARTO PISO                         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53"/>
    <s v="CARRO DE PARO CRITICO QUIROGA"/>
    <x v="2"/>
    <x v="2"/>
    <s v="XE000013"/>
    <s v="EQUIPO PARA DRENAJE URINARIO CYSTOFLO  MRD2926"/>
    <s v=""/>
    <s v=""/>
    <s v="006"/>
    <s v="Unidad"/>
    <s v=""/>
    <n v="1"/>
    <n v="10302.013482142856"/>
    <n v="10302.01348214286"/>
  </r>
  <r>
    <s v="003"/>
    <s v="CARRO  DE PARO RECUPERACION HEMODINAMIA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09"/>
    <s v="CARRO DE PARO URGENCIAS      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14"/>
    <s v="CARRO DE PARO CARDIOLOGIA       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15"/>
    <s v="CARRO DE PARO HEMODINAMIA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17"/>
    <s v="CARRO DE PARO UCI            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19"/>
    <s v="CARRO DE PARO UCI 1/2        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22"/>
    <s v="CARRO DE PARO DE CIRUGIA       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25"/>
    <s v="CARRO DE PARO GASTROENTEROLOGÌA                   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57"/>
    <s v="CARRO DE PARO UCI 2"/>
    <x v="0"/>
    <x v="0"/>
    <s v="29517-01"/>
    <s v="DEXTROSA EN AGUA DESTILADA 50%  Solución Inyectable 500 ml"/>
    <s v=""/>
    <s v=""/>
    <s v=""/>
    <s v=""/>
    <s v="50 % - 500 ml"/>
    <n v="1"/>
    <n v="10404.861842105262"/>
    <n v="10404.86184210526"/>
  </r>
  <r>
    <s v="003"/>
    <s v="CARRO  DE PARO RECUPERACION HEMODINAMIA"/>
    <x v="0"/>
    <x v="0"/>
    <s v="19980849-01"/>
    <s v="LIDOCAINA CLORHIDRATO 2 % Jalea 30 ML"/>
    <s v=""/>
    <s v=""/>
    <s v=""/>
    <s v=""/>
    <s v="2 % - 30 ml"/>
    <n v="1"/>
    <n v="10942.6564"/>
    <n v="10942.6564"/>
  </r>
  <r>
    <s v="015"/>
    <s v="CARRO DE PARO HEMODINAMIA                     "/>
    <x v="0"/>
    <x v="0"/>
    <s v="19980849-01"/>
    <s v="LIDOCAINA CLORHIDRATO 2 % Jalea 30 ML"/>
    <s v=""/>
    <s v=""/>
    <s v=""/>
    <s v=""/>
    <s v="2 % - 30 ml"/>
    <n v="1"/>
    <n v="10942.6564"/>
    <n v="10942.6564"/>
  </r>
  <r>
    <s v="001"/>
    <s v="FARMACIA CENTRAL                                  "/>
    <x v="2"/>
    <x v="2"/>
    <s v="XT000102"/>
    <s v="CANULA DE OXIGENO ADULTO 15 MT"/>
    <s v=""/>
    <s v=""/>
    <s v="006"/>
    <s v="Unidad"/>
    <s v=""/>
    <n v="1"/>
    <n v="12677.174999999999"/>
    <n v="12677.174999999999"/>
  </r>
  <r>
    <s v="001"/>
    <s v="FARMACIA CENTRAL                                  "/>
    <x v="0"/>
    <x v="0"/>
    <s v="57693-02"/>
    <s v="ACICLOVIR 5% Ungüento Topico tubo 15 g"/>
    <s v=""/>
    <s v=""/>
    <s v=""/>
    <s v=""/>
    <s v="5% 15 g"/>
    <n v="1"/>
    <n v="12910"/>
    <n v="12910"/>
  </r>
  <r>
    <s v="001"/>
    <s v="FARMACIA CENTRAL                                  "/>
    <x v="3"/>
    <x v="3"/>
    <s v="60069-1"/>
    <s v="CEFALEXINA 250 mg / 5 ml Polvo para reconstituir a solución oral 60 ML"/>
    <s v=""/>
    <s v=""/>
    <s v=""/>
    <s v=""/>
    <s v="60 mL"/>
    <n v="1"/>
    <n v="13000.5"/>
    <n v="13000.5"/>
  </r>
  <r>
    <s v="002"/>
    <s v="FARMACIA DE CIRUGIA                               "/>
    <x v="0"/>
    <x v="0"/>
    <s v="19990590-16"/>
    <s v="METILPREDNISOLONA SUCCINATO 500 "/>
    <s v=""/>
    <s v=""/>
    <s v=""/>
    <s v=""/>
    <s v="500 mg"/>
    <n v="1"/>
    <n v="13085.133076923077"/>
    <n v="13085.133076923081"/>
  </r>
  <r>
    <s v="025"/>
    <s v="CARRO DE PARO GASTROENTEROLOGÌA                   "/>
    <x v="0"/>
    <x v="0"/>
    <s v="20071601-01"/>
    <s v="VECURONIO BROMURO 10 mg Polvo para reconstituir a solución inyectable"/>
    <s v=""/>
    <s v=""/>
    <s v=""/>
    <s v=""/>
    <s v="10 mg"/>
    <n v="1"/>
    <n v="13283"/>
    <n v="13283"/>
  </r>
  <r>
    <s v="001"/>
    <s v="FARMACIA CENTRAL                                  "/>
    <x v="2"/>
    <x v="2"/>
    <s v="XO000038"/>
    <s v="COSTILLERO DAMA TALLA M"/>
    <s v=""/>
    <s v=""/>
    <s v="006"/>
    <s v="Unidad"/>
    <s v=""/>
    <n v="1"/>
    <n v="13300"/>
    <n v="13300"/>
  </r>
  <r>
    <s v="032"/>
    <s v="CLINICA DE HERIDAS                                "/>
    <x v="2"/>
    <x v="2"/>
    <s v="XD000011"/>
    <s v="BOLSA DE COLOSTOMIA NATURA 45MM REF 416417"/>
    <s v=""/>
    <s v=""/>
    <s v="006"/>
    <s v="Unidad"/>
    <s v=""/>
    <n v="1"/>
    <n v="13529.18"/>
    <n v="13529.18"/>
  </r>
  <r>
    <s v="002"/>
    <s v="FARMACIA DE CIRUGIA                               "/>
    <x v="0"/>
    <x v="0"/>
    <s v="19974253-02"/>
    <s v="METILPREDNISOLONA SUCCINATO 500 mg Polvo para reconstituir a solución inyectable"/>
    <s v=""/>
    <s v=""/>
    <s v=""/>
    <s v=""/>
    <s v="500 mg"/>
    <n v="1"/>
    <n v="13613.761176470589"/>
    <n v="13613.761176470591"/>
  </r>
  <r>
    <s v="018"/>
    <s v="STOCK  FISIOTERAPIA UCI  1                                         "/>
    <x v="2"/>
    <x v="2"/>
    <s v="XT000075"/>
    <s v="FILTRO INSPIRATORIO DES.22MM REF4-074601-00"/>
    <s v=""/>
    <s v=""/>
    <s v="006"/>
    <s v="Unidad"/>
    <s v=""/>
    <n v="1"/>
    <n v="14544.142857142857"/>
    <n v="14544.142857142861"/>
  </r>
  <r>
    <s v="004"/>
    <s v="CARRO DE PARO RADIOLOGIA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09"/>
    <s v="CARRO DE PARO URGENCIAS  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17"/>
    <s v="CARRO DE PARO UCI        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19"/>
    <s v="CARRO DE PARO UCI 1/2    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22"/>
    <s v="CARRO DE PARO DE CIRUGIA 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25"/>
    <s v="CARRO DE PARO GASTROENTEROLOGÌA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26"/>
    <s v="CARRO DE PARO TERCER PISO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29"/>
    <s v="CARRO DE PARO CUARTO PISO                         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53"/>
    <s v="CARRO DE PARO CRITICO QUIROGA"/>
    <x v="2"/>
    <x v="2"/>
    <s v="AA000091"/>
    <s v="GUANTES FLEXAM DESECHABLES PARA EXAMEN 100 T.M."/>
    <s v=""/>
    <s v=""/>
    <s v="006"/>
    <s v="Unidad"/>
    <s v=""/>
    <n v="1"/>
    <n v="15064.306117424243"/>
    <n v="15064.306117424239"/>
  </r>
  <r>
    <s v="002"/>
    <s v="FARMACIA DE CIRUGIA                               "/>
    <x v="2"/>
    <x v="2"/>
    <s v="XD000015"/>
    <s v="BOLSA PARA  UROSTOMIA CON VALVULA  NATURA 45 MM REF 401544-404593"/>
    <s v=""/>
    <s v=""/>
    <s v="006"/>
    <s v="Unidad"/>
    <s v=""/>
    <n v="1"/>
    <n v="15693"/>
    <n v="15693"/>
  </r>
  <r>
    <s v="059"/>
    <s v="BODEGA CUARENTENA"/>
    <x v="2"/>
    <x v="2"/>
    <s v="XD000015"/>
    <s v="BOLSA PARA  UROSTOMIA CON VALVULA  NATURA 45 MM REF 401544-404593"/>
    <s v=""/>
    <s v=""/>
    <s v="006"/>
    <s v="Unidad"/>
    <s v=""/>
    <n v="1"/>
    <n v="15693"/>
    <n v="15693"/>
  </r>
  <r>
    <s v="032"/>
    <s v="CLINICA DE HERIDAS                                "/>
    <x v="2"/>
    <x v="2"/>
    <s v="XD000447"/>
    <s v="BOLSA DE COLOSTOMIA NATURA 57MM REF 416420-411804"/>
    <s v=""/>
    <s v=""/>
    <s v="006"/>
    <s v="Unidad"/>
    <s v=""/>
    <n v="1"/>
    <n v="15864.732647058823"/>
    <n v="15864.73264705882"/>
  </r>
  <r>
    <s v="001"/>
    <s v="FARMACIA CENTRAL      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03"/>
    <s v="CARRO  DE PARO RECUPERACION HEMODINAMIA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04"/>
    <s v="CARRO DE PARO RADIOLOGIA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09"/>
    <s v="CARRO DE PARO URGENCIAS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10"/>
    <s v="STOCK TERAPIA URGENCIAS       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14"/>
    <s v="CARRO DE PARO CARDIOLOGIA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15"/>
    <s v="CARRO DE PARO HEMODINAMIA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17"/>
    <s v="CARRO DE PARO UCI     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18"/>
    <s v="STOCK  FISIOTERAPIA UCI  1             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20"/>
    <s v="STOCK FISIOTERAPIA UCI 2           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22"/>
    <s v="CARRO DE PARO DE CIRUGIA 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25"/>
    <s v="CARRO DE PARO GASTROENTEROLOGÌA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26"/>
    <s v="CARRO DE PARO TERCER PISO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29"/>
    <s v="CARRO DE PARO CUARTO PISO                         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57"/>
    <s v="CARRO DE PARO UCI 2"/>
    <x v="2"/>
    <x v="2"/>
    <s v="XT000025"/>
    <s v="SISTEMA DE SUCCION Y RECOLECCION DE FLUIDOS LINER 1000 ML "/>
    <s v=""/>
    <s v=""/>
    <s v="006"/>
    <s v="Unidad"/>
    <s v=""/>
    <n v="1"/>
    <n v="16281.163333333334"/>
    <n v="16281.16333333333"/>
  </r>
  <r>
    <s v="002"/>
    <s v="FARMACIA DE CIRUGIA                               "/>
    <x v="2"/>
    <x v="2"/>
    <s v="XD000016"/>
    <s v="BOLSA PARA UROSTOMIA CON VALVULA ACCUSEAL NATURA 57 MM 401545-404594"/>
    <s v=""/>
    <s v=""/>
    <s v="006"/>
    <s v="Unidad"/>
    <s v=""/>
    <n v="1"/>
    <n v="16326"/>
    <n v="16326"/>
  </r>
  <r>
    <s v="053"/>
    <s v="CARRO DE PARO CRITICO QUIROGA"/>
    <x v="0"/>
    <x v="0"/>
    <s v="19917356-04"/>
    <s v="PROPOFOL 1% Emulsión inyectable 20 ml"/>
    <s v=""/>
    <s v=""/>
    <s v=""/>
    <s v=""/>
    <s v="200mg/20ml"/>
    <n v="1"/>
    <n v="17745.580869565216"/>
    <n v="17745.580869565219"/>
  </r>
  <r>
    <s v="002"/>
    <s v="FARMACIA DE CIRUGIA                               "/>
    <x v="0"/>
    <x v="0"/>
    <s v="39227-05"/>
    <s v="METOPROLOL 5 mg / 5ml Solución Inyectable"/>
    <s v=""/>
    <s v=""/>
    <s v=""/>
    <s v=""/>
    <s v="5 mg / 5ml"/>
    <n v="1"/>
    <n v="17751.05"/>
    <n v="17751.05"/>
  </r>
  <r>
    <s v="053"/>
    <s v="CARRO DE PARO CRITICO QUIROGA"/>
    <x v="0"/>
    <x v="0"/>
    <s v="39227-05"/>
    <s v="METOPROLOL 5 mg / 5ml Solución Inyectable"/>
    <s v=""/>
    <s v=""/>
    <s v=""/>
    <s v=""/>
    <s v="5 mg / 5ml"/>
    <n v="1"/>
    <n v="17751.05"/>
    <n v="17751.05"/>
  </r>
  <r>
    <s v="003"/>
    <s v="CARRO  DE PARO RECUPERACION HEMODINAMIA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04"/>
    <s v="CARRO DE PARO RADIOLOGIA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09"/>
    <s v="CARRO DE PARO URGENCIAS  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14"/>
    <s v="CARRO DE PARO CARDIOLOGIA   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15"/>
    <s v="CARRO DE PARO HEMODINAMIA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17"/>
    <s v="CARRO DE PARO UCI        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22"/>
    <s v="CARRO DE PARO DE CIRUGIA 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25"/>
    <s v="CARRO DE PARO GASTROENTEROLOGÌA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26"/>
    <s v="CARRO DE PARO TERCER PISO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29"/>
    <s v="CARRO DE PARO CUARTO PISO                         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53"/>
    <s v="CARRO DE PARO CRITICO QUIROGA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57"/>
    <s v="CARRO DE PARO UCI 2"/>
    <x v="0"/>
    <x v="0"/>
    <s v="20004699-01"/>
    <s v="LABETALOL 100 mg / 20 ml Solución Inyectable"/>
    <s v=""/>
    <s v=""/>
    <s v=""/>
    <s v=""/>
    <s v="100 mg / 20 ml"/>
    <n v="1"/>
    <n v="18361.839391304347"/>
    <n v="18361.839391304351"/>
  </r>
  <r>
    <s v="001"/>
    <s v="FARMACIA CENTRAL                                  "/>
    <x v="0"/>
    <x v="0"/>
    <s v="20069787-01"/>
    <s v="NALOXONA CLORHIDRATO 0.4 mg / 1 ml Solución Inyectable"/>
    <s v=""/>
    <s v=""/>
    <s v=""/>
    <s v=""/>
    <s v="0.4 mg /1 ml"/>
    <n v="1"/>
    <n v="18650"/>
    <n v="18650"/>
  </r>
  <r>
    <s v="002"/>
    <s v="FARMACIA DE CIRUGIA                               "/>
    <x v="0"/>
    <x v="0"/>
    <s v="20069787-01"/>
    <s v="NALOXONA CLORHIDRATO 0.4 mg / 1 ml Solución Inyectable"/>
    <s v=""/>
    <s v=""/>
    <s v=""/>
    <s v=""/>
    <s v="0.4 mg /1 ml"/>
    <n v="1"/>
    <n v="18650"/>
    <n v="18650"/>
  </r>
  <r>
    <s v="004"/>
    <s v="CARRO DE PARO RADIOLOGIA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09"/>
    <s v="CARRO DE PARO URGENCIAS        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17"/>
    <s v="CARRO DE PARO UCI              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19"/>
    <s v="CARRO DE PARO UCI 1/2          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25"/>
    <s v="CARRO DE PARO GASTROENTEROLOGÌA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26"/>
    <s v="CARRO DE PARO TERCER PISO      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29"/>
    <s v="CARRO DE PARO CUARTO PISO                         "/>
    <x v="0"/>
    <x v="0"/>
    <s v="20087310-01"/>
    <s v="NITROGLICERINA / DEXTROSA 0.2 mg / ml + 5% Solución inyectable 250 ml "/>
    <s v=""/>
    <s v=""/>
    <s v=""/>
    <s v=""/>
    <s v="50MG"/>
    <n v="1"/>
    <n v="18750"/>
    <n v="18750"/>
  </r>
  <r>
    <s v="001"/>
    <s v="FARMACIA CENTRAL                                  "/>
    <x v="8"/>
    <x v="8"/>
    <s v="36241-06"/>
    <s v="HEPARINA DE BAJO PESO MOLECULAR 40 mg / 0.4 ml Solución Inyectable "/>
    <s v=""/>
    <s v=""/>
    <s v=""/>
    <s v=""/>
    <s v="40 mg / 0.4 "/>
    <n v="1"/>
    <n v="19248.02"/>
    <n v="19248.02"/>
  </r>
  <r>
    <s v="002"/>
    <s v="FARMACIA DE CIRUGIA                               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03"/>
    <s v="CARRO  DE PARO RECUPERACION HEMODINAMIA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04"/>
    <s v="CARRO DE PARO RADIOLOGIA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14"/>
    <s v="CARRO DE PARO CARDIOLOGIA                            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15"/>
    <s v="CARRO DE PARO HEMODINAMIA                     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57"/>
    <s v="CARRO DE PARO UCI 2"/>
    <x v="0"/>
    <x v="0"/>
    <s v="20087310-02"/>
    <s v="NITROGLICERINA / DEXTROSA 0.2 mg / ml + 5% Solución inyectable 250 ml "/>
    <s v=""/>
    <s v=""/>
    <s v=""/>
    <s v=""/>
    <s v="50MG"/>
    <n v="1"/>
    <n v="19420.206499999997"/>
    <n v="19420.2065"/>
  </r>
  <r>
    <s v="025"/>
    <s v="CARRO DE PARO GASTROENTEROLOGÌA                   "/>
    <x v="2"/>
    <x v="2"/>
    <s v="XD000148"/>
    <s v="SONDA SILICONADA NASOGASTRICA 16 FR"/>
    <s v=""/>
    <s v=""/>
    <s v="006"/>
    <s v="Unidad"/>
    <s v=""/>
    <n v="1"/>
    <n v="20000"/>
    <n v="20000"/>
  </r>
  <r>
    <s v="053"/>
    <s v="CARRO DE PARO CRITICO QUIROGA"/>
    <x v="2"/>
    <x v="2"/>
    <s v="XD000148"/>
    <s v="SONDA SILICONADA NASOGASTRICA 16 FR"/>
    <s v=""/>
    <s v=""/>
    <s v="006"/>
    <s v="Unidad"/>
    <s v=""/>
    <n v="1"/>
    <n v="20000"/>
    <n v="20000"/>
  </r>
  <r>
    <s v="003"/>
    <s v="CARRO  DE PARO RECUPERACION HEMODINAMIA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09"/>
    <s v="CARRO DE PARO URGENCIAS                           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15"/>
    <s v="CARRO DE PARO HEMODINAMIA                     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22"/>
    <s v="CARRO DE PARO DE CIRUGIA                          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25"/>
    <s v="CARRO DE PARO GASTROENTEROLOGÌA                   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31"/>
    <s v="STOCK CUARTO OCCIDENTE                            "/>
    <x v="1"/>
    <x v="1"/>
    <s v="AM000223"/>
    <s v="MASCARA LARINGEA DESECHABLE 1.0 A 5.0"/>
    <s v=""/>
    <s v=""/>
    <s v="006"/>
    <s v="Unidad"/>
    <s v=""/>
    <n v="1"/>
    <n v="20138.673076923078"/>
    <n v="20138.673076923082"/>
  </r>
  <r>
    <s v="008"/>
    <s v="ALMACEN  GENERAL                                         "/>
    <x v="7"/>
    <x v="7"/>
    <s v="AA000111"/>
    <s v="ACEITE MINERAL"/>
    <s v=""/>
    <s v=""/>
    <s v="006"/>
    <s v="Unidad"/>
    <s v=""/>
    <n v="1"/>
    <n v="21897.47"/>
    <n v="21897.47"/>
  </r>
  <r>
    <s v="001"/>
    <s v="FARMACIA CENTRAL                                  "/>
    <x v="2"/>
    <x v="2"/>
    <s v="XO000019"/>
    <s v="INMOVILIZADOR HOMBRO M GRIS  BANDA"/>
    <s v=""/>
    <s v=""/>
    <s v="006"/>
    <s v="Unidad"/>
    <s v=""/>
    <n v="1"/>
    <n v="21998.666666666668"/>
    <n v="21998.666666666672"/>
  </r>
  <r>
    <s v="003"/>
    <s v="CARRO  DE PARO RECUPERACION HEMODINAMIA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09"/>
    <s v="CARRO DE PARO URGENCIAS  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14"/>
    <s v="CARRO DE PARO CARDIOLOGIA   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15"/>
    <s v="CARRO DE PARO HEMODINAMIA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17"/>
    <s v="CARRO DE PARO UCI        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19"/>
    <s v="CARRO DE PARO UCI 1/2    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22"/>
    <s v="CARRO DE PARO DE CIRUGIA 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25"/>
    <s v="CARRO DE PARO GASTROENTEROLOGÌA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26"/>
    <s v="CARRO DE PARO TERCER PISO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29"/>
    <s v="CARRO DE PARO CUARTO PISO                         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53"/>
    <s v="CARRO DE PARO CRITICO QUIROGA"/>
    <x v="0"/>
    <x v="0"/>
    <s v="50709-02"/>
    <s v="LIDOCAINA BASE 10 g  Solución Tópica en Aerosol "/>
    <s v=""/>
    <s v=""/>
    <s v=""/>
    <s v=""/>
    <s v="10 g"/>
    <n v="1"/>
    <n v="22077.166666666668"/>
    <n v="22077.166666666672"/>
  </r>
  <r>
    <s v="033"/>
    <s v="TERAPIA GENERAL"/>
    <x v="0"/>
    <x v="0"/>
    <s v="1980804-02"/>
    <s v="BROMURO DE IPRATROPIO 0.25 mg / ml Soluciónpara Nebulizar"/>
    <s v=""/>
    <s v=""/>
    <s v=""/>
    <s v=""/>
    <s v="15 ml"/>
    <n v="1"/>
    <n v="22303.329230769228"/>
    <n v="22303.329230769232"/>
  </r>
  <r>
    <s v="002"/>
    <s v="FARMACIA DE CIRUGIA                               "/>
    <x v="2"/>
    <x v="2"/>
    <s v="XS000037"/>
    <s v="POLIDIOXANONA SUTURA PDS 5-0  RB-1 REF PX285017 -Z320(DEMEDIOX) X 1"/>
    <s v=""/>
    <s v=""/>
    <s v="006"/>
    <s v="Unidad"/>
    <s v=""/>
    <n v="1"/>
    <n v="22724.23"/>
    <n v="22724.23"/>
  </r>
  <r>
    <s v="033"/>
    <s v="TERAPIA GENERAL"/>
    <x v="0"/>
    <x v="0"/>
    <s v="218170-02"/>
    <s v="LIDOCAINA HCL CON EPINEFRINA 2% Solución Inyectable Vial 20mL"/>
    <s v=""/>
    <s v=""/>
    <s v=""/>
    <s v=""/>
    <s v="2% - 20 ml"/>
    <n v="1"/>
    <n v="22789"/>
    <n v="22789"/>
  </r>
  <r>
    <s v="033"/>
    <s v="TERAPIA GENERAL"/>
    <x v="0"/>
    <x v="0"/>
    <s v="218168-04"/>
    <s v="LIDOCAINA HCL CON EPINEFRINA 1%  Solución Inyectable Vial 20 mL"/>
    <s v=""/>
    <s v=""/>
    <s v=""/>
    <s v=""/>
    <s v="1% 20 ml"/>
    <n v="1"/>
    <n v="22993.14"/>
    <n v="22993.14"/>
  </r>
  <r>
    <s v="002"/>
    <s v="FARMACIA DE CIRUGIA                               "/>
    <x v="2"/>
    <x v="2"/>
    <s v="XE000005"/>
    <s v="EQUIPO BOMBA FOTOSENSIBLE REF. 14007"/>
    <s v=""/>
    <s v=""/>
    <s v="006"/>
    <s v="Unidad"/>
    <s v=""/>
    <n v="1"/>
    <n v="26231.993161764709"/>
    <n v="26231.993161764709"/>
  </r>
  <r>
    <s v="034"/>
    <s v="TERAPIA UCI"/>
    <x v="2"/>
    <x v="2"/>
    <s v="XE000005"/>
    <s v="EQUIPO BOMBA FOTOSENSIBLE REF. 14007"/>
    <s v=""/>
    <s v=""/>
    <s v="006"/>
    <s v="Unidad"/>
    <s v=""/>
    <n v="1"/>
    <n v="26231.993161764709"/>
    <n v="26231.993161764709"/>
  </r>
  <r>
    <s v="032"/>
    <s v="CLINICA DE HERIDAS                                "/>
    <x v="2"/>
    <x v="2"/>
    <s v="XD000008"/>
    <s v="BARRERA DE COLOSTOMIA Y   MOLDEABLE CONVEXA NATURA DE 57 MM REF 404594-401545"/>
    <s v=""/>
    <s v=""/>
    <s v="006"/>
    <s v="Unidad"/>
    <s v=""/>
    <n v="1"/>
    <n v="26450"/>
    <n v="26450"/>
  </r>
  <r>
    <s v="002"/>
    <s v="FARMACIA DE CIRUGIA                               "/>
    <x v="0"/>
    <x v="0"/>
    <s v="20189657-1"/>
    <s v="AZUL DE METILENO 10 mg / ml Solución Inyectable  "/>
    <s v=""/>
    <s v=""/>
    <s v=""/>
    <s v=""/>
    <s v="10 mg"/>
    <n v="1"/>
    <n v="26826.743333333332"/>
    <n v="26826.743333333328"/>
  </r>
  <r>
    <s v="006"/>
    <s v="ALMACEN MEDICOQUIRURGICOS   "/>
    <x v="2"/>
    <x v="2"/>
    <s v="XO000033"/>
    <s v="BRACE DE TOBILLO ABIERTA TALLA XL"/>
    <s v=""/>
    <s v=""/>
    <s v="006"/>
    <s v="Unidad"/>
    <s v=""/>
    <n v="1"/>
    <n v="28000"/>
    <n v="28000"/>
  </r>
  <r>
    <s v="002"/>
    <s v="FARMACIA DE CIRUGIA                               "/>
    <x v="2"/>
    <x v="2"/>
    <s v="XT000008"/>
    <s v="CANULA PARA TRAQUEOTOMIA #8.0 X 1 PORTEX"/>
    <s v=""/>
    <s v=""/>
    <s v="006"/>
    <s v="Unidad"/>
    <s v=""/>
    <n v="1"/>
    <n v="28220.3"/>
    <n v="28220.3"/>
  </r>
  <r>
    <s v="032"/>
    <s v="CLINICA DE HERIDAS                                "/>
    <x v="2"/>
    <x v="2"/>
    <s v="XA000003"/>
    <s v="APOSITO CON FORMULA DE GEL CONTROLADA DUO DERM APOSITO 10X10  CGF   APOSITOS"/>
    <s v=""/>
    <s v=""/>
    <s v="006"/>
    <s v="Unidad"/>
    <s v=""/>
    <n v="1"/>
    <n v="28816.730454545454"/>
    <n v="28816.73045454545"/>
  </r>
  <r>
    <s v="005"/>
    <s v="ALMACEN MEDICAMENTOS"/>
    <x v="4"/>
    <x v="4"/>
    <s v="20098490-1"/>
    <s v="LEVETIRACETAM 100 mg / ml Solución oral x 300 ml"/>
    <s v=""/>
    <s v=""/>
    <s v=""/>
    <s v=""/>
    <s v="100 mg / ml  - 300 ml"/>
    <n v="1"/>
    <n v="29002.833333333332"/>
    <n v="29002.833333333328"/>
  </r>
  <r>
    <s v="032"/>
    <s v="CLINICA DE HERIDAS                                "/>
    <x v="2"/>
    <x v="2"/>
    <s v="XD000314"/>
    <s v="BOLSA DRENABLE DE OSTOMIA ESTEEM 100MM REF 416908"/>
    <s v=""/>
    <s v=""/>
    <s v="006"/>
    <s v="Unidad"/>
    <s v=""/>
    <n v="1"/>
    <n v="29199.5"/>
    <n v="29199.5"/>
  </r>
  <r>
    <s v="001"/>
    <s v="FARMACIA CENTRAL                                  "/>
    <x v="2"/>
    <x v="2"/>
    <s v="XA000032"/>
    <s v="ESPONJA QUIRURGICA ESTERIL CON TUBO-400410"/>
    <s v=""/>
    <s v=""/>
    <s v="006"/>
    <s v="Unidad"/>
    <s v=""/>
    <n v="1"/>
    <n v="29465"/>
    <n v="29465"/>
  </r>
  <r>
    <s v="008"/>
    <s v="ALMACEN  GENERAL                                         "/>
    <x v="9"/>
    <x v="9"/>
    <s v="AM000318"/>
    <s v="BRAZALETE REUSABLE 1 VIA INFANTE  REF C6511"/>
    <s v=""/>
    <s v=""/>
    <s v="006"/>
    <s v="Unidad"/>
    <s v=""/>
    <n v="1"/>
    <n v="29750"/>
    <n v="29750"/>
  </r>
  <r>
    <s v="008"/>
    <s v="ALMACEN  GENERAL                                         "/>
    <x v="9"/>
    <x v="9"/>
    <s v="AM000320"/>
    <s v="BRAZALETE REUSABLE 2 VIAS INFANTE REF C6521"/>
    <s v=""/>
    <s v=""/>
    <s v="006"/>
    <s v="Unidad"/>
    <s v=""/>
    <n v="1"/>
    <n v="29750"/>
    <n v="29750"/>
  </r>
  <r>
    <s v="008"/>
    <s v="ALMACEN  GENERAL                                         "/>
    <x v="9"/>
    <x v="9"/>
    <s v="AM000321"/>
    <s v="BRAZALETE REUSABLE 2 VIAS PEDIATRICO REF C6621"/>
    <s v=""/>
    <s v=""/>
    <s v="006"/>
    <s v="Unidad"/>
    <s v=""/>
    <n v="1"/>
    <n v="29750"/>
    <n v="29750"/>
  </r>
  <r>
    <s v="032"/>
    <s v="CLINICA DE HERIDAS                                "/>
    <x v="2"/>
    <x v="2"/>
    <s v="XD000448"/>
    <s v="BARRERA COLOSTOMIA NUTURA MOLDEABLE FLEXIBLE 57MM REF 411804-416420"/>
    <s v=""/>
    <s v=""/>
    <s v="006"/>
    <s v="Unidad"/>
    <s v=""/>
    <n v="1"/>
    <n v="30601.716744186044"/>
    <n v="30601.716744186051"/>
  </r>
  <r>
    <s v="032"/>
    <s v="CLINICA DE HERIDAS                                "/>
    <x v="2"/>
    <x v="2"/>
    <s v="XA000078"/>
    <s v="EXTRACTO ACUOSO DE TRITICUM VULGARE 15 %  FITOSTIMOLINE CREMA X 32 GRAMOS"/>
    <s v=""/>
    <s v=""/>
    <s v="006"/>
    <s v="Unidad"/>
    <s v=""/>
    <n v="1"/>
    <n v="31856.218620689655"/>
    <n v="31856.218620689659"/>
  </r>
  <r>
    <s v="008"/>
    <s v="ALMACEN  GENERAL                                         "/>
    <x v="5"/>
    <x v="5"/>
    <s v="AP000155"/>
    <s v="COSEDORA INDUSTRIAL DE 100 HOJAS"/>
    <s v=""/>
    <s v=""/>
    <s v="006"/>
    <s v="Unidad"/>
    <s v=""/>
    <n v="1"/>
    <n v="32500"/>
    <n v="32500"/>
  </r>
  <r>
    <s v="001"/>
    <s v="FARMACIA CENTRAL                                  "/>
    <x v="2"/>
    <x v="2"/>
    <s v="XO000032"/>
    <s v="TOBILLERA  ABIERTA TALLA M"/>
    <s v=""/>
    <s v=""/>
    <s v="006"/>
    <s v="Unidad"/>
    <s v=""/>
    <n v="1"/>
    <n v="33250"/>
    <n v="33250"/>
  </r>
  <r>
    <s v="001"/>
    <s v="FARMACIA CENTRAL                                  "/>
    <x v="2"/>
    <x v="2"/>
    <s v="XO000018"/>
    <s v="INMOVILIZADOR HOMBRO L GRIS BANDA"/>
    <s v=""/>
    <s v=""/>
    <s v="006"/>
    <s v="Unidad"/>
    <s v=""/>
    <n v="1"/>
    <n v="33443.181666666671"/>
    <n v="33443.181666666671"/>
  </r>
  <r>
    <s v="021"/>
    <s v="CENTRAL DE ESTERILIZACION                         "/>
    <x v="2"/>
    <x v="2"/>
    <s v="XD000323"/>
    <s v="PIN DE FIJACION EXTERNA STEINMANN 3.2"/>
    <s v=""/>
    <s v=""/>
    <s v="006"/>
    <s v="Unidad"/>
    <s v=""/>
    <n v="1"/>
    <n v="33962"/>
    <n v="33962"/>
  </r>
  <r>
    <s v="015"/>
    <s v="CARRO DE PARO HEMODINAMIA                     "/>
    <x v="0"/>
    <x v="0"/>
    <s v="20032988-01"/>
    <s v="NITROPRUSIATO DE SODIO 50 mg/2ml Solución Inyectable"/>
    <s v=""/>
    <s v=""/>
    <s v=""/>
    <s v=""/>
    <s v="50 MG / 2 ML"/>
    <n v="1"/>
    <n v="35252.121212121208"/>
    <n v="35252.121212121208"/>
  </r>
  <r>
    <s v="017"/>
    <s v="CARRO DE PARO UCI                                 "/>
    <x v="0"/>
    <x v="0"/>
    <s v="20032988-01"/>
    <s v="NITROPRUSIATO DE SODIO 50 mg/2ml Solución Inyectable"/>
    <s v=""/>
    <s v=""/>
    <s v=""/>
    <s v=""/>
    <s v="50 MG / 2 ML"/>
    <n v="1"/>
    <n v="35252.121212121208"/>
    <n v="35252.121212121208"/>
  </r>
  <r>
    <s v="008"/>
    <s v="ALMACEN  GENERAL                                         "/>
    <x v="7"/>
    <x v="7"/>
    <s v="AA000047"/>
    <s v="PETROLATO BLANCO (VASELINA PURA) 100% UNGUENTO TOPICO POTE X"/>
    <s v=""/>
    <s v=""/>
    <s v="006"/>
    <s v="Unidad"/>
    <s v=""/>
    <n v="1"/>
    <n v="39417.769999999997"/>
    <n v="39417.769999999997"/>
  </r>
  <r>
    <s v="001"/>
    <s v="FARMACIA CENTRAL                                  "/>
    <x v="2"/>
    <x v="2"/>
    <s v="XO000054"/>
    <s v="PLANTILLA EN RAMPLA PARA PIE IZQUIERDO O DERECHO"/>
    <s v=""/>
    <s v=""/>
    <s v="006"/>
    <s v="Unidad"/>
    <s v=""/>
    <n v="1"/>
    <n v="40000"/>
    <n v="40000"/>
  </r>
  <r>
    <s v="006"/>
    <s v="ALMACEN MEDICOQUIRURGICOS   "/>
    <x v="2"/>
    <x v="2"/>
    <s v="XO000002"/>
    <s v="BRACE MUNECA DERECHA/IZQUIERDA L "/>
    <s v=""/>
    <s v=""/>
    <s v="006"/>
    <s v="Unidad"/>
    <s v=""/>
    <n v="1"/>
    <n v="40000"/>
    <n v="40000"/>
  </r>
  <r>
    <s v="001"/>
    <s v="FARMACIA CENTRAL                                  "/>
    <x v="0"/>
    <x v="0"/>
    <s v="19943272-01"/>
    <s v="RIFAMICINA 1% Solución Tópica 20 ML"/>
    <s v=""/>
    <s v=""/>
    <s v=""/>
    <s v=""/>
    <s v="1 % - 20 ML"/>
    <n v="1"/>
    <n v="40250"/>
    <n v="40250"/>
  </r>
  <r>
    <s v="032"/>
    <s v="CLINICA DE HERIDAS                                "/>
    <x v="2"/>
    <x v="2"/>
    <s v="XD000167"/>
    <s v="CINTURON PARA EQUIPO DE OSTOMIA REF 1755-07"/>
    <s v=""/>
    <s v=""/>
    <s v="006"/>
    <s v="Unidad"/>
    <s v=""/>
    <n v="1"/>
    <n v="40421.470588235294"/>
    <n v="40421.470588235286"/>
  </r>
  <r>
    <s v="006"/>
    <s v="ALMACEN MEDICOQUIRURGICOS   "/>
    <x v="2"/>
    <x v="2"/>
    <s v="XO000020"/>
    <s v="MEDIA ANTIEMBOLICA  TALLA XXL  PAR MEDIA 3184LF X1"/>
    <s v=""/>
    <s v=""/>
    <s v="006"/>
    <s v="Unidad"/>
    <s v=""/>
    <n v="1"/>
    <n v="40634.75"/>
    <n v="40634.75"/>
  </r>
  <r>
    <s v="006"/>
    <s v="ALMACEN MEDICOQUIRURGICOS   "/>
    <x v="2"/>
    <x v="2"/>
    <s v="XD000317"/>
    <s v="BRACE CON PULGAR EN ADUCCION"/>
    <s v=""/>
    <s v=""/>
    <s v="006"/>
    <s v="Unidad"/>
    <s v=""/>
    <n v="1"/>
    <n v="41618.666666666664"/>
    <n v="41618.666666666672"/>
  </r>
  <r>
    <s v="001"/>
    <s v="FARMACIA CENTRAL                                  "/>
    <x v="2"/>
    <x v="2"/>
    <s v="XO000062"/>
    <s v="TALONERA TIPO TULIS X PAR"/>
    <s v=""/>
    <s v=""/>
    <s v="006"/>
    <s v="Unidad"/>
    <s v=""/>
    <n v="1"/>
    <n v="43499.99"/>
    <n v="43499.99"/>
  </r>
  <r>
    <s v="002"/>
    <s v="FARMACIA DE CIRUGIA                               "/>
    <x v="2"/>
    <x v="2"/>
    <s v="XS000055"/>
    <s v="REMOVEDOR DE GRAPAS APPOSSE CAJA X12 TIJERAS"/>
    <s v=""/>
    <s v=""/>
    <s v="006"/>
    <s v="Unidad"/>
    <s v=""/>
    <n v="1"/>
    <n v="47361.481176470588"/>
    <n v="47361.481176470588"/>
  </r>
  <r>
    <s v="006"/>
    <s v="ALMACEN MEDICOQUIRURGICOS   "/>
    <x v="2"/>
    <x v="2"/>
    <s v="XD000009"/>
    <s v="BARRERA DE COLOSTOMIA Y OSTOMIA LISA PARA  20 X 20 CM"/>
    <s v=""/>
    <s v=""/>
    <s v="006"/>
    <s v="Unidad"/>
    <s v=""/>
    <n v="1"/>
    <n v="47973.5"/>
    <n v="47973.5"/>
  </r>
  <r>
    <s v="032"/>
    <s v="CLINICA DE HERIDAS                                "/>
    <x v="2"/>
    <x v="2"/>
    <s v="XD000009"/>
    <s v="BARRERA DE COLOSTOMIA Y OSTOMIA LISA PARA  20 X 20 CM"/>
    <s v=""/>
    <s v=""/>
    <s v="006"/>
    <s v="Unidad"/>
    <s v=""/>
    <n v="1"/>
    <n v="47973.5"/>
    <n v="47973.5"/>
  </r>
  <r>
    <s v="032"/>
    <s v="CLINICA DE HERIDAS                                "/>
    <x v="2"/>
    <x v="2"/>
    <s v="XD000277"/>
    <s v="POLVO PROTECTOR STOMAHESIVE REF 025510"/>
    <s v=""/>
    <s v=""/>
    <s v="006"/>
    <s v="Unidad"/>
    <s v=""/>
    <n v="1"/>
    <n v="49001.453750000001"/>
    <n v="49001.453750000001"/>
  </r>
  <r>
    <s v="004"/>
    <s v="CARRO DE PARO RADIOLOGIA"/>
    <x v="0"/>
    <x v="0"/>
    <s v="50709-04"/>
    <s v="LIDOCAINA BASE 10 g  Solución Tópica en Aerosol "/>
    <s v=""/>
    <s v=""/>
    <s v=""/>
    <s v=""/>
    <s v="10 g"/>
    <n v="1"/>
    <n v="49479.839999999997"/>
    <n v="49479.839999999997"/>
  </r>
  <r>
    <s v="001"/>
    <s v="FARMACIA CENTRAL                                  "/>
    <x v="4"/>
    <x v="4"/>
    <s v="21534-01"/>
    <s v="CICLOFOSFAMIDA 500 mg Polvo para reconstituir a solución inyectable"/>
    <s v=""/>
    <s v=""/>
    <s v=""/>
    <s v=""/>
    <s v="500 mg"/>
    <n v="1"/>
    <n v="49643"/>
    <n v="49643"/>
  </r>
  <r>
    <s v="001"/>
    <s v="FARMACIA CENTRAL                                  "/>
    <x v="2"/>
    <x v="2"/>
    <s v="XJ000009"/>
    <s v="JERINGA DESECHABLE 100ML 3P S/A INYECTOR RX NEMO"/>
    <s v=""/>
    <s v=""/>
    <s v="006"/>
    <s v="Unidad"/>
    <s v=""/>
    <n v="1"/>
    <n v="50605.866129032256"/>
    <n v="50605.866129032263"/>
  </r>
  <r>
    <s v="001"/>
    <s v="FARMACIA CENTRAL                                  "/>
    <x v="2"/>
    <x v="2"/>
    <s v="XA000108"/>
    <s v="HIDROGEL PARA HERIDAS CON RIGENASE Y POLIHEXANIDA TUBO 20 G "/>
    <s v=""/>
    <s v=""/>
    <s v="006"/>
    <s v="Unidad"/>
    <s v=""/>
    <n v="1"/>
    <n v="51799.040000000001"/>
    <n v="51799.040000000001"/>
  </r>
  <r>
    <s v="032"/>
    <s v="CLINICA DE HERIDAS                                "/>
    <x v="2"/>
    <x v="2"/>
    <s v="XA000108"/>
    <s v="HIDROGEL PARA HERIDAS CON RIGENASE Y POLIHEXANIDA TUBO 20 G "/>
    <s v=""/>
    <s v=""/>
    <s v="006"/>
    <s v="Unidad"/>
    <s v=""/>
    <n v="1"/>
    <n v="51799.040000000001"/>
    <n v="51799.040000000001"/>
  </r>
  <r>
    <s v="032"/>
    <s v="CLINICA DE HERIDAS                                "/>
    <x v="2"/>
    <x v="2"/>
    <s v="XA000068"/>
    <s v="GEL HIDROACTIVO DUODERM"/>
    <s v=""/>
    <s v=""/>
    <s v="006"/>
    <s v="Unidad"/>
    <s v=""/>
    <n v="1"/>
    <n v="52195.93"/>
    <n v="52195.93"/>
  </r>
  <r>
    <s v="032"/>
    <s v="CLINICA DE HERIDAS                                "/>
    <x v="2"/>
    <x v="2"/>
    <s v="XA000079"/>
    <s v="BARRERA CUTANEA NO IRRITANTE SPRAY 50 ML SENSI CARE"/>
    <s v=""/>
    <s v=""/>
    <s v="006"/>
    <s v="Unidad"/>
    <s v=""/>
    <n v="1"/>
    <n v="53196.71"/>
    <n v="53196.71"/>
  </r>
  <r>
    <s v="008"/>
    <s v="ALMACEN  GENERAL                                         "/>
    <x v="1"/>
    <x v="1"/>
    <s v="AM000330"/>
    <s v="GRAMERA DIGITAL CAPACIDAD 50 G"/>
    <s v=""/>
    <s v=""/>
    <s v="006"/>
    <s v="Unidad"/>
    <s v=""/>
    <n v="1"/>
    <n v="54000"/>
    <n v="54000"/>
  </r>
  <r>
    <s v="001"/>
    <s v="FARMACIA CENTRAL                                  "/>
    <x v="2"/>
    <x v="2"/>
    <s v="XD000306"/>
    <s v="BOLSA DE COLOSTOMIA POSOPERATORIA  100 MM   COLOPLAST REF 19021"/>
    <s v=""/>
    <s v=""/>
    <s v="006"/>
    <s v="Unidad"/>
    <s v=""/>
    <n v="1"/>
    <n v="54714"/>
    <n v="54714"/>
  </r>
  <r>
    <s v="032"/>
    <s v="CLINICA DE HERIDAS                                "/>
    <x v="2"/>
    <x v="2"/>
    <s v="XD000306"/>
    <s v="BOLSA DE COLOSTOMIA POSOPERATORIA  100 MM   COLOPLAST REF 19021"/>
    <s v=""/>
    <s v=""/>
    <s v="006"/>
    <s v="Unidad"/>
    <s v=""/>
    <n v="1"/>
    <n v="54714"/>
    <n v="54714"/>
  </r>
  <r>
    <s v="008"/>
    <s v="ALMACEN  GENERAL                                         "/>
    <x v="10"/>
    <x v="10"/>
    <s v="AD000003"/>
    <s v="UNIFORME COLOR PASTRANA 148-1"/>
    <s v=""/>
    <s v=""/>
    <s v="006"/>
    <s v="Unidad"/>
    <s v=""/>
    <n v="1"/>
    <n v="54970"/>
    <n v="54970"/>
  </r>
  <r>
    <s v="001"/>
    <s v="FARMACIA CENTRAL                                  "/>
    <x v="2"/>
    <x v="2"/>
    <s v="XO000036"/>
    <s v="FAJA LUMBAR TIPO CAMP TALLA S"/>
    <s v=""/>
    <s v=""/>
    <s v="006"/>
    <s v="Unidad"/>
    <s v=""/>
    <n v="1"/>
    <n v="55000"/>
    <n v="55000"/>
  </r>
  <r>
    <s v="006"/>
    <s v="ALMACEN MEDICOQUIRURGICOS   "/>
    <x v="2"/>
    <x v="2"/>
    <s v="XO000036"/>
    <s v="FAJA LUMBAR TIPO CAMP TALLA S"/>
    <s v=""/>
    <s v=""/>
    <s v="006"/>
    <s v="Unidad"/>
    <s v=""/>
    <n v="1"/>
    <n v="55000"/>
    <n v="55000"/>
  </r>
  <r>
    <s v="002"/>
    <s v="FARMACIA DE CIRUGIA                               "/>
    <x v="4"/>
    <x v="4"/>
    <s v="20044623-01"/>
    <s v="FLUMAZENIL 0.5mg/5ml Solución Inyectable "/>
    <s v=""/>
    <s v=""/>
    <s v=""/>
    <s v=""/>
    <s v="5ml"/>
    <n v="1"/>
    <n v="61690.46"/>
    <n v="61690.46"/>
  </r>
  <r>
    <s v="006"/>
    <s v="ALMACEN MEDICOQUIRURGICOS   "/>
    <x v="2"/>
    <x v="2"/>
    <s v="XA000089"/>
    <s v="VENDAJE PARA CICATRIZACION CON MEDICAMENTO EXUFIBER AG 10x12 REF 603422"/>
    <s v=""/>
    <s v=""/>
    <s v="006"/>
    <s v="Unidad"/>
    <s v=""/>
    <n v="1"/>
    <n v="61816.666666666664"/>
    <n v="61816.666666666672"/>
  </r>
  <r>
    <s v="006"/>
    <s v="ALMACEN MEDICOQUIRURGICOS   "/>
    <x v="2"/>
    <x v="2"/>
    <s v="XS000092"/>
    <s v="SUTURA NO ABSORBIBLEETHILON 9/0-2813-BV 130-4 (2808) X1 DOCENA"/>
    <s v=""/>
    <s v=""/>
    <s v="006"/>
    <s v="Unidad"/>
    <s v=""/>
    <n v="1"/>
    <n v="62044.190476190473"/>
    <n v="62044.190476190481"/>
  </r>
  <r>
    <s v="008"/>
    <s v="ALMACEN  GENERAL                                         "/>
    <x v="1"/>
    <x v="1"/>
    <s v="AM000362"/>
    <s v="PAQUETE EN LONA CERVICALES 60X17"/>
    <s v=""/>
    <s v=""/>
    <s v="006"/>
    <s v="Unidad"/>
    <s v=""/>
    <n v="1"/>
    <n v="63000"/>
    <n v="63000"/>
  </r>
  <r>
    <s v="032"/>
    <s v="CLINICA DE HERIDAS                                "/>
    <x v="2"/>
    <x v="2"/>
    <s v="XD000283"/>
    <s v="PASTA PROTECTORA CUTANEA Y RELLENO STOMAHESIVE RE3F 183910"/>
    <s v=""/>
    <s v=""/>
    <s v="006"/>
    <s v="Unidad"/>
    <s v=""/>
    <n v="1"/>
    <n v="64922.14875"/>
    <n v="64922.14875"/>
  </r>
  <r>
    <s v="008"/>
    <s v="ALMACEN  GENERAL                                         "/>
    <x v="5"/>
    <x v="5"/>
    <s v="AP000052"/>
    <s v="CARTUCHO IMPRESORA HP662XL NEGRO- COLOR"/>
    <s v=""/>
    <s v=""/>
    <s v="006"/>
    <s v="Unidad"/>
    <s v=""/>
    <n v="1"/>
    <n v="67600"/>
    <n v="67600"/>
  </r>
  <r>
    <s v="002"/>
    <s v="FARMACIA DE CIRUGIA                               "/>
    <x v="2"/>
    <x v="2"/>
    <s v="XD000047"/>
    <s v="EXO-VAC 3/16 -4.8MM-CAJA *10 UNIDADES"/>
    <s v=""/>
    <s v=""/>
    <s v="006"/>
    <s v="Unidad"/>
    <s v=""/>
    <n v="1"/>
    <n v="68058.47"/>
    <n v="68058.47"/>
  </r>
  <r>
    <s v="001"/>
    <s v="FARMACIA CENTRAL                                  "/>
    <x v="2"/>
    <x v="2"/>
    <s v="XO000051"/>
    <s v="KIT DE TRACCION CUTANEA PARA FEMUR O CADERA"/>
    <s v=""/>
    <s v=""/>
    <s v="006"/>
    <s v="Unidad"/>
    <s v=""/>
    <n v="1"/>
    <n v="75950"/>
    <n v="75950"/>
  </r>
  <r>
    <s v="004"/>
    <s v="CARRO DE PARO RADIOLOGIA"/>
    <x v="1"/>
    <x v="1"/>
    <s v="AM000207"/>
    <s v="MASCARA LARINGEA  REUSABLE  No. 4 y 5"/>
    <s v=""/>
    <s v=""/>
    <s v="006"/>
    <s v="Unidad"/>
    <s v=""/>
    <n v="1"/>
    <n v="76942.326774193556"/>
    <n v="76942.326774193556"/>
  </r>
  <r>
    <s v="014"/>
    <s v="CARRO DE PARO CARDIOLOGIA                            "/>
    <x v="1"/>
    <x v="1"/>
    <s v="AM000207"/>
    <s v="MASCARA LARINGEA  REUSABLE  No. 4 y 5"/>
    <s v=""/>
    <s v=""/>
    <s v="006"/>
    <s v="Unidad"/>
    <s v=""/>
    <n v="1"/>
    <n v="76942.326774193556"/>
    <n v="76942.326774193556"/>
  </r>
  <r>
    <s v="022"/>
    <s v="CARRO DE PARO DE CIRUGIA                          "/>
    <x v="1"/>
    <x v="1"/>
    <s v="AM000207"/>
    <s v="MASCARA LARINGEA  REUSABLE  No. 4 y 5"/>
    <s v=""/>
    <s v=""/>
    <s v="006"/>
    <s v="Unidad"/>
    <s v=""/>
    <n v="1"/>
    <n v="76942.326774193556"/>
    <n v="76942.326774193556"/>
  </r>
  <r>
    <s v="026"/>
    <s v="CARRO DE PARO TERCER PISO                         "/>
    <x v="1"/>
    <x v="1"/>
    <s v="AM000207"/>
    <s v="MASCARA LARINGEA  REUSABLE  No. 4 y 5"/>
    <s v=""/>
    <s v=""/>
    <s v="006"/>
    <s v="Unidad"/>
    <s v=""/>
    <n v="1"/>
    <n v="76942.326774193556"/>
    <n v="76942.326774193556"/>
  </r>
  <r>
    <s v="053"/>
    <s v="CARRO DE PARO CRITICO QUIROGA"/>
    <x v="1"/>
    <x v="1"/>
    <s v="AM000207"/>
    <s v="MASCARA LARINGEA  REUSABLE  No. 4 y 5"/>
    <s v=""/>
    <s v=""/>
    <s v="006"/>
    <s v="Unidad"/>
    <s v=""/>
    <n v="1"/>
    <n v="76942.326774193556"/>
    <n v="76942.326774193556"/>
  </r>
  <r>
    <s v="006"/>
    <s v="ALMACEN MEDICOQUIRURGICOS   "/>
    <x v="2"/>
    <x v="2"/>
    <s v="XE000019"/>
    <s v="TRANSDUCTOR DE PRESION 5200 DT-4812/6012 SENCILL"/>
    <s v=""/>
    <s v=""/>
    <s v="006"/>
    <s v="Unidad"/>
    <s v=""/>
    <n v="1"/>
    <n v="76993.137647058829"/>
    <n v="76993.137647058815"/>
  </r>
  <r>
    <s v="002"/>
    <s v="FARMACIA DE CIRUGIA                               "/>
    <x v="2"/>
    <x v="2"/>
    <s v="XC000022"/>
    <s v="CATETER VENOSO CENTRAL MONO LUMEN  *5 (04301)"/>
    <s v=""/>
    <s v=""/>
    <s v="006"/>
    <s v="Unidad"/>
    <s v=""/>
    <n v="1"/>
    <n v="78712.004761904755"/>
    <n v="78712.004761904755"/>
  </r>
  <r>
    <s v="008"/>
    <s v="ALMACEN  GENERAL                                         "/>
    <x v="1"/>
    <x v="1"/>
    <s v="AM000234"/>
    <s v="PAPEL CREPADO 60 GR (60CMX100MTS) REF PECR002"/>
    <s v=""/>
    <s v=""/>
    <s v="006"/>
    <s v="Unidad"/>
    <s v=""/>
    <n v="1"/>
    <n v="80906.460000000006"/>
    <n v="80906.460000000006"/>
  </r>
  <r>
    <s v="006"/>
    <s v="ALMACEN MEDICOQUIRURGICOS   "/>
    <x v="2"/>
    <x v="2"/>
    <s v="XA000069"/>
    <s v="APOSITO HIDRATANTE PARA HERIDAS DERMICAS CON ALGINATO"/>
    <s v=""/>
    <s v=""/>
    <s v="006"/>
    <s v="Unidad"/>
    <s v=""/>
    <n v="1"/>
    <n v="84561.285714285725"/>
    <n v="84561.28571428571"/>
  </r>
  <r>
    <s v="032"/>
    <s v="CLINICA DE HERIDAS                                "/>
    <x v="2"/>
    <x v="2"/>
    <s v="XA000069"/>
    <s v="APOSITO HIDRATANTE PARA HERIDAS DERMICAS CON ALGINATO"/>
    <s v=""/>
    <s v=""/>
    <s v="006"/>
    <s v="Unidad"/>
    <s v=""/>
    <n v="1"/>
    <n v="84561.285714285725"/>
    <n v="84561.28571428571"/>
  </r>
  <r>
    <s v="001"/>
    <s v="FARMACIA CENTRAL                                  "/>
    <x v="2"/>
    <x v="2"/>
    <s v="XO000037"/>
    <s v="FAJA LUMBAR TIPO CAMP TALLA L"/>
    <s v=""/>
    <s v=""/>
    <s v="006"/>
    <s v="Unidad"/>
    <s v=""/>
    <n v="1"/>
    <n v="85000.09"/>
    <n v="85000.09"/>
  </r>
  <r>
    <s v="006"/>
    <s v="ALMACEN MEDICOQUIRURGICOS   "/>
    <x v="2"/>
    <x v="2"/>
    <s v="XO000037"/>
    <s v="FAJA LUMBAR TIPO CAMP TALLA L"/>
    <s v=""/>
    <s v=""/>
    <s v="006"/>
    <s v="Unidad"/>
    <s v=""/>
    <n v="1"/>
    <n v="85000.09"/>
    <n v="85000.09"/>
  </r>
  <r>
    <s v="001"/>
    <s v="FARMACIA CENTRAL                                  "/>
    <x v="2"/>
    <x v="2"/>
    <s v="XO000024"/>
    <s v="MULETA AXILANTE PAR PARA MARCHA"/>
    <s v=""/>
    <s v=""/>
    <s v="006"/>
    <s v="Unidad"/>
    <s v=""/>
    <n v="1"/>
    <n v="88039.510000000009"/>
    <n v="88039.51"/>
  </r>
  <r>
    <s v="057"/>
    <s v="CARRO DE PARO UCI 2"/>
    <x v="0"/>
    <x v="0"/>
    <s v="19936614-02"/>
    <s v="VECURONIO BROMURO 10 mg Polvo para reconstituir a solución inyectable"/>
    <s v=""/>
    <s v=""/>
    <s v=""/>
    <s v=""/>
    <s v="10 mg"/>
    <n v="1"/>
    <n v="89770.6"/>
    <n v="89770.6"/>
  </r>
  <r>
    <s v="002"/>
    <s v="FARMACIA DE CIRUGIA                               "/>
    <x v="4"/>
    <x v="4"/>
    <s v="22542-09"/>
    <s v="IOHEXOL 300 mg de Iodo Solución inyectable x 100 ml- OMNIPAQUE 300"/>
    <s v=""/>
    <s v=""/>
    <s v=""/>
    <s v=""/>
    <s v="300MG-100ML"/>
    <n v="1"/>
    <n v="92812.845025641014"/>
    <n v="92812.845025641043"/>
  </r>
  <r>
    <s v="001"/>
    <s v="FARMACIA CENTRAL                                  "/>
    <x v="2"/>
    <x v="2"/>
    <s v="XT000065"/>
    <s v="INTERCAMBIADORES DE TUBOS ADULTOS 14 FR"/>
    <s v=""/>
    <s v=""/>
    <s v="006"/>
    <s v="Unidad"/>
    <s v=""/>
    <n v="1"/>
    <n v="93891.305714285714"/>
    <n v="93891.305714285714"/>
  </r>
  <r>
    <s v="004"/>
    <s v="CARRO DE PARO RADIOLOGIA"/>
    <x v="2"/>
    <x v="2"/>
    <s v="XT000065"/>
    <s v="INTERCAMBIADORES DE TUBOS ADULTOS 14 FR"/>
    <s v=""/>
    <s v=""/>
    <s v="006"/>
    <s v="Unidad"/>
    <s v=""/>
    <n v="1"/>
    <n v="93891.305714285714"/>
    <n v="93891.305714285714"/>
  </r>
  <r>
    <s v="009"/>
    <s v="CARRO DE PARO URGENCIAS                           "/>
    <x v="2"/>
    <x v="2"/>
    <s v="XT000065"/>
    <s v="INTERCAMBIADORES DE TUBOS ADULTOS 14 FR"/>
    <s v=""/>
    <s v=""/>
    <s v="006"/>
    <s v="Unidad"/>
    <s v=""/>
    <n v="1"/>
    <n v="93891.305714285714"/>
    <n v="93891.305714285714"/>
  </r>
  <r>
    <s v="019"/>
    <s v="CARRO DE PARO UCI 1/2                             "/>
    <x v="2"/>
    <x v="2"/>
    <s v="XT000065"/>
    <s v="INTERCAMBIADORES DE TUBOS ADULTOS 14 FR"/>
    <s v=""/>
    <s v=""/>
    <s v="006"/>
    <s v="Unidad"/>
    <s v=""/>
    <n v="1"/>
    <n v="93891.305714285714"/>
    <n v="93891.305714285714"/>
  </r>
  <r>
    <s v="022"/>
    <s v="CARRO DE PARO DE CIRUGIA                          "/>
    <x v="2"/>
    <x v="2"/>
    <s v="XT000065"/>
    <s v="INTERCAMBIADORES DE TUBOS ADULTOS 14 FR"/>
    <s v=""/>
    <s v=""/>
    <s v="006"/>
    <s v="Unidad"/>
    <s v=""/>
    <n v="1"/>
    <n v="93891.305714285714"/>
    <n v="93891.305714285714"/>
  </r>
  <r>
    <s v="001"/>
    <s v="FARMACIA CENTRAL                                  "/>
    <x v="2"/>
    <x v="2"/>
    <s v="XD000265"/>
    <s v="INTRODUCTOR PERCUTANEO SWAN 7.0 FR X1"/>
    <s v=""/>
    <s v=""/>
    <s v="006"/>
    <s v="Unidad"/>
    <s v=""/>
    <n v="1"/>
    <n v="95000"/>
    <n v="95000"/>
  </r>
  <r>
    <s v="020"/>
    <s v="STOCK FISIOTERAPIA UCI 2                                     "/>
    <x v="2"/>
    <x v="2"/>
    <s v="XT000068"/>
    <s v="SUJETADOR PARA TUBO ENDOBRONQUEAL  ORAL                                                             "/>
    <s v=""/>
    <s v=""/>
    <s v="006"/>
    <s v="Unidad"/>
    <s v=""/>
    <n v="1"/>
    <n v="100452.13374999999"/>
    <n v="100452.13374999999"/>
  </r>
  <r>
    <s v="008"/>
    <s v="ALMACEN  GENERAL                                         "/>
    <x v="1"/>
    <x v="1"/>
    <s v="AM000014"/>
    <s v="CABLE ECG NIHON KODEN REF TCNK-2509    E032"/>
    <s v=""/>
    <s v=""/>
    <s v="006"/>
    <s v="Unidad"/>
    <s v=""/>
    <n v="1"/>
    <n v="104843"/>
    <n v="104843"/>
  </r>
  <r>
    <s v="002"/>
    <s v="FARMACIA DE CIRUGIA                               "/>
    <x v="2"/>
    <x v="2"/>
    <s v="XA000099"/>
    <s v="VENDAJE PARA CICATRIZACION MEPILEX BORDER POST OP 10X25CM REF 496455"/>
    <s v=""/>
    <s v=""/>
    <s v="006"/>
    <s v="Unidad"/>
    <s v=""/>
    <n v="1"/>
    <n v="110812.81733333333"/>
    <n v="110812.81733333333"/>
  </r>
  <r>
    <s v="007"/>
    <s v="CONSIGNACIÓN CROSSWELL                         "/>
    <x v="2"/>
    <x v="2"/>
    <s v="XA000099"/>
    <s v="VENDAJE PARA CICATRIZACION MEPILEX BORDER POST OP 10X25CM REF 496455"/>
    <s v=""/>
    <s v=""/>
    <s v="006"/>
    <s v="Unidad"/>
    <s v=""/>
    <n v="1"/>
    <n v="110812.81733333333"/>
    <n v="110812.81733333333"/>
  </r>
  <r>
    <s v="006"/>
    <s v="ALMACEN MEDICOQUIRURGICOS   "/>
    <x v="2"/>
    <x v="2"/>
    <s v="XD000070"/>
    <s v="INTRODUCTOR PERCUTANEO DE 4.0 A 6.0 FR PARA CATETER PACEL REF SI-09600"/>
    <s v=""/>
    <s v=""/>
    <s v="006"/>
    <s v="Unidad"/>
    <s v=""/>
    <n v="1"/>
    <n v="113448.33333333333"/>
    <n v="113448.33333333331"/>
  </r>
  <r>
    <s v="002"/>
    <s v="FARMACIA DE CIRUGIA                               "/>
    <x v="2"/>
    <x v="2"/>
    <s v="XD000014"/>
    <s v="BOLSA DRENAJE VENTRICULAR EXTERNO CODMAN 821722/821732"/>
    <s v=""/>
    <s v=""/>
    <s v="006"/>
    <s v="Unidad"/>
    <s v=""/>
    <n v="1"/>
    <n v="116186.63333333333"/>
    <n v="116186.63333333332"/>
  </r>
  <r>
    <s v="018"/>
    <s v="STOCK  FISIOTERAPIA UCI  1                                         "/>
    <x v="2"/>
    <x v="2"/>
    <s v="XT000086"/>
    <s v="FILTRO ESPIRATORIOREF 4-076887   D/X800"/>
    <s v=""/>
    <s v=""/>
    <s v="006"/>
    <s v="Unidad"/>
    <s v=""/>
    <n v="1"/>
    <n v="119623.89538461539"/>
    <n v="119623.89538461537"/>
  </r>
  <r>
    <s v="052"/>
    <s v="CONSIGNACION LM INSTRUMENS S.A"/>
    <x v="1"/>
    <x v="1"/>
    <s v="AM000314"/>
    <s v="CEPILLO DE LIMPIEZA CORTO PARA GASTRO REF MH-507"/>
    <s v=""/>
    <s v=""/>
    <s v="006"/>
    <s v="Unidad"/>
    <s v=""/>
    <n v="1"/>
    <n v="124355"/>
    <n v="124355"/>
  </r>
  <r>
    <s v="001"/>
    <s v="FARMACIA CENTRAL                                  "/>
    <x v="2"/>
    <x v="2"/>
    <s v="XO000055"/>
    <s v="SISTEMA COMPRESION NEUMATICA INTERMITENTE TALLA XL"/>
    <s v=""/>
    <s v=""/>
    <s v="006"/>
    <s v="Unidad"/>
    <s v=""/>
    <n v="1"/>
    <n v="125774.17"/>
    <n v="125774.17"/>
  </r>
  <r>
    <s v="006"/>
    <s v="ALMACEN MEDICOQUIRURGICOS   "/>
    <x v="2"/>
    <x v="2"/>
    <s v="XO000028"/>
    <s v="SISTEMA COMPRESION NEUMATICA INTERMITENTE TALLA S"/>
    <s v=""/>
    <s v=""/>
    <s v="006"/>
    <s v="Unidad"/>
    <s v=""/>
    <n v="1"/>
    <n v="127557.78"/>
    <n v="127557.78"/>
  </r>
  <r>
    <s v="010"/>
    <s v="STOCK TERAPIA URGENCIAS                                   "/>
    <x v="2"/>
    <x v="2"/>
    <s v="XT000094"/>
    <s v="CIRCUITO PARA VENTILADOR ZOLL REF 820-0106-00"/>
    <s v=""/>
    <s v=""/>
    <s v="006"/>
    <s v="Unidad"/>
    <s v=""/>
    <n v="1"/>
    <n v="133108.87142857144"/>
    <n v="133108.87142857144"/>
  </r>
  <r>
    <s v="002"/>
    <s v="FARMACIA DE CIRUGIA                               "/>
    <x v="0"/>
    <x v="0"/>
    <s v="19932754-03"/>
    <s v="SODIO CLORURO 0.9 % Solución Inyectable x 250 ml"/>
    <s v=""/>
    <s v=""/>
    <s v=""/>
    <s v=""/>
    <s v="0.9 % - 250 ML"/>
    <n v="1"/>
    <n v="142511.84"/>
    <n v="142511.84"/>
  </r>
  <r>
    <s v="002"/>
    <s v="FARMACIA DE CIRUGIA                               "/>
    <x v="2"/>
    <x v="2"/>
    <s v="XG000043"/>
    <s v="AGUJA DE BIOPSIA DE MEDULA OSEA  11 GA X 4-6&quot;"/>
    <s v=""/>
    <s v=""/>
    <s v="006"/>
    <s v="Unidad"/>
    <s v=""/>
    <n v="1"/>
    <n v="143990"/>
    <n v="143990"/>
  </r>
  <r>
    <s v="001"/>
    <s v="FARMACIA CENTRAL                                  "/>
    <x v="2"/>
    <x v="2"/>
    <s v="XG000046"/>
    <s v="AGUJA BIOPSIA TRUCUT 16GX16CM -2N2702X "/>
    <s v=""/>
    <s v=""/>
    <s v="006"/>
    <s v="Unidad"/>
    <s v=""/>
    <n v="1"/>
    <n v="148750"/>
    <n v="148750"/>
  </r>
  <r>
    <s v="006"/>
    <s v="ALMACEN MEDICOQUIRURGICOS   "/>
    <x v="2"/>
    <x v="2"/>
    <s v="XG000046"/>
    <s v="AGUJA BIOPSIA TRUCUT 16GX16CM -2N2702X "/>
    <s v=""/>
    <s v=""/>
    <s v="006"/>
    <s v="Unidad"/>
    <s v=""/>
    <n v="1"/>
    <n v="148750"/>
    <n v="148750"/>
  </r>
  <r>
    <s v="008"/>
    <s v="ALMACEN  GENERAL                                         "/>
    <x v="1"/>
    <x v="1"/>
    <s v="AM000031"/>
    <s v="TRAMPA DE AGUA PARA MONITOR GENERAL ELECTRIC B650/MINDRAY REF 100-000080-00"/>
    <s v=""/>
    <s v=""/>
    <s v="006"/>
    <s v="Unidad"/>
    <s v=""/>
    <n v="1"/>
    <n v="148750"/>
    <n v="148750"/>
  </r>
  <r>
    <s v="008"/>
    <s v="ALMACEN  GENERAL                                         "/>
    <x v="5"/>
    <x v="5"/>
    <s v="AP000163"/>
    <s v="CINTA PARA IMPRESORA ESTERILIZACION REF ERC-22 B   REF P150828440"/>
    <s v=""/>
    <s v=""/>
    <s v="006"/>
    <s v="Unidad"/>
    <s v=""/>
    <n v="1"/>
    <n v="151213.35999999999"/>
    <n v="151213.35999999999"/>
  </r>
  <r>
    <s v="002"/>
    <s v="FARMACIA DE CIRUGIA                               "/>
    <x v="0"/>
    <x v="0"/>
    <s v="19928855-1"/>
    <s v="ACIDO HIALURONICO 25 MG/2.5ML  SOLUCION INYECTABLE"/>
    <s v=""/>
    <s v=""/>
    <s v=""/>
    <s v=""/>
    <s v="25MG/2.5ML"/>
    <n v="1"/>
    <n v="151400"/>
    <n v="151400"/>
  </r>
  <r>
    <s v="002"/>
    <s v="FARMACIA DE CIRUGIA                               "/>
    <x v="2"/>
    <x v="2"/>
    <s v="XC000014"/>
    <s v="SONDA PARA NUTRICION ENTERAL POR GASTROSTOMIA 24FR X1 "/>
    <s v=""/>
    <s v=""/>
    <s v="006"/>
    <s v="Unidad"/>
    <s v=""/>
    <n v="1"/>
    <n v="167434.28"/>
    <n v="167434.28"/>
  </r>
  <r>
    <s v="002"/>
    <s v="FARMACIA DE CIRUGIA                               "/>
    <x v="2"/>
    <x v="2"/>
    <s v="XD000353"/>
    <s v="PINZA DE BIOPSIA DESECHABLE  2.8MM X 1550MM REF FB-210K"/>
    <s v=""/>
    <s v=""/>
    <s v="006"/>
    <s v="Unidad"/>
    <s v=""/>
    <n v="1"/>
    <n v="168893.85"/>
    <n v="168893.85"/>
  </r>
  <r>
    <s v="001"/>
    <s v="FARMACIA CENTRAL                                  "/>
    <x v="4"/>
    <x v="4"/>
    <s v="20073341-01"/>
    <s v="UMECLINIDIO + VILANTEROL 62.5 + 25MCG"/>
    <s v=""/>
    <s v=""/>
    <s v=""/>
    <s v=""/>
    <s v="62.5+25MCG"/>
    <n v="1"/>
    <n v="170650"/>
    <n v="170650"/>
  </r>
  <r>
    <s v="002"/>
    <s v="FARMACIA DE CIRUGIA                               "/>
    <x v="2"/>
    <x v="2"/>
    <s v="XG000047"/>
    <s v="AGUJA DE BIOPSIA DE MEDULA OSEA  8 GA X 4-6&quot;"/>
    <s v=""/>
    <s v=""/>
    <s v="006"/>
    <s v="Unidad"/>
    <s v=""/>
    <n v="1"/>
    <n v="176120"/>
    <n v="176120"/>
  </r>
  <r>
    <s v="006"/>
    <s v="ALMACEN MEDICOQUIRURGICOS   "/>
    <x v="2"/>
    <x v="2"/>
    <s v="XD000041"/>
    <s v="ELECTRODO DESFIBRILADOR REF.P-510- F7961 NIHON KOHDEN"/>
    <s v=""/>
    <s v=""/>
    <s v="006"/>
    <s v="Unidad"/>
    <s v=""/>
    <n v="1"/>
    <n v="176814.75"/>
    <n v="176814.75"/>
  </r>
  <r>
    <s v="022"/>
    <s v="CARRO DE PARO DE CIRUGIA                          "/>
    <x v="2"/>
    <x v="2"/>
    <s v="XD000041"/>
    <s v="ELECTRODO DESFIBRILADOR REF.P-510- F7961 NIHON KOHDEN"/>
    <s v=""/>
    <s v=""/>
    <s v="006"/>
    <s v="Unidad"/>
    <s v=""/>
    <n v="1"/>
    <n v="176814.75"/>
    <n v="176814.75"/>
  </r>
  <r>
    <s v="052"/>
    <s v="CONSIGNACION LM INSTRUMENS S.A"/>
    <x v="2"/>
    <x v="2"/>
    <s v="XD000302"/>
    <s v="CANULA DE TRAQUEOSTOMIA NO FENESTRADA CON BALON No 8.0-8.5  MARCA TWIST  301-08-85"/>
    <s v=""/>
    <s v=""/>
    <s v="006"/>
    <s v="Unidad"/>
    <s v=""/>
    <n v="1"/>
    <n v="179378.99000000002"/>
    <n v="179378.99"/>
  </r>
  <r>
    <s v="001"/>
    <s v="FARMACIA CENTRAL                                  "/>
    <x v="2"/>
    <x v="2"/>
    <s v="XG000001"/>
    <s v="AGUJA BIOPSIA SEMIAUTOMATICA -16G X 10 CM"/>
    <s v=""/>
    <s v=""/>
    <s v="006"/>
    <s v="Unidad"/>
    <s v=""/>
    <n v="1"/>
    <n v="182459.11333333334"/>
    <n v="182459.11333333331"/>
  </r>
  <r>
    <s v="002"/>
    <s v="FARMACIA DE CIRUGIA                               "/>
    <x v="2"/>
    <x v="2"/>
    <s v="XS000017"/>
    <s v="GRAPADORA ENDO GIA II (030402-30449) X12MM X1 EGIAUXL"/>
    <s v=""/>
    <s v=""/>
    <s v="006"/>
    <s v="Unidad"/>
    <s v=""/>
    <n v="1"/>
    <n v="183335.4"/>
    <n v="183335.4"/>
  </r>
  <r>
    <s v="006"/>
    <s v="ALMACEN MEDICOQUIRURGICOS   "/>
    <x v="2"/>
    <x v="2"/>
    <s v="XG000039"/>
    <s v="AGUJA PARA BIOPSIA SEMI AUTOMATICA 18X25 REF.MN1825"/>
    <s v=""/>
    <s v=""/>
    <s v="006"/>
    <s v="Unidad"/>
    <s v=""/>
    <n v="1"/>
    <n v="189393.50000000003"/>
    <n v="189393.5"/>
  </r>
  <r>
    <s v="001"/>
    <s v="FARMACIA CENTRAL                                  "/>
    <x v="2"/>
    <x v="2"/>
    <s v="XD000331"/>
    <s v="ELECTRODO MULTIFUNCIONAL REF F7950 PHILIPS"/>
    <s v=""/>
    <s v=""/>
    <s v="006"/>
    <s v="Unidad"/>
    <s v=""/>
    <n v="1"/>
    <n v="197590.8"/>
    <n v="197590.8"/>
  </r>
  <r>
    <s v="009"/>
    <s v="CARRO DE PARO URGENCIAS                           "/>
    <x v="2"/>
    <x v="2"/>
    <s v="XD000331"/>
    <s v="ELECTRODO MULTIFUNCIONAL REF F7950 PHILIPS"/>
    <s v=""/>
    <s v=""/>
    <s v="006"/>
    <s v="Unidad"/>
    <s v=""/>
    <n v="1"/>
    <n v="197590.8"/>
    <n v="197590.8"/>
  </r>
  <r>
    <s v="017"/>
    <s v="CARRO DE PARO UCI                                 "/>
    <x v="2"/>
    <x v="2"/>
    <s v="XD000331"/>
    <s v="ELECTRODO MULTIFUNCIONAL REF F7950 PHILIPS"/>
    <s v=""/>
    <s v=""/>
    <s v="006"/>
    <s v="Unidad"/>
    <s v=""/>
    <n v="1"/>
    <n v="197590.8"/>
    <n v="197590.8"/>
  </r>
  <r>
    <s v="019"/>
    <s v="CARRO DE PARO UCI 1/2                             "/>
    <x v="2"/>
    <x v="2"/>
    <s v="XD000331"/>
    <s v="ELECTRODO MULTIFUNCIONAL REF F7950 PHILIPS"/>
    <s v=""/>
    <s v=""/>
    <s v="006"/>
    <s v="Unidad"/>
    <s v=""/>
    <n v="1"/>
    <n v="197590.8"/>
    <n v="197590.8"/>
  </r>
  <r>
    <s v="029"/>
    <s v="CARRO DE PARO CUARTO PISO                         "/>
    <x v="2"/>
    <x v="2"/>
    <s v="XD000331"/>
    <s v="ELECTRODO MULTIFUNCIONAL REF F7950 PHILIPS"/>
    <s v=""/>
    <s v=""/>
    <s v="006"/>
    <s v="Unidad"/>
    <s v=""/>
    <n v="1"/>
    <n v="197590.8"/>
    <n v="197590.8"/>
  </r>
  <r>
    <s v="002"/>
    <s v="FARMACIA DE CIRUGIA                               "/>
    <x v="2"/>
    <x v="2"/>
    <s v="XT000040"/>
    <s v="TUBO ENDOBRONQUIAL 35FR SIN CPAP IZQUIERDO/35FR"/>
    <s v=""/>
    <s v=""/>
    <s v="006"/>
    <s v="Unidad"/>
    <s v=""/>
    <n v="1"/>
    <n v="201306.78571428571"/>
    <n v="201306.78571428571"/>
  </r>
  <r>
    <s v="005"/>
    <s v="ALMACEN MEDICAMENTOS"/>
    <x v="4"/>
    <x v="4"/>
    <s v="1980747-01"/>
    <s v="ITRACONAZOL 10 mg / ml Solución Oral 150 ml"/>
    <s v=""/>
    <s v=""/>
    <s v=""/>
    <s v=""/>
    <s v="10 mg / ml - 150 ml"/>
    <n v="1"/>
    <n v="207500"/>
    <n v="207500"/>
  </r>
  <r>
    <s v="003"/>
    <s v="CARRO  DE PARO RECUPERACION HEMODINAMIA"/>
    <x v="2"/>
    <x v="2"/>
    <s v="XD000337"/>
    <s v="ELECTRODO PARA DESFIBRILACION MINDRAY BENEHEART REF MR60"/>
    <s v=""/>
    <s v=""/>
    <s v="006"/>
    <s v="Unidad"/>
    <s v=""/>
    <n v="1"/>
    <n v="214258.75"/>
    <n v="214258.75"/>
  </r>
  <r>
    <s v="019"/>
    <s v="CARRO DE PARO UCI 1/2                             "/>
    <x v="2"/>
    <x v="2"/>
    <s v="XD000337"/>
    <s v="ELECTRODO PARA DESFIBRILACION MINDRAY BENEHEART REF MR60"/>
    <s v=""/>
    <s v=""/>
    <s v="006"/>
    <s v="Unidad"/>
    <s v=""/>
    <n v="1"/>
    <n v="214258.75"/>
    <n v="214258.75"/>
  </r>
  <r>
    <s v="006"/>
    <s v="ALMACEN MEDICOQUIRURGICOS   "/>
    <x v="2"/>
    <x v="2"/>
    <s v="XC000011"/>
    <s v="CATETER PARA EMBOLECTOMIA FOGARTY #04 (120804F) X 1"/>
    <s v=""/>
    <s v=""/>
    <s v="006"/>
    <s v="Unidad"/>
    <s v=""/>
    <n v="1"/>
    <n v="222075"/>
    <n v="222075"/>
  </r>
  <r>
    <s v="046"/>
    <s v="BODEGA HEMODINAMIA CONSIGNACION"/>
    <x v="2"/>
    <x v="2"/>
    <s v="510038SIM2-H"/>
    <s v="CATETER DIAGNOSTICO PERIFERICO IMPRESS LEGATO HIDROFILICO SIMMONS 2 DE 5FRX100CM"/>
    <s v=""/>
    <s v=""/>
    <s v="006"/>
    <s v="Unidad"/>
    <s v=""/>
    <n v="1"/>
    <n v="224000"/>
    <n v="224000"/>
  </r>
  <r>
    <s v="024"/>
    <s v="MATERIAL DE OSTEOSINTESIS - MOS"/>
    <x v="11"/>
    <x v="11"/>
    <s v="08-23614"/>
    <s v="Tornillo Mcd  2,3X10Mm M1 Rc No Bloq "/>
    <s v=""/>
    <s v=""/>
    <s v="006"/>
    <s v="Unidad"/>
    <s v=""/>
    <n v="1"/>
    <n v="229004"/>
    <n v="229004"/>
  </r>
  <r>
    <s v="015"/>
    <s v="CARRO DE PARO HEMODINAMIA                     "/>
    <x v="1"/>
    <x v="1"/>
    <s v="AM000029"/>
    <s v="HOJA LARINGOSCOPIO   RECTA  DE 0 A 4  FIBRA OPTICA"/>
    <s v=""/>
    <s v=""/>
    <s v="006"/>
    <s v="Unidad"/>
    <s v=""/>
    <n v="1"/>
    <n v="246265.91363636364"/>
    <n v="246265.91363636364"/>
  </r>
  <r>
    <s v="003"/>
    <s v="CARRO  DE PARO RECUPERACION HEMODINAMIA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04"/>
    <s v="CARRO DE PARO RADIOLOGIA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09"/>
    <s v="CARRO DE PARO URGENCIAS      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15"/>
    <s v="CARRO DE PARO HEMODINAMIA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19"/>
    <s v="CARRO DE PARO UCI 1/2        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22"/>
    <s v="CARRO DE PARO DE CIRUGIA     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26"/>
    <s v="CARRO DE PARO TERCER PISO    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29"/>
    <s v="CARRO DE PARO CUARTO PISO                         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53"/>
    <s v="CARRO DE PARO CRITICO QUIROGA"/>
    <x v="1"/>
    <x v="1"/>
    <s v="AM000002"/>
    <s v="AMBU (RESUCITADOR) REUSABLE TAMANO ADULTO"/>
    <s v=""/>
    <s v=""/>
    <s v="006"/>
    <s v="Unidad"/>
    <s v=""/>
    <n v="1"/>
    <n v="248175.41076923074"/>
    <n v="248175.41076923077"/>
  </r>
  <r>
    <s v="024"/>
    <s v="MATERIAL DE OSTEOSINTESIS - MOS"/>
    <x v="11"/>
    <x v="11"/>
    <s v="08-23616"/>
    <s v="Tornillo Mcd  2,3X16Mm M1 Rc No Bloq "/>
    <s v=""/>
    <s v=""/>
    <s v="006"/>
    <s v="Unidad"/>
    <s v=""/>
    <n v="1"/>
    <n v="252930"/>
    <n v="252930"/>
  </r>
  <r>
    <s v="003"/>
    <s v="CARRO  DE PARO RECUPERACION HEMODINAMIA"/>
    <x v="2"/>
    <x v="2"/>
    <s v="XD000043"/>
    <s v="ELECTRODO CATETER BIPOLAR TEMPORAL-PACEL-5FR / 6 FR REF 401771-401770"/>
    <s v=""/>
    <s v=""/>
    <s v="006"/>
    <s v="Unidad"/>
    <s v=""/>
    <n v="1"/>
    <n v="262587.625"/>
    <n v="262587.625"/>
  </r>
  <r>
    <s v="004"/>
    <s v="CARRO DE PARO RADIOLOGIA"/>
    <x v="2"/>
    <x v="2"/>
    <s v="XD000043"/>
    <s v="ELECTRODO CATETER BIPOLAR TEMPORAL-PACEL-5FR / 6 FR REF 401771-401770"/>
    <s v=""/>
    <s v=""/>
    <s v="006"/>
    <s v="Unidad"/>
    <s v=""/>
    <n v="1"/>
    <n v="262587.625"/>
    <n v="262587.625"/>
  </r>
  <r>
    <s v="015"/>
    <s v="CARRO DE PARO HEMODINAMIA                     "/>
    <x v="2"/>
    <x v="2"/>
    <s v="XD000043"/>
    <s v="ELECTRODO CATETER BIPOLAR TEMPORAL-PACEL-5FR / 6 FR REF 401771-401770"/>
    <s v=""/>
    <s v=""/>
    <s v="006"/>
    <s v="Unidad"/>
    <s v=""/>
    <n v="1"/>
    <n v="262587.625"/>
    <n v="262587.625"/>
  </r>
  <r>
    <s v="002"/>
    <s v="FARMACIA DE CIRUGIA                               "/>
    <x v="2"/>
    <x v="2"/>
    <s v="XD000261"/>
    <s v="DISPOSITIVO DE ACCESO LAPAROSCOPICO SEPARADOR ALEXIS T-S"/>
    <s v=""/>
    <s v=""/>
    <s v="006"/>
    <s v="Unidad"/>
    <s v=""/>
    <n v="1"/>
    <n v="277833.51"/>
    <n v="277833.51"/>
  </r>
  <r>
    <s v="008"/>
    <s v="ALMACEN  GENERAL                                         "/>
    <x v="1"/>
    <x v="1"/>
    <s v="AM000017"/>
    <s v="HOJA PARA LARINGOSCOPIO UNIDAD CURVA DE 0 A 4 FIBRA OPTICA"/>
    <s v=""/>
    <s v=""/>
    <s v="006"/>
    <s v="Unidad"/>
    <s v=""/>
    <n v="1"/>
    <n v="282984.17235294118"/>
    <n v="282984.17235294118"/>
  </r>
  <r>
    <s v="057"/>
    <s v="CARRO DE PARO UCI 2"/>
    <x v="1"/>
    <x v="1"/>
    <s v="AM000017"/>
    <s v="HOJA PARA LARINGOSCOPIO UNIDAD CURVA DE 0 A 4 FIBRA OPTICA"/>
    <s v=""/>
    <s v=""/>
    <s v="006"/>
    <s v="Unidad"/>
    <s v=""/>
    <n v="1"/>
    <n v="282984.17235294118"/>
    <n v="282984.17235294118"/>
  </r>
  <r>
    <s v="002"/>
    <s v="FARMACIA DE CIRUGIA                               "/>
    <x v="2"/>
    <x v="2"/>
    <s v="XS000013"/>
    <s v="GRAPADORA CIRCULAR  EEA31 (111989) *1 PISTOLA"/>
    <s v=""/>
    <s v=""/>
    <s v="006"/>
    <s v="Unidad"/>
    <s v=""/>
    <n v="1"/>
    <n v="303152.19"/>
    <n v="303152.19"/>
  </r>
  <r>
    <s v="006"/>
    <s v="ALMACEN MEDICOQUIRURGICOS   "/>
    <x v="2"/>
    <x v="2"/>
    <s v="XC000036"/>
    <s v="INYECTOR DE ESCLEROTERAPIA   M00518301                                                "/>
    <s v=""/>
    <s v=""/>
    <s v="006"/>
    <s v="Unidad"/>
    <s v=""/>
    <n v="1"/>
    <n v="303183.3854545455"/>
    <n v="303183.38545454544"/>
  </r>
  <r>
    <s v="006"/>
    <s v="ALMACEN MEDICOQUIRURGICOS   "/>
    <x v="2"/>
    <x v="2"/>
    <s v="XD000442"/>
    <s v="MALLA 3D MAX M BAJA DENSIDAD HERNIA IZQUIERDA 7.9 X 13.4  REF 0117310"/>
    <s v=""/>
    <s v=""/>
    <s v="006"/>
    <s v="Unidad"/>
    <s v=""/>
    <n v="1"/>
    <n v="303624"/>
    <n v="303624"/>
  </r>
  <r>
    <s v="046"/>
    <s v="BODEGA HEMODINAMIA CONSIGNACION"/>
    <x v="2"/>
    <x v="2"/>
    <s v="IQA502"/>
    <s v="GUIA DIAGNOSTICA INQWIRE DE AMPLATZ 0,035 X 260CM PUNTA EN J 3CM"/>
    <s v=""/>
    <s v=""/>
    <s v="006"/>
    <s v="Unidad"/>
    <s v=""/>
    <n v="1"/>
    <n v="321054"/>
    <n v="321054"/>
  </r>
  <r>
    <s v="019"/>
    <s v="CARRO DE PARO UCI 1/2                             "/>
    <x v="2"/>
    <x v="2"/>
    <s v="XC000005"/>
    <s v="CATETER CENTRAL PERIFERICO PICC 2 VIAS X 50CM"/>
    <s v=""/>
    <s v=""/>
    <s v="006"/>
    <s v="Unidad"/>
    <s v=""/>
    <n v="1"/>
    <n v="334478.89999999997"/>
    <n v="334478.90000000002"/>
  </r>
  <r>
    <s v="006"/>
    <s v="ALMACEN MEDICOQUIRURGICOS   "/>
    <x v="2"/>
    <x v="2"/>
    <s v="XG000045"/>
    <s v="AGUJA PARA INYECCION CISTOSCOPIA WILLIAMS 5 FR REF 090001"/>
    <s v=""/>
    <s v=""/>
    <s v="006"/>
    <s v="Unidad"/>
    <s v=""/>
    <n v="1"/>
    <n v="339150"/>
    <n v="339150"/>
  </r>
  <r>
    <s v="008"/>
    <s v="ALMACEN  GENERAL                                         "/>
    <x v="12"/>
    <x v="12"/>
    <s v="AR000043"/>
    <s v="COLCHON ANTIESCARAS 90X190X15CM"/>
    <s v=""/>
    <s v=""/>
    <s v="006"/>
    <s v="Unidad"/>
    <s v=""/>
    <n v="1"/>
    <n v="356992.86000000004"/>
    <n v="356992.86"/>
  </r>
  <r>
    <s v="002"/>
    <s v="FARMACIA DE CIRUGIA                               "/>
    <x v="2"/>
    <x v="2"/>
    <s v="XD000260"/>
    <s v="DISPOSITIVO DE ACCESO LAPAROSCOPICO ABDOMINAL ALEXIS TALLA M REF C8402"/>
    <s v=""/>
    <s v=""/>
    <s v="006"/>
    <s v="Unidad"/>
    <s v=""/>
    <n v="1"/>
    <n v="359127.72"/>
    <n v="359127.72"/>
  </r>
  <r>
    <s v="008"/>
    <s v="ALMACEN  GENERAL                                         "/>
    <x v="1"/>
    <x v="1"/>
    <s v="AM000020"/>
    <s v="TRAMPAS DE AGUA PARA CAPNOGRAFIA G.E"/>
    <s v=""/>
    <s v=""/>
    <s v="006"/>
    <s v="Unidad"/>
    <s v=""/>
    <n v="1"/>
    <n v="362032.99999999994"/>
    <n v="362033"/>
  </r>
  <r>
    <s v="001"/>
    <s v="FARMACIA CENTRAL                                  "/>
    <x v="2"/>
    <x v="2"/>
    <s v="XC000004"/>
    <s v="CATETER CENTRAL BILUMEN CON GUIA  4 FR  X 50 CM (PICC) PR-05042"/>
    <s v=""/>
    <s v=""/>
    <s v="006"/>
    <s v="Unidad"/>
    <s v=""/>
    <n v="1"/>
    <n v="377892.75"/>
    <n v="377892.75"/>
  </r>
  <r>
    <s v="017"/>
    <s v="CARRO DE PARO UCI                                 "/>
    <x v="2"/>
    <x v="2"/>
    <s v="XC000004"/>
    <s v="CATETER CENTRAL BILUMEN CON GUIA  4 FR  X 50 CM (PICC) PR-05042"/>
    <s v=""/>
    <s v=""/>
    <s v="006"/>
    <s v="Unidad"/>
    <s v=""/>
    <n v="1"/>
    <n v="377892.75"/>
    <n v="377892.75"/>
  </r>
  <r>
    <s v="002"/>
    <s v="FARMACIA DE CIRUGIA                               "/>
    <x v="2"/>
    <x v="2"/>
    <s v="XD000305"/>
    <s v="MALLA POLIPROPILENO HERNIA DERECHA  3D MAX  REF 0117321"/>
    <s v=""/>
    <s v=""/>
    <s v="006"/>
    <s v="Unidad"/>
    <s v=""/>
    <n v="1"/>
    <n v="389199.25"/>
    <n v="389199.25"/>
  </r>
  <r>
    <s v="001"/>
    <s v="FARMACIA CENTRAL                                  "/>
    <x v="4"/>
    <x v="4"/>
    <s v="19926496-02"/>
    <s v="CASPOFUNGINA 70 mg Polvo para reconstituir a solución inyectable"/>
    <s v=""/>
    <s v=""/>
    <s v=""/>
    <s v=""/>
    <s v="70 mg"/>
    <n v="1"/>
    <n v="395838.99"/>
    <n v="395838.99"/>
  </r>
  <r>
    <s v="005"/>
    <s v="ALMACEN MEDICAMENTOS"/>
    <x v="4"/>
    <x v="4"/>
    <s v="20172612-1"/>
    <s v="TIROFIBAN 12.5MG / 250ML SOLUCION INYECTABLE"/>
    <s v=""/>
    <s v=""/>
    <s v=""/>
    <s v=""/>
    <s v="12.5MG/250ML"/>
    <n v="1"/>
    <n v="400000"/>
    <n v="400000"/>
  </r>
  <r>
    <s v="059"/>
    <s v="BODEGA CUARENTENA"/>
    <x v="2"/>
    <x v="2"/>
    <s v="XT000091"/>
    <s v="CANULA DE TRAQUEOSTOMIA FENESTRADA CON BALON No. 7.0 REF 302-07"/>
    <s v=""/>
    <s v=""/>
    <s v="006"/>
    <s v="Unidad"/>
    <s v=""/>
    <n v="1"/>
    <n v="406180.99999999994"/>
    <n v="406181"/>
  </r>
  <r>
    <s v="024"/>
    <s v="MATERIAL DE OSTEOSINTESIS - MOS"/>
    <x v="11"/>
    <x v="11"/>
    <s v="08-35230"/>
    <s v="Tornillo Mcd 3,5X30 Canulado M3 Rc"/>
    <s v=""/>
    <s v=""/>
    <s v="006"/>
    <s v="Unidad"/>
    <s v=""/>
    <n v="1"/>
    <n v="438184"/>
    <n v="438184"/>
  </r>
  <r>
    <s v="006"/>
    <s v="ALMACEN MEDICOQUIRURGICOS   "/>
    <x v="2"/>
    <x v="2"/>
    <s v="XC000037"/>
    <s v="CATETER MULTIPROPOSITO 8.5FR  ULTB-8,5-35-25-P-5S-CLDM-HC"/>
    <s v=""/>
    <s v=""/>
    <s v="006"/>
    <s v="Unidad"/>
    <s v=""/>
    <n v="1"/>
    <n v="448296.56"/>
    <n v="448296.56"/>
  </r>
  <r>
    <s v="001"/>
    <s v="FARMACIA CENTRAL                                  "/>
    <x v="2"/>
    <x v="2"/>
    <s v="XT000011"/>
    <s v="CANULA PARA TRAQUEOSTOMIA FENESTRADA SIN/BALON ADULTO No 70 REF 304-07"/>
    <s v=""/>
    <s v=""/>
    <s v="006"/>
    <s v="Unidad"/>
    <s v=""/>
    <n v="1"/>
    <n v="457400.99999999994"/>
    <n v="457401"/>
  </r>
  <r>
    <s v="006"/>
    <s v="ALMACEN MEDICOQUIRURGICOS   "/>
    <x v="2"/>
    <x v="2"/>
    <s v="XC000025"/>
    <s v="CATETER  MULTIPROPOSITO  ULTB-10,2-38-25-P-5D CLDM-HC"/>
    <s v=""/>
    <s v=""/>
    <s v="006"/>
    <s v="Unidad"/>
    <s v=""/>
    <n v="1"/>
    <n v="480300"/>
    <n v="480300"/>
  </r>
  <r>
    <s v="024"/>
    <s v="MATERIAL DE OSTEOSINTESIS - MOS"/>
    <x v="11"/>
    <x v="11"/>
    <s v="08-35238"/>
    <s v="Tornillo Mcd 3,5X38 Canulado M3 Rc"/>
    <s v=""/>
    <s v=""/>
    <s v="006"/>
    <s v="Unidad"/>
    <s v=""/>
    <n v="1"/>
    <n v="496972.99999999994"/>
    <n v="496973"/>
  </r>
  <r>
    <s v="006"/>
    <s v="ALMACEN MEDICOQUIRURGICOS   "/>
    <x v="2"/>
    <x v="2"/>
    <s v="XS000010"/>
    <s v="DISPOSITIVO DE LIGADURA  DE BANDAS MULTIPLES X 7 BANDAS"/>
    <s v=""/>
    <s v=""/>
    <s v="006"/>
    <s v="Unidad"/>
    <s v=""/>
    <n v="1"/>
    <n v="530455.96000000008"/>
    <n v="530455.96"/>
  </r>
  <r>
    <s v="008"/>
    <s v="ALMACEN  GENERAL                                         "/>
    <x v="1"/>
    <x v="1"/>
    <s v="AM000337"/>
    <s v="PINZA YASARGIL BIPOLAR REF 80-752-20"/>
    <s v=""/>
    <s v=""/>
    <s v="006"/>
    <s v="Unidad"/>
    <s v=""/>
    <n v="1"/>
    <n v="535500"/>
    <n v="535500"/>
  </r>
  <r>
    <s v="006"/>
    <s v="ALMACEN MEDICOQUIRURGICOS   "/>
    <x v="2"/>
    <x v="2"/>
    <s v="XD000271"/>
    <s v="CUCHILLA PARA CORTE DE HUESO REF 9BA50"/>
    <s v=""/>
    <s v=""/>
    <s v="006"/>
    <s v="Unidad"/>
    <s v=""/>
    <n v="1"/>
    <n v="552912.05000000005"/>
    <n v="552912.05000000005"/>
  </r>
  <r>
    <s v="052"/>
    <s v="CONSIGNACION LM INSTRUMENS S.A"/>
    <x v="2"/>
    <x v="2"/>
    <s v="XT000078"/>
    <s v="CANULA PARA TRAQUEOSTOMIA NO FENESTRADA SIN BALON ADULTO  No  7.0 REF 303-07"/>
    <s v=""/>
    <s v=""/>
    <s v="006"/>
    <s v="Unidad"/>
    <s v=""/>
    <n v="1"/>
    <n v="560247.19999999995"/>
    <n v="560247.19999999995"/>
  </r>
  <r>
    <s v="002"/>
    <s v="FARMACIA DE CIRUGIA                               "/>
    <x v="2"/>
    <x v="2"/>
    <s v="XD000347"/>
    <s v="SISTEMA DE STENT PANCREATICO 5 FR X 7 CM REF M00537530"/>
    <s v=""/>
    <s v=""/>
    <s v="006"/>
    <s v="Unidad"/>
    <s v=""/>
    <n v="1"/>
    <n v="572000"/>
    <n v="572000"/>
  </r>
  <r>
    <s v="006"/>
    <s v="ALMACEN MEDICOQUIRURGICOS   "/>
    <x v="2"/>
    <x v="2"/>
    <s v="XD000347"/>
    <s v="SISTEMA DE STENT PANCREATICO 5 FR X 7 CM REF M00537530"/>
    <s v=""/>
    <s v=""/>
    <s v="006"/>
    <s v="Unidad"/>
    <s v=""/>
    <n v="1"/>
    <n v="572000"/>
    <n v="572000"/>
  </r>
  <r>
    <s v="002"/>
    <s v="FARMACIA DE CIRUGIA                               "/>
    <x v="2"/>
    <x v="2"/>
    <s v="XD000030"/>
    <s v="CUCHILLA PARA CORTE HUESO REF. 10BA50 REF 5820110050"/>
    <s v=""/>
    <s v=""/>
    <s v="006"/>
    <s v="Unidad"/>
    <s v=""/>
    <n v="1"/>
    <n v="600681.05999999994"/>
    <n v="600681.06000000006"/>
  </r>
  <r>
    <s v="059"/>
    <s v="BODEGA CUARENTENA"/>
    <x v="2"/>
    <x v="2"/>
    <s v="XS000046"/>
    <s v="RECARGA ENDOGIA 45 MM ARTICULAR EGIA45AVM  VASCULAR X 1"/>
    <s v=""/>
    <s v=""/>
    <s v="006"/>
    <s v="Unidad"/>
    <s v=""/>
    <n v="1"/>
    <n v="607068.11055555556"/>
    <n v="607068.11055555556"/>
  </r>
  <r>
    <s v="001"/>
    <s v="FARMACIA CENTRAL                                  "/>
    <x v="2"/>
    <x v="2"/>
    <s v="XO000043"/>
    <s v="SILLA DE RUEDAS"/>
    <s v=""/>
    <s v=""/>
    <s v="006"/>
    <s v="Unidad"/>
    <s v=""/>
    <n v="1"/>
    <n v="624873.52"/>
    <n v="624873.52"/>
  </r>
  <r>
    <s v="002"/>
    <s v="FARMACIA DE CIRUGIA                               "/>
    <x v="2"/>
    <x v="2"/>
    <s v="XT000093"/>
    <s v="CANULA DE TRAQUEOSTOMIA FENESTRADA CON BALON No 7.0 REF 302-07"/>
    <s v=""/>
    <s v=""/>
    <s v="006"/>
    <s v="Unidad"/>
    <s v=""/>
    <n v="1"/>
    <n v="633311.70000000007"/>
    <n v="633311.69999999995"/>
  </r>
  <r>
    <s v="006"/>
    <s v="ALMACEN MEDICOQUIRURGICOS   "/>
    <x v="2"/>
    <x v="2"/>
    <s v="XS000028"/>
    <s v="GRAPADORA PROTACK 5 MM REF. 174006 X 1"/>
    <s v=""/>
    <s v=""/>
    <s v="006"/>
    <s v="Unidad"/>
    <s v=""/>
    <n v="1"/>
    <n v="638502.56000000006"/>
    <n v="638502.56000000006"/>
  </r>
  <r>
    <s v="006"/>
    <s v="ALMACEN MEDICOQUIRURGICOS   "/>
    <x v="2"/>
    <x v="2"/>
    <s v="XD000036"/>
    <s v="CUCHILLA PARA CORTE HUESO REF.10BA40D REF 5820012040"/>
    <s v=""/>
    <s v=""/>
    <s v="006"/>
    <s v="Unidad"/>
    <s v=""/>
    <n v="1"/>
    <n v="650223.76666666672"/>
    <n v="650223.7666666666"/>
  </r>
  <r>
    <s v="001"/>
    <s v="FARMACIA CENTRAL                                  "/>
    <x v="2"/>
    <x v="2"/>
    <s v="XT000097"/>
    <s v="CATETER DE MANEJO RESPIRATORIO PARA INTUBACIN TRAQUEAL (CRICOTIROTOMIA)"/>
    <s v=""/>
    <s v=""/>
    <s v="006"/>
    <s v="Unidad"/>
    <s v=""/>
    <n v="1"/>
    <n v="681500"/>
    <n v="681500"/>
  </r>
  <r>
    <s v="022"/>
    <s v="CARRO DE PARO DE CIRUGIA                          "/>
    <x v="2"/>
    <x v="2"/>
    <s v="XT000097"/>
    <s v="CATETER DE MANEJO RESPIRATORIO PARA INTUBACIN TRAQUEAL (CRICOTIROTOMIA)"/>
    <s v=""/>
    <s v=""/>
    <s v="006"/>
    <s v="Unidad"/>
    <s v=""/>
    <n v="1"/>
    <n v="681500"/>
    <n v="681500"/>
  </r>
  <r>
    <s v="008"/>
    <s v="ALMACEN  GENERAL                                         "/>
    <x v="1"/>
    <x v="1"/>
    <s v="AM000325"/>
    <s v="ESCALPELO 20.5 FR HEMICICLO"/>
    <s v=""/>
    <s v=""/>
    <s v="006"/>
    <s v="Unidad"/>
    <s v=""/>
    <n v="1"/>
    <n v="709268.92"/>
    <n v="709268.92"/>
  </r>
  <r>
    <s v="002"/>
    <s v="FARMACIA DE CIRUGIA                               "/>
    <x v="2"/>
    <x v="2"/>
    <s v="XD000031"/>
    <s v="CUCHILLA PARA CORTE HUESO REF. 10BA50D REF 5820012050"/>
    <s v=""/>
    <s v=""/>
    <s v="006"/>
    <s v="Unidad"/>
    <s v=""/>
    <n v="1"/>
    <n v="718283.8"/>
    <n v="718283.8"/>
  </r>
  <r>
    <s v="002"/>
    <s v="FARMACIA DE CIRUGIA                               "/>
    <x v="2"/>
    <x v="2"/>
    <s v="XS000020"/>
    <s v="GRAPADORA GIA 80 -4.8 GIA 8048S X 1"/>
    <s v=""/>
    <s v=""/>
    <s v="006"/>
    <s v="Unidad"/>
    <s v=""/>
    <n v="1"/>
    <n v="721662.34"/>
    <n v="721662.34"/>
  </r>
  <r>
    <s v="002"/>
    <s v="FARMACIA DE CIRUGIA                               "/>
    <x v="2"/>
    <x v="2"/>
    <s v="XS000023"/>
    <s v="GRAPADORA LINEAL CORTANTE GIA80-3.8 GIA8038S X 1"/>
    <s v=""/>
    <s v=""/>
    <s v="006"/>
    <s v="Unidad"/>
    <s v=""/>
    <n v="1"/>
    <n v="727616.76857142861"/>
    <n v="727616.76857142861"/>
  </r>
  <r>
    <s v="046"/>
    <s v="BODEGA HEMODINAMIA CONSIGNACION"/>
    <x v="2"/>
    <x v="2"/>
    <s v="386594"/>
    <s v="INTRODUCTOR PERIFERICO FLEXIBLE FOSTRESS DE 6FRX45CM PUNTA RECTA"/>
    <s v=""/>
    <s v=""/>
    <s v="006"/>
    <s v="Unidad"/>
    <s v=""/>
    <n v="1"/>
    <n v="734649.99999999988"/>
    <n v="734650"/>
  </r>
  <r>
    <s v="008"/>
    <s v="ALMACEN  GENERAL                                         "/>
    <x v="1"/>
    <x v="1"/>
    <s v="AM000379"/>
    <s v="RAMAL EKG ELECTROCARDIOGRAFO MINDRAY TIPO BANANA R3YR12"/>
    <s v=""/>
    <s v=""/>
    <s v="006"/>
    <s v="Unidad"/>
    <s v=""/>
    <n v="1"/>
    <n v="741132"/>
    <n v="741132"/>
  </r>
  <r>
    <s v="059"/>
    <s v="BODEGA CUARENTENA"/>
    <x v="2"/>
    <x v="2"/>
    <s v="XD000289"/>
    <s v="ULTRABLATOR ANGULADO 30Ø A 90Ø DE "/>
    <s v=""/>
    <s v=""/>
    <s v="006"/>
    <s v="Unidad"/>
    <s v=""/>
    <n v="1"/>
    <n v="807360"/>
    <n v="807360"/>
  </r>
  <r>
    <s v="006"/>
    <s v="ALMACEN MEDICOQUIRURGICOS   "/>
    <x v="2"/>
    <x v="2"/>
    <s v="XD000049"/>
    <s v="EXTRACTORA DE CALCULOS PRO XL 12-15 REF M00547110 B-V433P-A"/>
    <s v=""/>
    <s v=""/>
    <s v="006"/>
    <s v="Unidad"/>
    <s v=""/>
    <n v="1"/>
    <n v="813809.10399999993"/>
    <n v="813809.10400000005"/>
  </r>
  <r>
    <s v="059"/>
    <s v="BODEGA CUARENTENA"/>
    <x v="2"/>
    <x v="2"/>
    <s v="XD000019"/>
    <s v="CAMISA  DE ACCESO URETERAL FLEXOR X 35CM-36CM REF FUS-095035-095055 REF M0062502220"/>
    <s v=""/>
    <s v=""/>
    <s v="006"/>
    <s v="Unidad"/>
    <s v=""/>
    <n v="1"/>
    <n v="865436"/>
    <n v="865436"/>
  </r>
  <r>
    <s v="008"/>
    <s v="ALMACEN  GENERAL                                         "/>
    <x v="9"/>
    <x v="9"/>
    <s v="AM000285"/>
    <s v="KIT BATERIAS EVITA INTERNAS EVITA 4 REF 8421988"/>
    <s v=""/>
    <s v=""/>
    <s v="006"/>
    <s v="Unidad"/>
    <s v=""/>
    <n v="1"/>
    <n v="874649.7699999999"/>
    <n v="874649.77"/>
  </r>
  <r>
    <s v="002"/>
    <s v="FARMACIA DE CIRUGIA                               "/>
    <x v="2"/>
    <x v="2"/>
    <s v="XD000020"/>
    <s v="CAMISA DE ACCESO URETRAL FLEXOR X 45 CM REF FUS-120045"/>
    <s v=""/>
    <s v=""/>
    <s v="006"/>
    <s v="Unidad"/>
    <s v=""/>
    <n v="1"/>
    <n v="925633.66666666663"/>
    <n v="925633.66666666674"/>
  </r>
  <r>
    <s v="002"/>
    <s v="FARMACIA DE CIRUGIA                               "/>
    <x v="2"/>
    <x v="2"/>
    <s v="XS000063"/>
    <s v="SISTEMA DE SELLADO DE VASOS PINZA LIGASURE IMPACT LF4418 -4318"/>
    <s v=""/>
    <s v=""/>
    <s v="006"/>
    <s v="Unidad"/>
    <s v=""/>
    <n v="1"/>
    <n v="987680.2699999999"/>
    <n v="987680.27"/>
  </r>
  <r>
    <s v="002"/>
    <s v="FARMACIA DE CIRUGIA                               "/>
    <x v="2"/>
    <x v="2"/>
    <s v="XD000319"/>
    <s v="MATRIZ PARA INJERTO DE DURA DURAGEN 2.5 X 7. 5 CM X 1 REF ID-1301-I"/>
    <s v=""/>
    <s v=""/>
    <s v="006"/>
    <s v="Unidad"/>
    <s v=""/>
    <n v="1"/>
    <n v="1000329.9999999999"/>
    <n v="1000330"/>
  </r>
  <r>
    <s v="002"/>
    <s v="FARMACIA DE CIRUGIA                               "/>
    <x v="2"/>
    <x v="2"/>
    <s v="XS000019"/>
    <s v="GRAPADORA GIA 60 -4.8 REF. GIA 6048S"/>
    <s v=""/>
    <s v=""/>
    <s v="006"/>
    <s v="Unidad"/>
    <s v=""/>
    <n v="1"/>
    <n v="1012589.215"/>
    <n v="1012589.215"/>
  </r>
  <r>
    <s v="048"/>
    <s v="CONSIGNACION FRIDEN"/>
    <x v="2"/>
    <x v="2"/>
    <s v="XS000019"/>
    <s v="GRAPADORA GIA 60 -4.8 REF. GIA 6048S"/>
    <s v=""/>
    <s v=""/>
    <s v="006"/>
    <s v="Unidad"/>
    <s v=""/>
    <n v="1"/>
    <n v="1012589.215"/>
    <n v="1012589.215"/>
  </r>
  <r>
    <s v="024"/>
    <s v="MATERIAL DE OSTEOSINTESIS - MOS"/>
    <x v="11"/>
    <x v="11"/>
    <s v="27-01206"/>
    <s v="PLACA COMPRENSION 6 OR RECTA M1"/>
    <s v=""/>
    <s v=""/>
    <s v="006"/>
    <s v="Unidad"/>
    <s v=""/>
    <n v="1"/>
    <n v="1017871"/>
    <n v="1017871"/>
  </r>
  <r>
    <s v="024"/>
    <s v="MATERIAL DE OSTEOSINTESIS - MOS"/>
    <x v="11"/>
    <x v="11"/>
    <s v="27-01217"/>
    <s v="Placa Compresión En T 7 Or M1"/>
    <s v=""/>
    <s v=""/>
    <s v="006"/>
    <s v="Unidad"/>
    <s v=""/>
    <n v="1"/>
    <n v="1024023"/>
    <n v="1024023"/>
  </r>
  <r>
    <s v="002"/>
    <s v="FARMACIA DE CIRUGIA                               "/>
    <x v="2"/>
    <x v="2"/>
    <s v="XD000170"/>
    <s v="CATETER BALON DE DILATACION GASTROENDOSCOPICOS DE 6  A  15 MM CRE PRO WIREGUIDED BILIAR COLONICO"/>
    <s v=""/>
    <s v=""/>
    <s v="006"/>
    <s v="Unidad"/>
    <s v=""/>
    <n v="1"/>
    <n v="1032997.5"/>
    <n v="1032997.5"/>
  </r>
  <r>
    <s v="059"/>
    <s v="BODEGA CUARENTENA"/>
    <x v="2"/>
    <x v="2"/>
    <s v="XD000170"/>
    <s v="CATETER BALON DE DILATACION GASTROENDOSCOPICOS DE 6  A  15 MM CRE PRO WIREGUIDED BILIAR COLONICO"/>
    <s v=""/>
    <s v=""/>
    <s v="006"/>
    <s v="Unidad"/>
    <s v=""/>
    <n v="1"/>
    <n v="1032997.5"/>
    <n v="1032997.5"/>
  </r>
  <r>
    <s v="022"/>
    <s v="CARRO DE PARO DE CIRUGIA                          "/>
    <x v="2"/>
    <x v="2"/>
    <s v="XE000021"/>
    <s v="SISTEMA DE DRENAJE TORAXICO TORA-SEAL II"/>
    <s v=""/>
    <s v=""/>
    <s v="006"/>
    <s v="Unidad"/>
    <s v=""/>
    <n v="1"/>
    <n v="1034151.75"/>
    <n v="1034151.75"/>
  </r>
  <r>
    <s v="008"/>
    <s v="ALMACEN  GENERAL                                         "/>
    <x v="1"/>
    <x v="1"/>
    <s v="AM000303"/>
    <s v="CABLE TRONCAL ECG PHILIPS REF 989803151651"/>
    <s v=""/>
    <s v=""/>
    <s v="006"/>
    <s v="Unidad"/>
    <s v=""/>
    <n v="1"/>
    <n v="1072190"/>
    <n v="1072190"/>
  </r>
  <r>
    <s v="008"/>
    <s v="ALMACEN  GENERAL                                         "/>
    <x v="1"/>
    <x v="1"/>
    <s v="AM000370"/>
    <s v="TUBOS DE INYECCION OLYMPUS REF MH-946"/>
    <s v=""/>
    <s v=""/>
    <s v="006"/>
    <s v="Unidad"/>
    <s v=""/>
    <n v="1"/>
    <n v="1082900"/>
    <n v="1082900"/>
  </r>
  <r>
    <s v="001"/>
    <s v="FARMACIA CENTRAL                                  "/>
    <x v="2"/>
    <x v="2"/>
    <s v="XC000026"/>
    <s v="SISTEMA DE CATETER Y DRENAJE MULTIPROPOSITO 10,2FRX 25CM CLM-10,2-RH-NPAS-NT"/>
    <s v=""/>
    <s v=""/>
    <s v="006"/>
    <s v="Unidad"/>
    <s v=""/>
    <n v="1"/>
    <n v="1095300"/>
    <n v="1095300"/>
  </r>
  <r>
    <s v="002"/>
    <s v="FARMACIA DE CIRUGIA                               "/>
    <x v="2"/>
    <x v="2"/>
    <s v="XD000351"/>
    <s v="PARCHE BIOLOGICO XENOSURE DE PERICARDIO BOVINO DE 0.8 X 8 CM REF 08P8"/>
    <s v=""/>
    <s v=""/>
    <s v="006"/>
    <s v="Unidad"/>
    <s v=""/>
    <n v="1"/>
    <n v="1168000"/>
    <n v="1168000"/>
  </r>
  <r>
    <s v="006"/>
    <s v="ALMACEN MEDICOQUIRURGICOS   "/>
    <x v="2"/>
    <x v="2"/>
    <s v="XD000236"/>
    <s v="ESFINTEROTOMO PAPILOTOMO CANULOTOMO  ARCO 5.5FR. 20MM  (ULTRATOME XL) KD-V411M-0320"/>
    <s v=""/>
    <s v=""/>
    <s v="006"/>
    <s v="Unidad"/>
    <s v=""/>
    <n v="1"/>
    <n v="1190616.0428571429"/>
    <n v="1190616.0428571429"/>
  </r>
  <r>
    <s v="002"/>
    <s v="FARMACIA DE CIRUGIA                               "/>
    <x v="2"/>
    <x v="2"/>
    <s v="XD000349"/>
    <s v="SHUNT CAROTIDA INLYING PUERTO T 9 FR 15 CM REF 201212"/>
    <s v=""/>
    <s v=""/>
    <s v="006"/>
    <s v="Unidad"/>
    <s v=""/>
    <n v="1"/>
    <n v="1241000"/>
    <n v="1241000"/>
  </r>
  <r>
    <s v="002"/>
    <s v="FARMACIA DE CIRUGIA                               "/>
    <x v="2"/>
    <x v="2"/>
    <s v="XD000032"/>
    <s v="CUCHILLA PARA CORTE HUESO REF. 8TA23 REF 5400071058"/>
    <s v=""/>
    <s v=""/>
    <s v="006"/>
    <s v="Unidad"/>
    <s v=""/>
    <n v="1"/>
    <n v="1403029.4550000001"/>
    <n v="1403029.4550000001"/>
  </r>
  <r>
    <s v="006"/>
    <s v="ALMACEN MEDICOQUIRURGICOS   "/>
    <x v="2"/>
    <x v="2"/>
    <s v="XD000032"/>
    <s v="CUCHILLA PARA CORTE HUESO REF. 8TA23 REF 5400071058"/>
    <s v=""/>
    <s v=""/>
    <s v="006"/>
    <s v="Unidad"/>
    <s v=""/>
    <n v="1"/>
    <n v="1403029.4550000001"/>
    <n v="1403029.4550000001"/>
  </r>
  <r>
    <s v="002"/>
    <s v="FARMACIA DE CIRUGIA                               "/>
    <x v="2"/>
    <x v="2"/>
    <s v="XS000154"/>
    <s v="MATRIZ HEMOSTATICA FLOSEAL 5 ML"/>
    <s v=""/>
    <s v=""/>
    <s v="006"/>
    <s v="Unidad"/>
    <s v=""/>
    <n v="1"/>
    <n v="1408541"/>
    <n v="1408541"/>
  </r>
  <r>
    <s v="006"/>
    <s v="ALMACEN MEDICOQUIRURGICOS   "/>
    <x v="2"/>
    <x v="2"/>
    <s v="XA000022"/>
    <s v="CINTA TOT OBTRYX-HALO REFM0068505000"/>
    <s v=""/>
    <s v=""/>
    <s v="006"/>
    <s v="Unidad"/>
    <s v=""/>
    <n v="1"/>
    <n v="1469385"/>
    <n v="1469385"/>
  </r>
  <r>
    <s v="002"/>
    <s v="FARMACIA DE CIRUGIA                               "/>
    <x v="2"/>
    <x v="2"/>
    <s v="XD000350"/>
    <s v="SHUNT CAROTIDA OUTLYING PUERTO T 9 FR 31 CM REF 201210"/>
    <s v=""/>
    <s v=""/>
    <s v="006"/>
    <s v="Unidad"/>
    <s v=""/>
    <n v="1"/>
    <n v="1482000"/>
    <n v="1482000"/>
  </r>
  <r>
    <s v="002"/>
    <s v="FARMACIA DE CIRUGIA                               "/>
    <x v="2"/>
    <x v="2"/>
    <s v="XD000320"/>
    <s v="CANASTILLA DE RECUPERACION Y LITOTRIPCIA GASTROENTEROLOGIA FG-402Q"/>
    <s v=""/>
    <s v=""/>
    <s v="006"/>
    <s v="Unidad"/>
    <s v=""/>
    <n v="1"/>
    <n v="1585595.6525000001"/>
    <n v="1585595.6525000001"/>
  </r>
  <r>
    <s v="002"/>
    <s v="FARMACIA DE CIRUGIA                               "/>
    <x v="2"/>
    <x v="2"/>
    <s v="XD000296"/>
    <s v="KIT DE TRAQUEOSTOMIA PERCUTANEA  No  8.0 -8.5 320-08/321-08"/>
    <s v=""/>
    <s v=""/>
    <s v="006"/>
    <s v="Unidad"/>
    <s v=""/>
    <n v="1"/>
    <n v="1592274.287142857"/>
    <n v="1592274.2871428572"/>
  </r>
  <r>
    <s v="002"/>
    <s v="FARMACIA DE CIRUGIA                               "/>
    <x v="2"/>
    <x v="2"/>
    <s v="XS000167"/>
    <s v="GRAPADORA CIRCULAR HEMORROIDAL  REF PPH03  33MM / HEM3348"/>
    <s v=""/>
    <s v=""/>
    <s v="006"/>
    <s v="Unidad"/>
    <s v=""/>
    <n v="1"/>
    <n v="1617810.8399999999"/>
    <n v="1617810.84"/>
  </r>
  <r>
    <s v="006"/>
    <s v="ALMACEN MEDICOQUIRURGICOS   "/>
    <x v="2"/>
    <x v="2"/>
    <s v="XS000167"/>
    <s v="GRAPADORA CIRCULAR HEMORROIDAL  REF PPH03  33MM / HEM3348"/>
    <s v=""/>
    <s v=""/>
    <s v="006"/>
    <s v="Unidad"/>
    <s v=""/>
    <n v="1"/>
    <n v="1617810.8399999999"/>
    <n v="1617810.84"/>
  </r>
  <r>
    <s v="006"/>
    <s v="ALMACEN MEDICOQUIRURGICOS   "/>
    <x v="2"/>
    <x v="2"/>
    <s v="XS000060"/>
    <s v="SISTEMA DE SELLADO DE VASOS LIGASURE PRECISE LS-1200-1212"/>
    <s v=""/>
    <s v=""/>
    <s v="006"/>
    <s v="Unidad"/>
    <s v=""/>
    <n v="1"/>
    <n v="1636594.17"/>
    <n v="1636594.17"/>
  </r>
  <r>
    <s v="002"/>
    <s v="FARMACIA DE CIRUGIA                               "/>
    <x v="2"/>
    <x v="2"/>
    <s v="XD000038"/>
    <s v="DRENAJE VENTRICULAR EXTERNO EDS VENTRICIL.821730"/>
    <s v=""/>
    <s v=""/>
    <s v="006"/>
    <s v="Unidad"/>
    <s v=""/>
    <n v="1"/>
    <n v="1659934.91"/>
    <n v="1659934.91"/>
  </r>
  <r>
    <s v="006"/>
    <s v="ALMACEN MEDICOQUIRURGICOS   "/>
    <x v="2"/>
    <x v="2"/>
    <s v="XD000038"/>
    <s v="DRENAJE VENTRICULAR EXTERNO EDS VENTRICIL.821730"/>
    <s v=""/>
    <s v=""/>
    <s v="006"/>
    <s v="Unidad"/>
    <s v=""/>
    <n v="1"/>
    <n v="1659934.91"/>
    <n v="1659934.91"/>
  </r>
  <r>
    <s v="002"/>
    <s v="FARMACIA DE CIRUGIA                               "/>
    <x v="2"/>
    <x v="2"/>
    <s v="XS100153"/>
    <s v="SISTEMA DE SELLADO DE VASOS PINZA LIGASURE LF 1923"/>
    <s v=""/>
    <s v=""/>
    <s v="006"/>
    <s v="Unidad"/>
    <s v=""/>
    <n v="1"/>
    <n v="1695762.422"/>
    <n v="1695762.422"/>
  </r>
  <r>
    <s v="006"/>
    <s v="ALMACEN MEDICOQUIRURGICOS   "/>
    <x v="2"/>
    <x v="2"/>
    <s v="XC000042"/>
    <s v="CATETER DE RADIOFRECUENCIA 7 FR REFCF-7-100"/>
    <s v=""/>
    <s v=""/>
    <s v="006"/>
    <s v="Unidad"/>
    <s v=""/>
    <n v="1"/>
    <n v="1750000"/>
    <n v="1750000"/>
  </r>
  <r>
    <s v="002"/>
    <s v="FARMACIA DE CIRUGIA                               "/>
    <x v="2"/>
    <x v="2"/>
    <s v="XS000016"/>
    <s v="GRAPADORA CORTANTE CURVA CONTOUR CS40G"/>
    <s v=""/>
    <s v=""/>
    <s v="006"/>
    <s v="Unidad"/>
    <s v=""/>
    <n v="1"/>
    <n v="1776461.3"/>
    <n v="1776461.3"/>
  </r>
  <r>
    <s v="024"/>
    <s v="MATERIAL DE OSTEOSINTESIS - MOS"/>
    <x v="11"/>
    <x v="11"/>
    <s v="43-0703-691827"/>
    <s v="ANCLAJE MIRACH TITANIO 1.8 MM 1 SUTURE + NEEDLES"/>
    <s v=""/>
    <s v=""/>
    <s v="006"/>
    <s v="Unidad"/>
    <s v=""/>
    <n v="1"/>
    <n v="1884632"/>
    <n v="1884632"/>
  </r>
  <r>
    <s v="024"/>
    <s v="MATERIAL DE OSTEOSINTESIS - MOS"/>
    <x v="11"/>
    <x v="11"/>
    <s v="43-0703-692029"/>
    <s v="ANCLAJE MIRACH TITANIO 2.0 MM 1 SUTURE + NEEDLES"/>
    <s v=""/>
    <s v=""/>
    <s v="006"/>
    <s v="Unidad"/>
    <s v=""/>
    <n v="1"/>
    <n v="1884632"/>
    <n v="1884632"/>
  </r>
  <r>
    <s v="024"/>
    <s v="MATERIAL DE OSTEOSINTESIS - MOS"/>
    <x v="11"/>
    <x v="11"/>
    <s v="0010001000134"/>
    <s v="TENDON EXTENSOR"/>
    <s v=""/>
    <s v=""/>
    <s v="006"/>
    <s v="Unidad"/>
    <s v=""/>
    <n v="1"/>
    <n v="2067000"/>
    <n v="2067000"/>
  </r>
  <r>
    <s v="002"/>
    <s v="FARMACIA DE CIRUGIA                               "/>
    <x v="2"/>
    <x v="2"/>
    <s v="XD000344"/>
    <s v="PROTESIS VASCULAR GELSOFT 18 X 9MM X 45CM REF 631809"/>
    <s v=""/>
    <s v=""/>
    <s v="006"/>
    <s v="Unidad"/>
    <s v=""/>
    <n v="1"/>
    <n v="2248000"/>
    <n v="2248000"/>
  </r>
  <r>
    <s v="024"/>
    <s v="MATERIAL DE OSTEOSINTESIS - MOS"/>
    <x v="11"/>
    <x v="11"/>
    <s v="400145"/>
    <s v="CHIP ESPONJOSO: 15CC 1.7-10MM LIOFILIZADOS"/>
    <s v=""/>
    <s v=""/>
    <s v="006"/>
    <s v="Unidad"/>
    <s v=""/>
    <n v="1"/>
    <n v="2384101"/>
    <n v="2384101"/>
  </r>
  <r>
    <s v="002"/>
    <s v="FARMACIA DE CIRUGIA                               "/>
    <x v="2"/>
    <x v="2"/>
    <s v="XD000341"/>
    <s v="PROTESIS VASCULAR GELSOFT 16 X 8MM X 45CM REF 631608"/>
    <s v=""/>
    <s v=""/>
    <s v="006"/>
    <s v="Unidad"/>
    <s v=""/>
    <n v="1"/>
    <n v="2584000"/>
    <n v="2584000"/>
  </r>
  <r>
    <s v="002"/>
    <s v="FARMACIA DE CIRUGIA                               "/>
    <x v="2"/>
    <x v="2"/>
    <s v="XD000345"/>
    <s v="PROTESIS VASCULAR GELSOFT 14 X 7MM X 45CM REF 631407"/>
    <s v=""/>
    <s v=""/>
    <s v="006"/>
    <s v="Unidad"/>
    <s v=""/>
    <n v="1"/>
    <n v="2784999.9999999995"/>
    <n v="2785000"/>
  </r>
  <r>
    <s v="002"/>
    <s v="FARMACIA DE CIRUGIA                               "/>
    <x v="2"/>
    <x v="2"/>
    <s v="XS000062"/>
    <s v="SISTEMA DE SELLADO DE VASOS PINZA LIGASURE 5MM REF 1837-1937"/>
    <s v=""/>
    <s v=""/>
    <s v="006"/>
    <s v="Unidad"/>
    <s v=""/>
    <n v="1"/>
    <n v="2965552.54"/>
    <n v="2965552.54"/>
  </r>
  <r>
    <s v="005"/>
    <s v="ALMACEN MEDICAMENTOS"/>
    <x v="4"/>
    <x v="4"/>
    <s v="19932170-01"/>
    <s v="TENECTEPLASE 50 mg Equivalente a 10.000 UI"/>
    <s v=""/>
    <s v=""/>
    <s v=""/>
    <s v=""/>
    <s v="10.000 UI"/>
    <n v="1"/>
    <n v="3009538.5566666666"/>
    <n v="3009538.5566666671"/>
  </r>
  <r>
    <s v="008"/>
    <s v="ALMACEN  GENERAL                                         "/>
    <x v="1"/>
    <x v="1"/>
    <s v="AM000358"/>
    <s v="BATERIA PARA MONITOR B650 MARCA GE REF DM2036984-001"/>
    <s v=""/>
    <s v=""/>
    <s v="006"/>
    <s v="Unidad"/>
    <s v=""/>
    <n v="1"/>
    <n v="3218950"/>
    <n v="3218950"/>
  </r>
  <r>
    <s v="002"/>
    <s v="FARMACIA DE CIRUGIA                               "/>
    <x v="2"/>
    <x v="2"/>
    <s v="XD000242"/>
    <s v="PROTESIS VASCULAR P.T.F.E 80CM X 6MM REF R06080C8"/>
    <s v=""/>
    <s v=""/>
    <s v="006"/>
    <s v="Unidad"/>
    <s v=""/>
    <n v="1"/>
    <n v="3860000"/>
    <n v="3860000"/>
  </r>
  <r>
    <s v="002"/>
    <s v="FARMACIA DE CIRUGIA                               "/>
    <x v="2"/>
    <x v="2"/>
    <s v="XD000343"/>
    <s v="PROTESIS VASCULAR P.T.F.E 80CM X 8MM REF R08080C8"/>
    <s v=""/>
    <s v=""/>
    <s v="006"/>
    <s v="Unidad"/>
    <s v=""/>
    <n v="1"/>
    <n v="3860000"/>
    <n v="3860000"/>
  </r>
  <r>
    <s v="006"/>
    <s v="ALMACEN MEDICOQUIRURGICOS   "/>
    <x v="2"/>
    <x v="2"/>
    <s v="L210"/>
    <s v="MARCAPASOS PG PROPONENT UNICAMERAL MRI-PG PROPONENT MRI SR SL L210"/>
    <s v=""/>
    <s v=""/>
    <s v="006"/>
    <s v="Unidad"/>
    <s v=""/>
    <n v="1"/>
    <n v="4119500"/>
    <n v="4119500"/>
  </r>
  <r>
    <s v="006"/>
    <s v="ALMACEN MEDICOQUIRURGICOS   "/>
    <x v="2"/>
    <x v="2"/>
    <s v="L231"/>
    <s v="MARCAPASOS PG PROPONENT BICAMERAL MRI-PG PROPONENT MRI DR EL L231"/>
    <s v=""/>
    <s v=""/>
    <s v="006"/>
    <s v="Unidad"/>
    <s v=""/>
    <n v="1"/>
    <n v="4119500"/>
    <n v="4119500"/>
  </r>
  <r>
    <s v="052"/>
    <s v="CONSIGNACION LM INSTRUMENS S.A"/>
    <x v="2"/>
    <x v="2"/>
    <s v="XD000333"/>
    <s v="APLICADOR PARA CLIP ENDOSCOPICO  REUTILIZABLE  REF HX-110UR"/>
    <s v=""/>
    <s v=""/>
    <s v="006"/>
    <s v="Unidad"/>
    <s v=""/>
    <n v="1"/>
    <n v="4369872.16"/>
    <n v="4369872.16"/>
  </r>
  <r>
    <s v="046"/>
    <s v="BODEGA HEMODINAMIA CONSIGNACION"/>
    <x v="2"/>
    <x v="2"/>
    <s v="ABXL30/60-800"/>
    <s v="SISTEMA PARA INTERVENCION VASCULAR MAX BALON 55MLX46MM "/>
    <s v=""/>
    <s v=""/>
    <s v="006"/>
    <s v="Unidad"/>
    <s v=""/>
    <n v="1"/>
    <n v="4855000"/>
    <n v="4855000"/>
  </r>
  <r>
    <s v="002"/>
    <s v="FARMACIA DE CIRUGIA                               "/>
    <x v="2"/>
    <x v="2"/>
    <s v="XD000163"/>
    <s v="VALVULA PROGRAMABLE HAKIM (KIT:823100) X 1"/>
    <s v=""/>
    <s v=""/>
    <s v="006"/>
    <s v="Unidad"/>
    <s v=""/>
    <n v="1"/>
    <n v="5741777"/>
    <n v="5741777"/>
  </r>
  <r>
    <s v="046"/>
    <s v="BODEGA HEMODINAMIA CONSIGNACION"/>
    <x v="2"/>
    <x v="2"/>
    <s v="GTRS-200-RB"/>
    <s v="RECUPERADOR FILTRO DE VENA DE CABA"/>
    <s v=""/>
    <s v=""/>
    <s v="006"/>
    <s v="Unidad"/>
    <s v=""/>
    <n v="1"/>
    <n v="6783000"/>
    <n v="6783000"/>
  </r>
  <r>
    <s v="008"/>
    <s v="ALMACEN  GENERAL                                         "/>
    <x v="7"/>
    <x v="7"/>
    <s v="AA000133"/>
    <s v="ROLLO DE PAÑOS WYPALL 60X200 MTS"/>
    <s v=""/>
    <s v=""/>
    <s v="006"/>
    <s v="Unidad"/>
    <s v=""/>
    <n v="2"/>
    <n v="-68866.184999999998"/>
    <n v="-137732.37"/>
  </r>
  <r>
    <s v="003"/>
    <s v="CARRO  DE PARO RECUPERACION HEMODINAMIA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04"/>
    <s v="CARRO DE PARO RADIOLOGIA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09"/>
    <s v="CARRO DE PARO URGENCIAS  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14"/>
    <s v="CARRO DE PARO CARDIOLOGIA   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15"/>
    <s v="CARRO DE PARO HEMODINAMIA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17"/>
    <s v="CARRO DE PARO UCI        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22"/>
    <s v="CARRO DE PARO DE CIRUGIA 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25"/>
    <s v="CARRO DE PARO GASTROENTEROLOGÌA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26"/>
    <s v="CARRO DE PARO TERCER PISO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29"/>
    <s v="CARRO DE PARO CUARTO PISO                         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57"/>
    <s v="CARRO DE PARO UCI 2"/>
    <x v="2"/>
    <x v="2"/>
    <s v="XT000017"/>
    <s v="GUIA PARA INTUBACION X1 ESTILETE TUBO ENDOTRAQUE"/>
    <s v=""/>
    <s v=""/>
    <s v="006"/>
    <s v="Unidad"/>
    <s v=""/>
    <n v="2"/>
    <n v="-58082.704199999993"/>
    <n v="-116165.4084"/>
  </r>
  <r>
    <s v="034"/>
    <s v="TERAPIA UCI"/>
    <x v="8"/>
    <x v="8"/>
    <s v="20029707-03"/>
    <s v="HEPARINA SODICA 5.000 UI/ ML Solución Inyectable"/>
    <s v=""/>
    <s v=""/>
    <s v=""/>
    <s v=""/>
    <s v="5.000 UI/ ML"/>
    <n v="2"/>
    <n v="-40111"/>
    <n v="-80222"/>
  </r>
  <r>
    <s v="003"/>
    <s v="CARRO  DE PARO RECUPERACION HEMODINAMIA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04"/>
    <s v="CARRO DE PARO RADIOLOGIA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09"/>
    <s v="CARRO DE PARO URGENCIAS  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14"/>
    <s v="CARRO DE PARO CARDIOLOGIA   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15"/>
    <s v="CARRO DE PARO HEMODINAMIA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17"/>
    <s v="CARRO DE PARO UCI        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19"/>
    <s v="CARRO DE PARO UCI 1/2    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25"/>
    <s v="CARRO DE PARO GASTROENTEROLOGÌA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26"/>
    <s v="CARRO DE PARO TERCER PISO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29"/>
    <s v="CARRO DE PARO CUARTO PISO                         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53"/>
    <s v="CARRO DE PARO CRITICO QUIROGA"/>
    <x v="2"/>
    <x v="2"/>
    <s v="XJ000011"/>
    <s v="JERINGA DESECHABLE 20ML-S/A-3 PARTES X 100"/>
    <s v=""/>
    <s v=""/>
    <s v="006"/>
    <s v="Unidad"/>
    <s v=""/>
    <n v="2"/>
    <n v="-18687.463351548267"/>
    <n v="-37374.926703096542"/>
  </r>
  <r>
    <s v="002"/>
    <s v="FARMACIA DE CIRUGIA                               "/>
    <x v="2"/>
    <x v="2"/>
    <s v="XC000030"/>
    <s v="SONDA PARA NUTRICION ENTERAL POR GASTROSTOMIA 22FR X1 "/>
    <s v=""/>
    <s v=""/>
    <s v="006"/>
    <s v="Unidad"/>
    <s v=""/>
    <n v="2"/>
    <n v="-12641.71"/>
    <n v="-25283.42"/>
  </r>
  <r>
    <s v="006"/>
    <s v="ALMACEN MEDICOQUIRURGICOS   "/>
    <x v="2"/>
    <x v="2"/>
    <s v="XC000030"/>
    <s v="SONDA PARA NUTRICION ENTERAL POR GASTROSTOMIA 22FR X1 "/>
    <s v=""/>
    <s v=""/>
    <s v="006"/>
    <s v="Unidad"/>
    <s v=""/>
    <n v="2"/>
    <n v="-12641.71"/>
    <n v="-25283.42"/>
  </r>
  <r>
    <s v="009"/>
    <s v="CARRO DE PARO URGENCIAS                           "/>
    <x v="0"/>
    <x v="0"/>
    <s v="29523-02"/>
    <s v="SODIO CLORURO 0.9% -50 ml Solución Inyectable"/>
    <s v=""/>
    <s v=""/>
    <s v=""/>
    <s v=""/>
    <s v="0.9% - 50 ml"/>
    <n v="2"/>
    <n v="-9389.8194444444453"/>
    <n v="-18779.638888888891"/>
  </r>
  <r>
    <s v="008"/>
    <s v="ALMACEN  GENERAL                                         "/>
    <x v="9"/>
    <x v="9"/>
    <s v="AA000151"/>
    <s v="VASELINA PURA 30 GRAMOS"/>
    <s v=""/>
    <s v=""/>
    <s v="006"/>
    <s v="Unidad"/>
    <s v=""/>
    <n v="2"/>
    <n v="-8000.2"/>
    <n v="-16000.4"/>
  </r>
  <r>
    <s v="018"/>
    <s v="STOCK  FISIOTERAPIA UCI  1                                         "/>
    <x v="2"/>
    <x v="2"/>
    <s v="XT000015"/>
    <s v="FILTRO ANTIBACTERIANO NARIZ CAMELLO HYGROBAC ADULTO REF 63-804"/>
    <s v=""/>
    <s v=""/>
    <s v="006"/>
    <s v="Unidad"/>
    <s v=""/>
    <n v="2"/>
    <n v="-7674.6067999999996"/>
    <n v="-15349.213599999999"/>
  </r>
  <r>
    <s v="009"/>
    <s v="CARRO DE PARO URGENCIAS                           "/>
    <x v="2"/>
    <x v="2"/>
    <s v="XA000013"/>
    <s v="APOSITO TRANSPARENTE I.V ADVANCE 8.5 X 11.5"/>
    <s v=""/>
    <s v=""/>
    <s v="006"/>
    <s v="Unidad"/>
    <s v=""/>
    <n v="2"/>
    <n v="-1276.1739304812834"/>
    <n v="-2552.3478609625699"/>
  </r>
  <r>
    <s v="025"/>
    <s v="CARRO DE PARO GASTROENTEROLOGÌA                   "/>
    <x v="2"/>
    <x v="2"/>
    <s v="XA000013"/>
    <s v="APOSITO TRANSPARENTE I.V ADVANCE 8.5 X 11.5"/>
    <s v=""/>
    <s v=""/>
    <s v="006"/>
    <s v="Unidad"/>
    <s v=""/>
    <n v="2"/>
    <n v="-1276.1739304812834"/>
    <n v="-2552.3478609625699"/>
  </r>
  <r>
    <s v="053"/>
    <s v="CARRO DE PARO CRITICO QUIROGA"/>
    <x v="2"/>
    <x v="2"/>
    <s v="XA000013"/>
    <s v="APOSITO TRANSPARENTE I.V ADVANCE 8.5 X 11.5"/>
    <s v=""/>
    <s v=""/>
    <s v="006"/>
    <s v="Unidad"/>
    <s v=""/>
    <n v="2"/>
    <n v="-1276.1739304812834"/>
    <n v="-2552.3478609625699"/>
  </r>
  <r>
    <s v="019"/>
    <s v="CARRO DE PARO UCI 1/2                             "/>
    <x v="2"/>
    <x v="2"/>
    <s v="XG000003"/>
    <s v="AGUJA DESECHABLE # 18 G.X1-1/2*100"/>
    <s v=""/>
    <s v=""/>
    <s v="006"/>
    <s v="Unidad"/>
    <s v=""/>
    <n v="2"/>
    <n v="70.974907834101387"/>
    <n v="141.94981566819999"/>
  </r>
  <r>
    <s v="002"/>
    <s v="FARMACIA DE CIRUGIA                               "/>
    <x v="2"/>
    <x v="2"/>
    <s v="XG000049"/>
    <s v="AGUJA HIPODERMICA DESECHABLE 25X5/8"/>
    <s v=""/>
    <s v=""/>
    <s v="006"/>
    <s v="Unidad"/>
    <s v=""/>
    <n v="2"/>
    <n v="102.53125"/>
    <n v="205.0625"/>
  </r>
  <r>
    <s v="029"/>
    <s v="CARRO DE PARO CUARTO PISO                         "/>
    <x v="2"/>
    <x v="2"/>
    <s v="XG000005"/>
    <s v="AGUJA DESECHABLE # 22 G.X 1-1/2*100"/>
    <s v=""/>
    <s v=""/>
    <s v="006"/>
    <s v="Unidad"/>
    <s v=""/>
    <n v="2"/>
    <n v="127.0005303030303"/>
    <n v="254.00106060606001"/>
  </r>
  <r>
    <s v="009"/>
    <s v="CARRO DE PARO URGENCIAS                           "/>
    <x v="2"/>
    <x v="2"/>
    <s v="XG000037"/>
    <s v="AGUJA DESECHABLE # 20 G.X 1-1/2X100                                                                 "/>
    <s v=""/>
    <s v=""/>
    <s v="006"/>
    <s v="Unidad"/>
    <s v=""/>
    <n v="2"/>
    <n v="169.99619047619046"/>
    <n v="339.99238095238002"/>
  </r>
  <r>
    <s v="017"/>
    <s v="CARRO DE PARO UCI                                 "/>
    <x v="2"/>
    <x v="2"/>
    <s v="XG000037"/>
    <s v="AGUJA DESECHABLE # 20 G.X 1-1/2X100                                                                 "/>
    <s v=""/>
    <s v=""/>
    <s v="006"/>
    <s v="Unidad"/>
    <s v=""/>
    <n v="2"/>
    <n v="169.99619047619046"/>
    <n v="339.99238095238002"/>
  </r>
  <r>
    <s v="022"/>
    <s v="CARRO DE PARO DE CIRUGIA                          "/>
    <x v="2"/>
    <x v="2"/>
    <s v="XG000037"/>
    <s v="AGUJA DESECHABLE # 20 G.X 1-1/2X100                                                                 "/>
    <s v=""/>
    <s v=""/>
    <s v="006"/>
    <s v="Unidad"/>
    <s v=""/>
    <n v="2"/>
    <n v="169.99619047619046"/>
    <n v="339.99238095238002"/>
  </r>
  <r>
    <s v="025"/>
    <s v="CARRO DE PARO GASTROENTEROLOGÌA                   "/>
    <x v="2"/>
    <x v="2"/>
    <s v="XG000037"/>
    <s v="AGUJA DESECHABLE # 20 G.X 1-1/2X100                                                                 "/>
    <s v=""/>
    <s v=""/>
    <s v="006"/>
    <s v="Unidad"/>
    <s v=""/>
    <n v="2"/>
    <n v="169.99619047619046"/>
    <n v="339.99238095238002"/>
  </r>
  <r>
    <s v="029"/>
    <s v="CARRO DE PARO CUARTO PISO                         "/>
    <x v="2"/>
    <x v="2"/>
    <s v="XG000037"/>
    <s v="AGUJA DESECHABLE # 20 G.X 1-1/2X100                                                                 "/>
    <s v=""/>
    <s v=""/>
    <s v="006"/>
    <s v="Unidad"/>
    <s v=""/>
    <n v="2"/>
    <n v="169.99619047619046"/>
    <n v="339.99238095238002"/>
  </r>
  <r>
    <s v="019"/>
    <s v="CARRO DE PARO UCI 1/2                             "/>
    <x v="2"/>
    <x v="2"/>
    <s v="XJ000015"/>
    <s v="JERINGA DESECHABLE DE INSULINA 1ML X 100UI."/>
    <s v=""/>
    <s v=""/>
    <s v="006"/>
    <s v="Unidad"/>
    <s v=""/>
    <n v="2"/>
    <n v="229.47137931034484"/>
    <n v="458.94275862068997"/>
  </r>
  <r>
    <s v="022"/>
    <s v="CARRO DE PARO DE CIRUGIA                          "/>
    <x v="2"/>
    <x v="2"/>
    <s v="XJ000015"/>
    <s v="JERINGA DESECHABLE DE INSULINA 1ML X 100UI."/>
    <s v=""/>
    <s v=""/>
    <s v="006"/>
    <s v="Unidad"/>
    <s v=""/>
    <n v="2"/>
    <n v="229.47137931034484"/>
    <n v="458.94275862068997"/>
  </r>
  <r>
    <s v="010"/>
    <s v="STOCK TERAPIA URGENCIAS                                   "/>
    <x v="2"/>
    <x v="2"/>
    <s v="XJ000010"/>
    <s v="JERINGA DESECHABLE 10ML-C/A-3 PARTES X 100"/>
    <s v=""/>
    <s v=""/>
    <s v="006"/>
    <s v="Unidad"/>
    <s v=""/>
    <n v="2"/>
    <n v="261.77091875138365"/>
    <n v="523.54183750277002"/>
  </r>
  <r>
    <s v="019"/>
    <s v="CARRO DE PARO UCI 1/2                             "/>
    <x v="2"/>
    <x v="2"/>
    <s v="XG000028"/>
    <s v="HOJA BISTURI # 15 *100"/>
    <s v=""/>
    <s v=""/>
    <s v="006"/>
    <s v="Unidad"/>
    <s v=""/>
    <n v="2"/>
    <n v="285.17608450704222"/>
    <n v="570.35216901408"/>
  </r>
  <r>
    <s v="053"/>
    <s v="CARRO DE PARO CRITICO QUIROGA"/>
    <x v="2"/>
    <x v="2"/>
    <s v="XG000028"/>
    <s v="HOJA BISTURI # 15 *100"/>
    <s v=""/>
    <s v=""/>
    <s v="006"/>
    <s v="Unidad"/>
    <s v=""/>
    <n v="2"/>
    <n v="285.17608450704222"/>
    <n v="570.35216901408"/>
  </r>
  <r>
    <s v="002"/>
    <s v="FARMACIA DE CIRUGIA                               "/>
    <x v="2"/>
    <x v="2"/>
    <s v="XD000139"/>
    <s v="SONDA NELATON # 10 (UREATRAL)"/>
    <s v=""/>
    <s v=""/>
    <s v="006"/>
    <s v="Unidad"/>
    <s v=""/>
    <n v="2"/>
    <n v="426.17857142857144"/>
    <n v="852.35714285714005"/>
  </r>
  <r>
    <s v="013"/>
    <s v="KIT ATENCIÓN PEDIÀTRICA"/>
    <x v="2"/>
    <x v="2"/>
    <s v="XD000145"/>
    <s v="SONDA NELATON # 6 (UREATRAL)*1"/>
    <s v=""/>
    <s v=""/>
    <s v="006"/>
    <s v="Unidad"/>
    <s v=""/>
    <n v="2"/>
    <n v="446.59574468085106"/>
    <n v="893.19148936169995"/>
  </r>
  <r>
    <s v="001"/>
    <s v="FARMACIA CENTRAL                                  "/>
    <x v="0"/>
    <x v="0"/>
    <s v="35618-01"/>
    <s v="PROPRANOLOL CLORHIDRATO 40 mg Tableta"/>
    <s v=""/>
    <s v=""/>
    <s v=""/>
    <s v=""/>
    <s v="40 mg"/>
    <n v="2"/>
    <n v="539.45000000000005"/>
    <n v="1078.9000000000001"/>
  </r>
  <r>
    <s v="015"/>
    <s v="CARRO DE PARO HEMODINAMIA                     "/>
    <x v="0"/>
    <x v="0"/>
    <s v="20028845-09"/>
    <s v="ATROPINA SULFATO 1mg / ml Solución inyectable"/>
    <s v=""/>
    <s v=""/>
    <s v=""/>
    <s v=""/>
    <s v="1mg / ml"/>
    <n v="2"/>
    <n v="756.09078431372541"/>
    <n v="1512.1815686274499"/>
  </r>
  <r>
    <s v="003"/>
    <s v="CARRO  DE PARO RECUPERACION HEMODINAMIA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04"/>
    <s v="CARRO DE PARO RADIOLOGIA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09"/>
    <s v="CARRO DE PARO URGENCIAS  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14"/>
    <s v="CARRO DE PARO CARDIOLOGIA   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15"/>
    <s v="CARRO DE PARO HEMODINAMIA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17"/>
    <s v="CARRO DE PARO UCI        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19"/>
    <s v="CARRO DE PARO UCI 1/2    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22"/>
    <s v="CARRO DE PARO DE CIRUGIA 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25"/>
    <s v="CARRO DE PARO GASTROENTEROLOGÌA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26"/>
    <s v="CARRO DE PARO TERCER PISO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29"/>
    <s v="CARRO DE PARO CUARTO PISO                         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53"/>
    <s v="CARRO DE PARO CRITICO QUIROGA"/>
    <x v="2"/>
    <x v="2"/>
    <s v="XE000014"/>
    <s v="EXTENSION DE ANESTESIA-ARCO473P CAJA X100 EA"/>
    <s v=""/>
    <s v=""/>
    <s v="006"/>
    <s v="Unidad"/>
    <s v=""/>
    <n v="2"/>
    <n v="789.38775295663606"/>
    <n v="1578.7755059132701"/>
  </r>
  <r>
    <s v="003"/>
    <s v="CARRO  DE PARO RECUPERACION HEMODINAMIA"/>
    <x v="0"/>
    <x v="0"/>
    <s v="19940877-02"/>
    <s v="ATROPINA SULFATO 1mg / ml Solución inyectable"/>
    <s v=""/>
    <s v=""/>
    <s v=""/>
    <s v=""/>
    <s v="1mg / ml"/>
    <n v="2"/>
    <n v="824.47363636363639"/>
    <n v="1648.94727272727"/>
  </r>
  <r>
    <s v="017"/>
    <s v="CARRO DE PARO UCI                                 "/>
    <x v="2"/>
    <x v="2"/>
    <s v="XD000256"/>
    <s v="SONDA LEVIN-TUBO VENTROL 16 FR NASOGASTRICA120"/>
    <s v=""/>
    <s v=""/>
    <s v="006"/>
    <s v="Unidad"/>
    <s v=""/>
    <n v="2"/>
    <n v="841.07974358974366"/>
    <n v="1682.15948717949"/>
  </r>
  <r>
    <s v="059"/>
    <s v="BODEGA CUARENTENA"/>
    <x v="6"/>
    <x v="6"/>
    <s v="20019151-4"/>
    <s v="DIAZEPAM 10 mg / 2 ml Solución inyectable"/>
    <s v=""/>
    <s v=""/>
    <s v=""/>
    <s v=""/>
    <s v="10 mg "/>
    <n v="2"/>
    <n v="843"/>
    <n v="1686"/>
  </r>
  <r>
    <s v="019"/>
    <s v="CARRO DE PARO UCI 1/2                             "/>
    <x v="0"/>
    <x v="0"/>
    <s v="19901001-01"/>
    <s v="DOPAMINA CLORHIDRATO 200 mg / 5 ml Solución Inyectable"/>
    <s v=""/>
    <s v=""/>
    <s v=""/>
    <s v=""/>
    <s v="200 mg / 5 ml"/>
    <n v="2"/>
    <n v="854"/>
    <n v="1708"/>
  </r>
  <r>
    <s v="029"/>
    <s v="CARRO DE PARO CUARTO PISO                         "/>
    <x v="0"/>
    <x v="0"/>
    <s v="19901001-01"/>
    <s v="DOPAMINA CLORHIDRATO 200 mg / 5 ml Solución Inyectable"/>
    <s v=""/>
    <s v=""/>
    <s v=""/>
    <s v=""/>
    <s v="200 mg / 5 ml"/>
    <n v="2"/>
    <n v="854"/>
    <n v="1708"/>
  </r>
  <r>
    <s v="003"/>
    <s v="CARRO  DE PARO RECUPERACION HEMODINAMIA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04"/>
    <s v="CARRO DE PARO RADIOLOGIA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14"/>
    <s v="CARRO DE PARO CARDIOLOGIA   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15"/>
    <s v="CARRO DE PARO HEMODINAMIA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17"/>
    <s v="CARRO DE PARO UCI        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19"/>
    <s v="CARRO DE PARO UCI 1/2    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22"/>
    <s v="CARRO DE PARO DE CIRUGIA 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25"/>
    <s v="CARRO DE PARO GASTROENTEROLOGÌA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26"/>
    <s v="CARRO DE PARO TERCER PISO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29"/>
    <s v="CARRO DE PARO CUARTO PISO                         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53"/>
    <s v="CARRO DE PARO CRITICO QUIROGA"/>
    <x v="2"/>
    <x v="2"/>
    <s v="XE000007"/>
    <s v="EQUIPO DE MACROGOTEO- MRC0002 X 120"/>
    <s v=""/>
    <s v=""/>
    <s v="006"/>
    <s v="Unidad"/>
    <s v=""/>
    <n v="2"/>
    <n v="863.47163555555562"/>
    <n v="1726.9432711111101"/>
  </r>
  <r>
    <s v="004"/>
    <s v="CARRO DE PARO RADIOLOGIA"/>
    <x v="0"/>
    <x v="0"/>
    <s v="19930287-01"/>
    <s v="ATROPINA SULFATO 1mg / ml Solución inyectable"/>
    <s v=""/>
    <s v=""/>
    <s v=""/>
    <s v=""/>
    <s v="1mg / ml"/>
    <n v="2"/>
    <n v="958.57"/>
    <n v="1917.14"/>
  </r>
  <r>
    <s v="009"/>
    <s v="CARRO DE PARO URGENCIAS        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14"/>
    <s v="CARRO DE PARO CARDIOLOGIA         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19"/>
    <s v="CARRO DE PARO UCI 1/2          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22"/>
    <s v="CARRO DE PARO DE CIRUGIA       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25"/>
    <s v="CARRO DE PARO GASTROENTEROLOGÌA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29"/>
    <s v="CARRO DE PARO CUARTO PISO                         "/>
    <x v="0"/>
    <x v="0"/>
    <s v="19930287-01"/>
    <s v="ATROPINA SULFATO 1mg / ml Solución inyectable"/>
    <s v=""/>
    <s v=""/>
    <s v=""/>
    <s v=""/>
    <s v="1mg / ml"/>
    <n v="2"/>
    <n v="958.57"/>
    <n v="1917.14"/>
  </r>
  <r>
    <s v="057"/>
    <s v="CARRO DE PARO UCI 2"/>
    <x v="0"/>
    <x v="0"/>
    <s v="19930287-01"/>
    <s v="ATROPINA SULFATO 1mg / ml Solución inyectable"/>
    <s v=""/>
    <s v=""/>
    <s v=""/>
    <s v=""/>
    <s v="1mg / ml"/>
    <n v="2"/>
    <n v="958.57"/>
    <n v="1917.14"/>
  </r>
  <r>
    <s v="010"/>
    <s v="STOCK TERAPIA URGENCIAS                                   "/>
    <x v="2"/>
    <x v="2"/>
    <s v="XT000084"/>
    <s v="SONDA PARA SUCCION(OJO DE PESCADO)-16FR-60CM*1"/>
    <s v=""/>
    <s v=""/>
    <s v="006"/>
    <s v="Unidad"/>
    <s v=""/>
    <n v="2"/>
    <n v="997.91805460750845"/>
    <n v="1995.8361092150201"/>
  </r>
  <r>
    <s v="018"/>
    <s v="STOCK  FISIOTERAPIA UCI  1                                         "/>
    <x v="2"/>
    <x v="2"/>
    <s v="XT000084"/>
    <s v="SONDA PARA SUCCION(OJO DE PESCADO)-16FR-60CM*1"/>
    <s v=""/>
    <s v=""/>
    <s v="006"/>
    <s v="Unidad"/>
    <s v=""/>
    <n v="2"/>
    <n v="997.91805460750845"/>
    <n v="1995.8361092150201"/>
  </r>
  <r>
    <s v="019"/>
    <s v="CARRO DE PARO UCI 1/2                             "/>
    <x v="2"/>
    <x v="2"/>
    <s v="XT000084"/>
    <s v="SONDA PARA SUCCION(OJO DE PESCADO)-16FR-60CM*1"/>
    <s v=""/>
    <s v=""/>
    <s v="006"/>
    <s v="Unidad"/>
    <s v=""/>
    <n v="2"/>
    <n v="997.91805460750845"/>
    <n v="1995.8361092150201"/>
  </r>
  <r>
    <s v="003"/>
    <s v="CARRO  DE PARO RECUPERACION HEMODINAMIA"/>
    <x v="0"/>
    <x v="0"/>
    <s v="19966576-03"/>
    <s v="LIDOCAINA CLORHIDRATO 2 % S.E. Solución inyectable 10 ml"/>
    <s v=""/>
    <s v=""/>
    <s v=""/>
    <s v=""/>
    <s v="2 % - 10 ml"/>
    <n v="2"/>
    <n v="1013.732700729927"/>
    <n v="2027.46540145985"/>
  </r>
  <r>
    <s v="015"/>
    <s v="CARRO DE PARO HEMODINAMIA                     "/>
    <x v="0"/>
    <x v="0"/>
    <s v="19966576-03"/>
    <s v="LIDOCAINA CLORHIDRATO 2 % S.E. Solución inyectable 10 ml"/>
    <s v=""/>
    <s v=""/>
    <s v=""/>
    <s v=""/>
    <s v="2 % - 10 ml"/>
    <n v="2"/>
    <n v="1013.732700729927"/>
    <n v="2027.46540145985"/>
  </r>
  <r>
    <s v="003"/>
    <s v="CARRO  DE PARO RECUPERACION HEMODINAMIA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04"/>
    <s v="CARRO DE PARO RADIOLOGIA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09"/>
    <s v="CARRO DE PARO URGENCIAS  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14"/>
    <s v="CARRO DE PARO CARDIOLOGIA   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15"/>
    <s v="CARRO DE PARO HEMODINAMIA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17"/>
    <s v="CARRO DE PARO UCI        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19"/>
    <s v="CARRO DE PARO UCI 1/2    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22"/>
    <s v="CARRO DE PARO DE CIRUGIA 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25"/>
    <s v="CARRO DE PARO GASTROENTEROLOGÌA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26"/>
    <s v="CARRO DE PARO TERCER PISO                         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53"/>
    <s v="CARRO DE PARO CRITICO QUIROGA"/>
    <x v="2"/>
    <x v="2"/>
    <s v="XD000062"/>
    <s v="GUANTE QUIRURGICO ESTERIL T-8.0 *1 PAR "/>
    <s v=""/>
    <s v=""/>
    <s v="006"/>
    <s v="Unidad"/>
    <s v=""/>
    <n v="2"/>
    <n v="1014.9652030456853"/>
    <n v="2029.9304060913701"/>
  </r>
  <r>
    <s v="003"/>
    <s v="CARRO  DE PARO RECUPERACION HEMODINAMIA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04"/>
    <s v="CARRO DE PARO RADIOLOGIA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09"/>
    <s v="CARRO DE PARO URGENCIAS  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14"/>
    <s v="CARRO DE PARO CARDIOLOGIA   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15"/>
    <s v="CARRO DE PARO HEMODINAMIA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17"/>
    <s v="CARRO DE PARO UCI        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20"/>
    <s v="STOCK FISIOTERAPIA UCI 2            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22"/>
    <s v="CARRO DE PARO DE CIRUGIA 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25"/>
    <s v="CARRO DE PARO GASTROENTEROLOGÌA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26"/>
    <s v="CARRO DE PARO TERCER PISO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29"/>
    <s v="CARRO DE PARO CUARTO PISO                         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53"/>
    <s v="CARRO DE PARO CRITICO QUIROGA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57"/>
    <s v="CARRO DE PARO UCI 2"/>
    <x v="2"/>
    <x v="2"/>
    <s v="XT000032"/>
    <s v="SONDA PARA SUCCION(OJO DE PESCADO)-14FR FR 60CM*1"/>
    <s v=""/>
    <s v=""/>
    <s v="006"/>
    <s v="Unidad"/>
    <s v=""/>
    <n v="2"/>
    <n v="1015.8373846153846"/>
    <n v="2031.6747692307699"/>
  </r>
  <r>
    <s v="003"/>
    <s v="CARRO  DE PARO RECUPERACION HEMODINAMIA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04"/>
    <s v="CARRO DE PARO RADIOLOGIA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09"/>
    <s v="CARRO DE PARO URGENCIAS  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14"/>
    <s v="CARRO DE PARO CARDIOLOGIA   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15"/>
    <s v="CARRO DE PARO HEMODINAMIA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17"/>
    <s v="CARRO DE PARO UCI        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22"/>
    <s v="CARRO DE PARO DE CIRUGIA 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25"/>
    <s v="CARRO DE PARO GASTROENTEROLOGÌA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26"/>
    <s v="CARRO DE PARO TERCER PISO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29"/>
    <s v="CARRO DE PARO CUARTO PISO                         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53"/>
    <s v="CARRO DE PARO CRITICO QUIROGA"/>
    <x v="2"/>
    <x v="2"/>
    <s v="XD000060"/>
    <s v="GUANTE QUIRURGICO ESTERIL T-7.0 *1 PAR "/>
    <s v=""/>
    <s v=""/>
    <s v="006"/>
    <s v="Unidad"/>
    <s v=""/>
    <n v="2"/>
    <n v="1017.2755338691159"/>
    <n v="2034.5510677382299"/>
  </r>
  <r>
    <s v="003"/>
    <s v="CARRO  DE PARO RECUPERACION HEMODINAMIA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04"/>
    <s v="CARRO DE PARO RADIOLOGIA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09"/>
    <s v="CARRO DE PARO URGENCIAS  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14"/>
    <s v="CARRO DE PARO CARDIOLOGIA   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15"/>
    <s v="CARRO DE PARO HEMODINAMIA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19"/>
    <s v="CARRO DE PARO UCI 1/2    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22"/>
    <s v="CARRO DE PARO DE CIRUGIA 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25"/>
    <s v="CARRO DE PARO GASTROENTEROLOGÌA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26"/>
    <s v="CARRO DE PARO TERCER PISO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29"/>
    <s v="CARRO DE PARO CUARTO PISO                         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53"/>
    <s v="CARRO DE PARO CRITICO QUIROGA"/>
    <x v="2"/>
    <x v="2"/>
    <s v="XD000059"/>
    <s v="GUANTE QUIRURGICO ESTERIL T-6.5 *1 PAR "/>
    <s v=""/>
    <s v=""/>
    <s v="006"/>
    <s v="Unidad"/>
    <s v=""/>
    <n v="2"/>
    <n v="1018.0292795883362"/>
    <n v="2036.0585591766701"/>
  </r>
  <r>
    <s v="009"/>
    <s v="CARRO DE PARO URGENCIAS                           "/>
    <x v="2"/>
    <x v="2"/>
    <s v="XT000074"/>
    <s v="CANULA DE GUEDEL (MAYO) X N.5"/>
    <s v=""/>
    <s v=""/>
    <s v="006"/>
    <s v="Unidad"/>
    <s v=""/>
    <n v="2"/>
    <n v="1061.3860465116279"/>
    <n v="2122.7720930232599"/>
  </r>
  <r>
    <s v="002"/>
    <s v="FARMACIA DE CIRUGIA                               "/>
    <x v="2"/>
    <x v="2"/>
    <s v="XD000137"/>
    <s v="SONDA LEVIN-TUBO VENTROL 14FR NASOGASTRICA120"/>
    <s v=""/>
    <s v=""/>
    <s v="006"/>
    <s v="Unidad"/>
    <s v=""/>
    <n v="2"/>
    <n v="1072.3889285714286"/>
    <n v="2144.7778571428598"/>
  </r>
  <r>
    <s v="001"/>
    <s v="FARMACIA CENTRAL                                  "/>
    <x v="2"/>
    <x v="2"/>
    <s v="XT000101"/>
    <s v="EXTENCION DE OXIGENO 2 METROS X UND"/>
    <s v=""/>
    <s v=""/>
    <s v="006"/>
    <s v="Unidad"/>
    <s v=""/>
    <n v="2"/>
    <n v="1125"/>
    <n v="2250"/>
  </r>
  <r>
    <s v="001"/>
    <s v="FARMACIA CENTRAL                                  "/>
    <x v="0"/>
    <x v="0"/>
    <s v="19956951-03"/>
    <s v="ACETAMINOFEN 30mg/ml Jarabe"/>
    <s v=""/>
    <s v=""/>
    <s v=""/>
    <s v=""/>
    <s v="30 mg / ml - 60 ml"/>
    <n v="2"/>
    <n v="1188"/>
    <n v="2376"/>
  </r>
  <r>
    <s v="003"/>
    <s v="CARRO  DE PARO RECUPERACION HEMODINAMIA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04"/>
    <s v="CARRO DE PARO RADIOLOGIA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09"/>
    <s v="CARRO DE PARO URGENCIAS  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14"/>
    <s v="CARRO DE PARO CARDIOLOGIA   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15"/>
    <s v="CARRO DE PARO HEMODINAMIA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17"/>
    <s v="CARRO DE PARO UCI        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22"/>
    <s v="CARRO DE PARO DE CIRUGIA 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25"/>
    <s v="CARRO DE PARO GASTROENTEROLOGÌA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26"/>
    <s v="CARRO DE PARO TERCER PISO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29"/>
    <s v="CARRO DE PARO CUARTO PISO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32"/>
    <s v="CLINICA DE HERIDAS                                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53"/>
    <s v="CARRO DE PARO CRITICO QUIROGA"/>
    <x v="2"/>
    <x v="2"/>
    <s v="XD000061"/>
    <s v="GUANTE QUIRURGICO ESTERIL T-7.5 *1 PAR "/>
    <s v=""/>
    <s v=""/>
    <s v="006"/>
    <s v="Unidad"/>
    <s v=""/>
    <n v="2"/>
    <n v="1204.1314579901152"/>
    <n v="2408.26291598023"/>
  </r>
  <r>
    <s v="022"/>
    <s v="CARRO DE PARO DE CIRUGIA                          "/>
    <x v="2"/>
    <x v="2"/>
    <s v="XJ000014"/>
    <s v="JERINGA DESECHABLE 50ML-C/A-3 PARTES X 100"/>
    <s v=""/>
    <s v=""/>
    <s v="006"/>
    <s v="Unidad"/>
    <s v=""/>
    <n v="2"/>
    <n v="1323.9450549450551"/>
    <n v="2647.8901098901101"/>
  </r>
  <r>
    <s v="017"/>
    <s v="CARRO DE PARO UCI                                 "/>
    <x v="0"/>
    <x v="0"/>
    <s v="19935299-01"/>
    <s v="MAGNESIO SULFATO 2 g / 10 ml Solución Inyectable"/>
    <s v=""/>
    <s v=""/>
    <s v=""/>
    <s v=""/>
    <s v="2 g / 10 ml"/>
    <n v="2"/>
    <n v="1486.123103448276"/>
    <n v="2972.2462068965501"/>
  </r>
  <r>
    <s v="009"/>
    <s v="CARRO DE PARO URGENCIAS                           "/>
    <x v="2"/>
    <x v="2"/>
    <s v="XT000073"/>
    <s v="CANULA DE GUEDEL (MAYO) X N.4"/>
    <s v=""/>
    <s v=""/>
    <s v="006"/>
    <s v="Unidad"/>
    <s v=""/>
    <n v="2"/>
    <n v="1537.0346428571427"/>
    <n v="3074.0692857142899"/>
  </r>
  <r>
    <s v="003"/>
    <s v="CARRO  DE PARO RECUPERACION HEMODINAMIA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04"/>
    <s v="CARRO DE PARO RADIOLOGIA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09"/>
    <s v="CARRO DE PARO URGENCIAS  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14"/>
    <s v="CARRO DE PARO CARDIOLOGIA   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15"/>
    <s v="CARRO DE PARO HEMODINAMIA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17"/>
    <s v="CARRO DE PARO UCI        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19"/>
    <s v="CARRO DE PARO UCI 1/2    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22"/>
    <s v="CARRO DE PARO DE CIRUGIA 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25"/>
    <s v="CARRO DE PARO GASTROENTEROLOGÌA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26"/>
    <s v="CARRO DE PARO TERCER PISO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29"/>
    <s v="CARRO DE PARO CUARTO PISO                         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53"/>
    <s v="CARRO DE PARO CRITICO QUIROGA"/>
    <x v="2"/>
    <x v="2"/>
    <s v="XJ000004"/>
    <s v="CATETERES PERIFERICOS INTRAVENOSOS INSYTE #14*50"/>
    <s v=""/>
    <s v=""/>
    <s v="006"/>
    <s v="Unidad"/>
    <s v=""/>
    <n v="2"/>
    <n v="1558.1416494845362"/>
    <n v="3116.2832989690701"/>
  </r>
  <r>
    <s v="026"/>
    <s v="CARRO DE PARO TERCER PISO                         "/>
    <x v="0"/>
    <x v="0"/>
    <s v="19941380-02"/>
    <s v="DOPAMINA CLORHIDRATO 200 mg / 5 ml Solución Inyectable"/>
    <s v=""/>
    <s v=""/>
    <s v=""/>
    <s v=""/>
    <s v="200 mg / 5 ml"/>
    <n v="2"/>
    <n v="1652.1557466063348"/>
    <n v="3304.31149321267"/>
  </r>
  <r>
    <s v="001"/>
    <s v="FARMACIA CENTRAL                                  "/>
    <x v="6"/>
    <x v="6"/>
    <s v="44747-2"/>
    <s v="CLOBAZAM 20 mg Tableta"/>
    <s v=""/>
    <s v=""/>
    <s v=""/>
    <s v=""/>
    <s v="20 mg"/>
    <n v="2"/>
    <n v="1688"/>
    <n v="3376"/>
  </r>
  <r>
    <s v="039"/>
    <s v="ALMACEN CONSULTA EXTERNA ORTOPEDIA"/>
    <x v="2"/>
    <x v="2"/>
    <s v="XV000002"/>
    <s v="VENDA DE ALGODON 4 X 5 *1 LAMINADO"/>
    <s v=""/>
    <s v=""/>
    <s v="006"/>
    <s v="Unidad"/>
    <s v=""/>
    <n v="2"/>
    <n v="1697.6609375"/>
    <n v="3395.3218750000001"/>
  </r>
  <r>
    <s v="003"/>
    <s v="CARRO  DE PARO RECUPERACION HEMODINAMIA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04"/>
    <s v="CARRO DE PARO RADIOLOGIA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09"/>
    <s v="CARRO DE PARO URGENCIAS  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14"/>
    <s v="CARRO DE PARO CARDIOLOGIA   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15"/>
    <s v="CARRO DE PARO HEMODINAMIA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17"/>
    <s v="CARRO DE PARO UCI        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19"/>
    <s v="CARRO DE PARO UCI 1/2    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22"/>
    <s v="CARRO DE PARO DE CIRUGIA 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25"/>
    <s v="CARRO DE PARO GASTROENTEROLOGÌA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26"/>
    <s v="CARRO DE PARO TERCER PISO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29"/>
    <s v="CARRO DE PARO CUARTO PISO                         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53"/>
    <s v="CARRO DE PARO CRITICO QUIROGA"/>
    <x v="2"/>
    <x v="2"/>
    <s v="XD000074"/>
    <s v="LLAVE DE TRES VIAS-DISCOFIX UNIDAD- FE100"/>
    <s v=""/>
    <s v=""/>
    <s v="006"/>
    <s v="Unidad"/>
    <s v=""/>
    <n v="2"/>
    <n v="1714.5099713467048"/>
    <n v="3429.01994269341"/>
  </r>
  <r>
    <s v="009"/>
    <s v="CARRO DE PARO URGENCIAS                           "/>
    <x v="2"/>
    <x v="2"/>
    <s v="XD000058"/>
    <s v="GUANTE QUIRURGICO ESTERIL T-6.0 *1 PAR "/>
    <s v=""/>
    <s v=""/>
    <s v="006"/>
    <s v="Unidad"/>
    <s v=""/>
    <n v="2"/>
    <n v="1813.293306451613"/>
    <n v="3626.5866129032302"/>
  </r>
  <r>
    <s v="015"/>
    <s v="CARRO DE PARO HEMODINAMIA                     "/>
    <x v="2"/>
    <x v="2"/>
    <s v="XD000058"/>
    <s v="GUANTE QUIRURGICO ESTERIL T-6.0 *1 PAR "/>
    <s v=""/>
    <s v=""/>
    <s v="006"/>
    <s v="Unidad"/>
    <s v=""/>
    <n v="2"/>
    <n v="1813.293306451613"/>
    <n v="3626.5866129032302"/>
  </r>
  <r>
    <s v="025"/>
    <s v="CARRO DE PARO GASTROENTEROLOGÌA                   "/>
    <x v="2"/>
    <x v="2"/>
    <s v="XD000063"/>
    <s v="GUANTE QUIRURGICO ESTERIL T-8.5 *1 PAR "/>
    <s v=""/>
    <s v=""/>
    <s v="006"/>
    <s v="Unidad"/>
    <s v=""/>
    <n v="2"/>
    <n v="1959.4821739130434"/>
    <n v="3918.96434782609"/>
  </r>
  <r>
    <s v="026"/>
    <s v="CARRO DE PARO TERCER PISO                         "/>
    <x v="2"/>
    <x v="2"/>
    <s v="XD000063"/>
    <s v="GUANTE QUIRURGICO ESTERIL T-8.5 *1 PAR "/>
    <s v=""/>
    <s v=""/>
    <s v="006"/>
    <s v="Unidad"/>
    <s v=""/>
    <n v="2"/>
    <n v="1959.4821739130434"/>
    <n v="3918.96434782609"/>
  </r>
  <r>
    <s v="003"/>
    <s v="CARRO  DE PARO RECUPERACION HEMODINAMIA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04"/>
    <s v="CARRO DE PARO RADIOLOGIA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14"/>
    <s v="CARRO DE PARO CARDIOLOGIA   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15"/>
    <s v="CARRO DE PARO HEMODINAMIA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17"/>
    <s v="CARRO DE PARO UCI        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19"/>
    <s v="CARRO DE PARO UCI 1/2    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22"/>
    <s v="CARRO DE PARO DE CIRUGIA 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25"/>
    <s v="CARRO DE PARO GASTROENTEROLOGÌA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26"/>
    <s v="CARRO DE PARO TERCER PISO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29"/>
    <s v="CARRO DE PARO CUARTO PISO                         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57"/>
    <s v="CARRO DE PARO UCI 2"/>
    <x v="2"/>
    <x v="2"/>
    <s v="XJ000005"/>
    <s v="CATETERES PERIFERICOS INTRAVENOSOS INSYTE #16*50"/>
    <s v=""/>
    <s v=""/>
    <s v="006"/>
    <s v="Unidad"/>
    <s v=""/>
    <n v="2"/>
    <n v="1999.3788311688313"/>
    <n v="3998.7576623376599"/>
  </r>
  <r>
    <s v="003"/>
    <s v="CARRO  DE PARO RECUPERACION HEMODINAMIA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04"/>
    <s v="CARRO DE PARO RADIOLOGIA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09"/>
    <s v="CARRO DE PARO URGENCIAS  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14"/>
    <s v="CARRO DE PARO CARDIOLOGIA   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15"/>
    <s v="CARRO DE PARO HEMODINAMIA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17"/>
    <s v="CARRO DE PARO UCI        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19"/>
    <s v="CARRO DE PARO UCI 1/2    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22"/>
    <s v="CARRO DE PARO DE CIRUGIA 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25"/>
    <s v="CARRO DE PARO GASTROENTEROLOGÌA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26"/>
    <s v="CARRO DE PARO TERCER PISO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29"/>
    <s v="CARRO DE PARO CUARTO PISO                         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53"/>
    <s v="CARRO DE PARO CRITICO QUIROGA"/>
    <x v="2"/>
    <x v="2"/>
    <s v="XJ000007"/>
    <s v="CATETERES PERIFERICOS INTRAVENOSOS INSYTE #24*50"/>
    <s v=""/>
    <s v=""/>
    <s v="006"/>
    <s v="Unidad"/>
    <s v=""/>
    <n v="2"/>
    <n v="2022.0220430107527"/>
    <n v="4044.0440860215099"/>
  </r>
  <r>
    <s v="009"/>
    <s v="CARRO DE PARO URGENCIAS                           "/>
    <x v="6"/>
    <x v="6"/>
    <s v="20198543-2"/>
    <s v="MIDAZOLAM 5 mg / 5 ml Solución Inyectable"/>
    <s v=""/>
    <s v=""/>
    <s v=""/>
    <s v=""/>
    <s v="5 mg / 5 ml"/>
    <n v="2"/>
    <n v="2099.7760358342666"/>
    <n v="4199.5520716685296"/>
  </r>
  <r>
    <s v="059"/>
    <s v="BODEGA CUARENTENA"/>
    <x v="6"/>
    <x v="6"/>
    <s v="20198543-2"/>
    <s v="MIDAZOLAM 5 mg / 5 ml Solución Inyectable"/>
    <s v=""/>
    <s v=""/>
    <s v=""/>
    <s v=""/>
    <s v="5 mg / 5 ml"/>
    <n v="2"/>
    <n v="2099.7760358342666"/>
    <n v="4199.5520716685296"/>
  </r>
  <r>
    <s v="019"/>
    <s v="CARRO DE PARO UCI 1/2                             "/>
    <x v="2"/>
    <x v="2"/>
    <s v="XD000270"/>
    <s v="CAMISA DESECHABLE ADULTO X  1"/>
    <s v=""/>
    <s v=""/>
    <s v="006"/>
    <s v="Unidad"/>
    <s v=""/>
    <n v="2"/>
    <n v="2132.3942065491183"/>
    <n v="4264.7884130982402"/>
  </r>
  <r>
    <s v="003"/>
    <s v="CARRO  DE PARO RECUPERACION HEMODINAMIA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04"/>
    <s v="CARRO DE PARO RADIOLOGIA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09"/>
    <s v="CARRO DE PARO URGENCIAS  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14"/>
    <s v="CARRO DE PARO CARDIOLOGIA   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15"/>
    <s v="CARRO DE PARO HEMODINAMIA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17"/>
    <s v="CARRO DE PARO UCI        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19"/>
    <s v="CARRO DE PARO UCI 1/2    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22"/>
    <s v="CARRO DE PARO DE CIRUGIA 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25"/>
    <s v="CARRO DE PARO GASTROENTEROLOGÌA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26"/>
    <s v="CARRO DE PARO TERCER PISO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29"/>
    <s v="CARRO DE PARO CUARTO PISO                         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53"/>
    <s v="CARRO DE PARO CRITICO QUIROGA"/>
    <x v="2"/>
    <x v="2"/>
    <s v="XJ000003"/>
    <s v="CATETERES PERIFERICOS INTRAVENOSOS  INSYTE #22*50"/>
    <s v=""/>
    <s v=""/>
    <s v="006"/>
    <s v="Unidad"/>
    <s v=""/>
    <n v="2"/>
    <n v="2145.7358134490237"/>
    <n v="4291.4716268980501"/>
  </r>
  <r>
    <s v="001"/>
    <s v="FARMACIA CENTRAL                                  "/>
    <x v="0"/>
    <x v="0"/>
    <s v="19924520-04"/>
    <s v="TRAMADOL CLORHIDRATO 100 mg/ml Solución Oral 10 ML"/>
    <s v=""/>
    <s v=""/>
    <s v=""/>
    <s v=""/>
    <s v="100 mg/ml - 10 ML"/>
    <n v="2"/>
    <n v="2158.6129032258063"/>
    <n v="4317.22580645161"/>
  </r>
  <r>
    <s v="002"/>
    <s v="FARMACIA DE CIRUGIA                               "/>
    <x v="0"/>
    <x v="0"/>
    <s v="19990588-06"/>
    <s v="FENITOINA SODICA 50 mg/ ml Solución Inyectable"/>
    <s v=""/>
    <s v=""/>
    <s v=""/>
    <s v=""/>
    <s v="250 mg/ 5ml"/>
    <n v="2"/>
    <n v="2218.1857500000001"/>
    <n v="4436.3715000000002"/>
  </r>
  <r>
    <s v="025"/>
    <s v="CARRO DE PARO GASTROENTEROLOGÌA                   "/>
    <x v="6"/>
    <x v="6"/>
    <s v="20043279-03"/>
    <s v="MIDAZOLAM 5 mg / 5 ml Solución Inyectable"/>
    <s v=""/>
    <s v=""/>
    <s v=""/>
    <s v=""/>
    <s v="5 mg / 5 ml"/>
    <n v="2"/>
    <n v="2224.0216666666665"/>
    <n v="4448.0433333333303"/>
  </r>
  <r>
    <s v="059"/>
    <s v="BODEGA CUARENTENA"/>
    <x v="6"/>
    <x v="6"/>
    <s v="20023905-04"/>
    <s v="FENTANILO CITRATO 0.5 mg / 10 ml Solución Inyectable"/>
    <s v=""/>
    <s v=""/>
    <s v=""/>
    <s v=""/>
    <s v="0,5 MG / 10 ML"/>
    <n v="2"/>
    <n v="2235.065979532164"/>
    <n v="4470.1319590643297"/>
  </r>
  <r>
    <s v="002"/>
    <s v="FARMACIA DE CIRUGIA                               "/>
    <x v="2"/>
    <x v="2"/>
    <s v="XT000022"/>
    <s v="MASCARA DE OXIGENO REF HS-MZ01XL"/>
    <s v=""/>
    <s v=""/>
    <s v="006"/>
    <s v="Unidad"/>
    <s v=""/>
    <n v="2"/>
    <n v="2345.8135802469137"/>
    <n v="4691.6271604938302"/>
  </r>
  <r>
    <s v="003"/>
    <s v="CARRO  DE PARO RECUPERACION HEMODINAMIA"/>
    <x v="0"/>
    <x v="0"/>
    <s v="19926707-01"/>
    <s v="HIDROCORTISONA 100 mg Polvo para reconstituir a solución inyectable"/>
    <s v=""/>
    <s v=""/>
    <s v=""/>
    <s v=""/>
    <s v="100 mg"/>
    <n v="2"/>
    <n v="2420.6186170212768"/>
    <n v="4841.23723404255"/>
  </r>
  <r>
    <s v="003"/>
    <s v="CARRO  DE PARO RECUPERACION HEMODINAMIA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04"/>
    <s v="CARRO DE PARO RADIOLOGIA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09"/>
    <s v="CARRO DE PARO URGENCIAS  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14"/>
    <s v="CARRO DE PARO CARDIOLOGIA   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15"/>
    <s v="CARRO DE PARO HEMODINAMIA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17"/>
    <s v="CARRO DE PARO UCI        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19"/>
    <s v="CARRO DE PARO UCI 1/2    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22"/>
    <s v="CARRO DE PARO DE CIRUGIA 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25"/>
    <s v="CARRO DE PARO GASTROENTEROLOGÌA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26"/>
    <s v="CARRO DE PARO TERCER PISO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29"/>
    <s v="CARRO DE PARO CUARTO PISO                         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53"/>
    <s v="CARRO DE PARO CRITICO QUIROGA"/>
    <x v="2"/>
    <x v="2"/>
    <s v="XJ000002"/>
    <s v="CATETERES PERIFERICOS INTRAVENOSOS  INSYTE #20*50"/>
    <s v=""/>
    <s v=""/>
    <s v="006"/>
    <s v="Unidad"/>
    <s v=""/>
    <n v="2"/>
    <n v="2428.3562711864406"/>
    <n v="4856.7125423728803"/>
  </r>
  <r>
    <s v="002"/>
    <s v="FARMACIA DE CIRUGIA                               "/>
    <x v="3"/>
    <x v="3"/>
    <s v="19938260-02"/>
    <s v="METRONIDAZOL u ORNIDAZOL 500 mg / 100 ml Solución Inyectable"/>
    <s v=""/>
    <s v=""/>
    <s v=""/>
    <s v=""/>
    <s v="500 mg / 100 ml"/>
    <n v="2"/>
    <n v="2625.7853225806452"/>
    <n v="5251.5706451612896"/>
  </r>
  <r>
    <s v="058"/>
    <s v="BODEGA SEDE QUIROIGA"/>
    <x v="0"/>
    <x v="0"/>
    <s v="29523-05"/>
    <s v="SODIO CLORURO 0.9 % Solución Inyectable Bolsa 500 ml"/>
    <s v=""/>
    <s v=""/>
    <s v=""/>
    <s v=""/>
    <s v="0.9 % - 500 ML"/>
    <n v="2"/>
    <n v="2635.2512459283389"/>
    <n v="5270.5024918566796"/>
  </r>
  <r>
    <s v="003"/>
    <s v="CARRO  DE PARO RECUPERACION HEMODINAMIA"/>
    <x v="0"/>
    <x v="0"/>
    <s v="20055559-1"/>
    <s v="LACTATO RINGER Solucion Inyectable bolsa 500 mL"/>
    <s v=""/>
    <s v=""/>
    <s v=""/>
    <s v=""/>
    <s v="500 ml"/>
    <n v="2"/>
    <n v="2736.7674999999999"/>
    <n v="5473.5349999999999"/>
  </r>
  <r>
    <s v="009"/>
    <s v="CARRO DE PARO URGENCIAS                           "/>
    <x v="0"/>
    <x v="0"/>
    <s v="20055559-1"/>
    <s v="LACTATO RINGER Solucion Inyectable bolsa 500 mL"/>
    <s v=""/>
    <s v=""/>
    <s v=""/>
    <s v=""/>
    <s v="500 ml"/>
    <n v="2"/>
    <n v="2736.7674999999999"/>
    <n v="5473.5349999999999"/>
  </r>
  <r>
    <s v="009"/>
    <s v="CARRO DE PARO URGENCIAS                           "/>
    <x v="0"/>
    <x v="0"/>
    <s v="32606-02"/>
    <s v="LACTATO RINGER Solucion Inyectable bolsa 500 mL"/>
    <s v=""/>
    <s v=""/>
    <s v=""/>
    <s v=""/>
    <s v="500 ml"/>
    <n v="2"/>
    <n v="2745.2384554455443"/>
    <n v="5490.4769108910896"/>
  </r>
  <r>
    <s v="001"/>
    <s v="FARMACIA CENTRAL                                  "/>
    <x v="2"/>
    <x v="2"/>
    <s v="XG000024"/>
    <s v="AGUJA ESPINAL SPINOCAN  G-27 X 3-1/2 X88MM X25U"/>
    <s v=""/>
    <s v=""/>
    <s v="006"/>
    <s v="Unidad"/>
    <s v=""/>
    <n v="2"/>
    <n v="2800.4413461538461"/>
    <n v="5600.8826923076904"/>
  </r>
  <r>
    <s v="001"/>
    <s v="FARMACIA CENTRAL                                  "/>
    <x v="0"/>
    <x v="0"/>
    <s v="20203819-1"/>
    <s v="TRANEXAMICO ACIDO 500 mg/5 ml Solución Inyectable"/>
    <s v=""/>
    <s v=""/>
    <s v=""/>
    <s v=""/>
    <s v="500 mg / 5 ml"/>
    <n v="2"/>
    <n v="3007"/>
    <n v="6014"/>
  </r>
  <r>
    <s v="009"/>
    <s v="CARRO DE PARO URGENCIAS                           "/>
    <x v="2"/>
    <x v="2"/>
    <s v="XT000045"/>
    <s v="TUBO ENDOTRAQUEAL # 6.0-C/B X1"/>
    <s v=""/>
    <s v=""/>
    <s v="006"/>
    <s v="Unidad"/>
    <s v=""/>
    <n v="2"/>
    <n v="3146.0238095238092"/>
    <n v="6292.0476190476202"/>
  </r>
  <r>
    <s v="026"/>
    <s v="CARRO DE PARO TERCER PISO                         "/>
    <x v="2"/>
    <x v="2"/>
    <s v="XT000045"/>
    <s v="TUBO ENDOTRAQUEAL # 6.0-C/B X1"/>
    <s v=""/>
    <s v=""/>
    <s v="006"/>
    <s v="Unidad"/>
    <s v=""/>
    <n v="2"/>
    <n v="3146.0238095238092"/>
    <n v="6292.0476190476202"/>
  </r>
  <r>
    <s v="002"/>
    <s v="FARMACIA DE CIRUGIA                               "/>
    <x v="2"/>
    <x v="2"/>
    <s v="XT000021"/>
    <s v="MASCARA DE  OXIGENO DE NO REINHALACION ADULTO"/>
    <s v=""/>
    <s v=""/>
    <s v="006"/>
    <s v="Unidad"/>
    <s v=""/>
    <n v="2"/>
    <n v="3147.4638144329897"/>
    <n v="6294.9276288659803"/>
  </r>
  <r>
    <s v="019"/>
    <s v="CARRO DE PARO UCI 1/2                             "/>
    <x v="2"/>
    <x v="2"/>
    <s v="XT000050"/>
    <s v="TUBO ENDOTRAQUEAL # 8.5-C/B X1"/>
    <s v=""/>
    <s v=""/>
    <s v="006"/>
    <s v="Unidad"/>
    <s v=""/>
    <n v="2"/>
    <n v="3156.7916666666665"/>
    <n v="6313.5833333333303"/>
  </r>
  <r>
    <s v="002"/>
    <s v="FARMACIA DE CIRUGIA                               "/>
    <x v="2"/>
    <x v="2"/>
    <s v="XV000007"/>
    <s v="VENDA DE GASA 4 X 5 *1 UNIDAD"/>
    <s v=""/>
    <s v=""/>
    <s v="006"/>
    <s v="Unidad"/>
    <s v=""/>
    <n v="2"/>
    <n v="3199.81"/>
    <n v="6399.62"/>
  </r>
  <r>
    <s v="001"/>
    <s v="FARMACIA CENTRAL                                  "/>
    <x v="2"/>
    <x v="2"/>
    <s v="XT000046"/>
    <s v="TUBO ENDOTRAQUEAL # 6.5-C/B X1"/>
    <s v=""/>
    <s v=""/>
    <s v="006"/>
    <s v="Unidad"/>
    <s v=""/>
    <n v="2"/>
    <n v="3219.5391304347827"/>
    <n v="6439.0782608695699"/>
  </r>
  <r>
    <s v="002"/>
    <s v="FARMACIA DE CIRUGIA                               "/>
    <x v="2"/>
    <x v="2"/>
    <s v="XT000046"/>
    <s v="TUBO ENDOTRAQUEAL # 6.5-C/B X1"/>
    <s v=""/>
    <s v=""/>
    <s v="006"/>
    <s v="Unidad"/>
    <s v=""/>
    <n v="2"/>
    <n v="3219.5391304347827"/>
    <n v="6439.0782608695699"/>
  </r>
  <r>
    <s v="019"/>
    <s v="CARRO DE PARO UCI 1/2                             "/>
    <x v="2"/>
    <x v="2"/>
    <s v="XT000046"/>
    <s v="TUBO ENDOTRAQUEAL # 6.5-C/B X1"/>
    <s v=""/>
    <s v=""/>
    <s v="006"/>
    <s v="Unidad"/>
    <s v=""/>
    <n v="2"/>
    <n v="3219.5391304347827"/>
    <n v="6439.0782608695699"/>
  </r>
  <r>
    <s v="029"/>
    <s v="CARRO DE PARO CUARTO PISO                         "/>
    <x v="2"/>
    <x v="2"/>
    <s v="XT000046"/>
    <s v="TUBO ENDOTRAQUEAL # 6.5-C/B X1"/>
    <s v=""/>
    <s v=""/>
    <s v="006"/>
    <s v="Unidad"/>
    <s v=""/>
    <n v="2"/>
    <n v="3219.5391304347827"/>
    <n v="6439.0782608695699"/>
  </r>
  <r>
    <s v="017"/>
    <s v="CARRO DE PARO UCI                                 "/>
    <x v="2"/>
    <x v="2"/>
    <s v="XT000049"/>
    <s v="TUBO ENDOTRAQUEAL # 8.0-C/B X1"/>
    <s v=""/>
    <s v=""/>
    <s v="006"/>
    <s v="Unidad"/>
    <s v=""/>
    <n v="2"/>
    <n v="3250.4286666666667"/>
    <n v="6500.8573333333297"/>
  </r>
  <r>
    <s v="004"/>
    <s v="CARRO DE PARO RADIOLOGIA"/>
    <x v="2"/>
    <x v="2"/>
    <s v="XT000048"/>
    <s v="TUBO ENDOTRAQUEAL # 7.5-C/B X1"/>
    <s v=""/>
    <s v=""/>
    <s v="006"/>
    <s v="Unidad"/>
    <s v=""/>
    <n v="2"/>
    <n v="3280.1967213114754"/>
    <n v="6560.3934426229498"/>
  </r>
  <r>
    <s v="002"/>
    <s v="FARMACIA DE CIRUGIA                               "/>
    <x v="0"/>
    <x v="0"/>
    <s v="19942695-02"/>
    <s v="SODIO CLORURO  0.45 % Solución inyectable x 500 ml"/>
    <s v=""/>
    <s v=""/>
    <s v=""/>
    <s v=""/>
    <s v="0.45% - 500 ML"/>
    <n v="2"/>
    <n v="3295.3123287671233"/>
    <n v="6590.6246575342502"/>
  </r>
  <r>
    <s v="002"/>
    <s v="FARMACIA DE CIRUGIA                               "/>
    <x v="3"/>
    <x v="3"/>
    <s v="20120233-01"/>
    <s v="CEFEPIME 1 g Polvo para reconstituir a solución inyectable"/>
    <s v=""/>
    <s v=""/>
    <s v=""/>
    <s v=""/>
    <s v="1 g"/>
    <n v="2"/>
    <n v="3498"/>
    <n v="6996"/>
  </r>
  <r>
    <s v="004"/>
    <s v="CARRO DE PARO RADIOLOGIA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09"/>
    <s v="CARRO DE PARO URGENCIAS        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14"/>
    <s v="CARRO DE PARO CARDIOLOGIA         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17"/>
    <s v="CARRO DE PARO UCI              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19"/>
    <s v="CARRO DE PARO UCI 1/2          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22"/>
    <s v="CARRO DE PARO DE CIRUGIA       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25"/>
    <s v="CARRO DE PARO GASTROENTEROLOGÌA                   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57"/>
    <s v="CARRO DE PARO UCI 2"/>
    <x v="0"/>
    <x v="0"/>
    <s v="19940721-17"/>
    <s v="HIDROCORTISONA 100 mg Polvo para reconstituir a solución inyectable"/>
    <s v=""/>
    <s v=""/>
    <s v=""/>
    <s v=""/>
    <s v="100 mg"/>
    <n v="2"/>
    <n v="3617.9749999999999"/>
    <n v="7235.95"/>
  </r>
  <r>
    <s v="019"/>
    <s v="CARRO DE PARO UCI 1/2                             "/>
    <x v="0"/>
    <x v="0"/>
    <s v="20052758-02"/>
    <s v="BETAMETILDIGOXINA 0.2 mg / 2 ml Solución Inyectable"/>
    <s v=""/>
    <s v=""/>
    <s v=""/>
    <s v=""/>
    <s v="0.2 mg / 2 ml"/>
    <n v="2"/>
    <n v="3680.25"/>
    <n v="7360.5"/>
  </r>
  <r>
    <s v="022"/>
    <s v="CARRO DE PARO DE CIRUGIA                          "/>
    <x v="0"/>
    <x v="0"/>
    <s v="20052758-02"/>
    <s v="BETAMETILDIGOXINA 0.2 mg / 2 ml Solución Inyectable"/>
    <s v=""/>
    <s v=""/>
    <s v=""/>
    <s v=""/>
    <s v="0.2 mg / 2 ml"/>
    <n v="2"/>
    <n v="3680.25"/>
    <n v="7360.5"/>
  </r>
  <r>
    <s v="001"/>
    <s v="FARMACIA CENTRAL                                  "/>
    <x v="2"/>
    <x v="2"/>
    <s v="XS000126"/>
    <s v="SUTURA QUIRURGICA MONOFILAMENTE ESTERIL SINTETICO NO ABSORBIBLE4/0(1382T E19)P8682TPS2 X2 DOCENAS"/>
    <s v=""/>
    <s v=""/>
    <s v="006"/>
    <s v="Unidad"/>
    <s v=""/>
    <n v="2"/>
    <n v="3711.88375"/>
    <n v="7423.7674999999999"/>
  </r>
  <r>
    <s v="002"/>
    <s v="FARMACIA DE CIRUGIA                               "/>
    <x v="2"/>
    <x v="2"/>
    <s v="XT000024"/>
    <s v="MASCARA VENTURY ADULTO (1088) X 1 HUDSON"/>
    <s v=""/>
    <s v=""/>
    <s v="006"/>
    <s v="Unidad"/>
    <s v=""/>
    <n v="2"/>
    <n v="3766.5286274509804"/>
    <n v="7533.0572549019598"/>
  </r>
  <r>
    <s v="004"/>
    <s v="CARRO DE PARO RADIOLOGIA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09"/>
    <s v="CARRO DE PARO URGENCIAS  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14"/>
    <s v="CARRO DE PARO CARDIOLOGIA   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17"/>
    <s v="CARRO DE PARO UCI        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19"/>
    <s v="CARRO DE PARO UCI 1/2    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22"/>
    <s v="CARRO DE PARO DE CIRUGIA 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25"/>
    <s v="CARRO DE PARO GASTROENTEROLOGÌA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26"/>
    <s v="CARRO DE PARO TERCER PISO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29"/>
    <s v="CARRO DE PARO CUARTO PISO                         "/>
    <x v="0"/>
    <x v="0"/>
    <s v="52038-03"/>
    <s v="LIDOCAINA CLORHIDRATO 2 % S.E. Solución inyectable 10 ml"/>
    <s v=""/>
    <s v=""/>
    <s v=""/>
    <s v=""/>
    <s v="2 % - 10 ml"/>
    <n v="2"/>
    <n v="3825.5590000000002"/>
    <n v="7651.1180000000004"/>
  </r>
  <r>
    <s v="015"/>
    <s v="CARRO DE PARO HEMODINAMIA                     "/>
    <x v="0"/>
    <x v="0"/>
    <s v="19940721-13"/>
    <s v="HIDROCORTISONA 100 mg Polvo para reconstituir a solución inyectable"/>
    <s v=""/>
    <s v=""/>
    <s v=""/>
    <s v=""/>
    <s v="100 mg"/>
    <n v="2"/>
    <n v="3845.9949999999999"/>
    <n v="7691.99"/>
  </r>
  <r>
    <s v="026"/>
    <s v="CARRO DE PARO TERCER PISO                         "/>
    <x v="0"/>
    <x v="0"/>
    <s v="19940721-13"/>
    <s v="HIDROCORTISONA 100 mg Polvo para reconstituir a solución inyectable"/>
    <s v=""/>
    <s v=""/>
    <s v=""/>
    <s v=""/>
    <s v="100 mg"/>
    <n v="2"/>
    <n v="3845.9949999999999"/>
    <n v="7691.99"/>
  </r>
  <r>
    <s v="029"/>
    <s v="CARRO DE PARO CUARTO PISO                         "/>
    <x v="0"/>
    <x v="0"/>
    <s v="19940721-13"/>
    <s v="HIDROCORTISONA 100 mg Polvo para reconstituir a solución inyectable"/>
    <s v=""/>
    <s v=""/>
    <s v=""/>
    <s v=""/>
    <s v="100 mg"/>
    <n v="2"/>
    <n v="3845.9949999999999"/>
    <n v="7691.99"/>
  </r>
  <r>
    <s v="005"/>
    <s v="ALMACEN MEDICAMENTOS"/>
    <x v="3"/>
    <x v="3"/>
    <s v="21475-02"/>
    <s v="CLOTRIMAZOL 1 % Crema Vaginal 40 G"/>
    <s v=""/>
    <s v=""/>
    <s v=""/>
    <s v=""/>
    <s v="1 %"/>
    <n v="2"/>
    <n v="4019.3333333333335"/>
    <n v="8038.6666666666697"/>
  </r>
  <r>
    <s v="001"/>
    <s v="FARMACIA CENTRAL                                  "/>
    <x v="2"/>
    <x v="2"/>
    <s v="XT000036"/>
    <s v="TUBO DE TORAX # 30 *1 CATETER"/>
    <s v=""/>
    <s v=""/>
    <s v="006"/>
    <s v="Unidad"/>
    <s v=""/>
    <n v="2"/>
    <n v="4187"/>
    <n v="8374"/>
  </r>
  <r>
    <s v="009"/>
    <s v="CARRO DE PARO URGENCIAS                           "/>
    <x v="2"/>
    <x v="2"/>
    <s v="XT000036"/>
    <s v="TUBO DE TORAX # 30 *1 CATETER"/>
    <s v=""/>
    <s v=""/>
    <s v="006"/>
    <s v="Unidad"/>
    <s v=""/>
    <n v="2"/>
    <n v="4187"/>
    <n v="8374"/>
  </r>
  <r>
    <s v="001"/>
    <s v="FARMACIA CENTRAL                                  "/>
    <x v="3"/>
    <x v="3"/>
    <s v="210465-02"/>
    <s v="CEFALEXINA 250 mg / 5 ml Polvo para reconstituir a solución oral Frasco 60mL"/>
    <s v=""/>
    <s v=""/>
    <s v=""/>
    <s v=""/>
    <s v="60 mL"/>
    <n v="2"/>
    <n v="4208"/>
    <n v="8416"/>
  </r>
  <r>
    <s v="009"/>
    <s v="CARRO DE PARO URGENCIAS                           "/>
    <x v="5"/>
    <x v="5"/>
    <s v="AP000097"/>
    <s v="TIJERAS"/>
    <s v=""/>
    <s v=""/>
    <s v="006"/>
    <s v="Unidad"/>
    <s v=""/>
    <n v="2"/>
    <n v="4226.4341176470589"/>
    <n v="8452.8682352941196"/>
  </r>
  <r>
    <s v="001"/>
    <s v="FARMACIA CENTRAL                                  "/>
    <x v="2"/>
    <x v="2"/>
    <s v="XT000037"/>
    <s v="TUBO DE TORAX # 32 *1 CATETER"/>
    <s v=""/>
    <s v=""/>
    <s v="006"/>
    <s v="Unidad"/>
    <s v=""/>
    <n v="2"/>
    <n v="4259.3705405405408"/>
    <n v="8518.7410810810798"/>
  </r>
  <r>
    <s v="001"/>
    <s v="FARMACIA CENTRAL                                  "/>
    <x v="0"/>
    <x v="0"/>
    <s v="19930887-3"/>
    <s v="SULFADIAZINA DE PLATA 1 % Crema Tópica 30 g"/>
    <s v=""/>
    <s v=""/>
    <s v=""/>
    <s v=""/>
    <s v="1 %"/>
    <n v="2"/>
    <n v="4270"/>
    <n v="8540"/>
  </r>
  <r>
    <s v="003"/>
    <s v="CARRO  DE PARO RECUPERACION HEMODINAMIA"/>
    <x v="2"/>
    <x v="2"/>
    <s v="XT000064"/>
    <s v="TUBO SUCCION DAVOL 3 M.X1/4 D.I.DAVOL(36290)*1"/>
    <s v=""/>
    <s v=""/>
    <s v="006"/>
    <s v="Unidad"/>
    <s v=""/>
    <n v="2"/>
    <n v="4436.8685029940125"/>
    <n v="8873.7370059880195"/>
  </r>
  <r>
    <s v="004"/>
    <s v="CARRO DE PARO RADIOLOGIA"/>
    <x v="2"/>
    <x v="2"/>
    <s v="XT000064"/>
    <s v="TUBO SUCCION DAVOL 3 M.X1/4 D.I.DAVOL(36290)*1"/>
    <s v=""/>
    <s v=""/>
    <s v="006"/>
    <s v="Unidad"/>
    <s v=""/>
    <n v="2"/>
    <n v="4436.8685029940125"/>
    <n v="8873.7370059880195"/>
  </r>
  <r>
    <s v="015"/>
    <s v="CARRO DE PARO HEMODINAMIA                     "/>
    <x v="2"/>
    <x v="2"/>
    <s v="XT000064"/>
    <s v="TUBO SUCCION DAVOL 3 M.X1/4 D.I.DAVOL(36290)*1"/>
    <s v=""/>
    <s v=""/>
    <s v="006"/>
    <s v="Unidad"/>
    <s v=""/>
    <n v="2"/>
    <n v="4436.8685029940125"/>
    <n v="8873.7370059880195"/>
  </r>
  <r>
    <s v="022"/>
    <s v="CARRO DE PARO DE CIRUGIA                          "/>
    <x v="2"/>
    <x v="2"/>
    <s v="XT000064"/>
    <s v="TUBO SUCCION DAVOL 3 M.X1/4 D.I.DAVOL(36290)*1"/>
    <s v=""/>
    <s v=""/>
    <s v="006"/>
    <s v="Unidad"/>
    <s v=""/>
    <n v="2"/>
    <n v="4436.8685029940125"/>
    <n v="8873.7370059880195"/>
  </r>
  <r>
    <s v="057"/>
    <s v="CARRO DE PARO UCI 2"/>
    <x v="2"/>
    <x v="2"/>
    <s v="XT000064"/>
    <s v="TUBO SUCCION DAVOL 3 M.X1/4 D.I.DAVOL(36290)*1"/>
    <s v=""/>
    <s v=""/>
    <s v="006"/>
    <s v="Unidad"/>
    <s v=""/>
    <n v="2"/>
    <n v="4436.8685029940125"/>
    <n v="8873.7370059880195"/>
  </r>
  <r>
    <s v="005"/>
    <s v="ALMACEN MEDICAMENTOS"/>
    <x v="3"/>
    <x v="3"/>
    <s v="20163216-4"/>
    <s v="CEFUROXIMA 750 mg Polvo para Reconstituir"/>
    <s v=""/>
    <s v=""/>
    <s v=""/>
    <s v=""/>
    <s v="750 mg"/>
    <n v="2"/>
    <n v="4918.666666666667"/>
    <n v="9837.3333333333303"/>
  </r>
  <r>
    <s v="001"/>
    <s v="FARMACIA CENTRAL                                  "/>
    <x v="0"/>
    <x v="0"/>
    <s v="20055151-3"/>
    <s v="NITROFURAZONA 0.2% UNGUENTO TOPICO  Tubo 40g"/>
    <s v=""/>
    <s v=""/>
    <s v=""/>
    <s v=""/>
    <s v="40 GR"/>
    <n v="2"/>
    <n v="5183.5294117647063"/>
    <n v="10367.058823529411"/>
  </r>
  <r>
    <s v="009"/>
    <s v="CARRO DE PARO URGENCIAS                           "/>
    <x v="1"/>
    <x v="1"/>
    <s v="AM000057"/>
    <s v="PILA MEDIANA ALKALINA"/>
    <s v=""/>
    <s v=""/>
    <s v="006"/>
    <s v="Unidad"/>
    <s v=""/>
    <n v="2"/>
    <n v="5237.6400000000003"/>
    <n v="10475.280000000001"/>
  </r>
  <r>
    <s v="001"/>
    <s v="FARMACIA CENTRAL                                  "/>
    <x v="0"/>
    <x v="0"/>
    <s v="20097544-01"/>
    <s v="Carboximetilcelulosa  Solución Oftálmica Estéril Frasco 15 ml"/>
    <s v=""/>
    <s v=""/>
    <s v=""/>
    <s v=""/>
    <s v="15ML"/>
    <n v="2"/>
    <n v="5498"/>
    <n v="10996"/>
  </r>
  <r>
    <s v="010"/>
    <s v="STOCK TERAPIA URGENCIAS                                   "/>
    <x v="2"/>
    <x v="2"/>
    <s v="XJ000008"/>
    <s v="JERINGA CON HEPARINA  PARA GASIMETRIA SANGUINEA X 1CC"/>
    <s v=""/>
    <s v=""/>
    <s v="006"/>
    <s v="Unidad"/>
    <s v=""/>
    <n v="2"/>
    <n v="5585.4120765027319"/>
    <n v="11170.82415300546"/>
  </r>
  <r>
    <s v="003"/>
    <s v="CARRO  DE PARO RECUPERACION HEMODINAMIA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04"/>
    <s v="CARRO DE PARO RADIOLOGIA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09"/>
    <s v="CARRO DE PARO URGENCIAS  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14"/>
    <s v="CARRO DE PARO CARDIOLOGIA   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15"/>
    <s v="CARRO DE PARO HEMODINAMIA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17"/>
    <s v="CARRO DE PARO UCI        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19"/>
    <s v="CARRO DE PARO UCI 1/2    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22"/>
    <s v="CARRO DE PARO DE CIRUGIA 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25"/>
    <s v="CARRO DE PARO GASTROENTEROLOGÌA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26"/>
    <s v="CARRO DE PARO TERCER PISO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29"/>
    <s v="CARRO DE PARO CUARTO PISO                         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53"/>
    <s v="CARRO DE PARO CRITICO QUIROGA"/>
    <x v="2"/>
    <x v="2"/>
    <s v="XJ000006"/>
    <s v="CATETERES PERIFERICOS INTRAVENOSOS INSYTE #18*50"/>
    <s v=""/>
    <s v=""/>
    <s v="006"/>
    <s v="Unidad"/>
    <s v=""/>
    <n v="2"/>
    <n v="5822.2279354838711"/>
    <n v="11644.45587096774"/>
  </r>
  <r>
    <s v="019"/>
    <s v="CARRO DE PARO UCI 1/2                             "/>
    <x v="7"/>
    <x v="7"/>
    <s v="AA000096"/>
    <s v="CREMA CONDUCTORA-CONDUGEL-FRASCO X 250ML *1"/>
    <s v=""/>
    <s v=""/>
    <s v="006"/>
    <s v="Unidad"/>
    <s v=""/>
    <n v="2"/>
    <n v="5873.5638461538456"/>
    <n v="11747.127692307689"/>
  </r>
  <r>
    <s v="001"/>
    <s v="FARMACIA CENTRAL                                  "/>
    <x v="0"/>
    <x v="0"/>
    <s v="4001722-01"/>
    <s v="LIDOCAINA HCL SIN EPINEFRINA 1% Solución Inyectable 50mL"/>
    <s v=""/>
    <s v=""/>
    <s v=""/>
    <s v=""/>
    <s v="50 ML"/>
    <n v="2"/>
    <n v="5875"/>
    <n v="11750"/>
  </r>
  <r>
    <s v="009"/>
    <s v="CARRO DE PARO URGENCIAS  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17"/>
    <s v="CARRO DE PARO UCI        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19"/>
    <s v="CARRO DE PARO UCI 1/2    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22"/>
    <s v="CARRO DE PARO DE CIRUGIA 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25"/>
    <s v="CARRO DE PARO GASTROENTEROLOGÌA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26"/>
    <s v="CARRO DE PARO TERCER PISO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29"/>
    <s v="CARRO DE PARO CUARTO PISO                         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53"/>
    <s v="CARRO DE PARO CRITICO QUIROGA"/>
    <x v="2"/>
    <x v="2"/>
    <s v="XS000131"/>
    <s v="SUTURA QUIRURGICA NO ABSORBIBLE SEDA PERMAHAND 2/0 185T-SC26 X2 DOCENAS SP44420"/>
    <s v=""/>
    <s v=""/>
    <s v="006"/>
    <s v="Unidad"/>
    <s v=""/>
    <n v="2"/>
    <n v="5898.3784375000005"/>
    <n v="11796.756874999999"/>
  </r>
  <r>
    <s v="001"/>
    <s v="FARMACIA CENTRAL                                  "/>
    <x v="0"/>
    <x v="0"/>
    <s v="40194-02"/>
    <s v="HIDROCORTISONA 1% Crema Tópica 15 g"/>
    <s v=""/>
    <s v=""/>
    <s v=""/>
    <s v=""/>
    <s v="1 %"/>
    <n v="2"/>
    <n v="5956.8666666666668"/>
    <n v="11913.73333333333"/>
  </r>
  <r>
    <s v="032"/>
    <s v="CLINICA DE HERIDAS                                "/>
    <x v="2"/>
    <x v="2"/>
    <s v="XS000142"/>
    <s v="PINZA PLASTICA PARA SELLAR BOLSA DE COLOSTOMIA*1"/>
    <s v=""/>
    <s v=""/>
    <s v="006"/>
    <s v="Unidad"/>
    <s v=""/>
    <n v="2"/>
    <n v="6068.0211111111103"/>
    <n v="12136.042222222221"/>
  </r>
  <r>
    <s v="002"/>
    <s v="FARMACIA DE CIRUGIA                               "/>
    <x v="0"/>
    <x v="0"/>
    <s v="20011750-01"/>
    <s v="BECLOMETASONA DIPROPIONATO 250 mcg / Puff Suspensión para inhalación 200 Dosis"/>
    <s v=""/>
    <s v=""/>
    <s v=""/>
    <s v=""/>
    <s v="200 puff"/>
    <n v="2"/>
    <n v="6180"/>
    <n v="12360"/>
  </r>
  <r>
    <s v="001"/>
    <s v="FARMACIA CENTRAL                                  "/>
    <x v="0"/>
    <x v="0"/>
    <s v="56622-02"/>
    <s v="POLIESTIRENO SULFONATO DE CALCIO 15 g Polvo para suspensión oral"/>
    <s v=""/>
    <s v=""/>
    <s v=""/>
    <s v=""/>
    <s v="15 g"/>
    <n v="2"/>
    <n v="6602.7749999999996"/>
    <n v="13205.55"/>
  </r>
  <r>
    <s v="029"/>
    <s v="CARRO DE PARO CUARTO PISO                         "/>
    <x v="6"/>
    <x v="6"/>
    <s v="35430-01"/>
    <s v="MIDAZOLAM 5 mg / 5 ml Solución Inyectable"/>
    <s v=""/>
    <s v=""/>
    <s v=""/>
    <s v=""/>
    <s v="5 mg / 5 ml"/>
    <n v="2"/>
    <n v="6808.1310000000003"/>
    <n v="13616.262000000001"/>
  </r>
  <r>
    <s v="001"/>
    <s v="FARMACIA CENTRAL                                  "/>
    <x v="2"/>
    <x v="2"/>
    <s v="XA000012"/>
    <s v="APOSITO TRANSPARENTE I.V ADVANCE 6.5 X 9 CM REF 7239005"/>
    <s v=""/>
    <s v=""/>
    <s v="006"/>
    <s v="Unidad"/>
    <s v=""/>
    <n v="2"/>
    <n v="6828.93"/>
    <n v="13657.86"/>
  </r>
  <r>
    <s v="019"/>
    <s v="CARRO DE PARO UCI 1/2                             "/>
    <x v="2"/>
    <x v="2"/>
    <s v="XA000012"/>
    <s v="APOSITO TRANSPARENTE I.V ADVANCE 6.5 X 9 CM REF 7239005"/>
    <s v=""/>
    <s v=""/>
    <s v="006"/>
    <s v="Unidad"/>
    <s v=""/>
    <n v="2"/>
    <n v="6828.93"/>
    <n v="13657.86"/>
  </r>
  <r>
    <s v="053"/>
    <s v="CARRO DE PARO CRITICO QUIROGA"/>
    <x v="2"/>
    <x v="2"/>
    <s v="XA000012"/>
    <s v="APOSITO TRANSPARENTE I.V ADVANCE 6.5 X 9 CM REF 7239005"/>
    <s v=""/>
    <s v=""/>
    <s v="006"/>
    <s v="Unidad"/>
    <s v=""/>
    <n v="2"/>
    <n v="6828.93"/>
    <n v="13657.86"/>
  </r>
  <r>
    <s v="001"/>
    <s v="FARMACIA CENTRAL                                  "/>
    <x v="0"/>
    <x v="0"/>
    <s v="19977699-03"/>
    <s v="ALUMINIO HIDROXIDO + MAGNESIO HIDROXIDO + SIMETICONA 4 g +4 g + 0.4 g Suspensión Oral 360 ml"/>
    <s v=""/>
    <s v=""/>
    <s v=""/>
    <s v=""/>
    <s v="4g +4g +0.4 g - 360 ml"/>
    <n v="2"/>
    <n v="6890"/>
    <n v="13780"/>
  </r>
  <r>
    <s v="001"/>
    <s v="FARMACIA CENTRAL                                  "/>
    <x v="2"/>
    <x v="2"/>
    <s v="XS000087"/>
    <s v="SUTURA DE POLIESTERETHIBOND 2/0(B411H-CT1)B411H X3 DOCENAS"/>
    <s v=""/>
    <s v=""/>
    <s v="006"/>
    <s v="Unidad"/>
    <s v=""/>
    <n v="2"/>
    <n v="7002"/>
    <n v="14004"/>
  </r>
  <r>
    <s v="002"/>
    <s v="FARMACIA DE CIRUGIA                               "/>
    <x v="2"/>
    <x v="2"/>
    <s v="XE000012"/>
    <s v="EQUIPO PARA ADMINISTRACION DE PLAQUETAS"/>
    <s v=""/>
    <s v=""/>
    <s v="006"/>
    <s v="Unidad"/>
    <s v=""/>
    <n v="2"/>
    <n v="7608.4736842105258"/>
    <n v="15216.94736842105"/>
  </r>
  <r>
    <s v="002"/>
    <s v="FARMACIA DE CIRUGIA                               "/>
    <x v="4"/>
    <x v="4"/>
    <s v="20087299-01"/>
    <s v="DEXMEDETOMIDINA 100 mcg / ml Solución inyectable x 2 ml "/>
    <s v=""/>
    <s v=""/>
    <s v=""/>
    <s v=""/>
    <s v="0.2mg/2ml"/>
    <n v="2"/>
    <n v="7654.5804154302668"/>
    <n v="15309.16083086053"/>
  </r>
  <r>
    <s v="001"/>
    <s v="FARMACIA CENTRAL                                  "/>
    <x v="0"/>
    <x v="0"/>
    <s v="19906526-03"/>
    <s v="FOSFATO Y BIFOSFATO 16g + 6g Solución Oral Fco 133 mL"/>
    <s v=""/>
    <s v=""/>
    <s v=""/>
    <s v=""/>
    <s v="16g + 6g - 133 ml"/>
    <n v="2"/>
    <n v="8247.5"/>
    <n v="16495"/>
  </r>
  <r>
    <s v="005"/>
    <s v="ALMACEN MEDICAMENTOS"/>
    <x v="0"/>
    <x v="0"/>
    <s v="19906526-03"/>
    <s v="FOSFATO Y BIFOSFATO 16g + 6g Solución Oral Fco 133 mL"/>
    <s v=""/>
    <s v=""/>
    <s v=""/>
    <s v=""/>
    <s v="16g + 6g - 133 ml"/>
    <n v="2"/>
    <n v="8247.5"/>
    <n v="16495"/>
  </r>
  <r>
    <s v="001"/>
    <s v="FARMACIA CENTRAL                                  "/>
    <x v="2"/>
    <x v="2"/>
    <s v="XD000164"/>
    <s v="SONDA FOLEY 18FRX5ML 2VIAS SILICONA 100%"/>
    <s v=""/>
    <s v=""/>
    <s v="006"/>
    <s v="Unidad"/>
    <s v=""/>
    <n v="2"/>
    <n v="8365.636363636364"/>
    <n v="16731.272727272732"/>
  </r>
  <r>
    <s v="001"/>
    <s v="FARMACIA CENTRAL                                  "/>
    <x v="2"/>
    <x v="2"/>
    <s v="XD000123"/>
    <s v="SONDA FOLEY 16FRX5ML 2VIAS SILICONA 100%"/>
    <s v=""/>
    <s v=""/>
    <s v="006"/>
    <s v="Unidad"/>
    <s v=""/>
    <n v="2"/>
    <n v="8440.2525000000005"/>
    <n v="16880.505000000001"/>
  </r>
  <r>
    <s v="001"/>
    <s v="FARMACIA CENTRAL                                  "/>
    <x v="0"/>
    <x v="0"/>
    <s v="20122840-01"/>
    <s v="LEVONORGESTREL 0.75 mg Tableta"/>
    <s v=""/>
    <s v=""/>
    <s v=""/>
    <s v=""/>
    <s v="0.75 mg"/>
    <n v="2"/>
    <n v="8500"/>
    <n v="17000"/>
  </r>
  <r>
    <s v="008"/>
    <s v="ALMACEN  GENERAL                                         "/>
    <x v="5"/>
    <x v="5"/>
    <s v="AP000183"/>
    <s v="COLORES"/>
    <s v=""/>
    <s v=""/>
    <s v="006"/>
    <s v="Unidad"/>
    <s v=""/>
    <n v="2"/>
    <n v="8792.7999999999993"/>
    <n v="17585.599999999999"/>
  </r>
  <r>
    <s v="008"/>
    <s v="ALMACEN  GENERAL                                         "/>
    <x v="12"/>
    <x v="12"/>
    <s v="AR000042"/>
    <s v="TOP MUJER X 1"/>
    <s v=""/>
    <s v=""/>
    <s v="006"/>
    <s v="Unidad"/>
    <s v=""/>
    <n v="2"/>
    <n v="8803"/>
    <n v="17606"/>
  </r>
  <r>
    <s v="001"/>
    <s v="FARMACIA CENTRAL                                  "/>
    <x v="2"/>
    <x v="2"/>
    <s v="XS000135"/>
    <s v="SUTURA QUIRURGICA NO ABSORBIBLE SEDA PERMAHAND 3/0 622H KS X3 DOCENAS"/>
    <s v=""/>
    <s v=""/>
    <s v="006"/>
    <s v="Unidad"/>
    <s v=""/>
    <n v="2"/>
    <n v="8908.5088372093014"/>
    <n v="17817.017674418599"/>
  </r>
  <r>
    <s v="001"/>
    <s v="FARMACIA CENTRAL                                  "/>
    <x v="0"/>
    <x v="0"/>
    <s v="32609-01"/>
    <s v="FOSFATO Y BIFOSFATO 16g + 6g Solución Rectal Bolsa 133 mL"/>
    <s v=""/>
    <s v=""/>
    <s v=""/>
    <s v=""/>
    <s v="16g + 6g - 133 ml"/>
    <n v="2"/>
    <n v="9344.8875000000007"/>
    <n v="18689.775000000001"/>
  </r>
  <r>
    <s v="005"/>
    <s v="ALMACEN MEDICAMENTOS"/>
    <x v="0"/>
    <x v="0"/>
    <s v="32609-01"/>
    <s v="FOSFATO Y BIFOSFATO 16g + 6g Solución Rectal Bolsa 133 mL"/>
    <s v=""/>
    <s v=""/>
    <s v=""/>
    <s v=""/>
    <s v="16g + 6g - 133 ml"/>
    <n v="2"/>
    <n v="9344.8875000000007"/>
    <n v="18689.775000000001"/>
  </r>
  <r>
    <s v="003"/>
    <s v="CARRO  DE PARO RECUPERACION HEMODINAMIA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04"/>
    <s v="CARRO DE PARO RADIOLOGIA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09"/>
    <s v="CARRO DE PARO URGENCIAS                           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15"/>
    <s v="CARRO DE PARO HEMODINAMIA                     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19"/>
    <s v="CARRO DE PARO UCI 1/2                             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22"/>
    <s v="CARRO DE PARO DE CIRUGIA                          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53"/>
    <s v="CARRO DE PARO CRITICO QUIROGA"/>
    <x v="0"/>
    <x v="0"/>
    <s v="20096205-01"/>
    <s v="VASOPRESINA 20 U.I Solución inyectable"/>
    <s v=""/>
    <s v=""/>
    <s v=""/>
    <s v=""/>
    <s v="20 UI"/>
    <n v="2"/>
    <n v="10080.152592592593"/>
    <n v="20160.305185185189"/>
  </r>
  <r>
    <s v="026"/>
    <s v="CARRO DE PARO TERCER PISO                         "/>
    <x v="0"/>
    <x v="0"/>
    <s v="29517-01"/>
    <s v="DEXTROSA EN AGUA DESTILADA 50%  Solución Inyectable 500 ml"/>
    <s v=""/>
    <s v=""/>
    <s v=""/>
    <s v=""/>
    <s v="50 % - 500 ml"/>
    <n v="2"/>
    <n v="10404.861842105262"/>
    <n v="20809.72368421053"/>
  </r>
  <r>
    <s v="029"/>
    <s v="CARRO DE PARO CUARTO PISO                         "/>
    <x v="0"/>
    <x v="0"/>
    <s v="29517-01"/>
    <s v="DEXTROSA EN AGUA DESTILADA 50%  Solución Inyectable 500 ml"/>
    <s v=""/>
    <s v=""/>
    <s v=""/>
    <s v=""/>
    <s v="50 % - 500 ml"/>
    <n v="2"/>
    <n v="10404.861842105262"/>
    <n v="20809.72368421053"/>
  </r>
  <r>
    <s v="003"/>
    <s v="CARRO  DE PARO RECUPERACION HEMODINAMIA"/>
    <x v="2"/>
    <x v="2"/>
    <s v="XS000132"/>
    <s v="SUTURA QUIRURGICA NO ABSORBIBLE SEDA PERMAHAND 2/0 623H KS X3 DOCENAS"/>
    <s v=""/>
    <s v=""/>
    <s v="006"/>
    <s v="Unidad"/>
    <s v=""/>
    <n v="2"/>
    <n v="10464.536519337018"/>
    <n v="20929.073038674029"/>
  </r>
  <r>
    <s v="004"/>
    <s v="CARRO DE PARO RADIOLOGIA"/>
    <x v="2"/>
    <x v="2"/>
    <s v="XS000132"/>
    <s v="SUTURA QUIRURGICA NO ABSORBIBLE SEDA PERMAHAND 2/0 623H KS X3 DOCENAS"/>
    <s v=""/>
    <s v=""/>
    <s v="006"/>
    <s v="Unidad"/>
    <s v=""/>
    <n v="2"/>
    <n v="10464.536519337018"/>
    <n v="20929.073038674029"/>
  </r>
  <r>
    <s v="014"/>
    <s v="CARRO DE PARO CARDIOLOGIA                            "/>
    <x v="2"/>
    <x v="2"/>
    <s v="XS000132"/>
    <s v="SUTURA QUIRURGICA NO ABSORBIBLE SEDA PERMAHAND 2/0 623H KS X3 DOCENAS"/>
    <s v=""/>
    <s v=""/>
    <s v="006"/>
    <s v="Unidad"/>
    <s v=""/>
    <n v="2"/>
    <n v="10464.536519337018"/>
    <n v="20929.073038674029"/>
  </r>
  <r>
    <s v="015"/>
    <s v="CARRO DE PARO HEMODINAMIA                     "/>
    <x v="2"/>
    <x v="2"/>
    <s v="XS000132"/>
    <s v="SUTURA QUIRURGICA NO ABSORBIBLE SEDA PERMAHAND 2/0 623H KS X3 DOCENAS"/>
    <s v=""/>
    <s v=""/>
    <s v="006"/>
    <s v="Unidad"/>
    <s v=""/>
    <n v="2"/>
    <n v="10464.536519337018"/>
    <n v="20929.073038674029"/>
  </r>
  <r>
    <s v="017"/>
    <s v="CARRO DE PARO UCI                                 "/>
    <x v="2"/>
    <x v="2"/>
    <s v="XS000132"/>
    <s v="SUTURA QUIRURGICA NO ABSORBIBLE SEDA PERMAHAND 2/0 623H KS X3 DOCENAS"/>
    <s v=""/>
    <s v=""/>
    <s v="006"/>
    <s v="Unidad"/>
    <s v=""/>
    <n v="2"/>
    <n v="10464.536519337018"/>
    <n v="20929.073038674029"/>
  </r>
  <r>
    <s v="001"/>
    <s v="FARMACIA CENTRAL                                  "/>
    <x v="3"/>
    <x v="3"/>
    <s v="19982144-01"/>
    <s v="AZTREONAM 1000 mg Polvo para reconstituir a solución inyectable"/>
    <s v=""/>
    <s v=""/>
    <s v=""/>
    <s v=""/>
    <s v="1000 mg"/>
    <n v="2"/>
    <n v="12204.5"/>
    <n v="24409"/>
  </r>
  <r>
    <s v="033"/>
    <s v="TERAPIA GENERAL"/>
    <x v="2"/>
    <x v="2"/>
    <s v="XS000103"/>
    <s v="SUTURA QUIRURGICA ABSORBIBLE VICRYL 5/0-J303-RB-1CAJA X1 DOCENA"/>
    <s v=""/>
    <s v=""/>
    <s v="006"/>
    <s v="Unidad"/>
    <s v=""/>
    <n v="2"/>
    <n v="12420.510985915495"/>
    <n v="24841.021971830989"/>
  </r>
  <r>
    <s v="024"/>
    <s v="MATERIAL DE OSTEOSINTESIS - MOS"/>
    <x v="11"/>
    <x v="11"/>
    <s v="PIN12150"/>
    <s v="PIN KIRSCHNER DE 1.2 X 150 MM"/>
    <s v=""/>
    <s v=""/>
    <s v="006"/>
    <s v="Unidad"/>
    <s v=""/>
    <n v="2"/>
    <n v="12548.21"/>
    <n v="25096.42"/>
  </r>
  <r>
    <s v="001"/>
    <s v="FARMACIA CENTRAL                                  "/>
    <x v="2"/>
    <x v="2"/>
    <s v="XO000009"/>
    <s v="COLLAR CERVICAL PHILADELPHIA L UNIDAD"/>
    <s v=""/>
    <s v=""/>
    <s v="006"/>
    <s v="Unidad"/>
    <s v=""/>
    <n v="2"/>
    <n v="15098.718000000001"/>
    <n v="30197.436000000002"/>
  </r>
  <r>
    <s v="001"/>
    <s v="FARMACIA CENTRAL                                  "/>
    <x v="2"/>
    <x v="2"/>
    <s v="XO000010"/>
    <s v="COLLAR CERVICAL PHILADELPHIA M UNIDAD"/>
    <s v=""/>
    <s v=""/>
    <s v="006"/>
    <s v="Unidad"/>
    <s v=""/>
    <n v="2"/>
    <n v="15127.890769230769"/>
    <n v="30255.781538461539"/>
  </r>
  <r>
    <s v="001"/>
    <s v="FARMACIA CENTRAL                                  "/>
    <x v="2"/>
    <x v="2"/>
    <s v="XD000449"/>
    <s v="BOLSA DE COLOSTOMIA NATURA 70MM REF 416422-416423/411806-421041"/>
    <s v=""/>
    <s v=""/>
    <s v="006"/>
    <s v="Unidad"/>
    <s v=""/>
    <n v="2"/>
    <n v="15370.884705882354"/>
    <n v="30741.769411764712"/>
  </r>
  <r>
    <s v="001"/>
    <s v="FARMACIA CENTRAL                                  "/>
    <x v="2"/>
    <x v="2"/>
    <s v="XO000014"/>
    <s v="COLLAR CERVICAL TALLA S  BLANDO"/>
    <s v=""/>
    <s v=""/>
    <s v="006"/>
    <s v="Unidad"/>
    <s v=""/>
    <n v="2"/>
    <n v="15428.7"/>
    <n v="30857.4"/>
  </r>
  <r>
    <s v="001"/>
    <s v="FARMACIA CENTRAL                                  "/>
    <x v="2"/>
    <x v="2"/>
    <s v="XD000015"/>
    <s v="BOLSA PARA  UROSTOMIA CON VALVULA  NATURA 45 MM REF 401544-404593"/>
    <s v=""/>
    <s v=""/>
    <s v="006"/>
    <s v="Unidad"/>
    <s v=""/>
    <n v="2"/>
    <n v="15693"/>
    <n v="31386"/>
  </r>
  <r>
    <s v="032"/>
    <s v="CLINICA DE HERIDAS                                "/>
    <x v="2"/>
    <x v="2"/>
    <s v="XD000015"/>
    <s v="BOLSA PARA  UROSTOMIA CON VALVULA  NATURA 45 MM REF 401544-404593"/>
    <s v=""/>
    <s v=""/>
    <s v="006"/>
    <s v="Unidad"/>
    <s v=""/>
    <n v="2"/>
    <n v="15693"/>
    <n v="31386"/>
  </r>
  <r>
    <s v="002"/>
    <s v="FARMACIA DE CIRUGIA                               "/>
    <x v="0"/>
    <x v="0"/>
    <s v="29514-02"/>
    <s v="MANITOL 20 % Solución inyectable bolsa 500ml"/>
    <s v=""/>
    <s v=""/>
    <s v=""/>
    <s v=""/>
    <s v="20 % - 500 ml"/>
    <n v="2"/>
    <n v="15909.861052631579"/>
    <n v="31819.722105263161"/>
  </r>
  <r>
    <s v="033"/>
    <s v="TERAPIA GENERAL"/>
    <x v="2"/>
    <x v="2"/>
    <s v="XS000128"/>
    <s v="SUTURA QUIRURGICA MONOFILAMENTE ESTERIL SINTETICO NO ABSORBIBLE6/0(1397T E11)P8697TP1 X2 DOCENAS"/>
    <s v=""/>
    <s v=""/>
    <s v="006"/>
    <s v="Unidad"/>
    <s v=""/>
    <n v="2"/>
    <n v="16054.317027027026"/>
    <n v="32108.634054054051"/>
  </r>
  <r>
    <s v="032"/>
    <s v="CLINICA DE HERIDAS                                "/>
    <x v="2"/>
    <x v="2"/>
    <s v="XD000016"/>
    <s v="BOLSA PARA UROSTOMIA CON VALVULA ACCUSEAL NATURA 57 MM 401545-404594"/>
    <s v=""/>
    <s v=""/>
    <s v="006"/>
    <s v="Unidad"/>
    <s v=""/>
    <n v="2"/>
    <n v="16326"/>
    <n v="32652"/>
  </r>
  <r>
    <s v="001"/>
    <s v="FARMACIA CENTRAL                                  "/>
    <x v="2"/>
    <x v="2"/>
    <s v="XO000011"/>
    <s v="COLLAR CERVICAL PHILADELPHIA S UNIDAD"/>
    <s v=""/>
    <s v=""/>
    <s v="006"/>
    <s v="Unidad"/>
    <s v=""/>
    <n v="2"/>
    <n v="16418.195"/>
    <n v="32836.39"/>
  </r>
  <r>
    <s v="032"/>
    <s v="CLINICA DE HERIDAS                                "/>
    <x v="2"/>
    <x v="2"/>
    <s v="XD000013"/>
    <s v="BOLSA DE COLOSTOMIA 70MM NATURA"/>
    <s v=""/>
    <s v=""/>
    <s v="006"/>
    <s v="Unidad"/>
    <s v=""/>
    <n v="2"/>
    <n v="17171"/>
    <n v="34342"/>
  </r>
  <r>
    <s v="003"/>
    <s v="CARRO  DE PARO RECUPERACION HEMODINAMIA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04"/>
    <s v="CARRO DE PARO RADIOLOGIA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09"/>
    <s v="CARRO DE PARO URGENCIAS                           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14"/>
    <s v="CARRO DE PARO CARDIOLOGIA                            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17"/>
    <s v="CARRO DE PARO UCI                                 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25"/>
    <s v="CARRO DE PARO GASTROENTEROLOGÌA                   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57"/>
    <s v="CARRO DE PARO UCI 2"/>
    <x v="0"/>
    <x v="0"/>
    <s v="52271-01"/>
    <s v="AMIODARONA 150 mg / 3ml Solución Inyectable"/>
    <s v=""/>
    <s v=""/>
    <s v=""/>
    <s v=""/>
    <s v="150 mg / 3ml"/>
    <n v="2"/>
    <n v="17623.232"/>
    <n v="35246.464"/>
  </r>
  <r>
    <s v="001"/>
    <s v="FARMACIA CENTRAL                                  "/>
    <x v="2"/>
    <x v="2"/>
    <s v="XO000012"/>
    <s v="COLLAR CERVICAL TALLA L  BLANDO"/>
    <s v=""/>
    <s v=""/>
    <s v="006"/>
    <s v="Unidad"/>
    <s v=""/>
    <n v="2"/>
    <n v="17629.722222222223"/>
    <n v="35259.444444444438"/>
  </r>
  <r>
    <s v="003"/>
    <s v="CARRO  DE PARO RECUPERACION HEMODINAMIA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04"/>
    <s v="CARRO DE PARO RADIOLOGIA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09"/>
    <s v="CARRO DE PARO URGENCIAS  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14"/>
    <s v="CARRO DE PARO CARDIOLOGIA   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15"/>
    <s v="CARRO DE PARO HEMODINAMIA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17"/>
    <s v="CARRO DE PARO UCI        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22"/>
    <s v="CARRO DE PARO DE CIRUGIA 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25"/>
    <s v="CARRO DE PARO GASTROENTEROLOGÌA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26"/>
    <s v="CARRO DE PARO TERCER PISO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29"/>
    <s v="CARRO DE PARO CUARTO PISO                         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57"/>
    <s v="CARRO DE PARO UCI 2"/>
    <x v="0"/>
    <x v="0"/>
    <s v="19917356-04"/>
    <s v="PROPOFOL 1% Emulsión inyectable 20 ml"/>
    <s v=""/>
    <s v=""/>
    <s v=""/>
    <s v=""/>
    <s v="200mg/20ml"/>
    <n v="2"/>
    <n v="17745.580869565216"/>
    <n v="35491.161739130432"/>
  </r>
  <r>
    <s v="057"/>
    <s v="CARRO DE PARO UCI 2"/>
    <x v="0"/>
    <x v="0"/>
    <s v="39227-05"/>
    <s v="METOPROLOL 5 mg / 5ml Solución Inyectable"/>
    <s v=""/>
    <s v=""/>
    <s v=""/>
    <s v=""/>
    <s v="5 mg / 5ml"/>
    <n v="2"/>
    <n v="17751.05"/>
    <n v="35502.1"/>
  </r>
  <r>
    <s v="001"/>
    <s v="FARMACIA CENTRAL                                  "/>
    <x v="2"/>
    <x v="2"/>
    <s v="XO000013"/>
    <s v="COLLAR CERVICAL TALLA M BLANDO"/>
    <s v=""/>
    <s v=""/>
    <s v="006"/>
    <s v="Unidad"/>
    <s v=""/>
    <n v="2"/>
    <n v="18363.222222222223"/>
    <n v="36726.444444444438"/>
  </r>
  <r>
    <s v="022"/>
    <s v="CARRO DE PARO DE CIRUGIA                          "/>
    <x v="0"/>
    <x v="0"/>
    <s v="20087310-01"/>
    <s v="NITROGLICERINA / DEXTROSA 0.2 mg / ml + 5% Solución inyectable 250 ml "/>
    <s v=""/>
    <s v=""/>
    <s v=""/>
    <s v=""/>
    <s v="50MG"/>
    <n v="2"/>
    <n v="18750"/>
    <n v="37500"/>
  </r>
  <r>
    <s v="001"/>
    <s v="FARMACIA CENTRAL                                  "/>
    <x v="3"/>
    <x v="3"/>
    <s v="19943837-05"/>
    <s v="FOSFOMICINA TROMETAMOL 3 g Granulado "/>
    <s v=""/>
    <s v=""/>
    <s v=""/>
    <s v=""/>
    <s v="3 g"/>
    <n v="2"/>
    <n v="18871"/>
    <n v="37742"/>
  </r>
  <r>
    <s v="005"/>
    <s v="ALMACEN MEDICAMENTOS"/>
    <x v="3"/>
    <x v="3"/>
    <s v="19943837-05"/>
    <s v="FOSFOMICINA TROMETAMOL 3 g Granulado "/>
    <s v=""/>
    <s v=""/>
    <s v=""/>
    <s v=""/>
    <s v="3 g"/>
    <n v="2"/>
    <n v="18871"/>
    <n v="37742"/>
  </r>
  <r>
    <s v="002"/>
    <s v="FARMACIA DE CIRUGIA                               "/>
    <x v="2"/>
    <x v="2"/>
    <s v="XD000046"/>
    <s v="EXO-VAC 1/8 -3.2MM-CAJA *10 UNIDADES"/>
    <s v=""/>
    <s v=""/>
    <s v="006"/>
    <s v="Unidad"/>
    <s v=""/>
    <n v="2"/>
    <n v="19162.400000000001"/>
    <n v="38324.800000000003"/>
  </r>
  <r>
    <s v="006"/>
    <s v="ALMACEN MEDICOQUIRURGICOS   "/>
    <x v="2"/>
    <x v="2"/>
    <s v="XD000046"/>
    <s v="EXO-VAC 1/8 -3.2MM-CAJA *10 UNIDADES"/>
    <s v=""/>
    <s v=""/>
    <s v="006"/>
    <s v="Unidad"/>
    <s v=""/>
    <n v="2"/>
    <n v="19162.400000000001"/>
    <n v="38324.800000000003"/>
  </r>
  <r>
    <s v="032"/>
    <s v="CLINICA DE HERIDAS                                "/>
    <x v="2"/>
    <x v="2"/>
    <s v="XA000083"/>
    <s v="COMPRESA ABSORBENTE 7X9 CM  CUTIMED SORBACT REF 72165-00"/>
    <s v=""/>
    <s v=""/>
    <s v="006"/>
    <s v="Unidad"/>
    <s v=""/>
    <n v="2"/>
    <n v="19722"/>
    <n v="39444"/>
  </r>
  <r>
    <s v="032"/>
    <s v="CLINICA DE HERIDAS                                "/>
    <x v="2"/>
    <x v="2"/>
    <s v="XD000006"/>
    <s v="BARRERA DE COLOSTOMIA PROTECTORA 45MM  SUR-FIT  REF "/>
    <s v=""/>
    <s v=""/>
    <s v="006"/>
    <s v="Unidad"/>
    <s v=""/>
    <n v="2"/>
    <n v="20109.540769230771"/>
    <n v="40219.081538461542"/>
  </r>
  <r>
    <s v="006"/>
    <s v="ALMACEN MEDICOQUIRURGICOS   "/>
    <x v="2"/>
    <x v="2"/>
    <s v="XD000253"/>
    <s v="CONECTOR EN -Y- PLASTICO REFLM86-2012"/>
    <s v=""/>
    <s v=""/>
    <s v="006"/>
    <s v="Unidad"/>
    <s v=""/>
    <n v="2"/>
    <n v="20549.056666666667"/>
    <n v="41098.113333333327"/>
  </r>
  <r>
    <s v="008"/>
    <s v="ALMACEN  GENERAL                                         "/>
    <x v="5"/>
    <x v="5"/>
    <s v="AP000077"/>
    <s v="CALCULADORA TRULY"/>
    <s v=""/>
    <s v=""/>
    <s v="006"/>
    <s v="Unidad"/>
    <s v=""/>
    <n v="2"/>
    <n v="20659.650000000001"/>
    <n v="41319.300000000003"/>
  </r>
  <r>
    <s v="002"/>
    <s v="FARMACIA DE CIRUGIA                               "/>
    <x v="0"/>
    <x v="0"/>
    <s v="50709-02"/>
    <s v="LIDOCAINA BASE 10 g  Solución Tópica en Aerosol "/>
    <s v=""/>
    <s v=""/>
    <s v=""/>
    <s v=""/>
    <s v="10 g"/>
    <n v="2"/>
    <n v="22077.166666666668"/>
    <n v="44154.333333333328"/>
  </r>
  <r>
    <s v="005"/>
    <s v="ALMACEN MEDICAMENTOS"/>
    <x v="0"/>
    <x v="0"/>
    <s v="50709-02"/>
    <s v="LIDOCAINA BASE 10 g  Solución Tópica en Aerosol "/>
    <s v=""/>
    <s v=""/>
    <s v=""/>
    <s v=""/>
    <s v="10 g"/>
    <n v="2"/>
    <n v="22077.166666666668"/>
    <n v="44154.333333333328"/>
  </r>
  <r>
    <s v="001"/>
    <s v="FARMACIA CENTRAL                                  "/>
    <x v="0"/>
    <x v="0"/>
    <s v="1980804-02"/>
    <s v="BROMURO DE IPRATROPIO 0.25 mg / ml Soluciónpara Nebulizar"/>
    <s v=""/>
    <s v=""/>
    <s v=""/>
    <s v=""/>
    <s v="15 ml"/>
    <n v="2"/>
    <n v="22303.329230769228"/>
    <n v="44606.658461538464"/>
  </r>
  <r>
    <s v="001"/>
    <s v="FARMACIA CENTRAL                                  "/>
    <x v="2"/>
    <x v="2"/>
    <s v="XD000010"/>
    <s v="BARRERA DE COLOSTOMIA  MOLDEABLE CONVEXA  DE 45 MM REF 404593-401544"/>
    <s v=""/>
    <s v=""/>
    <s v="006"/>
    <s v="Unidad"/>
    <s v=""/>
    <n v="2"/>
    <n v="22541.057142857142"/>
    <n v="45082.114285714291"/>
  </r>
  <r>
    <s v="001"/>
    <s v="FARMACIA CENTRAL                                  "/>
    <x v="0"/>
    <x v="0"/>
    <s v="19930893-2"/>
    <s v="BROMURO DE IPRATROPIO 20 mcg / Dosis- Aerosol 200 Dosis"/>
    <s v=""/>
    <s v=""/>
    <s v=""/>
    <s v=""/>
    <s v="200 Puff"/>
    <n v="2"/>
    <n v="22599"/>
    <n v="45198"/>
  </r>
  <r>
    <s v="008"/>
    <s v="ALMACEN  GENERAL                                         "/>
    <x v="5"/>
    <x v="5"/>
    <s v="AP000184"/>
    <s v="DIGITURNO ROLLO POR 3000 TICKETS"/>
    <s v=""/>
    <s v=""/>
    <s v="006"/>
    <s v="Unidad"/>
    <s v=""/>
    <n v="2"/>
    <n v="23205"/>
    <n v="46410"/>
  </r>
  <r>
    <s v="017"/>
    <s v="CARRO DE PARO UCI              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19"/>
    <s v="CARRO DE PARO UCI 1/2          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22"/>
    <s v="CARRO DE PARO DE CIRUGIA       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25"/>
    <s v="CARRO DE PARO GASTROENTEROLOGÌA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26"/>
    <s v="CARRO DE PARO TERCER PISO      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29"/>
    <s v="CARRO DE PARO CUARTO PISO                         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57"/>
    <s v="CARRO DE PARO UCI 2"/>
    <x v="2"/>
    <x v="2"/>
    <s v="XE000004"/>
    <s v="EQUIPO BOMBA 5000 PRIMARIO XL HOSPIRA REF 1401"/>
    <s v=""/>
    <s v=""/>
    <s v="006"/>
    <s v="Unidad"/>
    <s v=""/>
    <n v="2"/>
    <n v="24641.383614744351"/>
    <n v="49282.767229488702"/>
  </r>
  <r>
    <s v="001"/>
    <s v="FARMACIA CENTRAL                                  "/>
    <x v="2"/>
    <x v="2"/>
    <s v="XT000001"/>
    <s v="ADAPTADOR DE MOUNT CON CODO 90 GRADOS"/>
    <s v=""/>
    <s v=""/>
    <s v="006"/>
    <s v="Unidad"/>
    <s v=""/>
    <n v="2"/>
    <n v="25631.887777777778"/>
    <n v="51263.775555555563"/>
  </r>
  <r>
    <s v="002"/>
    <s v="FARMACIA DE CIRUGIA                               "/>
    <x v="2"/>
    <x v="2"/>
    <s v="XT000001"/>
    <s v="ADAPTADOR DE MOUNT CON CODO 90 GRADOS"/>
    <s v=""/>
    <s v=""/>
    <s v="006"/>
    <s v="Unidad"/>
    <s v=""/>
    <n v="2"/>
    <n v="25631.887777777778"/>
    <n v="51263.775555555563"/>
  </r>
  <r>
    <s v="032"/>
    <s v="CLINICA DE HERIDAS                                "/>
    <x v="2"/>
    <x v="2"/>
    <s v="XD000005"/>
    <s v="BARRERA DE COLOSTOMIA  PLANA RECORTABLE LEXIBLE  57MM NUTURA REF 413167"/>
    <s v=""/>
    <s v=""/>
    <s v="006"/>
    <s v="Unidad"/>
    <s v=""/>
    <n v="2"/>
    <n v="25721"/>
    <n v="51442"/>
  </r>
  <r>
    <s v="032"/>
    <s v="CLINICA DE HERIDAS                                "/>
    <x v="2"/>
    <x v="2"/>
    <s v="XD000018"/>
    <s v="BOLSA Y  BARRERA DE COLOSTOMIA  POSOPERATORIA ACTIVE LIFE REF 227711"/>
    <s v=""/>
    <s v=""/>
    <s v="006"/>
    <s v="Unidad"/>
    <s v=""/>
    <n v="2"/>
    <n v="26190.521951219511"/>
    <n v="52381.043902439022"/>
  </r>
  <r>
    <s v="008"/>
    <s v="ALMACEN  GENERAL                                         "/>
    <x v="10"/>
    <x v="10"/>
    <s v="AD000059"/>
    <s v="PANTALON ANTIFLUIDO AZUL "/>
    <s v=""/>
    <s v=""/>
    <s v="006"/>
    <s v="Unidad"/>
    <s v=""/>
    <n v="2"/>
    <n v="27000"/>
    <n v="54000"/>
  </r>
  <r>
    <s v="001"/>
    <s v="FARMACIA CENTRAL                                  "/>
    <x v="2"/>
    <x v="2"/>
    <s v="XD000446"/>
    <s v="BARRERA COLOSTOMIA NUTURA MOLDEABLE FLEXIBLE 70MM REF 411806-421041/416423-416422"/>
    <s v=""/>
    <s v=""/>
    <s v="006"/>
    <s v="Unidad"/>
    <s v=""/>
    <n v="2"/>
    <n v="27448.172352941179"/>
    <n v="54896.344705882351"/>
  </r>
  <r>
    <s v="001"/>
    <s v="FARMACIA CENTRAL                                  "/>
    <x v="0"/>
    <x v="0"/>
    <s v="19931241-01"/>
    <s v="BROMURO DE IPATROPIO + BROMHIDRATO DE FENOTEROL 0.50 mg + 0.25 mg / ml Inhalador"/>
    <s v=""/>
    <s v=""/>
    <s v=""/>
    <s v=""/>
    <s v="200 PUFF"/>
    <n v="2"/>
    <n v="27672.5"/>
    <n v="55345"/>
  </r>
  <r>
    <s v="001"/>
    <s v="FARMACIA CENTRAL                                  "/>
    <x v="2"/>
    <x v="2"/>
    <s v="XT000008"/>
    <s v="CANULA PARA TRAQUEOTOMIA #8.0 X 1 PORTEX"/>
    <s v=""/>
    <s v=""/>
    <s v="006"/>
    <s v="Unidad"/>
    <s v=""/>
    <n v="2"/>
    <n v="28220.3"/>
    <n v="56440.6"/>
  </r>
  <r>
    <s v="002"/>
    <s v="FARMACIA DE CIRUGIA                               "/>
    <x v="0"/>
    <x v="0"/>
    <s v="20263958-3"/>
    <s v="LIDOCAINA HCL CON EPINEFRINA 2% Solución Inyectable Vial 20mL"/>
    <s v=""/>
    <s v=""/>
    <s v=""/>
    <s v=""/>
    <s v="2 % - 20 ml"/>
    <n v="2"/>
    <n v="29000"/>
    <n v="58000"/>
  </r>
  <r>
    <s v="001"/>
    <s v="FARMACIA CENTRAL                                  "/>
    <x v="4"/>
    <x v="4"/>
    <s v="20098490-1"/>
    <s v="LEVETIRACETAM 100 mg / ml Solución oral x 300 ml"/>
    <s v=""/>
    <s v=""/>
    <s v=""/>
    <s v=""/>
    <s v="100 mg / ml  - 300 ml"/>
    <n v="2"/>
    <n v="29002.833333333332"/>
    <n v="58005.666666666672"/>
  </r>
  <r>
    <s v="032"/>
    <s v="CLINICA DE HERIDAS                                "/>
    <x v="2"/>
    <x v="2"/>
    <s v="XD000007"/>
    <s v="BARRERA DE COLOSTOMIA RECORTABLE NATURA 70MM "/>
    <s v=""/>
    <s v=""/>
    <s v="006"/>
    <s v="Unidad"/>
    <s v=""/>
    <n v="2"/>
    <n v="29111.5"/>
    <n v="58223"/>
  </r>
  <r>
    <s v="002"/>
    <s v="FARMACIA DE CIRUGIA                               "/>
    <x v="2"/>
    <x v="2"/>
    <s v="XA000032"/>
    <s v="ESPONJA QUIRURGICA ESTERIL CON TUBO-400410"/>
    <s v=""/>
    <s v=""/>
    <s v="006"/>
    <s v="Unidad"/>
    <s v=""/>
    <n v="2"/>
    <n v="29465"/>
    <n v="58930"/>
  </r>
  <r>
    <s v="002"/>
    <s v="FARMACIA DE CIRUGIA                               "/>
    <x v="2"/>
    <x v="2"/>
    <s v="XD000045"/>
    <s v="EXO-VAC 1/4 -6.4MM-CAJA *10 UNIDADES"/>
    <s v=""/>
    <s v=""/>
    <s v="006"/>
    <s v="Unidad"/>
    <s v=""/>
    <n v="2"/>
    <n v="30096.657999999999"/>
    <n v="60193.315999999999"/>
  </r>
  <r>
    <s v="001"/>
    <s v="FARMACIA CENTRAL                                  "/>
    <x v="2"/>
    <x v="2"/>
    <s v="XO000004"/>
    <s v="BRACE MUNECA DERECHA/IZQUIERDA S "/>
    <s v=""/>
    <s v=""/>
    <s v="006"/>
    <s v="Unidad"/>
    <s v=""/>
    <n v="2"/>
    <n v="30500"/>
    <n v="61000"/>
  </r>
  <r>
    <s v="001"/>
    <s v="FARMACIA CENTRAL                                  "/>
    <x v="2"/>
    <x v="2"/>
    <s v="XO000006"/>
    <s v="BRACE TOBILLO LARGE   TOBILLERA"/>
    <s v=""/>
    <s v=""/>
    <s v="006"/>
    <s v="Unidad"/>
    <s v=""/>
    <n v="2"/>
    <n v="33000"/>
    <n v="66000"/>
  </r>
  <r>
    <s v="002"/>
    <s v="FARMACIA DE CIRUGIA                               "/>
    <x v="2"/>
    <x v="2"/>
    <s v="XJ000020"/>
    <s v="CUCHILLA CLIPPER CIRUGIA GENERAL  B.D X 1 REF 4406"/>
    <s v=""/>
    <s v=""/>
    <s v="006"/>
    <s v="Unidad"/>
    <s v=""/>
    <n v="2"/>
    <n v="33095.185624999998"/>
    <n v="66190.371249999997"/>
  </r>
  <r>
    <s v="002"/>
    <s v="FARMACIA DE CIRUGIA                               "/>
    <x v="2"/>
    <x v="2"/>
    <s v="XD000099"/>
    <s v="PIN DE FIJACION EXTERNA STEINMANN 2,5"/>
    <s v=""/>
    <s v=""/>
    <s v="006"/>
    <s v="Unidad"/>
    <s v=""/>
    <n v="2"/>
    <n v="33962"/>
    <n v="67924"/>
  </r>
  <r>
    <s v="002"/>
    <s v="FARMACIA DE CIRUGIA                               "/>
    <x v="2"/>
    <x v="2"/>
    <s v="XD000100"/>
    <s v="PIN DE FIJACION EXTERNA STEINMANN 3,0"/>
    <s v=""/>
    <s v=""/>
    <s v="006"/>
    <s v="Unidad"/>
    <s v=""/>
    <n v="2"/>
    <n v="33962"/>
    <n v="67924"/>
  </r>
  <r>
    <s v="021"/>
    <s v="CENTRAL DE ESTERILIZACION                         "/>
    <x v="2"/>
    <x v="2"/>
    <s v="XD000099"/>
    <s v="PIN DE FIJACION EXTERNA STEINMANN 2,5"/>
    <s v=""/>
    <s v=""/>
    <s v="006"/>
    <s v="Unidad"/>
    <s v=""/>
    <n v="2"/>
    <n v="33962"/>
    <n v="67924"/>
  </r>
  <r>
    <s v="006"/>
    <s v="ALMACEN MEDICOQUIRURGICOS   "/>
    <x v="2"/>
    <x v="2"/>
    <s v="XO000003"/>
    <s v="BRACE MUNECA DERECHA/IZQUIERDA M "/>
    <s v=""/>
    <s v=""/>
    <s v="006"/>
    <s v="Unidad"/>
    <s v=""/>
    <n v="2"/>
    <n v="35000"/>
    <n v="70000"/>
  </r>
  <r>
    <s v="002"/>
    <s v="FARMACIA DE CIRUGIA                               "/>
    <x v="2"/>
    <x v="2"/>
    <s v="XG000025"/>
    <s v="AGUJA ESPINAL SPINOCAN G-22 X4 3/4-120MM *25 LARGO R."/>
    <s v=""/>
    <s v=""/>
    <s v="006"/>
    <s v="Unidad"/>
    <s v=""/>
    <n v="2"/>
    <n v="35743.714285714283"/>
    <n v="71487.428571428565"/>
  </r>
  <r>
    <s v="001"/>
    <s v="FARMACIA CENTRAL                                  "/>
    <x v="0"/>
    <x v="0"/>
    <s v="20067121-1"/>
    <s v="FLUOXETINA 20 mg / 5 ml Jarabe Frasco 70 ml"/>
    <s v=""/>
    <s v=""/>
    <s v=""/>
    <s v=""/>
    <s v="20 mg / 5 ml - 70 ml"/>
    <n v="2"/>
    <n v="36950"/>
    <n v="73900"/>
  </r>
  <r>
    <s v="001"/>
    <s v="FARMACIA CENTRAL                                  "/>
    <x v="2"/>
    <x v="2"/>
    <s v="XE000015"/>
    <s v="KIT DE TRACCION CUTANEA ADULTO SENCILLO."/>
    <s v=""/>
    <s v=""/>
    <s v="006"/>
    <s v="Unidad"/>
    <s v=""/>
    <n v="2"/>
    <n v="36998.228749999995"/>
    <n v="73996.457500000004"/>
  </r>
  <r>
    <s v="008"/>
    <s v="ALMACEN  GENERAL                                         "/>
    <x v="10"/>
    <x v="10"/>
    <s v="AD000055"/>
    <s v="CASCO ANTIRUIDO CON OREJERAS"/>
    <s v=""/>
    <s v=""/>
    <s v="006"/>
    <s v="Unidad"/>
    <s v=""/>
    <n v="2"/>
    <n v="38538.300000000003"/>
    <n v="77076.600000000006"/>
  </r>
  <r>
    <s v="001"/>
    <s v="FARMACIA CENTRAL                                  "/>
    <x v="2"/>
    <x v="2"/>
    <s v="XD000167"/>
    <s v="CINTURON PARA EQUIPO DE OSTOMIA REF 1755-07"/>
    <s v=""/>
    <s v=""/>
    <s v="006"/>
    <s v="Unidad"/>
    <s v=""/>
    <n v="2"/>
    <n v="40421.470588235294"/>
    <n v="80842.941176470587"/>
  </r>
  <r>
    <s v="001"/>
    <s v="FARMACIA CENTRAL                                  "/>
    <x v="2"/>
    <x v="2"/>
    <s v="XO000020"/>
    <s v="MEDIA ANTIEMBOLICA  TALLA XXL  PAR MEDIA 3184LF X1"/>
    <s v=""/>
    <s v=""/>
    <s v="006"/>
    <s v="Unidad"/>
    <s v=""/>
    <n v="2"/>
    <n v="40634.75"/>
    <n v="81269.5"/>
  </r>
  <r>
    <s v="001"/>
    <s v="FARMACIA CENTRAL                                  "/>
    <x v="2"/>
    <x v="2"/>
    <s v="XO000021"/>
    <s v="MEDIA ANTIEMBOLICA TALLA L  PAR MEDIA T.E.D.*6"/>
    <s v=""/>
    <s v=""/>
    <s v="006"/>
    <s v="Unidad"/>
    <s v=""/>
    <n v="2"/>
    <n v="41329.494545454545"/>
    <n v="82658.98909090909"/>
  </r>
  <r>
    <s v="001"/>
    <s v="FARMACIA CENTRAL                                  "/>
    <x v="2"/>
    <x v="2"/>
    <s v="XO000022"/>
    <s v="MEDIA ANTIEMBOLICA TALLA M PAR MEDIA T.E.D.*6"/>
    <s v=""/>
    <s v=""/>
    <s v="006"/>
    <s v="Unidad"/>
    <s v=""/>
    <n v="2"/>
    <n v="41573.815000000002"/>
    <n v="83147.63"/>
  </r>
  <r>
    <s v="006"/>
    <s v="ALMACEN MEDICOQUIRURGICOS   "/>
    <x v="2"/>
    <x v="2"/>
    <s v="XO000022"/>
    <s v="MEDIA ANTIEMBOLICA TALLA M PAR MEDIA T.E.D.*6"/>
    <s v=""/>
    <s v=""/>
    <s v="006"/>
    <s v="Unidad"/>
    <s v=""/>
    <n v="2"/>
    <n v="41573.815000000002"/>
    <n v="83147.63"/>
  </r>
  <r>
    <s v="001"/>
    <s v="FARMACIA CENTRAL                                  "/>
    <x v="2"/>
    <x v="2"/>
    <s v="XD000317"/>
    <s v="BRACE CON PULGAR EN ADUCCION"/>
    <s v=""/>
    <s v=""/>
    <s v="006"/>
    <s v="Unidad"/>
    <s v=""/>
    <n v="2"/>
    <n v="41618.666666666664"/>
    <n v="83237.333333333328"/>
  </r>
  <r>
    <s v="002"/>
    <s v="FARMACIA DE CIRUGIA                               "/>
    <x v="2"/>
    <x v="2"/>
    <s v="XD000108"/>
    <s v="SET DE ANESTESIA EPIDURAL PERIFIX-301-401 G-18 L.O.R."/>
    <s v=""/>
    <s v=""/>
    <s v="006"/>
    <s v="Unidad"/>
    <s v=""/>
    <n v="2"/>
    <n v="41633.914042553188"/>
    <n v="83267.828085106376"/>
  </r>
  <r>
    <s v="008"/>
    <s v="ALMACEN  GENERAL                                         "/>
    <x v="10"/>
    <x v="10"/>
    <s v="AD000058"/>
    <s v="CAJA DE TORNIQUETES X 25CMS REF 367203"/>
    <s v=""/>
    <s v=""/>
    <s v="006"/>
    <s v="Unidad"/>
    <s v=""/>
    <n v="2"/>
    <n v="41650"/>
    <n v="83300"/>
  </r>
  <r>
    <s v="001"/>
    <s v="FARMACIA CENTRAL                                  "/>
    <x v="2"/>
    <x v="2"/>
    <s v="XO000023"/>
    <s v="MEDIA ANTIEMBOLICA TALLA S  PAR MEDIA T.E.D.*6"/>
    <s v=""/>
    <s v=""/>
    <s v="006"/>
    <s v="Unidad"/>
    <s v=""/>
    <n v="2"/>
    <n v="42956.055000000008"/>
    <n v="85912.11"/>
  </r>
  <r>
    <s v="008"/>
    <s v="ALMACEN  GENERAL                                         "/>
    <x v="13"/>
    <x v="13"/>
    <s v="AC000018"/>
    <s v="SERVILLETAS   CAJA   REF.7205"/>
    <s v=""/>
    <s v=""/>
    <s v="006"/>
    <s v="Unidad"/>
    <s v=""/>
    <n v="2"/>
    <n v="46008.484999999993"/>
    <n v="92016.97"/>
  </r>
  <r>
    <s v="008"/>
    <s v="ALMACEN  GENERAL                                         "/>
    <x v="1"/>
    <x v="1"/>
    <s v="AM000025"/>
    <s v="BRAZALETE PARA NIBP PARA BARIATRICOS 2 VIAS Y UNA VIA"/>
    <s v=""/>
    <s v=""/>
    <s v="006"/>
    <s v="Unidad"/>
    <s v=""/>
    <n v="2"/>
    <n v="48790"/>
    <n v="97580"/>
  </r>
  <r>
    <s v="001"/>
    <s v="FARMACIA CENTRAL                                  "/>
    <x v="0"/>
    <x v="0"/>
    <s v="19961973-01"/>
    <s v="BARIO SULFATO 96 % Frasco x 176 g Polvo para suspensión oral"/>
    <s v=""/>
    <s v=""/>
    <s v=""/>
    <s v=""/>
    <s v="176 g"/>
    <n v="2"/>
    <n v="49600"/>
    <n v="99200"/>
  </r>
  <r>
    <s v="006"/>
    <s v="ALMACEN MEDICOQUIRURGICOS   "/>
    <x v="2"/>
    <x v="2"/>
    <s v="XD000313"/>
    <s v="PINZA PARA BIOPSIA 2.8MM X 160 CM REF M00513300"/>
    <s v=""/>
    <s v=""/>
    <s v="006"/>
    <s v="Unidad"/>
    <s v=""/>
    <n v="2"/>
    <n v="50326"/>
    <n v="100652"/>
  </r>
  <r>
    <s v="001"/>
    <s v="FARMACIA CENTRAL                                  "/>
    <x v="4"/>
    <x v="4"/>
    <s v="19918906-1"/>
    <s v="FORMOTEROL+BUDESONIDA 4.5/160 MCG DOSIS"/>
    <s v=""/>
    <s v=""/>
    <s v=""/>
    <s v=""/>
    <s v="4.5/160MCG"/>
    <n v="2"/>
    <n v="51500"/>
    <n v="103000"/>
  </r>
  <r>
    <s v="002"/>
    <s v="FARMACIA DE CIRUGIA                               "/>
    <x v="2"/>
    <x v="2"/>
    <s v="XD000312"/>
    <s v="PINZA PARA BIOPSIA 2.8MMX240CM   REF M00513320"/>
    <s v=""/>
    <s v=""/>
    <s v="006"/>
    <s v="Unidad"/>
    <s v=""/>
    <n v="2"/>
    <n v="51937.5"/>
    <n v="103875"/>
  </r>
  <r>
    <s v="006"/>
    <s v="ALMACEN MEDICOQUIRURGICOS   "/>
    <x v="2"/>
    <x v="2"/>
    <s v="XD000312"/>
    <s v="PINZA PARA BIOPSIA 2.8MMX240CM   REF M00513320"/>
    <s v=""/>
    <s v=""/>
    <s v="006"/>
    <s v="Unidad"/>
    <s v=""/>
    <n v="2"/>
    <n v="51937.5"/>
    <n v="103875"/>
  </r>
  <r>
    <s v="001"/>
    <s v="FARMACIA CENTRAL                                  "/>
    <x v="2"/>
    <x v="2"/>
    <s v="XA000068"/>
    <s v="GEL HIDROACTIVO DUODERM"/>
    <s v=""/>
    <s v=""/>
    <s v="006"/>
    <s v="Unidad"/>
    <s v=""/>
    <n v="2"/>
    <n v="52195.93"/>
    <n v="104391.86"/>
  </r>
  <r>
    <s v="001"/>
    <s v="FARMACIA CENTRAL                                  "/>
    <x v="2"/>
    <x v="2"/>
    <s v="XS000118"/>
    <s v="SUTURA QUIRURGICA MONOFILAMENTE ESTERIL SINTETICO NO ABSORBIBLE 3/0(1363T E24)P8663TPS X2 DOCENAS SP5663"/>
    <s v=""/>
    <s v=""/>
    <s v="006"/>
    <s v="Unidad"/>
    <s v=""/>
    <n v="2"/>
    <n v="52417.890967741943"/>
    <n v="104835.78193548389"/>
  </r>
  <r>
    <s v="001"/>
    <s v="FARMACIA CENTRAL                                  "/>
    <x v="2"/>
    <x v="2"/>
    <s v="XA000079"/>
    <s v="BARRERA CUTANEA NO IRRITANTE SPRAY 50 ML SENSI CARE"/>
    <s v=""/>
    <s v=""/>
    <s v="006"/>
    <s v="Unidad"/>
    <s v=""/>
    <n v="2"/>
    <n v="53196.71"/>
    <n v="106393.42"/>
  </r>
  <r>
    <s v="001"/>
    <s v="FARMACIA CENTRAL                                  "/>
    <x v="4"/>
    <x v="4"/>
    <s v="20151033-1"/>
    <s v="TIGECICLINA 50 mg Polvo para reconstituir a solución inyectable"/>
    <s v=""/>
    <s v=""/>
    <s v=""/>
    <s v=""/>
    <s v="50 mg"/>
    <n v="2"/>
    <n v="55004.235000000001"/>
    <n v="110008.47"/>
  </r>
  <r>
    <s v="002"/>
    <s v="FARMACIA DE CIRUGIA                               "/>
    <x v="2"/>
    <x v="2"/>
    <s v="XD000334"/>
    <s v="CLIP DE FIJACION LARGO DE 9 MM DE LARGO PARA ENDOSCOPIA REF HX-610-090L"/>
    <s v=""/>
    <s v=""/>
    <s v="006"/>
    <s v="Unidad"/>
    <s v=""/>
    <n v="2"/>
    <n v="56579.244999999995"/>
    <n v="113158.49"/>
  </r>
  <r>
    <s v="052"/>
    <s v="CONSIGNACION LM INSTRUMENS S.A"/>
    <x v="2"/>
    <x v="2"/>
    <s v="XD000334"/>
    <s v="CLIP DE FIJACION LARGO DE 9 MM DE LARGO PARA ENDOSCOPIA REF HX-610-090L"/>
    <s v=""/>
    <s v=""/>
    <s v="006"/>
    <s v="Unidad"/>
    <s v=""/>
    <n v="2"/>
    <n v="56579.244999999995"/>
    <n v="113158.49"/>
  </r>
  <r>
    <s v="008"/>
    <s v="ALMACEN  GENERAL                                         "/>
    <x v="1"/>
    <x v="1"/>
    <s v="AM000143"/>
    <s v="BOMBILLO 24 V 100W  SIN ALETAS"/>
    <s v=""/>
    <s v=""/>
    <s v="006"/>
    <s v="Unidad"/>
    <s v=""/>
    <n v="2"/>
    <n v="57120"/>
    <n v="114240"/>
  </r>
  <r>
    <s v="001"/>
    <s v="FARMACIA CENTRAL                                  "/>
    <x v="4"/>
    <x v="4"/>
    <s v="20044623-01"/>
    <s v="FLUMAZENIL 0.5mg/5ml Solución Inyectable "/>
    <s v=""/>
    <s v=""/>
    <s v=""/>
    <s v=""/>
    <s v="5ml"/>
    <n v="2"/>
    <n v="61690.46"/>
    <n v="123380.92"/>
  </r>
  <r>
    <s v="006"/>
    <s v="ALMACEN MEDICOQUIRURGICOS   "/>
    <x v="2"/>
    <x v="2"/>
    <s v="XD000283"/>
    <s v="PASTA PROTECTORA CUTANEA Y RELLENO STOMAHESIVE RE3F 183910"/>
    <s v=""/>
    <s v=""/>
    <s v="006"/>
    <s v="Unidad"/>
    <s v=""/>
    <n v="2"/>
    <n v="64922.14875"/>
    <n v="129844.2975"/>
  </r>
  <r>
    <s v="006"/>
    <s v="ALMACEN MEDICOQUIRURGICOS   "/>
    <x v="2"/>
    <x v="2"/>
    <s v="XA000110"/>
    <s v="APOSITO DE FIJACION MEPITEL ONE 10X18CM REF 289500"/>
    <s v=""/>
    <s v=""/>
    <s v="006"/>
    <s v="Unidad"/>
    <s v=""/>
    <n v="2"/>
    <n v="65514.193548387098"/>
    <n v="131028.3870967742"/>
  </r>
  <r>
    <s v="002"/>
    <s v="FARMACIA DE CIRUGIA                               "/>
    <x v="2"/>
    <x v="2"/>
    <s v="XA000018"/>
    <s v="CAMPO INCISION ANTIMICROBIAL IOBAN 6640-60 X 35 *10"/>
    <s v=""/>
    <s v=""/>
    <s v="006"/>
    <s v="Unidad"/>
    <s v=""/>
    <n v="2"/>
    <n v="70804.524705882359"/>
    <n v="141609.04941176472"/>
  </r>
  <r>
    <s v="046"/>
    <s v="BODEGA HEMODINAMIA CONSIGNACION"/>
    <x v="2"/>
    <x v="2"/>
    <s v="7533-13"/>
    <s v="CATETER DIAGNOSTICO TIPO PERFORMA 5 FR MPA 1 MULTIPROPOSITO X 100 CM"/>
    <s v=""/>
    <s v=""/>
    <s v="006"/>
    <s v="Unidad"/>
    <s v=""/>
    <n v="2"/>
    <n v="73000"/>
    <n v="146000"/>
  </r>
  <r>
    <s v="008"/>
    <s v="ALMACEN  GENERAL                                         "/>
    <x v="1"/>
    <x v="1"/>
    <s v="AM000173"/>
    <s v="LATIGUILLOS PARA CABLE ECG  GE MODELO B650"/>
    <s v=""/>
    <s v=""/>
    <s v="006"/>
    <s v="Unidad"/>
    <s v=""/>
    <n v="2"/>
    <n v="73358"/>
    <n v="146716"/>
  </r>
  <r>
    <s v="017"/>
    <s v="CARRO DE PARO UCI                                 "/>
    <x v="1"/>
    <x v="1"/>
    <s v="AM000207"/>
    <s v="MASCARA LARINGEA  REUSABLE  No. 4 y 5"/>
    <s v=""/>
    <s v=""/>
    <s v="006"/>
    <s v="Unidad"/>
    <s v=""/>
    <n v="2"/>
    <n v="76942.326774193556"/>
    <n v="153884.65354838711"/>
  </r>
  <r>
    <s v="023"/>
    <s v="CARRO DE VÌA AÉREA DIFÍCIL"/>
    <x v="1"/>
    <x v="1"/>
    <s v="AM000207"/>
    <s v="MASCARA LARINGEA  REUSABLE  No. 4 y 5"/>
    <s v=""/>
    <s v=""/>
    <s v="006"/>
    <s v="Unidad"/>
    <s v=""/>
    <n v="2"/>
    <n v="76942.326774193556"/>
    <n v="153884.65354838711"/>
  </r>
  <r>
    <s v="008"/>
    <s v="ALMACEN  GENERAL                                         "/>
    <x v="1"/>
    <x v="1"/>
    <s v="AM000204"/>
    <s v="CINTA CONTROL A GAS"/>
    <s v=""/>
    <s v=""/>
    <s v="006"/>
    <s v="Unidad"/>
    <s v=""/>
    <n v="2"/>
    <n v="77991.42"/>
    <n v="155982.84"/>
  </r>
  <r>
    <s v="002"/>
    <s v="FARMACIA DE CIRUGIA                               "/>
    <x v="2"/>
    <x v="2"/>
    <s v="XS000172"/>
    <s v="ADEHESIVO TISULAR DE ENBUCRILATO HISTOACRYL"/>
    <s v=""/>
    <s v=""/>
    <s v="006"/>
    <s v="Unidad"/>
    <s v=""/>
    <n v="2"/>
    <n v="78700"/>
    <n v="157400"/>
  </r>
  <r>
    <s v="059"/>
    <s v="BODEGA CUARENTENA"/>
    <x v="2"/>
    <x v="2"/>
    <s v="XC000020"/>
    <s v="CATETER URETERAL 5-6FR X 70CM PUNTA ABIERTA REF 20040-C6"/>
    <s v=""/>
    <s v=""/>
    <s v="006"/>
    <s v="Unidad"/>
    <s v=""/>
    <n v="2"/>
    <n v="79990"/>
    <n v="159980"/>
  </r>
  <r>
    <s v="003"/>
    <s v="CARRO  DE PARO RECUPERACION HEMODINAMIA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04"/>
    <s v="CARRO DE PARO RADIOLOGIA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09"/>
    <s v="CARRO DE PARO URGENCIAS  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14"/>
    <s v="CARRO DE PARO CARDIOLOGIA   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15"/>
    <s v="CARRO DE PARO HEMODINAMIA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17"/>
    <s v="CARRO DE PARO UCI        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22"/>
    <s v="CARRO DE PARO DE CIRUGIA 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25"/>
    <s v="CARRO DE PARO GASTROENTEROLOGÌA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26"/>
    <s v="CARRO DE PARO TERCER PISO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29"/>
    <s v="CARRO DE PARO CUARTO PISO                         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57"/>
    <s v="CARRO DE PARO UCI 2"/>
    <x v="2"/>
    <x v="2"/>
    <s v="XC000021"/>
    <s v="CATETER VENOSO CENTRAL DOBLE LUMEN  (17702) REF 4162200E-07"/>
    <s v=""/>
    <s v=""/>
    <s v="006"/>
    <s v="Unidad"/>
    <s v=""/>
    <n v="2"/>
    <n v="80197.548536585367"/>
    <n v="160395.09707317071"/>
  </r>
  <r>
    <s v="008"/>
    <s v="ALMACEN  GENERAL                                         "/>
    <x v="10"/>
    <x v="10"/>
    <s v="AD000052"/>
    <s v="RODILLERA EN GEL  X PAR"/>
    <s v=""/>
    <s v=""/>
    <s v="006"/>
    <s v="Unidad"/>
    <s v=""/>
    <n v="2"/>
    <n v="83119.399999999994"/>
    <n v="166238.79999999999"/>
  </r>
  <r>
    <s v="006"/>
    <s v="ALMACEN MEDICOQUIRURGICOS   "/>
    <x v="2"/>
    <x v="2"/>
    <s v="XO000050"/>
    <s v="FAJA LUMBAR TIPO CAMP TALLA M"/>
    <s v=""/>
    <s v=""/>
    <s v="006"/>
    <s v="Unidad"/>
    <s v=""/>
    <n v="2"/>
    <n v="88333"/>
    <n v="176666"/>
  </r>
  <r>
    <s v="008"/>
    <s v="ALMACEN  GENERAL                                         "/>
    <x v="10"/>
    <x v="10"/>
    <s v="AD000042"/>
    <s v="BOTAS DE CAUCHO PUNTA DE ACERO"/>
    <s v=""/>
    <s v=""/>
    <s v="006"/>
    <s v="Unidad"/>
    <s v=""/>
    <n v="2"/>
    <n v="93711.32"/>
    <n v="187422.64"/>
  </r>
  <r>
    <s v="052"/>
    <s v="CONSIGNACION LM INSTRUMENS S.A"/>
    <x v="2"/>
    <x v="2"/>
    <s v="XT000065"/>
    <s v="INTERCAMBIADORES DE TUBOS ADULTOS 14 FR"/>
    <s v=""/>
    <s v=""/>
    <s v="006"/>
    <s v="Unidad"/>
    <s v=""/>
    <n v="2"/>
    <n v="93891.305714285714"/>
    <n v="187782.61142857143"/>
  </r>
  <r>
    <s v="032"/>
    <s v="CLINICA DE HERIDAS                                "/>
    <x v="2"/>
    <x v="2"/>
    <s v="XA000102"/>
    <s v="APOSITO PARA HERIDAS MEPILEX BORDER SACRUM 16 X 20 CM REF 282055"/>
    <s v=""/>
    <s v=""/>
    <s v="006"/>
    <s v="Unidad"/>
    <s v=""/>
    <n v="2"/>
    <n v="95230.947368421053"/>
    <n v="190461.89473684211"/>
  </r>
  <r>
    <s v="001"/>
    <s v="FARMACIA CENTRAL                                  "/>
    <x v="4"/>
    <x v="4"/>
    <s v="19960909-01"/>
    <s v="BARIO SULFATO 96 % Bolsa x 397 g Polvo para enema rectal"/>
    <s v=""/>
    <s v=""/>
    <s v=""/>
    <s v=""/>
    <s v="397g"/>
    <n v="2"/>
    <n v="105457"/>
    <n v="210914"/>
  </r>
  <r>
    <s v="001"/>
    <s v="FARMACIA CENTRAL                                  "/>
    <x v="2"/>
    <x v="2"/>
    <s v="XD000070"/>
    <s v="INTRODUCTOR PERCUTANEO DE 4.0 A 6.0 FR PARA CATETER PACEL REF SI-09600"/>
    <s v=""/>
    <s v=""/>
    <s v="006"/>
    <s v="Unidad"/>
    <s v=""/>
    <n v="2"/>
    <n v="113448.33333333333"/>
    <n v="226896.66666666669"/>
  </r>
  <r>
    <s v="001"/>
    <s v="FARMACIA CENTRAL                                  "/>
    <x v="2"/>
    <x v="2"/>
    <s v="XD000014"/>
    <s v="BOLSA DRENAJE VENTRICULAR EXTERNO CODMAN 821722/821732"/>
    <s v=""/>
    <s v=""/>
    <s v="006"/>
    <s v="Unidad"/>
    <s v=""/>
    <n v="2"/>
    <n v="116186.63333333333"/>
    <n v="232373.26666666669"/>
  </r>
  <r>
    <s v="008"/>
    <s v="ALMACEN  GENERAL                                         "/>
    <x v="1"/>
    <x v="1"/>
    <s v="AM000152"/>
    <s v="BOMBILLO 23V 100W CON ALETAS"/>
    <s v=""/>
    <s v=""/>
    <s v="006"/>
    <s v="Unidad"/>
    <s v=""/>
    <n v="2"/>
    <n v="121377.48"/>
    <n v="242754.96"/>
  </r>
  <r>
    <s v="002"/>
    <s v="FARMACIA DE CIRUGIA                               "/>
    <x v="2"/>
    <x v="2"/>
    <s v="XA000017"/>
    <s v="CAMPO INCISION ANTIMICROBIAL IOBAN  6650/6648"/>
    <s v=""/>
    <s v=""/>
    <s v="006"/>
    <s v="Unidad"/>
    <s v=""/>
    <n v="2"/>
    <n v="124536.58499999999"/>
    <n v="249073.17"/>
  </r>
  <r>
    <s v="006"/>
    <s v="ALMACEN MEDICOQUIRURGICOS   "/>
    <x v="2"/>
    <x v="2"/>
    <s v="XO000055"/>
    <s v="SISTEMA COMPRESION NEUMATICA INTERMITENTE TALLA XL"/>
    <s v=""/>
    <s v=""/>
    <s v="006"/>
    <s v="Unidad"/>
    <s v=""/>
    <n v="2"/>
    <n v="125774.17"/>
    <n v="251548.34"/>
  </r>
  <r>
    <s v="001"/>
    <s v="FARMACIA CENTRAL                                  "/>
    <x v="2"/>
    <x v="2"/>
    <s v="XO000026"/>
    <s v="SISTEMA COMPRESION NEUMATICA INTERMITENTE  TALLA L"/>
    <s v=""/>
    <s v=""/>
    <s v="006"/>
    <s v="Unidad"/>
    <s v=""/>
    <n v="2"/>
    <n v="126428.15222222223"/>
    <n v="252856.30444444445"/>
  </r>
  <r>
    <s v="002"/>
    <s v="FARMACIA DE CIRUGIA                               "/>
    <x v="2"/>
    <x v="2"/>
    <s v="XO000026"/>
    <s v="SISTEMA COMPRESION NEUMATICA INTERMITENTE  TALLA L"/>
    <s v=""/>
    <s v=""/>
    <s v="006"/>
    <s v="Unidad"/>
    <s v=""/>
    <n v="2"/>
    <n v="126428.15222222223"/>
    <n v="252856.30444444445"/>
  </r>
  <r>
    <s v="001"/>
    <s v="FARMACIA CENTRAL                                  "/>
    <x v="2"/>
    <x v="2"/>
    <s v="XO000027"/>
    <s v="SISTEMA COMPRESION NEUMATICA INTERMITENTE TALLA M"/>
    <s v=""/>
    <s v=""/>
    <s v="006"/>
    <s v="Unidad"/>
    <s v=""/>
    <n v="2"/>
    <n v="126651.68888888888"/>
    <n v="253303.37777777776"/>
  </r>
  <r>
    <s v="002"/>
    <s v="FARMACIA DE CIRUGIA                               "/>
    <x v="2"/>
    <x v="2"/>
    <s v="XS000007"/>
    <s v="CLIP DE POLIMERO NO ABSORBIBLE PARA LIGADURA HEMOLOK DORADO XL"/>
    <s v=""/>
    <s v=""/>
    <s v="006"/>
    <s v="Unidad"/>
    <s v=""/>
    <n v="2"/>
    <n v="126787.47"/>
    <n v="253574.94"/>
  </r>
  <r>
    <s v="001"/>
    <s v="FARMACIA CENTRAL                                  "/>
    <x v="2"/>
    <x v="2"/>
    <s v="XO000028"/>
    <s v="SISTEMA COMPRESION NEUMATICA INTERMITENTE TALLA S"/>
    <s v=""/>
    <s v=""/>
    <s v="006"/>
    <s v="Unidad"/>
    <s v=""/>
    <n v="2"/>
    <n v="127557.78"/>
    <n v="255115.56"/>
  </r>
  <r>
    <s v="032"/>
    <s v="CLINICA DE HERIDAS                                "/>
    <x v="2"/>
    <x v="2"/>
    <s v="XA000100"/>
    <s v="APOSITO PARA HERIDAS MEPILEX BORDER SACRUM 22 X 25 CM REF 282455"/>
    <s v=""/>
    <s v=""/>
    <s v="006"/>
    <s v="Unidad"/>
    <s v=""/>
    <n v="2"/>
    <n v="131177.4588372093"/>
    <n v="262354.9176744186"/>
  </r>
  <r>
    <s v="006"/>
    <s v="ALMACEN MEDICOQUIRURGICOS   "/>
    <x v="2"/>
    <x v="2"/>
    <s v="XO000008"/>
    <s v="CAMINADOR EN ALUMINIO MEDIGHAN"/>
    <s v=""/>
    <s v=""/>
    <s v="006"/>
    <s v="Unidad"/>
    <s v=""/>
    <n v="2"/>
    <n v="132210"/>
    <n v="264420"/>
  </r>
  <r>
    <s v="001"/>
    <s v="FARMACIA CENTRAL                                  "/>
    <x v="2"/>
    <x v="2"/>
    <s v="XD000084"/>
    <s v="MANTA QUIRURGICA CARDIACA 63500"/>
    <s v=""/>
    <s v=""/>
    <s v="006"/>
    <s v="Unidad"/>
    <s v=""/>
    <n v="2"/>
    <n v="132235.43700000001"/>
    <n v="264470.87400000001"/>
  </r>
  <r>
    <s v="002"/>
    <s v="FARMACIA DE CIRUGIA                               "/>
    <x v="2"/>
    <x v="2"/>
    <s v="XD000084"/>
    <s v="MANTA QUIRURGICA CARDIACA 63500"/>
    <s v=""/>
    <s v=""/>
    <s v="006"/>
    <s v="Unidad"/>
    <s v=""/>
    <n v="2"/>
    <n v="132235.43700000001"/>
    <n v="264470.87400000001"/>
  </r>
  <r>
    <s v="002"/>
    <s v="FARMACIA DE CIRUGIA                               "/>
    <x v="2"/>
    <x v="2"/>
    <s v="XD000004"/>
    <s v="ASA DE POLIPECTOMIA (SET ALAMBRE Y CAMISA)REF M00562670"/>
    <s v=""/>
    <s v=""/>
    <s v="006"/>
    <s v="Unidad"/>
    <s v=""/>
    <n v="2"/>
    <n v="135729.74428571429"/>
    <n v="271459.48857142858"/>
  </r>
  <r>
    <s v="002"/>
    <s v="FARMACIA DE CIRUGIA                               "/>
    <x v="2"/>
    <x v="2"/>
    <s v="XA000005"/>
    <s v="APOSITO CON FORMULA DE GEL CONTROLADA DUODERM APOSITO 20 X 30CM"/>
    <s v=""/>
    <s v=""/>
    <s v="006"/>
    <s v="Unidad"/>
    <s v=""/>
    <n v="2"/>
    <n v="141140.79999999999"/>
    <n v="282281.59999999998"/>
  </r>
  <r>
    <s v="008"/>
    <s v="ALMACEN  GENERAL                                         "/>
    <x v="1"/>
    <x v="1"/>
    <s v="AM000219"/>
    <s v="PAPEL GRADO MEDICO PLANO 15CM"/>
    <s v=""/>
    <s v=""/>
    <s v="006"/>
    <s v="Unidad"/>
    <s v=""/>
    <n v="2"/>
    <n v="145679.48499999999"/>
    <n v="291358.96999999997"/>
  </r>
  <r>
    <s v="001"/>
    <s v="FARMACIA CENTRAL                                  "/>
    <x v="4"/>
    <x v="4"/>
    <s v="19981180-1"/>
    <s v="DAPTOMICINA 350 mg Polvo para reconstituir Solución Inyectable"/>
    <s v=""/>
    <s v=""/>
    <s v=""/>
    <s v=""/>
    <s v="350 MG"/>
    <n v="2"/>
    <n v="149500"/>
    <n v="299000"/>
  </r>
  <r>
    <s v="052"/>
    <s v="CONSIGNACION LM INSTRUMENS S.A"/>
    <x v="2"/>
    <x v="2"/>
    <s v="XG000009"/>
    <s v="AGUJA PARA BIOPSIA  SEMI AUTOMATICA 16X15 CM"/>
    <s v=""/>
    <s v=""/>
    <s v="006"/>
    <s v="Unidad"/>
    <s v=""/>
    <n v="2"/>
    <n v="155177.1"/>
    <n v="310354.2"/>
  </r>
  <r>
    <s v="001"/>
    <s v="FARMACIA CENTRAL                                  "/>
    <x v="2"/>
    <x v="2"/>
    <s v="XD000298"/>
    <s v="AGUJA PARA BIOPSIA SEMI AUTOMATICA 18GX 10 CM "/>
    <s v=""/>
    <s v=""/>
    <s v="006"/>
    <s v="Unidad"/>
    <s v=""/>
    <n v="2"/>
    <n v="161701.96"/>
    <n v="323403.92"/>
  </r>
  <r>
    <s v="001"/>
    <s v="FARMACIA CENTRAL                                  "/>
    <x v="2"/>
    <x v="2"/>
    <s v="XG000040"/>
    <s v="AGUJA PARA BIOPSIA SEMI AUTOMATICA 18X20  REF PRE1820"/>
    <s v=""/>
    <s v=""/>
    <s v="006"/>
    <s v="Unidad"/>
    <s v=""/>
    <n v="2"/>
    <n v="166600"/>
    <n v="333200"/>
  </r>
  <r>
    <s v="001"/>
    <s v="FARMACIA CENTRAL                                  "/>
    <x v="2"/>
    <x v="2"/>
    <s v="XD000041"/>
    <s v="ELECTRODO DESFIBRILADOR REF.P-510- F7961 NIHON KOHDEN"/>
    <s v=""/>
    <s v=""/>
    <s v="006"/>
    <s v="Unidad"/>
    <s v=""/>
    <n v="2"/>
    <n v="176814.75"/>
    <n v="353629.5"/>
  </r>
  <r>
    <s v="052"/>
    <s v="CONSIGNACION LM INSTRUMENS S.A"/>
    <x v="2"/>
    <x v="2"/>
    <s v="XG000001"/>
    <s v="AGUJA BIOPSIA SEMIAUTOMATICA -16G X 10 CM"/>
    <s v=""/>
    <s v=""/>
    <s v="006"/>
    <s v="Unidad"/>
    <s v=""/>
    <n v="2"/>
    <n v="182459.11333333334"/>
    <n v="364918.22666666663"/>
  </r>
  <r>
    <s v="002"/>
    <s v="FARMACIA DE CIRUGIA                               "/>
    <x v="2"/>
    <x v="2"/>
    <s v="XC000010"/>
    <s v="CATETER PARA EMBOLECTOMIA FOGARTY #03 (120803F) X 1"/>
    <s v=""/>
    <s v=""/>
    <s v="006"/>
    <s v="Unidad"/>
    <s v=""/>
    <n v="2"/>
    <n v="191583.57142857142"/>
    <n v="383167.1428571429"/>
  </r>
  <r>
    <s v="008"/>
    <s v="ALMACEN  GENERAL                                         "/>
    <x v="1"/>
    <x v="1"/>
    <s v="AM000301"/>
    <s v="AMBU RESUCITADOR REUSABLE NEONATAL-PEDIATRICO"/>
    <s v=""/>
    <s v=""/>
    <s v="006"/>
    <s v="Unidad"/>
    <s v=""/>
    <n v="2"/>
    <n v="197093"/>
    <n v="394186"/>
  </r>
  <r>
    <s v="002"/>
    <s v="FARMACIA DE CIRUGIA                               "/>
    <x v="2"/>
    <x v="2"/>
    <s v="XC000012"/>
    <s v="CATETER PARA EMBOLECTOMIA FOGARTY #06 (120806F) X 1"/>
    <s v=""/>
    <s v=""/>
    <s v="006"/>
    <s v="Unidad"/>
    <s v=""/>
    <n v="2"/>
    <n v="197500"/>
    <n v="395000"/>
  </r>
  <r>
    <s v="002"/>
    <s v="FARMACIA DE CIRUGIA                               "/>
    <x v="2"/>
    <x v="2"/>
    <s v="XT000076"/>
    <s v="TUBO ENDOBRONQUIAL 37 FR DERECHO / IZQUIERDO X 1"/>
    <s v=""/>
    <s v=""/>
    <s v="006"/>
    <s v="Unidad"/>
    <s v=""/>
    <n v="2"/>
    <n v="197535.65384615384"/>
    <n v="395071.30769230769"/>
  </r>
  <r>
    <s v="001"/>
    <s v="FARMACIA CENTRAL                                  "/>
    <x v="4"/>
    <x v="4"/>
    <s v="1980747-01"/>
    <s v="ITRACONAZOL 10 mg / ml Solución Oral 150 ml"/>
    <s v=""/>
    <s v=""/>
    <s v=""/>
    <s v=""/>
    <s v="10 mg / ml - 150 ml"/>
    <n v="2"/>
    <n v="207500"/>
    <n v="415000"/>
  </r>
  <r>
    <s v="001"/>
    <s v="FARMACIA CENTRAL                                  "/>
    <x v="2"/>
    <x v="2"/>
    <s v="XG000044"/>
    <s v="AGUJA DE BIOPSIA DE MEDULA OSEA  11 GA X 150 MM "/>
    <s v=""/>
    <s v=""/>
    <s v="006"/>
    <s v="Unidad"/>
    <s v=""/>
    <n v="2"/>
    <n v="208250"/>
    <n v="416500"/>
  </r>
  <r>
    <s v="001"/>
    <s v="FARMACIA CENTRAL                                  "/>
    <x v="2"/>
    <x v="2"/>
    <s v="XD000337"/>
    <s v="ELECTRODO PARA DESFIBRILACION MINDRAY BENEHEART REF MR60"/>
    <s v=""/>
    <s v=""/>
    <s v="006"/>
    <s v="Unidad"/>
    <s v=""/>
    <n v="2"/>
    <n v="214258.75"/>
    <n v="428517.5"/>
  </r>
  <r>
    <s v="002"/>
    <s v="FARMACIA DE CIRUGIA                               "/>
    <x v="2"/>
    <x v="2"/>
    <s v="XC000011"/>
    <s v="CATETER PARA EMBOLECTOMIA FOGARTY #04 (120804F) X 1"/>
    <s v=""/>
    <s v=""/>
    <s v="006"/>
    <s v="Unidad"/>
    <s v=""/>
    <n v="2"/>
    <n v="222075"/>
    <n v="444150"/>
  </r>
  <r>
    <s v="024"/>
    <s v="MATERIAL DE OSTEOSINTESIS - MOS"/>
    <x v="11"/>
    <x v="11"/>
    <s v="08-23612"/>
    <s v="Tornillo Mcd  2,3X12Mm M1 Rc No Bloq "/>
    <s v=""/>
    <s v=""/>
    <s v="006"/>
    <s v="Unidad"/>
    <s v=""/>
    <n v="2"/>
    <n v="223535"/>
    <n v="447070"/>
  </r>
  <r>
    <s v="008"/>
    <s v="ALMACEN  GENERAL                                         "/>
    <x v="1"/>
    <x v="1"/>
    <s v="AM000216"/>
    <s v="PAPEL GRADO MEDICO CON FUELLE X 25 CMS"/>
    <s v=""/>
    <s v=""/>
    <s v="006"/>
    <s v="Unidad"/>
    <s v=""/>
    <n v="2"/>
    <n v="237278"/>
    <n v="474556"/>
  </r>
  <r>
    <s v="008"/>
    <s v="ALMACEN  GENERAL                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17"/>
    <s v="CARRO DE PARO UCI        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19"/>
    <s v="CARRO DE PARO UCI 1/2    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22"/>
    <s v="CARRO DE PARO DE CIRUGIA 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25"/>
    <s v="CARRO DE PARO GASTROENTEROLOGÌA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26"/>
    <s v="CARRO DE PARO TERCER PISO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29"/>
    <s v="CARRO DE PARO CUARTO PISO                         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53"/>
    <s v="CARRO DE PARO CRITICO QUIROGA"/>
    <x v="1"/>
    <x v="1"/>
    <s v="AM000029"/>
    <s v="HOJA LARINGOSCOPIO   RECTA  DE 0 A 4  FIBRA OPTICA"/>
    <s v=""/>
    <s v=""/>
    <s v="006"/>
    <s v="Unidad"/>
    <s v=""/>
    <n v="2"/>
    <n v="246265.91363636364"/>
    <n v="492531.82727272727"/>
  </r>
  <r>
    <s v="002"/>
    <s v="FARMACIA DE CIRUGIA                               "/>
    <x v="2"/>
    <x v="2"/>
    <s v="XC000009"/>
    <s v="CATETER PARA EMBOLECTOMIA  FOGARTY #05 (120805F) X 1"/>
    <s v=""/>
    <s v=""/>
    <s v="006"/>
    <s v="Unidad"/>
    <s v=""/>
    <n v="2"/>
    <n v="246484.2"/>
    <n v="492968.4"/>
  </r>
  <r>
    <s v="046"/>
    <s v="BODEGA HEMODINAMIA CONSIGNACION"/>
    <x v="2"/>
    <x v="2"/>
    <s v="N143001"/>
    <s v="GUIA HIDROFILICA NITREX 260CMX0.035CM 4 CM"/>
    <s v=""/>
    <s v=""/>
    <s v="006"/>
    <s v="Unidad"/>
    <s v=""/>
    <n v="2"/>
    <n v="249900"/>
    <n v="499800"/>
  </r>
  <r>
    <s v="024"/>
    <s v="MATERIAL DE OSTEOSINTESIS - MOS"/>
    <x v="11"/>
    <x v="11"/>
    <s v="08-23620"/>
    <s v="Tornillo Mcd  2,3X20Mm M1 Rc No Bloq "/>
    <s v=""/>
    <s v=""/>
    <s v="006"/>
    <s v="Unidad"/>
    <s v=""/>
    <n v="2"/>
    <n v="261816"/>
    <n v="523632"/>
  </r>
  <r>
    <s v="006"/>
    <s v="ALMACEN MEDICOQUIRURGICOS   "/>
    <x v="2"/>
    <x v="2"/>
    <s v="XD000043"/>
    <s v="ELECTRODO CATETER BIPOLAR TEMPORAL-PACEL-5FR / 6 FR REF 401771-401770"/>
    <s v=""/>
    <s v=""/>
    <s v="006"/>
    <s v="Unidad"/>
    <s v=""/>
    <n v="2"/>
    <n v="262587.625"/>
    <n v="525175.25"/>
  </r>
  <r>
    <s v="015"/>
    <s v="CARRO DE PARO HEMODINAMIA                     "/>
    <x v="1"/>
    <x v="1"/>
    <s v="AM000017"/>
    <s v="HOJA PARA LARINGOSCOPIO UNIDAD CURVA DE 0 A 4 FIBRA OPTICA"/>
    <s v=""/>
    <s v=""/>
    <s v="006"/>
    <s v="Unidad"/>
    <s v=""/>
    <n v="2"/>
    <n v="282984.17235294118"/>
    <n v="565968.34470588237"/>
  </r>
  <r>
    <s v="029"/>
    <s v="CARRO DE PARO CUARTO PISO                         "/>
    <x v="1"/>
    <x v="1"/>
    <s v="AM000017"/>
    <s v="HOJA PARA LARINGOSCOPIO UNIDAD CURVA DE 0 A 4 FIBRA OPTICA"/>
    <s v=""/>
    <s v=""/>
    <s v="006"/>
    <s v="Unidad"/>
    <s v=""/>
    <n v="2"/>
    <n v="282984.17235294118"/>
    <n v="565968.34470588237"/>
  </r>
  <r>
    <s v="006"/>
    <s v="ALMACEN MEDICOQUIRURGICOS   "/>
    <x v="2"/>
    <x v="2"/>
    <s v="XD000281"/>
    <s v="STENTS BILIARES PLASTICOS PROTESIS BILIAR  7X10-10X7-7X7-10X10"/>
    <s v=""/>
    <s v=""/>
    <s v="006"/>
    <s v="Unidad"/>
    <s v=""/>
    <n v="2"/>
    <n v="297657.86166666663"/>
    <n v="595315.72333333339"/>
  </r>
  <r>
    <s v="002"/>
    <s v="FARMACIA DE CIRUGIA                               "/>
    <x v="2"/>
    <x v="2"/>
    <s v="XE000018"/>
    <s v="SISTEMA DE DRENAJE TORAXICO TORA SEAL-III "/>
    <s v=""/>
    <s v=""/>
    <s v="006"/>
    <s v="Unidad"/>
    <s v=""/>
    <n v="2"/>
    <n v="298569.47162162163"/>
    <n v="597138.94324324315"/>
  </r>
  <r>
    <s v="002"/>
    <s v="FARMACIA DE CIRUGIA                               "/>
    <x v="2"/>
    <x v="2"/>
    <s v="XD000442"/>
    <s v="MALLA 3D MAX M BAJA DENSIDAD HERNIA IZQUIERDA 7.9 X 13.4  REF 0117310"/>
    <s v=""/>
    <s v=""/>
    <s v="006"/>
    <s v="Unidad"/>
    <s v=""/>
    <n v="2"/>
    <n v="303624"/>
    <n v="607248"/>
  </r>
  <r>
    <s v="008"/>
    <s v="ALMACEN  GENERAL                                         "/>
    <x v="1"/>
    <x v="1"/>
    <s v="AM000334"/>
    <s v="CABLE  DE ECG INTERFAZ PARA MSV MINDRAY"/>
    <s v=""/>
    <s v=""/>
    <s v="006"/>
    <s v="Unidad"/>
    <s v=""/>
    <n v="2"/>
    <n v="317331.00000000006"/>
    <n v="634662"/>
  </r>
  <r>
    <s v="008"/>
    <s v="ALMACEN  GENERAL                                         "/>
    <x v="1"/>
    <x v="1"/>
    <s v="AM000224"/>
    <s v="INDICADOR TIRAS MULTIPARAMETROS GAS EO REF RS 1251"/>
    <s v=""/>
    <s v=""/>
    <s v="006"/>
    <s v="Unidad"/>
    <s v=""/>
    <n v="2"/>
    <n v="356325.4"/>
    <n v="712650.8"/>
  </r>
  <r>
    <s v="008"/>
    <s v="ALMACEN  GENERAL                                         "/>
    <x v="1"/>
    <x v="1"/>
    <s v="AM000217"/>
    <s v="PAPEL GRADO MEDICO CON FUELLE 38.8CM"/>
    <s v=""/>
    <s v=""/>
    <s v="006"/>
    <s v="Unidad"/>
    <s v=""/>
    <n v="2"/>
    <n v="364612"/>
    <n v="729224"/>
  </r>
  <r>
    <s v="003"/>
    <s v="CARRO  DE PARO RECUPERACION HEMODINAMIA"/>
    <x v="2"/>
    <x v="2"/>
    <s v="XC000004"/>
    <s v="CATETER CENTRAL BILUMEN CON GUIA  4 FR  X 50 CM (PICC) PR-05042"/>
    <s v=""/>
    <s v=""/>
    <s v="006"/>
    <s v="Unidad"/>
    <s v=""/>
    <n v="2"/>
    <n v="377892.75"/>
    <n v="755785.5"/>
  </r>
  <r>
    <s v="008"/>
    <s v="ALMACEN  GENERAL                                         "/>
    <x v="1"/>
    <x v="1"/>
    <s v="AM000324"/>
    <s v="CABLE BIPOLAR EN SILICONA 3 MT"/>
    <s v=""/>
    <s v=""/>
    <s v="006"/>
    <s v="Unidad"/>
    <s v=""/>
    <n v="2"/>
    <n v="386750"/>
    <n v="773500"/>
  </r>
  <r>
    <s v="001"/>
    <s v="FARMACIA CENTRAL                                  "/>
    <x v="4"/>
    <x v="4"/>
    <s v="20172612-1"/>
    <s v="TIROFIBAN 12.5MG / 250ML SOLUCION INYECTABLE"/>
    <s v=""/>
    <s v=""/>
    <s v=""/>
    <s v=""/>
    <s v="12.5MG/250ML"/>
    <n v="2"/>
    <n v="400000"/>
    <n v="800000"/>
  </r>
  <r>
    <s v="005"/>
    <s v="ALMACEN MEDICAMENTOS"/>
    <x v="4"/>
    <x v="4"/>
    <s v="20010106-01"/>
    <s v="LACOSAMIDA 200 mg / 20 ml Solución Inyectable"/>
    <s v=""/>
    <s v=""/>
    <s v=""/>
    <s v=""/>
    <s v="200 mg / 20 ml"/>
    <n v="2"/>
    <n v="437002.39428571431"/>
    <n v="874004.78857142862"/>
  </r>
  <r>
    <s v="001"/>
    <s v="FARMACIA CENTRAL                                  "/>
    <x v="2"/>
    <x v="2"/>
    <s v="XC000037"/>
    <s v="CATETER MULTIPROPOSITO 8.5FR  ULTB-8,5-35-25-P-5S-CLDM-HC"/>
    <s v=""/>
    <s v=""/>
    <s v="006"/>
    <s v="Unidad"/>
    <s v=""/>
    <n v="2"/>
    <n v="448296.56"/>
    <n v="896593.12"/>
  </r>
  <r>
    <s v="002"/>
    <s v="FARMACIA DE CIRUGIA                               "/>
    <x v="2"/>
    <x v="2"/>
    <s v="XC000035"/>
    <s v="KIT DE GASTROSTOMIA 20-24 FR REF M00568381"/>
    <s v=""/>
    <s v=""/>
    <s v="006"/>
    <s v="Unidad"/>
    <s v=""/>
    <n v="2"/>
    <n v="449044.53499999997"/>
    <n v="898089.07"/>
  </r>
  <r>
    <s v="006"/>
    <s v="ALMACEN MEDICOQUIRURGICOS   "/>
    <x v="2"/>
    <x v="2"/>
    <s v="XC000035"/>
    <s v="KIT DE GASTROSTOMIA 20-24 FR REF M00568381"/>
    <s v=""/>
    <s v=""/>
    <s v="006"/>
    <s v="Unidad"/>
    <s v=""/>
    <n v="2"/>
    <n v="449044.53499999997"/>
    <n v="898089.07"/>
  </r>
  <r>
    <s v="002"/>
    <s v="FARMACIA DE CIRUGIA                               "/>
    <x v="4"/>
    <x v="4"/>
    <s v="20049559-02"/>
    <s v="TOXINA BOTULINICA Tipo A 100 UI Solución Inyectable"/>
    <s v=""/>
    <s v=""/>
    <s v=""/>
    <s v=""/>
    <s v="100 UI"/>
    <n v="2"/>
    <n v="450949.25"/>
    <n v="901898.5"/>
  </r>
  <r>
    <s v="001"/>
    <s v="FARMACIA CENTRAL                                  "/>
    <x v="2"/>
    <x v="2"/>
    <s v="XC000025"/>
    <s v="CATETER  MULTIPROPOSITO  ULTB-10,2-38-25-P-5D CLDM-HC"/>
    <s v=""/>
    <s v=""/>
    <s v="006"/>
    <s v="Unidad"/>
    <s v=""/>
    <n v="2"/>
    <n v="480300"/>
    <n v="960600"/>
  </r>
  <r>
    <s v="002"/>
    <s v="FARMACIA DE CIRUGIA                               "/>
    <x v="2"/>
    <x v="2"/>
    <s v="XS000148"/>
    <s v="TIJERA PARA LAPAROSCOPIA ENDO SHEARS 5 MM REF 176643 EPIX REF CB030"/>
    <s v=""/>
    <s v=""/>
    <s v="006"/>
    <s v="Unidad"/>
    <s v=""/>
    <n v="2"/>
    <n v="489545.64999999997"/>
    <n v="979091.3"/>
  </r>
  <r>
    <s v="008"/>
    <s v="ALMACEN  GENERAL                                         "/>
    <x v="1"/>
    <x v="1"/>
    <s v="AM000270"/>
    <s v="SOCKET LARINGO CON BOMBILLO WELCH ALLYN REF 608125-501"/>
    <s v=""/>
    <s v=""/>
    <s v="006"/>
    <s v="Unidad"/>
    <s v=""/>
    <n v="2"/>
    <n v="505750"/>
    <n v="1011500"/>
  </r>
  <r>
    <s v="002"/>
    <s v="FARMACIA DE CIRUGIA                               "/>
    <x v="2"/>
    <x v="2"/>
    <s v="XD000271"/>
    <s v="CUCHILLA PARA CORTE DE HUESO REF 9BA50"/>
    <s v=""/>
    <s v=""/>
    <s v="006"/>
    <s v="Unidad"/>
    <s v=""/>
    <n v="2"/>
    <n v="552912.05000000005"/>
    <n v="1105824.1000000001"/>
  </r>
  <r>
    <s v="006"/>
    <s v="ALMACEN MEDICOQUIRURGICOS   "/>
    <x v="2"/>
    <x v="2"/>
    <s v="XD000030"/>
    <s v="CUCHILLA PARA CORTE HUESO REF. 10BA50 REF 5820110050"/>
    <s v=""/>
    <s v=""/>
    <s v="006"/>
    <s v="Unidad"/>
    <s v=""/>
    <n v="2"/>
    <n v="600681.05999999994"/>
    <n v="1201362.1200000001"/>
  </r>
  <r>
    <s v="004"/>
    <s v="CARRO DE PARO RADIOLOGIA"/>
    <x v="0"/>
    <x v="0"/>
    <s v="19942561-03"/>
    <s v="LACTATO RINGER Solucion Inyectable bolsa 500 mL"/>
    <s v=""/>
    <s v=""/>
    <s v=""/>
    <s v=""/>
    <s v="500 ml"/>
    <n v="2"/>
    <n v="600778.76250000007"/>
    <n v="1201557.5249999999"/>
  </r>
  <r>
    <s v="014"/>
    <s v="CARRO DE PARO CARDIOLOGIA                            "/>
    <x v="0"/>
    <x v="0"/>
    <s v="19942561-03"/>
    <s v="LACTATO RINGER Solucion Inyectable bolsa 500 mL"/>
    <s v=""/>
    <s v=""/>
    <s v=""/>
    <s v=""/>
    <s v="500 ml"/>
    <n v="2"/>
    <n v="600778.76250000007"/>
    <n v="1201557.5249999999"/>
  </r>
  <r>
    <s v="002"/>
    <s v="FARMACIA DE CIRUGIA                               "/>
    <x v="2"/>
    <x v="2"/>
    <s v="XS000028"/>
    <s v="GRAPADORA PROTACK 5 MM REF. 174006 X 1"/>
    <s v=""/>
    <s v=""/>
    <s v="006"/>
    <s v="Unidad"/>
    <s v=""/>
    <n v="2"/>
    <n v="638502.56000000006"/>
    <n v="1277005.1200000001"/>
  </r>
  <r>
    <s v="002"/>
    <s v="FARMACIA DE CIRUGIA                               "/>
    <x v="2"/>
    <x v="2"/>
    <s v="XD000036"/>
    <s v="CUCHILLA PARA CORTE HUESO REF.10BA40D REF 5820012040"/>
    <s v=""/>
    <s v=""/>
    <s v="006"/>
    <s v="Unidad"/>
    <s v=""/>
    <n v="2"/>
    <n v="650223.76666666672"/>
    <n v="1300447.5333333332"/>
  </r>
  <r>
    <s v="002"/>
    <s v="FARMACIA DE CIRUGIA                               "/>
    <x v="2"/>
    <x v="2"/>
    <s v="XD000033"/>
    <s v="CUCHILLA PARA CORTE HUESO REF. 9AC75"/>
    <s v=""/>
    <s v=""/>
    <s v="006"/>
    <s v="Unidad"/>
    <s v=""/>
    <n v="2"/>
    <n v="650854.53333333333"/>
    <n v="1301709.0666666667"/>
  </r>
  <r>
    <s v="006"/>
    <s v="ALMACEN MEDICOQUIRURGICOS   "/>
    <x v="2"/>
    <x v="2"/>
    <s v="XD000025"/>
    <s v="CUCHILLA OSEA CORTE HUESO 10BA30D REF 5820012030"/>
    <s v=""/>
    <s v=""/>
    <s v="006"/>
    <s v="Unidad"/>
    <s v=""/>
    <n v="2"/>
    <n v="671519.56500000006"/>
    <n v="1343039.13"/>
  </r>
  <r>
    <s v="006"/>
    <s v="ALMACEN MEDICOQUIRURGICOS   "/>
    <x v="2"/>
    <x v="2"/>
    <s v="XD000029"/>
    <s v="CUCHILLA PARA CORTE HUESO REF. 10BA40 REF 5820110040"/>
    <s v=""/>
    <s v=""/>
    <s v="006"/>
    <s v="Unidad"/>
    <s v=""/>
    <n v="2"/>
    <n v="701201.40499999991"/>
    <n v="1402402.81"/>
  </r>
  <r>
    <s v="008"/>
    <s v="ALMACEN  GENERAL                                         "/>
    <x v="1"/>
    <x v="1"/>
    <s v="AM000380"/>
    <s v="RAMAL CABLE EKG ELECTROCARDIOGRAFO  PHILLIPS TC-30 REF 989803151631"/>
    <s v=""/>
    <s v=""/>
    <s v="006"/>
    <s v="Unidad"/>
    <s v=""/>
    <n v="2"/>
    <n v="702100"/>
    <n v="1404200"/>
  </r>
  <r>
    <s v="002"/>
    <s v="FARMACIA DE CIRUGIA                               "/>
    <x v="2"/>
    <x v="2"/>
    <s v="XD000066"/>
    <s v="GUIA HIDROFILICA 0.035X450CM  JAGWIRE REF M00556581"/>
    <s v=""/>
    <s v=""/>
    <s v="006"/>
    <s v="Unidad"/>
    <s v=""/>
    <n v="2"/>
    <n v="715874.01249999995"/>
    <n v="1431748.0249999999"/>
  </r>
  <r>
    <s v="006"/>
    <s v="ALMACEN MEDICOQUIRURGICOS   "/>
    <x v="2"/>
    <x v="2"/>
    <s v="XD000066"/>
    <s v="GUIA HIDROFILICA 0.035X450CM  JAGWIRE REF M00556581"/>
    <s v=""/>
    <s v=""/>
    <s v="006"/>
    <s v="Unidad"/>
    <s v=""/>
    <n v="2"/>
    <n v="715874.01249999995"/>
    <n v="1431748.0249999999"/>
  </r>
  <r>
    <s v="048"/>
    <s v="CONSIGNACION FRIDEN"/>
    <x v="2"/>
    <x v="2"/>
    <s v="XS000020"/>
    <s v="GRAPADORA GIA 80 -4.8 GIA 8048S X 1"/>
    <s v=""/>
    <s v=""/>
    <s v="006"/>
    <s v="Unidad"/>
    <s v=""/>
    <n v="2"/>
    <n v="721662.34"/>
    <n v="1443324.68"/>
  </r>
  <r>
    <s v="002"/>
    <s v="FARMACIA DE CIRUGIA                               "/>
    <x v="2"/>
    <x v="2"/>
    <s v="XD000027"/>
    <s v="CUCHILLA PARA CORTE HUESO 10BA30 REF 5820110030"/>
    <s v=""/>
    <s v=""/>
    <s v="006"/>
    <s v="Unidad"/>
    <s v=""/>
    <n v="2"/>
    <n v="753431.41"/>
    <n v="1506862.82"/>
  </r>
  <r>
    <s v="002"/>
    <s v="FARMACIA DE CIRUGIA                               "/>
    <x v="4"/>
    <x v="4"/>
    <s v="19913029-01"/>
    <s v="TOXINA BOTULINICA Tipo A 500UI Polvo para reconstituir a Solucion inyectable"/>
    <s v=""/>
    <s v=""/>
    <s v=""/>
    <s v=""/>
    <s v="500UI"/>
    <n v="2"/>
    <n v="760000"/>
    <n v="1520000"/>
  </r>
  <r>
    <s v="002"/>
    <s v="FARMACIA DE CIRUGIA                               "/>
    <x v="2"/>
    <x v="2"/>
    <s v="XS000165"/>
    <s v="KIT SISTEMAS DE ACCESO TROCAR CUCHILLA  REF CKITCUCHCLINUE"/>
    <s v=""/>
    <s v=""/>
    <s v="006"/>
    <s v="Unidad"/>
    <s v=""/>
    <n v="2"/>
    <n v="782886.3949999999"/>
    <n v="1565772.79"/>
  </r>
  <r>
    <s v="006"/>
    <s v="ALMACEN MEDICOQUIRURGICOS   "/>
    <x v="2"/>
    <x v="2"/>
    <s v="XD000091"/>
    <s v="PAPILOTOMO CANULOTOMO CORTE 5.5FR.  (MICROKNIFE XL) KD-V451M"/>
    <s v=""/>
    <s v=""/>
    <s v="006"/>
    <s v="Unidad"/>
    <s v=""/>
    <n v="2"/>
    <n v="783143.36"/>
    <n v="1566286.72"/>
  </r>
  <r>
    <s v="002"/>
    <s v="FARMACIA DE CIRUGIA                               "/>
    <x v="4"/>
    <x v="4"/>
    <s v="20002144-5"/>
    <s v="FIBRINOGENO+APROTININA+TROMBINA+ CLORURO DE CALCIO 4 ML CONGELADO"/>
    <s v=""/>
    <s v=""/>
    <s v=""/>
    <s v=""/>
    <s v="4 ML"/>
    <n v="2"/>
    <n v="822100"/>
    <n v="1644200"/>
  </r>
  <r>
    <s v="002"/>
    <s v="FARMACIA DE CIRUGIA                               "/>
    <x v="2"/>
    <x v="2"/>
    <s v="XD000235"/>
    <s v="CANASTILLA EXTRACTORA DE CALCULOS"/>
    <s v=""/>
    <s v=""/>
    <s v="006"/>
    <s v="Unidad"/>
    <s v=""/>
    <n v="2"/>
    <n v="823829"/>
    <n v="1647658"/>
  </r>
  <r>
    <s v="006"/>
    <s v="ALMACEN MEDICOQUIRURGICOS   "/>
    <x v="2"/>
    <x v="2"/>
    <s v="XD000020"/>
    <s v="CAMISA DE ACCESO URETRAL FLEXOR X 45 CM REF FUS-120045"/>
    <s v=""/>
    <s v=""/>
    <s v="006"/>
    <s v="Unidad"/>
    <s v=""/>
    <n v="2"/>
    <n v="925633.66666666663"/>
    <n v="1851267.3333333335"/>
  </r>
  <r>
    <s v="002"/>
    <s v="FARMACIA DE CIRUGIA                               "/>
    <x v="2"/>
    <x v="2"/>
    <s v="XD000290"/>
    <s v="CAMISA DE ACCESO URTERAL FELXOR 12FRX35 CM REF FUS120035"/>
    <s v=""/>
    <s v=""/>
    <s v="006"/>
    <s v="Unidad"/>
    <s v=""/>
    <n v="2"/>
    <n v="948737.25"/>
    <n v="1897474.5"/>
  </r>
  <r>
    <s v="006"/>
    <s v="ALMACEN MEDICOQUIRURGICOS   "/>
    <x v="2"/>
    <x v="2"/>
    <s v="XD000290"/>
    <s v="CAMISA DE ACCESO URTERAL FELXOR 12FRX35 CM REF FUS120035"/>
    <s v=""/>
    <s v=""/>
    <s v="006"/>
    <s v="Unidad"/>
    <s v=""/>
    <n v="2"/>
    <n v="948737.25"/>
    <n v="1897474.5"/>
  </r>
  <r>
    <s v="046"/>
    <s v="BODEGA HEMODINAMIA CONSIGNACION"/>
    <x v="2"/>
    <x v="2"/>
    <s v="XA000059"/>
    <s v="APOSITO DE ABDOMEN ABIERTO ABTHERA ADVANCE REF ABT1055"/>
    <s v=""/>
    <s v=""/>
    <s v="006"/>
    <s v="Unidad"/>
    <s v=""/>
    <n v="2"/>
    <n v="988682.41500000004"/>
    <n v="1977364.83"/>
  </r>
  <r>
    <s v="002"/>
    <s v="FARMACIA DE CIRUGIA                               "/>
    <x v="2"/>
    <x v="2"/>
    <s v="XC000026"/>
    <s v="SISTEMA DE CATETER Y DRENAJE MULTIPROPOSITO 10,2FRX 25CM CLM-10,2-RH-NPAS-NT"/>
    <s v=""/>
    <s v=""/>
    <s v="006"/>
    <s v="Unidad"/>
    <s v=""/>
    <n v="2"/>
    <n v="1095300"/>
    <n v="2190600"/>
  </r>
  <r>
    <s v="002"/>
    <s v="FARMACIA DE CIRUGIA                               "/>
    <x v="2"/>
    <x v="2"/>
    <s v="XD000309"/>
    <s v="PINZA DE BIOPSIA ESTANDAR FENESTRADA 2300MM 2.8MM REF FB-28U-1"/>
    <s v=""/>
    <s v=""/>
    <s v="006"/>
    <s v="Unidad"/>
    <s v=""/>
    <n v="2"/>
    <n v="1402829.3399999999"/>
    <n v="2805658.68"/>
  </r>
  <r>
    <s v="001"/>
    <s v="FARMACIA CENTRAL                                  "/>
    <x v="2"/>
    <x v="2"/>
    <s v="XD000296"/>
    <s v="KIT DE TRAQUEOSTOMIA PERCUTANEA  No  8.0 -8.5 320-08/321-08"/>
    <s v=""/>
    <s v=""/>
    <s v="006"/>
    <s v="Unidad"/>
    <s v=""/>
    <n v="2"/>
    <n v="1592274.287142857"/>
    <n v="3184548.5742857144"/>
  </r>
  <r>
    <s v="002"/>
    <s v="FARMACIA DE CIRUGIA                               "/>
    <x v="2"/>
    <x v="2"/>
    <s v="XS000012"/>
    <s v="GRAPADORA CIRCULAR  CORTANTE EEA-28"/>
    <s v=""/>
    <s v=""/>
    <s v="006"/>
    <s v="Unidad"/>
    <s v=""/>
    <n v="2"/>
    <n v="1718763.47"/>
    <n v="3437526.94"/>
  </r>
  <r>
    <s v="006"/>
    <s v="ALMACEN MEDICOQUIRURGICOS   "/>
    <x v="2"/>
    <x v="2"/>
    <s v="XS000012"/>
    <s v="GRAPADORA CIRCULAR  CORTANTE EEA-28"/>
    <s v=""/>
    <s v=""/>
    <s v="006"/>
    <s v="Unidad"/>
    <s v=""/>
    <n v="2"/>
    <n v="1718763.47"/>
    <n v="3437526.94"/>
  </r>
  <r>
    <s v="005"/>
    <s v="ALMACEN MEDICAMENTOS"/>
    <x v="4"/>
    <x v="4"/>
    <s v="33103-02"/>
    <s v="ALTEPLASE (TPA) 50 mg  polvo Estéril para Inyección"/>
    <s v=""/>
    <s v=""/>
    <s v=""/>
    <s v=""/>
    <s v="50 mg"/>
    <n v="2"/>
    <n v="1737313.7885714285"/>
    <n v="3474627.577142857"/>
  </r>
  <r>
    <s v="006"/>
    <s v="ALMACEN MEDICOQUIRURGICOS   "/>
    <x v="2"/>
    <x v="2"/>
    <s v="XS000016"/>
    <s v="GRAPADORA CORTANTE CURVA CONTOUR CS40G"/>
    <s v=""/>
    <s v=""/>
    <s v="006"/>
    <s v="Unidad"/>
    <s v=""/>
    <n v="2"/>
    <n v="1776461.3"/>
    <n v="3552922.6"/>
  </r>
  <r>
    <s v="008"/>
    <s v="ALMACEN  GENERAL                                         "/>
    <x v="1"/>
    <x v="1"/>
    <s v="AM000210"/>
    <s v="INDICADOR BIOLOGICO  DE LECTURA RAPIDA   VAPOR REF 1292"/>
    <s v=""/>
    <s v=""/>
    <s v="006"/>
    <s v="Unidad"/>
    <s v=""/>
    <n v="2"/>
    <n v="1868236.33"/>
    <n v="3736472.66"/>
  </r>
  <r>
    <s v="008"/>
    <s v="ALMACEN  GENERAL                                         "/>
    <x v="1"/>
    <x v="1"/>
    <s v="AM000214"/>
    <s v="INDICADOR BIOLOGICO  GAS RAPID READ 3M REF 1294 CAJA X 50"/>
    <s v=""/>
    <s v=""/>
    <s v="006"/>
    <s v="Unidad"/>
    <s v=""/>
    <n v="2"/>
    <n v="2241701.25"/>
    <n v="4483402.5"/>
  </r>
  <r>
    <s v="001"/>
    <s v="FARMACIA CENTRAL                                  "/>
    <x v="4"/>
    <x v="4"/>
    <s v="19932170-01"/>
    <s v="TENECTEPLASE 50 mg Equivalente a 10.000 UI"/>
    <s v=""/>
    <s v=""/>
    <s v=""/>
    <s v=""/>
    <s v="10.000 UI"/>
    <n v="2"/>
    <n v="3009538.5566666666"/>
    <n v="6019077.1133333342"/>
  </r>
  <r>
    <s v="001"/>
    <s v="FARMACIA CENTRAL                                  "/>
    <x v="4"/>
    <x v="4"/>
    <s v="20049640-05"/>
    <s v="ANFOTERICINA B LIPOSOMAL 50mg Soluciòn Inyectable"/>
    <s v=""/>
    <s v=""/>
    <s v=""/>
    <s v=""/>
    <s v="50 mg"/>
    <n v="2"/>
    <n v="5462920.4500000002"/>
    <n v="10925840.9"/>
  </r>
  <r>
    <s v="001"/>
    <s v="FARMACIA CENTRAL                                  "/>
    <x v="3"/>
    <x v="3"/>
    <s v="19931216-05"/>
    <s v="AMPICILINA + SULBACTAM Polvo para reconstituir a solución inyectable  1.5 g"/>
    <s v=""/>
    <s v=""/>
    <s v=""/>
    <s v=""/>
    <s v="1,5 g"/>
    <n v="3"/>
    <n v="-868015.81666666665"/>
    <n v="-2604047.4500000002"/>
  </r>
  <r>
    <s v="001"/>
    <s v="FARMACIA CENTRAL                                  "/>
    <x v="2"/>
    <x v="2"/>
    <s v="XT000081"/>
    <s v="SONDA DE SUCCION CERRADA No 16 FR ADULTO CORTA"/>
    <s v=""/>
    <s v=""/>
    <s v="006"/>
    <s v="Unidad"/>
    <s v=""/>
    <n v="3"/>
    <n v="-153546.33333333334"/>
    <n v="-460639"/>
  </r>
  <r>
    <s v="053"/>
    <s v="CARRO DE PARO CRITICO QUIROGA"/>
    <x v="2"/>
    <x v="2"/>
    <s v="XT000017"/>
    <s v="GUIA PARA INTUBACION X1 ESTILETE TUBO ENDOTRAQUE"/>
    <s v=""/>
    <s v=""/>
    <s v="006"/>
    <s v="Unidad"/>
    <s v=""/>
    <n v="3"/>
    <n v="-58082.704199999993"/>
    <n v="-174248.11259999999"/>
  </r>
  <r>
    <s v="004"/>
    <s v="CARRO DE PARO RADIOLOGIA"/>
    <x v="6"/>
    <x v="6"/>
    <s v="20030910-10"/>
    <s v="FENTANILO CITRATO 0.5 mg / 10 ml Solución Inyectable"/>
    <s v=""/>
    <s v=""/>
    <s v=""/>
    <s v=""/>
    <s v="0,5 MG / 10 ML"/>
    <n v="3"/>
    <n v="-41006.857142857145"/>
    <n v="-123020.57142857143"/>
  </r>
  <r>
    <s v="002"/>
    <s v="FARMACIA DE CIRUGIA                               "/>
    <x v="4"/>
    <x v="4"/>
    <s v="58816-02"/>
    <s v="SEVOFLUORANO 100 % Solución para inhalación 250 ml "/>
    <s v=""/>
    <s v=""/>
    <s v=""/>
    <s v=""/>
    <s v="100% - 250 ml"/>
    <n v="3"/>
    <n v="-33746.551249999997"/>
    <n v="-101239.65375"/>
  </r>
  <r>
    <s v="032"/>
    <s v="CLINICA DE HERIDAS                                "/>
    <x v="2"/>
    <x v="2"/>
    <s v="XJ000011"/>
    <s v="JERINGA DESECHABLE 20ML-S/A-3 PARTES X 100"/>
    <s v=""/>
    <s v=""/>
    <s v="006"/>
    <s v="Unidad"/>
    <s v=""/>
    <n v="3"/>
    <n v="-18687.463351548267"/>
    <n v="-56062.390054644813"/>
  </r>
  <r>
    <s v="002"/>
    <s v="FARMACIA DE CIRUGIA                               "/>
    <x v="0"/>
    <x v="0"/>
    <s v="19997616-05"/>
    <s v="HIOSCINA N BUTIL BROMURO 20 mg / ml Solución inyectable"/>
    <s v=""/>
    <s v=""/>
    <s v=""/>
    <s v=""/>
    <s v="20 mg / ml"/>
    <n v="3"/>
    <n v="-115.94615384615383"/>
    <n v="-347.83846153846002"/>
  </r>
  <r>
    <s v="008"/>
    <s v="ALMACEN  GENERAL                                         "/>
    <x v="5"/>
    <x v="5"/>
    <s v="AP000073"/>
    <s v="ROLLO PAPEL-CONTAC TRANSPARENTE X METRO"/>
    <s v=""/>
    <s v=""/>
    <s v="006"/>
    <s v="Unidad"/>
    <s v=""/>
    <n v="3"/>
    <n v="56.726666666666667"/>
    <n v="170.18"/>
  </r>
  <r>
    <s v="002"/>
    <s v="FARMACIA DE CIRUGIA                               "/>
    <x v="2"/>
    <x v="2"/>
    <s v="XD000140"/>
    <s v="SONDA NELATON # 12 (UREATRAL)"/>
    <s v=""/>
    <s v=""/>
    <s v="006"/>
    <s v="Unidad"/>
    <s v=""/>
    <n v="3"/>
    <n v="197.52"/>
    <n v="592.55999999999995"/>
  </r>
  <r>
    <s v="001"/>
    <s v="FARMACIA CENTRAL                                  "/>
    <x v="0"/>
    <x v="0"/>
    <s v="19946498-01"/>
    <s v="OLANZAPINA  5mg Tableta"/>
    <s v=""/>
    <s v=""/>
    <s v=""/>
    <s v=""/>
    <s v="5 mg"/>
    <n v="3"/>
    <n v="200"/>
    <n v="600"/>
  </r>
  <r>
    <s v="032"/>
    <s v="CLINICA DE HERIDAS                                "/>
    <x v="2"/>
    <x v="2"/>
    <s v="XJ000010"/>
    <s v="JERINGA DESECHABLE 10ML-C/A-3 PARTES X 100"/>
    <s v=""/>
    <s v=""/>
    <s v="006"/>
    <s v="Unidad"/>
    <s v=""/>
    <n v="3"/>
    <n v="261.77091875138365"/>
    <n v="785.31275625415003"/>
  </r>
  <r>
    <s v="032"/>
    <s v="CLINICA DE HERIDAS                                "/>
    <x v="0"/>
    <x v="0"/>
    <s v="19932754-02"/>
    <s v="SODIO CLORURO 0.9 % Solución inyectable x 500 ml Bolsa"/>
    <s v=""/>
    <s v=""/>
    <s v=""/>
    <s v=""/>
    <s v="0.9 % - 500 ML"/>
    <n v="3"/>
    <n v="407.26055555555558"/>
    <n v="1221.7816666666699"/>
  </r>
  <r>
    <s v="001"/>
    <s v="FARMACIA CENTRAL                                  "/>
    <x v="2"/>
    <x v="2"/>
    <s v="XV000021"/>
    <s v="VENDA ALGODON 2 X 5 YARDAS"/>
    <s v=""/>
    <s v=""/>
    <s v="006"/>
    <s v="Unidad"/>
    <s v=""/>
    <n v="3"/>
    <n v="488"/>
    <n v="1464"/>
  </r>
  <r>
    <s v="017"/>
    <s v="CARRO DE PARO UCI                                 "/>
    <x v="0"/>
    <x v="0"/>
    <s v="19914227-05"/>
    <s v="FUROSEMIDA 20 mg / 2 ml Solución inyectable"/>
    <s v=""/>
    <s v=""/>
    <s v=""/>
    <s v=""/>
    <s v="20 mg / 2 ml"/>
    <n v="3"/>
    <n v="559.97333333333336"/>
    <n v="1679.92"/>
  </r>
  <r>
    <s v="002"/>
    <s v="FARMACIA DE CIRUGIA                               "/>
    <x v="2"/>
    <x v="2"/>
    <s v="XD000141"/>
    <s v="SONDA NELATON # 14 (UREATRAL)1"/>
    <s v=""/>
    <s v=""/>
    <s v="006"/>
    <s v="Unidad"/>
    <s v=""/>
    <n v="3"/>
    <n v="574.28377990430624"/>
    <n v="1722.85133971292"/>
  </r>
  <r>
    <s v="001"/>
    <s v="FARMACIA CENTRAL                                  "/>
    <x v="6"/>
    <x v="6"/>
    <s v="20019151-4"/>
    <s v="DIAZEPAM 10 mg / 2 ml Solución inyectable"/>
    <s v=""/>
    <s v=""/>
    <s v=""/>
    <s v=""/>
    <s v="10 mg "/>
    <n v="3"/>
    <n v="843"/>
    <n v="2529"/>
  </r>
  <r>
    <s v="026"/>
    <s v="CARRO DE PARO TERCER PISO                         "/>
    <x v="0"/>
    <x v="0"/>
    <s v="19930287-01"/>
    <s v="ATROPINA SULFATO 1mg / ml Solución inyectable"/>
    <s v=""/>
    <s v=""/>
    <s v=""/>
    <s v=""/>
    <s v="1mg / ml"/>
    <n v="3"/>
    <n v="958.57"/>
    <n v="2875.71"/>
  </r>
  <r>
    <s v="029"/>
    <s v="CARRO DE PARO CUARTO PISO                         "/>
    <x v="2"/>
    <x v="2"/>
    <s v="XD000062"/>
    <s v="GUANTE QUIRURGICO ESTERIL T-8.0 *1 PAR "/>
    <s v=""/>
    <s v=""/>
    <s v="006"/>
    <s v="Unidad"/>
    <s v=""/>
    <n v="3"/>
    <n v="1014.9652030456853"/>
    <n v="3044.8956091370601"/>
  </r>
  <r>
    <s v="019"/>
    <s v="CARRO DE PARO UCI 1/2                             "/>
    <x v="2"/>
    <x v="2"/>
    <s v="XD000060"/>
    <s v="GUANTE QUIRURGICO ESTERIL T-7.0 *1 PAR "/>
    <s v=""/>
    <s v=""/>
    <s v="006"/>
    <s v="Unidad"/>
    <s v=""/>
    <n v="3"/>
    <n v="1017.2755338691159"/>
    <n v="3051.8266016073499"/>
  </r>
  <r>
    <s v="017"/>
    <s v="CARRO DE PARO UCI                                 "/>
    <x v="2"/>
    <x v="2"/>
    <s v="XD000059"/>
    <s v="GUANTE QUIRURGICO ESTERIL T-6.5 *1 PAR "/>
    <s v=""/>
    <s v=""/>
    <s v="006"/>
    <s v="Unidad"/>
    <s v=""/>
    <n v="3"/>
    <n v="1018.0292795883362"/>
    <n v="3054.08783876501"/>
  </r>
  <r>
    <s v="002"/>
    <s v="FARMACIA DE CIRUGIA                               "/>
    <x v="2"/>
    <x v="2"/>
    <s v="XT000074"/>
    <s v="CANULA DE GUEDEL (MAYO) X N.5"/>
    <s v=""/>
    <s v=""/>
    <s v="006"/>
    <s v="Unidad"/>
    <s v=""/>
    <n v="3"/>
    <n v="1061.3860465116279"/>
    <n v="3184.1581395348799"/>
  </r>
  <r>
    <s v="006"/>
    <s v="ALMACEN MEDICOQUIRURGICOS   "/>
    <x v="2"/>
    <x v="2"/>
    <s v="XT000101"/>
    <s v="EXTENCION DE OXIGENO 2 METROS X UND"/>
    <s v=""/>
    <s v=""/>
    <s v="006"/>
    <s v="Unidad"/>
    <s v=""/>
    <n v="3"/>
    <n v="1125"/>
    <n v="3375"/>
  </r>
  <r>
    <s v="005"/>
    <s v="ALMACEN MEDICAMENTOS"/>
    <x v="0"/>
    <x v="0"/>
    <s v="19956951-03"/>
    <s v="ACETAMINOFEN 30mg/ml Jarabe"/>
    <s v=""/>
    <s v=""/>
    <s v=""/>
    <s v=""/>
    <s v="30 mg / ml - 60 ml"/>
    <n v="3"/>
    <n v="1188"/>
    <n v="3564"/>
  </r>
  <r>
    <s v="002"/>
    <s v="FARMACIA DE CIRUGIA                               "/>
    <x v="2"/>
    <x v="2"/>
    <s v="XD000257"/>
    <s v="SONDA LEVIN-TUBO VENTROL 18FR NASOGASTRICA120"/>
    <s v=""/>
    <s v=""/>
    <s v="006"/>
    <s v="Unidad"/>
    <s v=""/>
    <n v="3"/>
    <n v="1199.452380952381"/>
    <n v="3598.3571428571399"/>
  </r>
  <r>
    <s v="019"/>
    <s v="CARRO DE PARO UCI 1/2                             "/>
    <x v="2"/>
    <x v="2"/>
    <s v="XD000061"/>
    <s v="GUANTE QUIRURGICO ESTERIL T-7.5 *1 PAR "/>
    <s v=""/>
    <s v=""/>
    <s v="006"/>
    <s v="Unidad"/>
    <s v=""/>
    <n v="3"/>
    <n v="1204.1314579901152"/>
    <n v="3612.39437397035"/>
  </r>
  <r>
    <s v="053"/>
    <s v="CARRO DE PARO CRITICO QUIROGA"/>
    <x v="0"/>
    <x v="0"/>
    <s v="20039073-01"/>
    <s v="CALCIO GLUCONATO 10%  Solución Inyectable 10 ML"/>
    <s v=""/>
    <s v=""/>
    <s v=""/>
    <s v=""/>
    <s v="10% - 10 ML"/>
    <n v="3"/>
    <n v="1287.0478666666668"/>
    <n v="3861.1435999999999"/>
  </r>
  <r>
    <s v="004"/>
    <s v="CARRO DE PARO RADIOLOGIA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09"/>
    <s v="CARRO DE PARO URGENCIAS      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15"/>
    <s v="CARRO DE PARO HEMODINAMIA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19"/>
    <s v="CARRO DE PARO UCI 1/2        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22"/>
    <s v="CARRO DE PARO DE CIRUGIA     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25"/>
    <s v="CARRO DE PARO GASTROENTEROLOGÌA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26"/>
    <s v="CARRO DE PARO TERCER PISO    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29"/>
    <s v="CARRO DE PARO CUARTO PISO                         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53"/>
    <s v="CARRO DE PARO CRITICO QUIROGA"/>
    <x v="0"/>
    <x v="0"/>
    <s v="19935299-01"/>
    <s v="MAGNESIO SULFATO 2 g / 10 ml Solución Inyectable"/>
    <s v=""/>
    <s v=""/>
    <s v=""/>
    <s v=""/>
    <s v="2 g / 10 ml"/>
    <n v="3"/>
    <n v="1486.123103448276"/>
    <n v="4458.3693103448304"/>
  </r>
  <r>
    <s v="001"/>
    <s v="FARMACIA CENTRAL                                  "/>
    <x v="2"/>
    <x v="2"/>
    <s v="XA000015"/>
    <s v="APOSITOS OCULARES ESTERILES-CAJA *50 UNIDADES"/>
    <s v=""/>
    <s v=""/>
    <s v="006"/>
    <s v="Unidad"/>
    <s v=""/>
    <n v="3"/>
    <n v="1500"/>
    <n v="4500"/>
  </r>
  <r>
    <s v="002"/>
    <s v="FARMACIA DE CIRUGIA                               "/>
    <x v="0"/>
    <x v="0"/>
    <s v="20061284-01"/>
    <s v="HALOPERIDOL 5 mg / ml Solución Inyectable"/>
    <s v=""/>
    <s v=""/>
    <s v=""/>
    <s v=""/>
    <s v="5 mg"/>
    <n v="3"/>
    <n v="1616.088181818182"/>
    <n v="4848.26454545455"/>
  </r>
  <r>
    <s v="009"/>
    <s v="CARRO DE PARO URGENCIAS                           "/>
    <x v="2"/>
    <x v="2"/>
    <s v="XJ000005"/>
    <s v="CATETERES PERIFERICOS INTRAVENOSOS INSYTE #16*50"/>
    <s v=""/>
    <s v=""/>
    <s v="006"/>
    <s v="Unidad"/>
    <s v=""/>
    <n v="3"/>
    <n v="1999.3788311688313"/>
    <n v="5998.1364935064903"/>
  </r>
  <r>
    <s v="015"/>
    <s v="CARRO DE PARO HEMODINAMIA                     "/>
    <x v="0"/>
    <x v="0"/>
    <s v="20036851-01"/>
    <s v="ADRENALINA Solución inyectable 1 mg / ml"/>
    <s v=""/>
    <s v=""/>
    <s v=""/>
    <s v=""/>
    <s v="1 mg / ml"/>
    <n v="3"/>
    <n v="2115.7913513513513"/>
    <n v="6347.3740540540502"/>
  </r>
  <r>
    <s v="059"/>
    <s v="BODEGA CUARENTENA"/>
    <x v="6"/>
    <x v="6"/>
    <s v="20009779-01"/>
    <s v="MIDAZOLAM 5 mg / 5 ml Solución Inyectable"/>
    <s v=""/>
    <s v=""/>
    <s v=""/>
    <s v=""/>
    <s v="5 mg / 5 ml"/>
    <n v="3"/>
    <n v="2192.666666666667"/>
    <n v="6578"/>
  </r>
  <r>
    <s v="053"/>
    <s v="CARRO DE PARO CRITICO QUIROGA"/>
    <x v="0"/>
    <x v="0"/>
    <s v="29523-03"/>
    <s v="SODIO CLORURO 0.9 % Solución Inyectable x 100 ml"/>
    <s v=""/>
    <s v=""/>
    <s v=""/>
    <s v=""/>
    <s v="0.9 % - 100 ML"/>
    <n v="3"/>
    <n v="2206.7211700182816"/>
    <n v="6620.1635100548401"/>
  </r>
  <r>
    <s v="003"/>
    <s v="CARRO  DE PARO RECUPERACION HEMODINAMIA"/>
    <x v="6"/>
    <x v="6"/>
    <s v="20023905-04"/>
    <s v="FENTANILO CITRATO 0.5 mg / 10 ml Solución Inyectable"/>
    <s v=""/>
    <s v=""/>
    <s v=""/>
    <s v=""/>
    <s v="0,5 MG / 10 ML"/>
    <n v="3"/>
    <n v="2235.065979532164"/>
    <n v="6705.1979385964896"/>
  </r>
  <r>
    <s v="015"/>
    <s v="CARRO DE PARO HEMODINAMIA                     "/>
    <x v="6"/>
    <x v="6"/>
    <s v="20023905-04"/>
    <s v="FENTANILO CITRATO 0.5 mg / 10 ml Solución Inyectable"/>
    <s v=""/>
    <s v=""/>
    <s v=""/>
    <s v=""/>
    <s v="0,5 MG / 10 ML"/>
    <n v="3"/>
    <n v="2235.065979532164"/>
    <n v="6705.1979385964896"/>
  </r>
  <r>
    <s v="026"/>
    <s v="CARRO DE PARO TERCER PISO                         "/>
    <x v="0"/>
    <x v="0"/>
    <s v="19940783-01"/>
    <s v="NOREPINEFRINA 4 mg / 4 ml Solución Inyectable"/>
    <s v=""/>
    <s v=""/>
    <s v=""/>
    <s v=""/>
    <s v="4 mg / 4 ml"/>
    <n v="3"/>
    <n v="2256.593404255319"/>
    <n v="6769.7802127659597"/>
  </r>
  <r>
    <s v="059"/>
    <s v="BODEGA CUARENTENA"/>
    <x v="6"/>
    <x v="6"/>
    <s v="19931880-09"/>
    <s v="FENTANILO CITRATO 0.5 mg / 10 ml Solución Inyectable"/>
    <s v=""/>
    <s v=""/>
    <s v=""/>
    <s v=""/>
    <s v="0,5 MG / 10 ML"/>
    <n v="3"/>
    <n v="2291"/>
    <n v="6873"/>
  </r>
  <r>
    <s v="003"/>
    <s v="CARRO  DE PARO RECUPERACION HEMODINAMIA"/>
    <x v="0"/>
    <x v="0"/>
    <s v="19988938-04"/>
    <s v="MAGNESIO SULFATO 2 g / 10 ml Solución Inyectable"/>
    <s v=""/>
    <s v=""/>
    <s v=""/>
    <s v=""/>
    <s v="2 g / 10 ml"/>
    <n v="3"/>
    <n v="2378.6666666666665"/>
    <n v="7136"/>
  </r>
  <r>
    <s v="014"/>
    <s v="CARRO DE PARO CARDIOLOGIA                            "/>
    <x v="0"/>
    <x v="0"/>
    <s v="19988938-04"/>
    <s v="MAGNESIO SULFATO 2 g / 10 ml Solución Inyectable"/>
    <s v=""/>
    <s v=""/>
    <s v=""/>
    <s v=""/>
    <s v="2 g / 10 ml"/>
    <n v="3"/>
    <n v="2378.6666666666665"/>
    <n v="7136"/>
  </r>
  <r>
    <s v="009"/>
    <s v="CARRO DE PARO URGENCIAS                           "/>
    <x v="6"/>
    <x v="6"/>
    <s v="19931880-17"/>
    <s v="FENTANILO CITRATO 0.5 mg / 10 ml Solución Inyectable"/>
    <s v=""/>
    <s v=""/>
    <s v=""/>
    <s v=""/>
    <s v="0,5 MG / 10 ML"/>
    <n v="3"/>
    <n v="2383.6783333333333"/>
    <n v="7151.0349999999999"/>
  </r>
  <r>
    <s v="022"/>
    <s v="CARRO DE PARO DE CIRUGIA                          "/>
    <x v="6"/>
    <x v="6"/>
    <s v="19931880-17"/>
    <s v="FENTANILO CITRATO 0.5 mg / 10 ml Solución Inyectable"/>
    <s v=""/>
    <s v=""/>
    <s v=""/>
    <s v=""/>
    <s v="0,5 MG / 10 ML"/>
    <n v="3"/>
    <n v="2383.6783333333333"/>
    <n v="7151.0349999999999"/>
  </r>
  <r>
    <s v="001"/>
    <s v="FARMACIA CENTRAL                                  "/>
    <x v="2"/>
    <x v="2"/>
    <s v="XT000043"/>
    <s v="TUBO ENDOTRAQUEAL # 5.0-C/B X1"/>
    <s v=""/>
    <s v=""/>
    <s v="006"/>
    <s v="Unidad"/>
    <s v=""/>
    <n v="3"/>
    <n v="2546.1666666666665"/>
    <n v="7638.5"/>
  </r>
  <r>
    <s v="001"/>
    <s v="FARMACIA CENTRAL                                  "/>
    <x v="0"/>
    <x v="0"/>
    <s v="19993998-8"/>
    <s v="DEXAMETASONA + NEOMICINA + POLIMIXINA 1MG+3.5MG+6000  UI"/>
    <s v=""/>
    <s v=""/>
    <s v=""/>
    <s v=""/>
    <s v="1MG+3.5MG+6000 UI "/>
    <n v="3"/>
    <n v="2590"/>
    <n v="7770"/>
  </r>
  <r>
    <s v="002"/>
    <s v="FARMACIA DE CIRUGIA                               "/>
    <x v="0"/>
    <x v="0"/>
    <s v="32606-02"/>
    <s v="LACTATO RINGER Solucion Inyectable bolsa 500 mL"/>
    <s v=""/>
    <s v=""/>
    <s v=""/>
    <s v=""/>
    <s v="500 ml"/>
    <n v="3"/>
    <n v="2745.2384554455443"/>
    <n v="8235.7153663366298"/>
  </r>
  <r>
    <s v="022"/>
    <s v="CARRO DE PARO DE CIRUGIA                          "/>
    <x v="0"/>
    <x v="0"/>
    <s v="32606-02"/>
    <s v="LACTATO RINGER Solucion Inyectable bolsa 500 mL"/>
    <s v=""/>
    <s v=""/>
    <s v=""/>
    <s v=""/>
    <s v="500 ml"/>
    <n v="3"/>
    <n v="2745.2384554455443"/>
    <n v="8235.7153663366298"/>
  </r>
  <r>
    <s v="009"/>
    <s v="CARRO DE PARO URGENCIAS                           "/>
    <x v="0"/>
    <x v="0"/>
    <s v="20055558-8"/>
    <s v="SODIO CLORURO 0.9 % Solución Inyectable x 500 ml"/>
    <s v=""/>
    <s v=""/>
    <s v=""/>
    <s v=""/>
    <s v="0.9 % - 500 ML"/>
    <n v="3"/>
    <n v="2778.67"/>
    <n v="8336.01"/>
  </r>
  <r>
    <s v="002"/>
    <s v="FARMACIA DE CIRUGIA                               "/>
    <x v="2"/>
    <x v="2"/>
    <s v="XG000030"/>
    <s v="TAPON LIBRE DE AGUJAS CLEARLINK"/>
    <s v=""/>
    <s v=""/>
    <s v="006"/>
    <s v="Unidad"/>
    <s v=""/>
    <n v="3"/>
    <n v="2841.516984126984"/>
    <n v="8524.5509523809505"/>
  </r>
  <r>
    <s v="001"/>
    <s v="FARMACIA CENTRAL                                  "/>
    <x v="0"/>
    <x v="0"/>
    <s v="20096492-01"/>
    <s v="OXIMETAZOLINA 0.05 % Solución nasal 15 ML"/>
    <s v=""/>
    <s v=""/>
    <s v=""/>
    <s v=""/>
    <s v="0.05 % - 15 ml"/>
    <n v="3"/>
    <n v="3067"/>
    <n v="9201"/>
  </r>
  <r>
    <s v="001"/>
    <s v="FARMACIA CENTRAL                                  "/>
    <x v="3"/>
    <x v="3"/>
    <s v="19936817-01"/>
    <s v="GENTAMICINA 3 mg / ml Solución Oftálmica 10 ML"/>
    <s v=""/>
    <s v=""/>
    <s v=""/>
    <s v=""/>
    <s v="3 mg / ml - 10 ML"/>
    <n v="3"/>
    <n v="3449.6666666666665"/>
    <n v="10349"/>
  </r>
  <r>
    <s v="029"/>
    <s v="CARRO DE PARO CUARTO PISO                         "/>
    <x v="0"/>
    <x v="0"/>
    <s v="19992832-03"/>
    <s v="AMIODARONA 150 mg / 3ml Solución Inyectable "/>
    <s v=""/>
    <s v=""/>
    <s v=""/>
    <s v=""/>
    <s v="150 mg / 3ml"/>
    <n v="3"/>
    <n v="3894.9839393939396"/>
    <n v="11684.95181818182"/>
  </r>
  <r>
    <s v="002"/>
    <s v="FARMACIA DE CIRUGIA                               "/>
    <x v="2"/>
    <x v="2"/>
    <s v="XT000036"/>
    <s v="TUBO DE TORAX # 30 *1 CATETER"/>
    <s v=""/>
    <s v=""/>
    <s v="006"/>
    <s v="Unidad"/>
    <s v=""/>
    <n v="3"/>
    <n v="4187"/>
    <n v="12561"/>
  </r>
  <r>
    <s v="002"/>
    <s v="FARMACIA DE CIRUGIA                               "/>
    <x v="2"/>
    <x v="2"/>
    <s v="XT000037"/>
    <s v="TUBO DE TORAX # 32 *1 CATETER"/>
    <s v=""/>
    <s v=""/>
    <s v="006"/>
    <s v="Unidad"/>
    <s v=""/>
    <n v="3"/>
    <n v="4259.3705405405408"/>
    <n v="12778.11162162162"/>
  </r>
  <r>
    <s v="002"/>
    <s v="FARMACIA DE CIRUGIA                               "/>
    <x v="2"/>
    <x v="2"/>
    <s v="XV000009"/>
    <s v="VENDA DE GASA 6 X 5 *1 UNIDAD"/>
    <s v=""/>
    <s v=""/>
    <s v="006"/>
    <s v="Unidad"/>
    <s v=""/>
    <n v="3"/>
    <n v="4369.3103448275861"/>
    <n v="13107.931034482761"/>
  </r>
  <r>
    <s v="002"/>
    <s v="FARMACIA DE CIRUGIA                               "/>
    <x v="2"/>
    <x v="2"/>
    <s v="XD000037"/>
    <s v="DREN PLANO SILICONADO-JACKSON PRATT-SIN TROCAR "/>
    <s v=""/>
    <s v=""/>
    <s v="006"/>
    <s v="Unidad"/>
    <s v=""/>
    <n v="3"/>
    <n v="4384.0202857142858"/>
    <n v="13152.06085714286"/>
  </r>
  <r>
    <s v="001"/>
    <s v="FARMACIA CENTRAL                                  "/>
    <x v="0"/>
    <x v="0"/>
    <s v="19997076-01"/>
    <s v="NISTATINA 100.000 UI/ml Suspensión Oral Frasco 60ml"/>
    <s v=""/>
    <s v=""/>
    <s v=""/>
    <s v=""/>
    <s v="100.000 UI/ml 60 ML"/>
    <n v="3"/>
    <n v="4386.9977777777776"/>
    <n v="13160.99333333333"/>
  </r>
  <r>
    <s v="001"/>
    <s v="FARMACIA CENTRAL                                  "/>
    <x v="2"/>
    <x v="2"/>
    <s v="XT000038"/>
    <s v="TUBO DE TORAX # 34 *1 CATETER"/>
    <s v=""/>
    <s v=""/>
    <s v="006"/>
    <s v="Unidad"/>
    <s v=""/>
    <n v="3"/>
    <n v="4519.7368421052633"/>
    <n v="13559.21052631579"/>
  </r>
  <r>
    <s v="002"/>
    <s v="FARMACIA DE CIRUGIA                               "/>
    <x v="0"/>
    <x v="0"/>
    <s v="19943753-02"/>
    <s v="SODIO CLORURO 3% Solución inyectable bolsa 500 mL"/>
    <s v=""/>
    <s v=""/>
    <s v=""/>
    <s v=""/>
    <s v="3% - 500 ml"/>
    <n v="3"/>
    <n v="4750.867631578948"/>
    <n v="14252.60289473684"/>
  </r>
  <r>
    <s v="059"/>
    <s v="BODEGA CUARENTENA"/>
    <x v="6"/>
    <x v="6"/>
    <s v="20008612-01"/>
    <s v="HIDROMORFONA CLORHIDRATO 2 mg / ml Solución Inyectable"/>
    <s v=""/>
    <s v=""/>
    <s v=""/>
    <s v=""/>
    <s v="2 mg / ml"/>
    <n v="3"/>
    <n v="4812.416766370251"/>
    <n v="14437.25029911075"/>
  </r>
  <r>
    <s v="002"/>
    <s v="FARMACIA DE CIRUGIA                               "/>
    <x v="2"/>
    <x v="2"/>
    <s v="XA000034"/>
    <s v="GASA ADESHIVA  FIXOMULL-10CM X1M STRETCH"/>
    <s v=""/>
    <s v=""/>
    <s v="006"/>
    <s v="Unidad"/>
    <s v=""/>
    <n v="3"/>
    <n v="5041.3560273972607"/>
    <n v="15124.068082191779"/>
  </r>
  <r>
    <s v="014"/>
    <s v="CARRO DE PARO CARDIOLOGIA                            "/>
    <x v="6"/>
    <x v="6"/>
    <s v="20014670-07"/>
    <s v="FENTANILO CITRATO 0.5 mg / 10 ml Solución Inyectable"/>
    <s v=""/>
    <s v=""/>
    <s v=""/>
    <s v=""/>
    <s v="0,5 MG / 10 ML"/>
    <n v="3"/>
    <n v="5500"/>
    <n v="16500"/>
  </r>
  <r>
    <s v="001"/>
    <s v="FARMACIA CENTRAL                                  "/>
    <x v="0"/>
    <x v="0"/>
    <s v="52033-04"/>
    <s v="BUPIVACAINA CLORHIDRATO 0.5 % Solución inyectable 10 ML"/>
    <s v=""/>
    <s v=""/>
    <s v=""/>
    <s v=""/>
    <s v="0.5% - 10 ml"/>
    <n v="3"/>
    <n v="6012.7747826086952"/>
    <n v="18038.324347826088"/>
  </r>
  <r>
    <s v="002"/>
    <s v="FARMACIA DE CIRUGIA                               "/>
    <x v="2"/>
    <x v="2"/>
    <s v="XS000142"/>
    <s v="PINZA PLASTICA PARA SELLAR BOLSA DE COLOSTOMIA*1"/>
    <s v=""/>
    <s v=""/>
    <s v="006"/>
    <s v="Unidad"/>
    <s v=""/>
    <n v="3"/>
    <n v="6068.0211111111103"/>
    <n v="18204.063333333332"/>
  </r>
  <r>
    <s v="025"/>
    <s v="CARRO DE PARO GASTROENTEROLOGÌA                   "/>
    <x v="6"/>
    <x v="6"/>
    <s v="35430-01"/>
    <s v="MIDAZOLAM 5 mg / 5 ml Solución Inyectable"/>
    <s v=""/>
    <s v=""/>
    <s v=""/>
    <s v=""/>
    <s v="5 mg / 5 ml"/>
    <n v="3"/>
    <n v="6808.1310000000003"/>
    <n v="20424.393"/>
  </r>
  <r>
    <s v="006"/>
    <s v="ALMACEN MEDICOQUIRURGICOS   "/>
    <x v="2"/>
    <x v="2"/>
    <s v="XO000031"/>
    <s v="FERULA ORTOPEDICA DEDOS BASEBALL"/>
    <s v=""/>
    <s v=""/>
    <s v="006"/>
    <s v="Unidad"/>
    <s v=""/>
    <n v="3"/>
    <n v="7000"/>
    <n v="21000"/>
  </r>
  <r>
    <s v="001"/>
    <s v="FARMACIA CENTRAL                                  "/>
    <x v="2"/>
    <x v="2"/>
    <s v="XS000121"/>
    <s v="SUTURA QUIRURGICA MONOFILAMENTE ESTERIL SINTETICO NO ABSORBIBLE 5/0(1386T E19)P8686TPS2 X2 DOCENAS"/>
    <s v=""/>
    <s v=""/>
    <s v="006"/>
    <s v="Unidad"/>
    <s v=""/>
    <n v="3"/>
    <n v="7309.142045454546"/>
    <n v="21927.42613636364"/>
  </r>
  <r>
    <s v="002"/>
    <s v="FARMACIA DE CIRUGIA                               "/>
    <x v="0"/>
    <x v="0"/>
    <s v="19942779-01"/>
    <s v="DOBUTAMINA 250 mg / 5 ml Solución inyectable"/>
    <s v=""/>
    <s v=""/>
    <s v=""/>
    <s v=""/>
    <s v="250 mg / 5 ml"/>
    <n v="3"/>
    <n v="8706.6"/>
    <n v="26119.8"/>
  </r>
  <r>
    <s v="006"/>
    <s v="ALMACEN MEDICOQUIRURGICOS   "/>
    <x v="2"/>
    <x v="2"/>
    <s v="XS000101"/>
    <s v="SUTURA QUIRURGICA ABSORBIBLE VICRYL 4/0 J304H RB-1 X3 DOCENAS"/>
    <s v=""/>
    <s v=""/>
    <s v="006"/>
    <s v="Unidad"/>
    <s v=""/>
    <n v="3"/>
    <n v="9188.3127499999991"/>
    <n v="27564.938249999999"/>
  </r>
  <r>
    <s v="001"/>
    <s v="FARMACIA CENTRAL                                  "/>
    <x v="2"/>
    <x v="2"/>
    <s v="XJ000017"/>
    <s v="JERINGA PUNTA CATETER X60ML S/A 3PARTES X40 X1"/>
    <s v=""/>
    <s v=""/>
    <s v="006"/>
    <s v="Unidad"/>
    <s v=""/>
    <n v="3"/>
    <n v="9752.0057333333316"/>
    <n v="29256.017199999998"/>
  </r>
  <r>
    <s v="017"/>
    <s v="CARRO DE PARO UCI                                 "/>
    <x v="0"/>
    <x v="0"/>
    <s v="20096205-01"/>
    <s v="VASOPRESINA 20 U.I Solución inyectable"/>
    <s v=""/>
    <s v=""/>
    <s v=""/>
    <s v=""/>
    <s v="20 UI"/>
    <n v="3"/>
    <n v="10080.152592592593"/>
    <n v="30240.457777777781"/>
  </r>
  <r>
    <s v="001"/>
    <s v="FARMACIA CENTRAL                                  "/>
    <x v="0"/>
    <x v="0"/>
    <s v="19977387-02"/>
    <s v="LEVOMEPROMAZINA 40 mg/ml Solución Oral Fco 20mL"/>
    <s v=""/>
    <s v=""/>
    <s v=""/>
    <s v=""/>
    <s v="40 mg/ml - 20 ml"/>
    <n v="3"/>
    <n v="10130.283333333333"/>
    <n v="30390.85"/>
  </r>
  <r>
    <s v="002"/>
    <s v="FARMACIA DE CIRUGIA                               "/>
    <x v="0"/>
    <x v="0"/>
    <s v="20149724-1"/>
    <s v="METOPROLOL 5 mg / 5ml Solución Inyectable"/>
    <s v=""/>
    <s v=""/>
    <s v=""/>
    <s v=""/>
    <s v="5 mg / 5ml"/>
    <n v="3"/>
    <n v="12500"/>
    <n v="37500"/>
  </r>
  <r>
    <s v="006"/>
    <s v="ALMACEN MEDICOQUIRURGICOS   "/>
    <x v="2"/>
    <x v="2"/>
    <s v="XT000102"/>
    <s v="CANULA DE OXIGENO ADULTO 15 MT"/>
    <s v=""/>
    <s v=""/>
    <s v="006"/>
    <s v="Unidad"/>
    <s v=""/>
    <n v="3"/>
    <n v="12677.174999999999"/>
    <n v="38031.525000000001"/>
  </r>
  <r>
    <s v="006"/>
    <s v="ALMACEN MEDICOQUIRURGICOS   "/>
    <x v="2"/>
    <x v="2"/>
    <s v="XO000038"/>
    <s v="COSTILLERO DAMA TALLA M"/>
    <s v=""/>
    <s v=""/>
    <s v="006"/>
    <s v="Unidad"/>
    <s v=""/>
    <n v="3"/>
    <n v="13300"/>
    <n v="39900"/>
  </r>
  <r>
    <s v="001"/>
    <s v="FARMACIA CENTRAL                                  "/>
    <x v="0"/>
    <x v="0"/>
    <s v="20134604-09"/>
    <s v="VASOPRESINA 20 U.I Solución inyectable"/>
    <s v=""/>
    <s v=""/>
    <s v=""/>
    <s v=""/>
    <s v="20 UI"/>
    <n v="3"/>
    <n v="13750"/>
    <n v="41250"/>
  </r>
  <r>
    <s v="008"/>
    <s v="ALMACEN  GENERAL                                         "/>
    <x v="1"/>
    <x v="1"/>
    <s v="AM000144"/>
    <s v="REPUESTO PEDAL PARA CANECA DE 20 LITROS"/>
    <s v=""/>
    <s v=""/>
    <s v="006"/>
    <s v="Unidad"/>
    <s v=""/>
    <n v="3"/>
    <n v="14280"/>
    <n v="42840"/>
  </r>
  <r>
    <s v="001"/>
    <s v="FARMACIA CENTRAL                                  "/>
    <x v="2"/>
    <x v="2"/>
    <s v="XT000075"/>
    <s v="FILTRO INSPIRATORIO DES.22MM REF4-074601-00"/>
    <s v=""/>
    <s v=""/>
    <s v="006"/>
    <s v="Unidad"/>
    <s v=""/>
    <n v="3"/>
    <n v="14544.142857142857"/>
    <n v="43632.428571428572"/>
  </r>
  <r>
    <s v="006"/>
    <s v="ALMACEN MEDICOQUIRURGICOS   "/>
    <x v="2"/>
    <x v="2"/>
    <s v="XT000075"/>
    <s v="FILTRO INSPIRATORIO DES.22MM REF4-074601-00"/>
    <s v=""/>
    <s v=""/>
    <s v="006"/>
    <s v="Unidad"/>
    <s v=""/>
    <n v="3"/>
    <n v="14544.142857142857"/>
    <n v="43632.428571428572"/>
  </r>
  <r>
    <s v="006"/>
    <s v="ALMACEN MEDICOQUIRURGICOS   "/>
    <x v="2"/>
    <x v="2"/>
    <s v="XO000009"/>
    <s v="COLLAR CERVICAL PHILADELPHIA L UNIDAD"/>
    <s v=""/>
    <s v=""/>
    <s v="006"/>
    <s v="Unidad"/>
    <s v=""/>
    <n v="3"/>
    <n v="15098.718000000001"/>
    <n v="45296.154000000002"/>
  </r>
  <r>
    <s v="001"/>
    <s v="FARMACIA CENTRAL                                  "/>
    <x v="2"/>
    <x v="2"/>
    <s v="XS000083"/>
    <s v="SUTURA DE POLIESTER 0 ETHIBOND B412H CT-2 X3 DOCENAS"/>
    <s v=""/>
    <s v=""/>
    <s v="006"/>
    <s v="Unidad"/>
    <s v=""/>
    <n v="3"/>
    <n v="15750"/>
    <n v="47250"/>
  </r>
  <r>
    <s v="001"/>
    <s v="FARMACIA CENTRAL                                  "/>
    <x v="2"/>
    <x v="2"/>
    <s v="XD000447"/>
    <s v="BOLSA DE COLOSTOMIA NATURA 57MM REF 416420-411804"/>
    <s v=""/>
    <s v=""/>
    <s v="006"/>
    <s v="Unidad"/>
    <s v=""/>
    <n v="3"/>
    <n v="15864.732647058823"/>
    <n v="47594.19794117647"/>
  </r>
  <r>
    <s v="004"/>
    <s v="CARRO DE PARO RADIOLOGIA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09"/>
    <s v="CARRO DE PARO URGENCIAS  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14"/>
    <s v="CARRO DE PARO CARDIOLOGIA   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15"/>
    <s v="CARRO DE PARO HEMODINAMIA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17"/>
    <s v="CARRO DE PARO UCI        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22"/>
    <s v="CARRO DE PARO DE CIRUGIA 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25"/>
    <s v="CARRO DE PARO GASTROENTEROLOGÌA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26"/>
    <s v="CARRO DE PARO TERCER PISO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29"/>
    <s v="CARRO DE PARO CUARTO PISO                         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57"/>
    <s v="CARRO DE PARO UCI 2"/>
    <x v="0"/>
    <x v="0"/>
    <s v="20058380-01"/>
    <s v="ADENOSINA 6 mg/2 ml Solución Inyectable"/>
    <s v=""/>
    <s v=""/>
    <s v=""/>
    <s v=""/>
    <s v="6 mg / 2 ml"/>
    <n v="3"/>
    <n v="17324.682926829268"/>
    <n v="51974.048780487799"/>
  </r>
  <r>
    <s v="004"/>
    <s v="CARRO DE PARO RADIOLOGIA"/>
    <x v="0"/>
    <x v="0"/>
    <s v="39227-05"/>
    <s v="METOPROLOL 5 mg / 5ml Solución Inyectable"/>
    <s v=""/>
    <s v=""/>
    <s v=""/>
    <s v=""/>
    <s v="5 mg / 5ml"/>
    <n v="3"/>
    <n v="17751.05"/>
    <n v="53253.15"/>
  </r>
  <r>
    <s v="014"/>
    <s v="CARRO DE PARO CARDIOLOGIA       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15"/>
    <s v="CARRO DE PARO HEMODINAMIA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19"/>
    <s v="CARRO DE PARO UCI 1/2        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22"/>
    <s v="CARRO DE PARO DE CIRUGIA     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25"/>
    <s v="CARRO DE PARO GASTROENTEROLOGÌA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26"/>
    <s v="CARRO DE PARO TERCER PISO    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29"/>
    <s v="CARRO DE PARO CUARTO PISO                         "/>
    <x v="0"/>
    <x v="0"/>
    <s v="39227-05"/>
    <s v="METOPROLOL 5 mg / 5ml Solución Inyectable"/>
    <s v=""/>
    <s v=""/>
    <s v=""/>
    <s v=""/>
    <s v="5 mg / 5ml"/>
    <n v="3"/>
    <n v="17751.05"/>
    <n v="53253.15"/>
  </r>
  <r>
    <s v="006"/>
    <s v="ALMACEN MEDICOQUIRURGICOS   "/>
    <x v="2"/>
    <x v="2"/>
    <s v="XO000052"/>
    <s v="COLLAR CERVICAL PHILADELPHIA PEDIATRICO UNIDAD"/>
    <s v=""/>
    <s v=""/>
    <s v="006"/>
    <s v="Unidad"/>
    <s v=""/>
    <n v="3"/>
    <n v="18000"/>
    <n v="54000"/>
  </r>
  <r>
    <s v="001"/>
    <s v="FARMACIA CENTRAL                                  "/>
    <x v="0"/>
    <x v="0"/>
    <s v="19954947-10"/>
    <s v="AGUA ESTERIL PARA IRRIGACION 3000 ml"/>
    <s v=""/>
    <s v=""/>
    <s v=""/>
    <s v=""/>
    <s v="3000 ml"/>
    <n v="3"/>
    <n v="19312.63109090909"/>
    <n v="57937.89327272727"/>
  </r>
  <r>
    <s v="001"/>
    <s v="FARMACIA CENTRAL                                  "/>
    <x v="2"/>
    <x v="2"/>
    <s v="XE000009"/>
    <s v="EQUIPO EN.Y.TUR PARA IRRIGACION-CAJA X60"/>
    <s v=""/>
    <s v=""/>
    <s v="006"/>
    <s v="Unidad"/>
    <s v=""/>
    <n v="3"/>
    <n v="20132.750175438599"/>
    <n v="60398.250526315787"/>
  </r>
  <r>
    <s v="021"/>
    <s v="CENTRAL DE ESTERILIZACION                         "/>
    <x v="2"/>
    <x v="2"/>
    <s v="XD000101"/>
    <s v="PIN DE FIJACION EXTERNA STEINMANN 3,5"/>
    <s v=""/>
    <s v=""/>
    <s v="006"/>
    <s v="Unidad"/>
    <s v=""/>
    <n v="3"/>
    <n v="20298.25"/>
    <n v="60894.75"/>
  </r>
  <r>
    <s v="001"/>
    <s v="FARMACIA CENTRAL                                  "/>
    <x v="4"/>
    <x v="4"/>
    <s v="19914312-20"/>
    <s v="INSULINA GLARGINA 100 UI/ml Solucion Inyectable Lápiz x 3 ml"/>
    <s v=""/>
    <s v=""/>
    <s v=""/>
    <s v=""/>
    <s v="100 UI/ml pen 3mL"/>
    <n v="3"/>
    <n v="20941.7"/>
    <n v="62825.1"/>
  </r>
  <r>
    <s v="001"/>
    <s v="FARMACIA CENTRAL                                  "/>
    <x v="0"/>
    <x v="0"/>
    <s v="50709-02"/>
    <s v="LIDOCAINA BASE 10 g  Solución Tópica en Aerosol "/>
    <s v=""/>
    <s v=""/>
    <s v=""/>
    <s v=""/>
    <s v="10 g"/>
    <n v="3"/>
    <n v="22077.166666666668"/>
    <n v="66231.5"/>
  </r>
  <r>
    <s v="002"/>
    <s v="FARMACIA DE CIRUGIA                               "/>
    <x v="2"/>
    <x v="2"/>
    <s v="XD000010"/>
    <s v="BARRERA DE COLOSTOMIA  MOLDEABLE CONVEXA  DE 45 MM REF 404593-401544"/>
    <s v=""/>
    <s v=""/>
    <s v="006"/>
    <s v="Unidad"/>
    <s v=""/>
    <n v="3"/>
    <n v="22541.057142857142"/>
    <n v="67623.171428571426"/>
  </r>
  <r>
    <s v="003"/>
    <s v="CARRO  DE PARO RECUPERACION HEMODINAMIA"/>
    <x v="2"/>
    <x v="2"/>
    <s v="XE000004"/>
    <s v="EQUIPO BOMBA 5000 PRIMARIO XL HOSPIRA REF 1401"/>
    <s v=""/>
    <s v=""/>
    <s v="006"/>
    <s v="Unidad"/>
    <s v=""/>
    <n v="3"/>
    <n v="24641.383614744351"/>
    <n v="73924.150844233067"/>
  </r>
  <r>
    <s v="004"/>
    <s v="CARRO DE PARO RADIOLOGIA"/>
    <x v="2"/>
    <x v="2"/>
    <s v="XE000004"/>
    <s v="EQUIPO BOMBA 5000 PRIMARIO XL HOSPIRA REF 1401"/>
    <s v=""/>
    <s v=""/>
    <s v="006"/>
    <s v="Unidad"/>
    <s v=""/>
    <n v="3"/>
    <n v="24641.383614744351"/>
    <n v="73924.150844233067"/>
  </r>
  <r>
    <s v="009"/>
    <s v="CARRO DE PARO URGENCIAS                           "/>
    <x v="2"/>
    <x v="2"/>
    <s v="XE000004"/>
    <s v="EQUIPO BOMBA 5000 PRIMARIO XL HOSPIRA REF 1401"/>
    <s v=""/>
    <s v=""/>
    <s v="006"/>
    <s v="Unidad"/>
    <s v=""/>
    <n v="3"/>
    <n v="24641.383614744351"/>
    <n v="73924.150844233067"/>
  </r>
  <r>
    <s v="014"/>
    <s v="CARRO DE PARO CARDIOLOGIA                            "/>
    <x v="2"/>
    <x v="2"/>
    <s v="XE000004"/>
    <s v="EQUIPO BOMBA 5000 PRIMARIO XL HOSPIRA REF 1401"/>
    <s v=""/>
    <s v=""/>
    <s v="006"/>
    <s v="Unidad"/>
    <s v=""/>
    <n v="3"/>
    <n v="24641.383614744351"/>
    <n v="73924.150844233067"/>
  </r>
  <r>
    <s v="015"/>
    <s v="CARRO DE PARO HEMODINAMIA                     "/>
    <x v="2"/>
    <x v="2"/>
    <s v="XE000004"/>
    <s v="EQUIPO BOMBA 5000 PRIMARIO XL HOSPIRA REF 1401"/>
    <s v=""/>
    <s v=""/>
    <s v="006"/>
    <s v="Unidad"/>
    <s v=""/>
    <n v="3"/>
    <n v="24641.383614744351"/>
    <n v="73924.150844233067"/>
  </r>
  <r>
    <s v="001"/>
    <s v="FARMACIA CENTRAL                                  "/>
    <x v="2"/>
    <x v="2"/>
    <s v="XD000314"/>
    <s v="BOLSA DRENABLE DE OSTOMIA ESTEEM 100MM REF 416908"/>
    <s v=""/>
    <s v=""/>
    <s v="006"/>
    <s v="Unidad"/>
    <s v=""/>
    <n v="3"/>
    <n v="29199.5"/>
    <n v="87598.5"/>
  </r>
  <r>
    <s v="006"/>
    <s v="ALMACEN MEDICOQUIRURGICOS   "/>
    <x v="2"/>
    <x v="2"/>
    <s v="XD000045"/>
    <s v="EXO-VAC 1/4 -6.4MM-CAJA *10 UNIDADES"/>
    <s v=""/>
    <s v=""/>
    <s v="006"/>
    <s v="Unidad"/>
    <s v=""/>
    <n v="3"/>
    <n v="30096.657999999999"/>
    <n v="90289.974000000002"/>
  </r>
  <r>
    <s v="006"/>
    <s v="ALMACEN MEDICOQUIRURGICOS   "/>
    <x v="2"/>
    <x v="2"/>
    <s v="XE000033"/>
    <s v="EQUIPO DE BOMBA ENTERAL PRIMARIO NUTRICION REF 14257"/>
    <s v=""/>
    <s v=""/>
    <s v="006"/>
    <s v="Unidad"/>
    <s v=""/>
    <n v="3"/>
    <n v="33100"/>
    <n v="99300"/>
  </r>
  <r>
    <s v="006"/>
    <s v="ALMACEN MEDICOQUIRURGICOS   "/>
    <x v="2"/>
    <x v="2"/>
    <s v="XO000032"/>
    <s v="TOBILLERA  ABIERTA TALLA M"/>
    <s v=""/>
    <s v=""/>
    <s v="006"/>
    <s v="Unidad"/>
    <s v=""/>
    <n v="3"/>
    <n v="33250"/>
    <n v="99750"/>
  </r>
  <r>
    <s v="001"/>
    <s v="FARMACIA CENTRAL                                  "/>
    <x v="2"/>
    <x v="2"/>
    <s v="XD000057"/>
    <s v="GUANTE QUIRURGICO CON REVESTIMIENTO EN BIOGEL ANTICORTE"/>
    <s v=""/>
    <s v=""/>
    <s v="006"/>
    <s v="Unidad"/>
    <s v=""/>
    <n v="3"/>
    <n v="35363.481200000002"/>
    <n v="106090.4436"/>
  </r>
  <r>
    <s v="025"/>
    <s v="CARRO DE PARO GASTROENTEROLOGÌA                   "/>
    <x v="6"/>
    <x v="6"/>
    <s v="19936181-01"/>
    <s v="FENTANILO CITRATO 0.5 mg / 10 ml Solución Inyectable"/>
    <s v=""/>
    <s v=""/>
    <s v=""/>
    <s v=""/>
    <s v="0,5 MG / 10 ML"/>
    <n v="3"/>
    <n v="38030.017500000002"/>
    <n v="114090.05250000001"/>
  </r>
  <r>
    <s v="026"/>
    <s v="CARRO DE PARO TERCER PISO                         "/>
    <x v="6"/>
    <x v="6"/>
    <s v="19936181-01"/>
    <s v="FENTANILO CITRATO 0.5 mg / 10 ml Solución Inyectable"/>
    <s v=""/>
    <s v=""/>
    <s v=""/>
    <s v=""/>
    <s v="0,5 MG / 10 ML"/>
    <n v="3"/>
    <n v="38030.017500000002"/>
    <n v="114090.05250000001"/>
  </r>
  <r>
    <s v="029"/>
    <s v="CARRO DE PARO CUARTO PISO                         "/>
    <x v="6"/>
    <x v="6"/>
    <s v="19936181-01"/>
    <s v="FENTANILO CITRATO 0.5 mg / 10 ml Solución Inyectable"/>
    <s v=""/>
    <s v=""/>
    <s v=""/>
    <s v=""/>
    <s v="0,5 MG / 10 ML"/>
    <n v="3"/>
    <n v="38030.017500000002"/>
    <n v="114090.05250000001"/>
  </r>
  <r>
    <s v="053"/>
    <s v="CARRO DE PARO CRITICO QUIROGA"/>
    <x v="6"/>
    <x v="6"/>
    <s v="19936181-01"/>
    <s v="FENTANILO CITRATO 0.5 mg / 10 ml Solución Inyectable"/>
    <s v=""/>
    <s v=""/>
    <s v=""/>
    <s v=""/>
    <s v="0,5 MG / 10 ML"/>
    <n v="3"/>
    <n v="38030.017500000002"/>
    <n v="114090.05250000001"/>
  </r>
  <r>
    <s v="002"/>
    <s v="FARMACIA DE CIRUGIA                               "/>
    <x v="0"/>
    <x v="0"/>
    <s v="20029994-01"/>
    <s v="SUSTITUTO DE PLASMA HUMANO 4 % 500 ml"/>
    <s v=""/>
    <s v=""/>
    <s v=""/>
    <s v=""/>
    <s v="4% 500 ml"/>
    <n v="3"/>
    <n v="43328.285714285717"/>
    <n v="129984.85714285714"/>
  </r>
  <r>
    <s v="001"/>
    <s v="FARMACIA CENTRAL                                  "/>
    <x v="2"/>
    <x v="2"/>
    <s v="XV000020"/>
    <s v="VENDAJE CON GELATINA DE ZINC (VENDAJE DE UNNA)"/>
    <s v=""/>
    <s v=""/>
    <s v="006"/>
    <s v="Unidad"/>
    <s v=""/>
    <n v="3"/>
    <n v="45610.277777777781"/>
    <n v="136830.83333333331"/>
  </r>
  <r>
    <s v="006"/>
    <s v="ALMACEN MEDICOQUIRURGICOS   "/>
    <x v="2"/>
    <x v="2"/>
    <s v="XV000020"/>
    <s v="VENDAJE CON GELATINA DE ZINC (VENDAJE DE UNNA)"/>
    <s v=""/>
    <s v=""/>
    <s v="006"/>
    <s v="Unidad"/>
    <s v=""/>
    <n v="3"/>
    <n v="45610.277777777781"/>
    <n v="136830.83333333331"/>
  </r>
  <r>
    <s v="032"/>
    <s v="CLINICA DE HERIDAS                                "/>
    <x v="2"/>
    <x v="2"/>
    <s v="XV000020"/>
    <s v="VENDAJE CON GELATINA DE ZINC (VENDAJE DE UNNA)"/>
    <s v=""/>
    <s v=""/>
    <s v="006"/>
    <s v="Unidad"/>
    <s v=""/>
    <n v="3"/>
    <n v="45610.277777777781"/>
    <n v="136830.83333333331"/>
  </r>
  <r>
    <s v="001"/>
    <s v="FARMACIA CENTRAL                                  "/>
    <x v="2"/>
    <x v="2"/>
    <s v="XA000004"/>
    <s v="APOSITO CON FORMULA DE GEL CONTROLADA DUODERM  15X15CM CGF"/>
    <s v=""/>
    <s v=""/>
    <s v="006"/>
    <s v="Unidad"/>
    <s v=""/>
    <n v="3"/>
    <n v="45932.162499999999"/>
    <n v="137796.48749999999"/>
  </r>
  <r>
    <s v="006"/>
    <s v="ALMACEN MEDICOQUIRURGICOS   "/>
    <x v="2"/>
    <x v="2"/>
    <s v="XD000277"/>
    <s v="POLVO PROTECTOR STOMAHESIVE REF 025510"/>
    <s v=""/>
    <s v=""/>
    <s v="006"/>
    <s v="Unidad"/>
    <s v=""/>
    <n v="3"/>
    <n v="49001.453750000001"/>
    <n v="147004.36124999999"/>
  </r>
  <r>
    <s v="001"/>
    <s v="FARMACIA CENTRAL                                  "/>
    <x v="14"/>
    <x v="14"/>
    <s v="150420"/>
    <s v="OSMOLITE HN 1.2  LIQUIDO LPC 1500 ML"/>
    <s v=""/>
    <s v=""/>
    <s v=""/>
    <s v=""/>
    <s v="1.2 KCAL/ML"/>
    <n v="3"/>
    <n v="58397.996842105269"/>
    <n v="175193.99052631581"/>
  </r>
  <r>
    <s v="001"/>
    <s v="FARMACIA CENTRAL                                  "/>
    <x v="14"/>
    <x v="14"/>
    <s v="140527"/>
    <s v="PIVOT 1.5 CAL LIQUIDO  LPC 1000 ML"/>
    <s v=""/>
    <s v=""/>
    <s v=""/>
    <s v=""/>
    <s v="1.5 CAL/ML"/>
    <n v="3"/>
    <n v="64018.403333333335"/>
    <n v="192055.21"/>
  </r>
  <r>
    <s v="001"/>
    <s v="FARMACIA CENTRAL                                  "/>
    <x v="4"/>
    <x v="4"/>
    <s v="19902533-03"/>
    <s v="SALMETEROL + FLUTICASONA 50 + 500 mcg Suspensión para inhalación"/>
    <s v=""/>
    <s v=""/>
    <s v=""/>
    <s v=""/>
    <s v="50 + 500 mcg"/>
    <n v="3"/>
    <n v="66642.182499999995"/>
    <n v="199926.54749999999"/>
  </r>
  <r>
    <s v="008"/>
    <s v="ALMACEN  GENERAL                                         "/>
    <x v="1"/>
    <x v="1"/>
    <s v="AM000361"/>
    <s v="PAQUETE FRIO CALOR BUFANDA 15X70CM"/>
    <s v=""/>
    <s v=""/>
    <s v="006"/>
    <s v="Unidad"/>
    <s v=""/>
    <n v="3"/>
    <n v="71800"/>
    <n v="215400"/>
  </r>
  <r>
    <s v="008"/>
    <s v="ALMACEN  GENERAL                                         "/>
    <x v="5"/>
    <x v="5"/>
    <s v="AP000033"/>
    <s v="RESMA MEMBRETE CARTA (X500)"/>
    <s v=""/>
    <s v=""/>
    <s v="006"/>
    <s v="Unidad"/>
    <s v=""/>
    <n v="3"/>
    <n v="72001.666666666657"/>
    <n v="216005"/>
  </r>
  <r>
    <s v="001"/>
    <s v="FARMACIA CENTRAL                                  "/>
    <x v="2"/>
    <x v="2"/>
    <s v="XD000336"/>
    <s v="BOLSA DE DRENAJE PARA NEFROSTOMIA REF MDD600"/>
    <s v=""/>
    <s v=""/>
    <s v="006"/>
    <s v="Unidad"/>
    <s v=""/>
    <n v="3"/>
    <n v="76377.713793103452"/>
    <n v="229133.14137931031"/>
  </r>
  <r>
    <s v="019"/>
    <s v="CARRO DE PARO UCI 1/2                             "/>
    <x v="1"/>
    <x v="1"/>
    <s v="AM000207"/>
    <s v="MASCARA LARINGEA  REUSABLE  No. 4 y 5"/>
    <s v=""/>
    <s v=""/>
    <s v="006"/>
    <s v="Unidad"/>
    <s v=""/>
    <n v="3"/>
    <n v="76942.326774193556"/>
    <n v="230826.98032258064"/>
  </r>
  <r>
    <s v="046"/>
    <s v="BODEGA HEMODINAMIA CONSIGNACION"/>
    <x v="2"/>
    <x v="2"/>
    <s v="PSI-7F-11-038-18G"/>
    <s v="INTRODUCTOR FEMORAL PRELUDE ARTERIAL 7 FR X 11 CM GUIA 0.038 Y AGUJA 18GX7CM"/>
    <s v=""/>
    <s v=""/>
    <s v="006"/>
    <s v="Unidad"/>
    <s v=""/>
    <n v="3"/>
    <n v="77300"/>
    <n v="231900"/>
  </r>
  <r>
    <s v="001"/>
    <s v="FARMACIA CENTRAL                                  "/>
    <x v="0"/>
    <x v="0"/>
    <s v="20176758-1"/>
    <s v="CICLOSILICATO DE SODIO Y ZIRCONIO 10 GRAMOS SACHET"/>
    <s v=""/>
    <s v=""/>
    <s v=""/>
    <s v=""/>
    <s v="10 G"/>
    <n v="3"/>
    <n v="78893"/>
    <n v="236679"/>
  </r>
  <r>
    <s v="008"/>
    <s v="ALMACEN  GENERAL                                         "/>
    <x v="1"/>
    <x v="1"/>
    <s v="AM000218"/>
    <s v="PAPEL GRADO MEDICO PLANO X 7.5CM"/>
    <s v=""/>
    <s v=""/>
    <s v="006"/>
    <s v="Unidad"/>
    <s v=""/>
    <n v="3"/>
    <n v="96152"/>
    <n v="288456"/>
  </r>
  <r>
    <s v="006"/>
    <s v="ALMACEN MEDICOQUIRURGICOS   "/>
    <x v="2"/>
    <x v="2"/>
    <s v="XD000115"/>
    <s v="SONDA 12 FR PUNTA TUGSTENO (475) CAJA *10"/>
    <s v=""/>
    <s v=""/>
    <s v="006"/>
    <s v="Unidad"/>
    <s v=""/>
    <n v="3"/>
    <n v="100900.44333333333"/>
    <n v="302701.33"/>
  </r>
  <r>
    <s v="008"/>
    <s v="ALMACEN  GENERAL                                         "/>
    <x v="1"/>
    <x v="1"/>
    <s v="AM000237"/>
    <s v="FONENDOSCOPIO REF BK3007"/>
    <s v=""/>
    <s v=""/>
    <s v="006"/>
    <s v="Unidad"/>
    <s v=""/>
    <n v="3"/>
    <n v="103530"/>
    <n v="310590"/>
  </r>
  <r>
    <s v="001"/>
    <s v="FARMACIA CENTRAL                                  "/>
    <x v="4"/>
    <x v="4"/>
    <s v="20080728-03"/>
    <s v="DESMOPRESINA ACETATO 0.1 mg/ml Solución Nasal "/>
    <s v=""/>
    <s v=""/>
    <s v=""/>
    <s v=""/>
    <s v="0.1 mg/ml"/>
    <n v="3"/>
    <n v="104137"/>
    <n v="312411"/>
  </r>
  <r>
    <s v="008"/>
    <s v="ALMACEN  GENERAL                                         "/>
    <x v="5"/>
    <x v="5"/>
    <s v="AP000140"/>
    <s v="PAPEL PARA  ELECTROCARDIOGRAFO RESMA X 200  PHILIPS REF:31015"/>
    <s v=""/>
    <s v=""/>
    <s v="006"/>
    <s v="Unidad"/>
    <s v=""/>
    <n v="3"/>
    <n v="111018.86"/>
    <n v="333056.58"/>
  </r>
  <r>
    <s v="008"/>
    <s v="ALMACEN  GENERAL                                         "/>
    <x v="1"/>
    <x v="1"/>
    <s v="AM000075"/>
    <s v="BOMBILLO EQUIPO WELL ALLYN 03400"/>
    <s v=""/>
    <s v=""/>
    <s v="006"/>
    <s v="Unidad"/>
    <s v=""/>
    <n v="3"/>
    <n v="113407"/>
    <n v="340221"/>
  </r>
  <r>
    <s v="002"/>
    <s v="FARMACIA DE CIRUGIA                               "/>
    <x v="4"/>
    <x v="4"/>
    <s v="19968918-01"/>
    <s v="ALBUMINA HUMANA NORMAL 20 % Solución inyectable"/>
    <s v=""/>
    <s v=""/>
    <s v=""/>
    <s v=""/>
    <s v="20 % 50 ml"/>
    <n v="3"/>
    <n v="114428.79285714285"/>
    <n v="343286.37857142853"/>
  </r>
  <r>
    <s v="001"/>
    <s v="FARMACIA CENTRAL                                  "/>
    <x v="2"/>
    <x v="2"/>
    <s v="XT000086"/>
    <s v="FILTRO ESPIRATORIOREF 4-076887   D/X800"/>
    <s v=""/>
    <s v=""/>
    <s v="006"/>
    <s v="Unidad"/>
    <s v=""/>
    <n v="3"/>
    <n v="119623.89538461539"/>
    <n v="358871.68615384615"/>
  </r>
  <r>
    <s v="002"/>
    <s v="FARMACIA DE CIRUGIA                               "/>
    <x v="2"/>
    <x v="2"/>
    <s v="XD000110"/>
    <s v="SISTEMA CERRADO DRENAJE HERIDAS"/>
    <s v=""/>
    <s v=""/>
    <s v="006"/>
    <s v="Unidad"/>
    <s v=""/>
    <n v="3"/>
    <n v="122762.89513513514"/>
    <n v="368288.68540540541"/>
  </r>
  <r>
    <s v="032"/>
    <s v="CLINICA DE HERIDAS                                "/>
    <x v="2"/>
    <x v="2"/>
    <s v="XA000101"/>
    <s v="APOSITO PARA HERIDAS MEPILEX BORDER HEEL 22 X 23 CM REF 282790"/>
    <s v=""/>
    <s v=""/>
    <s v="006"/>
    <s v="Unidad"/>
    <s v=""/>
    <n v="3"/>
    <n v="124027.62773584906"/>
    <n v="372082.88320754719"/>
  </r>
  <r>
    <s v="001"/>
    <s v="FARMACIA CENTRAL                                  "/>
    <x v="2"/>
    <x v="2"/>
    <s v="XD000228"/>
    <s v="AGUJA DE ACCESO PERCUTANEO 18/20 M0067001220                                                        "/>
    <s v=""/>
    <s v=""/>
    <s v="006"/>
    <s v="Unidad"/>
    <s v=""/>
    <n v="3"/>
    <n v="124667.33333333333"/>
    <n v="374002"/>
  </r>
  <r>
    <s v="008"/>
    <s v="ALMACEN  GENERAL                                         "/>
    <x v="1"/>
    <x v="1"/>
    <s v="AM000229"/>
    <s v="TELA NOVOTEX DE 100 * 100"/>
    <s v=""/>
    <s v=""/>
    <s v="006"/>
    <s v="Unidad"/>
    <s v=""/>
    <n v="3"/>
    <n v="129639.1"/>
    <n v="388917.3"/>
  </r>
  <r>
    <s v="006"/>
    <s v="ALMACEN MEDICOQUIRURGICOS   "/>
    <x v="2"/>
    <x v="2"/>
    <s v="XA000019"/>
    <s v="CAMPOS DE INCISION PARA ADHESIVOS STERI DRAP  U DRAPE 10X15"/>
    <s v=""/>
    <s v=""/>
    <s v="006"/>
    <s v="Unidad"/>
    <s v=""/>
    <n v="3"/>
    <n v="137408.67333333334"/>
    <n v="412226.02"/>
  </r>
  <r>
    <s v="001"/>
    <s v="FARMACIA CENTRAL                                  "/>
    <x v="2"/>
    <x v="2"/>
    <s v="XA000005"/>
    <s v="APOSITO CON FORMULA DE GEL CONTROLADA DUODERM APOSITO 20 X 30CM"/>
    <s v=""/>
    <s v=""/>
    <s v="006"/>
    <s v="Unidad"/>
    <s v=""/>
    <n v="3"/>
    <n v="141140.79999999999"/>
    <n v="423422.4"/>
  </r>
  <r>
    <s v="005"/>
    <s v="ALMACEN MEDICAMENTOS"/>
    <x v="0"/>
    <x v="0"/>
    <s v="19928855-1"/>
    <s v="ACIDO HIALURONICO 25 MG/2.5ML  SOLUCION INYECTABLE"/>
    <s v=""/>
    <s v=""/>
    <s v=""/>
    <s v=""/>
    <s v="25MG/2.5ML"/>
    <n v="3"/>
    <n v="151400"/>
    <n v="454200"/>
  </r>
  <r>
    <s v="008"/>
    <s v="ALMACEN  GENERAL                                         "/>
    <x v="1"/>
    <x v="1"/>
    <s v="AM000311"/>
    <s v="BOMBILLO 03000 PARA EQUIPO DE ORGANOS"/>
    <s v=""/>
    <s v=""/>
    <s v="006"/>
    <s v="Unidad"/>
    <s v=""/>
    <n v="3"/>
    <n v="154700"/>
    <n v="464100"/>
  </r>
  <r>
    <s v="008"/>
    <s v="ALMACEN  GENERAL                                         "/>
    <x v="1"/>
    <x v="1"/>
    <s v="AM000278"/>
    <s v="PINZA TORNILLO ADULTO JUEGO X 4"/>
    <s v=""/>
    <s v=""/>
    <s v="006"/>
    <s v="Unidad"/>
    <s v=""/>
    <n v="3"/>
    <n v="159460"/>
    <n v="478380"/>
  </r>
  <r>
    <s v="006"/>
    <s v="ALMACEN MEDICOQUIRURGICOS   "/>
    <x v="2"/>
    <x v="2"/>
    <s v="XD000067"/>
    <s v="GUIA HIDROFILICA ROADDRUNER 0.035 X 145 REF RFSPC-35-145"/>
    <s v=""/>
    <s v=""/>
    <s v="006"/>
    <s v="Unidad"/>
    <s v=""/>
    <n v="3"/>
    <n v="161641.84333333332"/>
    <n v="484925.53"/>
  </r>
  <r>
    <s v="059"/>
    <s v="BODEGA CUARENTENA"/>
    <x v="2"/>
    <x v="2"/>
    <s v="XD000067"/>
    <s v="GUIA HIDROFILICA ROADDRUNER 0.035 X 145 REF RFSPC-35-145"/>
    <s v=""/>
    <s v=""/>
    <s v="006"/>
    <s v="Unidad"/>
    <s v=""/>
    <n v="3"/>
    <n v="161641.84333333332"/>
    <n v="484925.53"/>
  </r>
  <r>
    <s v="052"/>
    <s v="CONSIGNACION LM INSTRUMENS S.A"/>
    <x v="2"/>
    <x v="2"/>
    <s v="XD000353"/>
    <s v="PINZA DE BIOPSIA DESECHABLE  2.8MM X 1550MM REF FB-210K"/>
    <s v=""/>
    <s v=""/>
    <s v="006"/>
    <s v="Unidad"/>
    <s v=""/>
    <n v="3"/>
    <n v="168893.85"/>
    <n v="506681.55"/>
  </r>
  <r>
    <s v="008"/>
    <s v="ALMACEN  GENERAL                                         "/>
    <x v="10"/>
    <x v="10"/>
    <s v="AD000014"/>
    <s v="UNIFORME AZUL OSCURO 141"/>
    <s v=""/>
    <s v=""/>
    <s v="006"/>
    <s v="Unidad"/>
    <s v=""/>
    <n v="3"/>
    <n v="175000"/>
    <n v="525000"/>
  </r>
  <r>
    <s v="006"/>
    <s v="ALMACEN MEDICOQUIRURGICOS   "/>
    <x v="2"/>
    <x v="2"/>
    <s v="XC000012"/>
    <s v="CATETER PARA EMBOLECTOMIA FOGARTY #06 (120806F) X 1"/>
    <s v=""/>
    <s v=""/>
    <s v="006"/>
    <s v="Unidad"/>
    <s v=""/>
    <n v="3"/>
    <n v="197500"/>
    <n v="592500"/>
  </r>
  <r>
    <s v="008"/>
    <s v="ALMACEN  GENERAL                                         "/>
    <x v="1"/>
    <x v="1"/>
    <s v="AM000134"/>
    <s v="LATIGUILLO DE 3 DERIVADAS MARQUETTE"/>
    <s v=""/>
    <s v=""/>
    <s v="006"/>
    <s v="Unidad"/>
    <s v=""/>
    <n v="3"/>
    <n v="202300.33333333334"/>
    <n v="606901"/>
  </r>
  <r>
    <s v="002"/>
    <s v="FARMACIA DE CIRUGIA                               "/>
    <x v="2"/>
    <x v="2"/>
    <s v="XC000040"/>
    <s v="CATETER PARA EMBOLECTOMIA FOGARTY #02 FR (160126) X 1"/>
    <s v=""/>
    <s v=""/>
    <s v="006"/>
    <s v="Unidad"/>
    <s v=""/>
    <n v="3"/>
    <n v="205427.83333333331"/>
    <n v="616283.5"/>
  </r>
  <r>
    <s v="002"/>
    <s v="FARMACIA DE CIRUGIA                               "/>
    <x v="2"/>
    <x v="2"/>
    <s v="XD000445"/>
    <s v="MALLA QUIRUGICA SUAVE DE 15CMX15CM REF 0117011"/>
    <s v=""/>
    <s v=""/>
    <s v="006"/>
    <s v="Unidad"/>
    <s v=""/>
    <n v="3"/>
    <n v="223420.47857142857"/>
    <n v="670261.4357142857"/>
  </r>
  <r>
    <s v="006"/>
    <s v="ALMACEN MEDICOQUIRURGICOS   "/>
    <x v="2"/>
    <x v="2"/>
    <s v="XC000009"/>
    <s v="CATETER PARA EMBOLECTOMIA  FOGARTY #05 (120805F) X 1"/>
    <s v=""/>
    <s v=""/>
    <s v="006"/>
    <s v="Unidad"/>
    <s v=""/>
    <n v="3"/>
    <n v="246484.2"/>
    <n v="739452.6"/>
  </r>
  <r>
    <s v="002"/>
    <s v="FARMACIA DE CIRUGIA                               "/>
    <x v="2"/>
    <x v="2"/>
    <s v="XD000286"/>
    <s v="GUIA SENSOR DUAL FLEX 0.35 PUNTA RECTA   LONG 150 CM"/>
    <s v=""/>
    <s v=""/>
    <s v="006"/>
    <s v="Unidad"/>
    <s v=""/>
    <n v="3"/>
    <n v="262484.39545454545"/>
    <n v="787453.18636363628"/>
  </r>
  <r>
    <s v="001"/>
    <s v="FARMACIA CENTRAL                                  "/>
    <x v="2"/>
    <x v="2"/>
    <s v="XD000043"/>
    <s v="ELECTRODO CATETER BIPOLAR TEMPORAL-PACEL-5FR / 6 FR REF 401771-401770"/>
    <s v=""/>
    <s v=""/>
    <s v="006"/>
    <s v="Unidad"/>
    <s v=""/>
    <n v="3"/>
    <n v="262587.625"/>
    <n v="787762.875"/>
  </r>
  <r>
    <s v="024"/>
    <s v="MATERIAL DE OSTEOSINTESIS - MOS"/>
    <x v="11"/>
    <x v="11"/>
    <s v="08-23622"/>
    <s v="Tornillo Mcd  2,3X22Mm M1 Rc No Bloq "/>
    <s v=""/>
    <s v=""/>
    <s v="006"/>
    <s v="Unidad"/>
    <s v=""/>
    <n v="3"/>
    <n v="267969"/>
    <n v="803907"/>
  </r>
  <r>
    <s v="017"/>
    <s v="CARRO DE PARO UCI                                 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19"/>
    <s v="CARRO DE PARO UCI 1/2                             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22"/>
    <s v="CARRO DE PARO DE CIRUGIA                          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25"/>
    <s v="CARRO DE PARO GASTROENTEROLOGÌA                   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26"/>
    <s v="CARRO DE PARO TERCER PISO                         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53"/>
    <s v="CARRO DE PARO CRITICO QUIROGA"/>
    <x v="1"/>
    <x v="1"/>
    <s v="AM000017"/>
    <s v="HOJA PARA LARINGOSCOPIO UNIDAD CURVA DE 0 A 4 FIBRA OPTICA"/>
    <s v=""/>
    <s v=""/>
    <s v="006"/>
    <s v="Unidad"/>
    <s v=""/>
    <n v="3"/>
    <n v="282984.17235294118"/>
    <n v="848952.51705882349"/>
  </r>
  <r>
    <s v="008"/>
    <s v="ALMACEN  GENERAL                                         "/>
    <x v="1"/>
    <x v="1"/>
    <s v="AM000009"/>
    <s v="INFUSOR DE 500 ML REUSABLE REF 5270"/>
    <s v=""/>
    <s v=""/>
    <s v="006"/>
    <s v="Unidad"/>
    <s v=""/>
    <n v="3"/>
    <n v="287978.33333333337"/>
    <n v="863935"/>
  </r>
  <r>
    <s v="002"/>
    <s v="FARMACIA DE CIRUGIA                               "/>
    <x v="4"/>
    <x v="4"/>
    <s v="201181-01"/>
    <s v="DESFLURANO  Solución para inhalación Fco 240mL"/>
    <s v=""/>
    <s v=""/>
    <s v=""/>
    <s v=""/>
    <s v="240mL"/>
    <n v="3"/>
    <n v="315220.08333333331"/>
    <n v="945660.25"/>
  </r>
  <r>
    <s v="002"/>
    <s v="FARMACIA DE CIRUGIA                               "/>
    <x v="2"/>
    <x v="2"/>
    <s v="XD000443"/>
    <s v="MALLA 3D MAX  M BAJA DENSIDAD HERNIA DERECHA 7.9 X 13.4  REF 0117320"/>
    <s v=""/>
    <s v=""/>
    <s v="006"/>
    <s v="Unidad"/>
    <s v=""/>
    <n v="3"/>
    <n v="320339.66666666663"/>
    <n v="961019"/>
  </r>
  <r>
    <s v="002"/>
    <s v="FARMACIA DE CIRUGIA                               "/>
    <x v="2"/>
    <x v="2"/>
    <s v="XD000176"/>
    <s v="MALLA POLIPROPILENO HERNIA IZQUIEDA 3D MAX  REF 0117311"/>
    <s v=""/>
    <s v=""/>
    <s v="006"/>
    <s v="Unidad"/>
    <s v=""/>
    <n v="3"/>
    <n v="365844.99999999994"/>
    <n v="1097535"/>
  </r>
  <r>
    <s v="008"/>
    <s v="ALMACEN  GENERAL                                         "/>
    <x v="1"/>
    <x v="1"/>
    <s v="AM000196"/>
    <s v="ROLLO PLANO DE 15CM * 100 MTS TYVEK"/>
    <s v=""/>
    <s v=""/>
    <s v="006"/>
    <s v="Unidad"/>
    <s v=""/>
    <n v="3"/>
    <n v="388652.66666666669"/>
    <n v="1165958"/>
  </r>
  <r>
    <s v="006"/>
    <s v="ALMACEN MEDICOQUIRURGICOS   "/>
    <x v="2"/>
    <x v="2"/>
    <s v="XD000305"/>
    <s v="MALLA POLIPROPILENO HERNIA DERECHA  3D MAX  REF 0117321"/>
    <s v=""/>
    <s v=""/>
    <s v="006"/>
    <s v="Unidad"/>
    <s v=""/>
    <n v="3"/>
    <n v="389199.25"/>
    <n v="1167597.75"/>
  </r>
  <r>
    <s v="052"/>
    <s v="CONSIGNACION LM INSTRUMENS S.A"/>
    <x v="1"/>
    <x v="1"/>
    <s v="AM000326"/>
    <s v="CEPILLO DE LIMPIEZA LARGO REF BW-20T"/>
    <s v=""/>
    <s v=""/>
    <s v="006"/>
    <s v="Unidad"/>
    <s v=""/>
    <n v="3"/>
    <n v="396306.6"/>
    <n v="1188919.8"/>
  </r>
  <r>
    <s v="008"/>
    <s v="ALMACEN  GENERAL                                         "/>
    <x v="1"/>
    <x v="1"/>
    <s v="AM000287"/>
    <s v="BATERIA GENERICA PARA DESFIBRILADOR"/>
    <s v=""/>
    <s v=""/>
    <s v="006"/>
    <s v="Unidad"/>
    <s v=""/>
    <n v="3"/>
    <n v="434350"/>
    <n v="1303050"/>
  </r>
  <r>
    <s v="002"/>
    <s v="FARMACIA DE CIRUGIA                               "/>
    <x v="2"/>
    <x v="2"/>
    <s v="XS000065"/>
    <s v="SUJECION ARTICULADA ENDO CLINCH II 5 MM GRASPER DE DIENTE REF 174317/17406 X 1 EPIX REF C4130"/>
    <s v=""/>
    <s v=""/>
    <s v="006"/>
    <s v="Unidad"/>
    <s v=""/>
    <n v="3"/>
    <n v="449425.76142857142"/>
    <n v="1348277.2842857142"/>
  </r>
  <r>
    <s v="006"/>
    <s v="ALMACEN MEDICOQUIRURGICOS   "/>
    <x v="2"/>
    <x v="2"/>
    <s v="XS000148"/>
    <s v="TIJERA PARA LAPAROSCOPIA ENDO SHEARS 5 MM REF 176643 EPIX REF CB030"/>
    <s v=""/>
    <s v=""/>
    <s v="006"/>
    <s v="Unidad"/>
    <s v=""/>
    <n v="3"/>
    <n v="489545.64999999997"/>
    <n v="1468636.95"/>
  </r>
  <r>
    <s v="002"/>
    <s v="FARMACIA DE CIRUGIA                               "/>
    <x v="2"/>
    <x v="2"/>
    <s v="XD000274"/>
    <s v="CUCHILLA PARA CORTE DE HUESO REF T12MH25D"/>
    <s v=""/>
    <s v=""/>
    <s v="006"/>
    <s v="Unidad"/>
    <s v=""/>
    <n v="3"/>
    <n v="543017.23"/>
    <n v="1629051.69"/>
  </r>
  <r>
    <s v="046"/>
    <s v="BODEGA HEMODINAMIA CONSIGNACION"/>
    <x v="2"/>
    <x v="2"/>
    <s v="SC-035-150"/>
    <s v="CATETER ENDOVASCULAR DE SOPORTE EV3 0.035X150CM  5FR"/>
    <s v=""/>
    <s v=""/>
    <s v="006"/>
    <s v="Unidad"/>
    <s v=""/>
    <n v="3"/>
    <n v="666750.00000000012"/>
    <n v="2000250"/>
  </r>
  <r>
    <s v="002"/>
    <s v="FARMACIA DE CIRUGIA                               "/>
    <x v="2"/>
    <x v="2"/>
    <s v="XD000034"/>
    <s v="CUCHILLA PARA CORTE HUESO REF. 9BA75 REF 5820110075"/>
    <s v=""/>
    <s v=""/>
    <s v="006"/>
    <s v="Unidad"/>
    <s v=""/>
    <n v="3"/>
    <n v="716205.17142857146"/>
    <n v="2148615.5142857144"/>
  </r>
  <r>
    <s v="002"/>
    <s v="FARMACIA DE CIRUGIA                               "/>
    <x v="2"/>
    <x v="2"/>
    <s v="XD000049"/>
    <s v="EXTRACTORA DE CALCULOS PRO XL 12-15 REF M00547110 B-V433P-A"/>
    <s v=""/>
    <s v=""/>
    <s v="006"/>
    <s v="Unidad"/>
    <s v=""/>
    <n v="3"/>
    <n v="813809.10399999993"/>
    <n v="2441427.3119999999"/>
  </r>
  <r>
    <s v="002"/>
    <s v="FARMACIA DE CIRUGIA                               "/>
    <x v="2"/>
    <x v="2"/>
    <s v="XD000236"/>
    <s v="ESFINTEROTOMO PAPILOTOMO CANULOTOMO  ARCO 5.5FR. 20MM  (ULTRATOME XL) KD-V411M-0320"/>
    <s v=""/>
    <s v=""/>
    <s v="006"/>
    <s v="Unidad"/>
    <s v=""/>
    <n v="3"/>
    <n v="1190616.0428571429"/>
    <n v="3571848.1285714284"/>
  </r>
  <r>
    <s v="052"/>
    <s v="CONSIGNACION LM INSTRUMENS S.A"/>
    <x v="2"/>
    <x v="2"/>
    <s v="XD000236"/>
    <s v="ESFINTEROTOMO PAPILOTOMO CANULOTOMO  ARCO 5.5FR. 20MM  (ULTRATOME XL) KD-V411M-0320"/>
    <s v=""/>
    <s v=""/>
    <s v="006"/>
    <s v="Unidad"/>
    <s v=""/>
    <n v="3"/>
    <n v="1190616.0428571429"/>
    <n v="3571848.1285714284"/>
  </r>
  <r>
    <s v="052"/>
    <s v="CONSIGNACION LM INSTRUMENS S.A"/>
    <x v="2"/>
    <x v="2"/>
    <s v="XD000320"/>
    <s v="CANASTILLA DE RECUPERACION Y LITOTRIPCIA GASTROENTEROLOGIA FG-402Q"/>
    <s v=""/>
    <s v=""/>
    <s v="006"/>
    <s v="Unidad"/>
    <s v=""/>
    <n v="3"/>
    <n v="1585595.6525000001"/>
    <n v="4756786.9574999996"/>
  </r>
  <r>
    <s v="008"/>
    <s v="ALMACEN  GENERAL                                         "/>
    <x v="1"/>
    <x v="1"/>
    <s v="AM000296"/>
    <s v="INDICADOR BIOLOGICO SUPER RAPIDO VAPOR 1  HORA REF1492V-CN"/>
    <s v=""/>
    <s v=""/>
    <s v="006"/>
    <s v="Unidad"/>
    <s v=""/>
    <n v="3"/>
    <n v="1893668.6666666667"/>
    <n v="5681006"/>
  </r>
  <r>
    <s v="019"/>
    <s v="CARRO DE PARO UCI 1/2                             "/>
    <x v="6"/>
    <x v="6"/>
    <s v="20030910-10"/>
    <s v="FENTANILO CITRATO 0.5 mg / 10 ml Solución Inyectable"/>
    <s v=""/>
    <s v=""/>
    <s v=""/>
    <s v=""/>
    <s v="0,5 MG / 10 ML"/>
    <n v="4"/>
    <n v="-41006.857142857145"/>
    <n v="-164027.42857142855"/>
  </r>
  <r>
    <s v="022"/>
    <s v="CARRO DE PARO DE CIRUGIA                          "/>
    <x v="2"/>
    <x v="2"/>
    <s v="XJ000011"/>
    <s v="JERINGA DESECHABLE 20ML-S/A-3 PARTES X 100"/>
    <s v=""/>
    <s v=""/>
    <s v="006"/>
    <s v="Unidad"/>
    <s v=""/>
    <n v="4"/>
    <n v="-18687.463351548267"/>
    <n v="-74749.853406193084"/>
  </r>
  <r>
    <s v="008"/>
    <s v="ALMACEN  GENERAL                                         "/>
    <x v="7"/>
    <x v="7"/>
    <s v="AA000100"/>
    <s v="ENDOZIME DETERGENTE ENZIMATICO (ENDOZIME)"/>
    <s v=""/>
    <s v=""/>
    <s v="006"/>
    <s v="Unidad"/>
    <s v=""/>
    <n v="4"/>
    <n v="-15548.055"/>
    <n v="-62192.22"/>
  </r>
  <r>
    <s v="001"/>
    <s v="FARMACIA CENTRAL                                  "/>
    <x v="0"/>
    <x v="0"/>
    <s v="19928485-09"/>
    <s v="AMITRIPTILINA CLORHIDRATO 25 mg Tableta"/>
    <s v=""/>
    <s v=""/>
    <s v=""/>
    <s v=""/>
    <s v="25 mg"/>
    <n v="4"/>
    <n v="24.75"/>
    <n v="99"/>
  </r>
  <r>
    <s v="001"/>
    <s v="FARMACIA CENTRAL                                  "/>
    <x v="0"/>
    <x v="0"/>
    <s v="19907962-04"/>
    <s v="HIDROXICINA 25 mg Tableta"/>
    <s v=""/>
    <s v=""/>
    <s v=""/>
    <s v=""/>
    <s v="25 mg"/>
    <n v="4"/>
    <n v="102.755"/>
    <n v="411.02"/>
  </r>
  <r>
    <s v="001"/>
    <s v="FARMACIA CENTRAL                                  "/>
    <x v="0"/>
    <x v="0"/>
    <s v="19963165-2"/>
    <s v="Espironolactona 100 mg tabletas"/>
    <s v=""/>
    <s v=""/>
    <s v=""/>
    <s v=""/>
    <s v="100 mg"/>
    <n v="4"/>
    <n v="309.70238095238091"/>
    <n v="1238.80952380952"/>
  </r>
  <r>
    <s v="022"/>
    <s v="CARRO DE PARO DE CIRUGIA                          "/>
    <x v="2"/>
    <x v="2"/>
    <s v="XD000042"/>
    <s v="ELECTRODO MONITOREO ADULTO X30-ECG.DESCARTABLE"/>
    <s v=""/>
    <s v=""/>
    <s v="006"/>
    <s v="Unidad"/>
    <s v=""/>
    <n v="4"/>
    <n v="454.76405146618788"/>
    <n v="1819.0562058647499"/>
  </r>
  <r>
    <s v="003"/>
    <s v="CARRO  DE PARO RECUPERACION HEMODINAMIA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04"/>
    <s v="CARRO DE PARO RADIOLOGIA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09"/>
    <s v="CARRO DE PARO URGENCIAS  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14"/>
    <s v="CARRO DE PARO CARDIOLOGIA   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15"/>
    <s v="CARRO DE PARO HEMODINAMIA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17"/>
    <s v="CARRO DE PARO UCI        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22"/>
    <s v="CARRO DE PARO DE CIRUGIA 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25"/>
    <s v="CARRO DE PARO GASTROENTEROLOGÌA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26"/>
    <s v="CARRO DE PARO TERCER PISO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29"/>
    <s v="CARRO DE PARO CUARTO PISO                         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53"/>
    <s v="CARRO DE PARO CRITICO QUIROGA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57"/>
    <s v="CARRO DE PARO UCI 2"/>
    <x v="0"/>
    <x v="0"/>
    <s v="20011388-13"/>
    <s v="FUROSEMIDA 20 mg / 2 ml Solución inyectable"/>
    <s v=""/>
    <s v=""/>
    <s v=""/>
    <s v=""/>
    <s v="20 mg / 2 ml"/>
    <n v="4"/>
    <n v="480.11012658227844"/>
    <n v="1920.4405063291099"/>
  </r>
  <r>
    <s v="001"/>
    <s v="FARMACIA CENTRAL                                  "/>
    <x v="2"/>
    <x v="2"/>
    <s v="XD000141"/>
    <s v="SONDA NELATON # 14 (UREATRAL)1"/>
    <s v=""/>
    <s v=""/>
    <s v="006"/>
    <s v="Unidad"/>
    <s v=""/>
    <n v="4"/>
    <n v="574.28377990430624"/>
    <n v="2297.13511961722"/>
  </r>
  <r>
    <s v="002"/>
    <s v="FARMACIA DE CIRUGIA                               "/>
    <x v="2"/>
    <x v="2"/>
    <s v="XD000142"/>
    <s v="SONDA NELATON # 16 (UREATRAL)*1"/>
    <s v=""/>
    <s v=""/>
    <s v="006"/>
    <s v="Unidad"/>
    <s v=""/>
    <n v="4"/>
    <n v="669.47519999999997"/>
    <n v="2677.9007999999999"/>
  </r>
  <r>
    <s v="001"/>
    <s v="FARMACIA CENTRAL                                  "/>
    <x v="2"/>
    <x v="2"/>
    <s v="XT000074"/>
    <s v="CANULA DE GUEDEL (MAYO) X N.5"/>
    <s v=""/>
    <s v=""/>
    <s v="006"/>
    <s v="Unidad"/>
    <s v=""/>
    <n v="4"/>
    <n v="1061.3860465116279"/>
    <n v="4245.5441860465098"/>
  </r>
  <r>
    <s v="002"/>
    <s v="FARMACIA DE CIRUGIA                               "/>
    <x v="0"/>
    <x v="0"/>
    <s v="19908236-07"/>
    <s v="AMIKACINA SULFATO 500 mg/2 ml Solución Inyectable"/>
    <s v=""/>
    <s v=""/>
    <s v=""/>
    <s v=""/>
    <s v="2 ml"/>
    <n v="4"/>
    <n v="1469.3718840579709"/>
    <n v="5877.4875362318799"/>
  </r>
  <r>
    <s v="019"/>
    <s v="CARRO DE PARO UCI 1/2                             "/>
    <x v="0"/>
    <x v="0"/>
    <s v="32250-01"/>
    <s v="SODIO BICARBONATO 10 meq / 10 ml Solución inyectable"/>
    <s v=""/>
    <s v=""/>
    <s v=""/>
    <s v=""/>
    <s v="10 meq / 10 ml"/>
    <n v="4"/>
    <n v="1849.2706606606607"/>
    <n v="7397.0826426426402"/>
  </r>
  <r>
    <s v="029"/>
    <s v="CARRO DE PARO CUARTO PISO                         "/>
    <x v="0"/>
    <x v="0"/>
    <s v="20004032-04"/>
    <s v="SODIO BICARBONATO 10 meq / 10 ml Solución inyectable"/>
    <s v=""/>
    <s v=""/>
    <s v=""/>
    <s v=""/>
    <s v="10 meq / 10 ml"/>
    <n v="4"/>
    <n v="1970.5454545454545"/>
    <n v="7882.1818181818198"/>
  </r>
  <r>
    <s v="005"/>
    <s v="ALMACEN MEDICAMENTOS"/>
    <x v="3"/>
    <x v="3"/>
    <s v="19973788-1"/>
    <s v="CLOTRIMAZOL 1 % Crema Tópica 40 g "/>
    <s v=""/>
    <s v=""/>
    <s v=""/>
    <s v=""/>
    <s v="1 %"/>
    <n v="4"/>
    <n v="2004"/>
    <n v="8016"/>
  </r>
  <r>
    <s v="002"/>
    <s v="FARMACIA DE CIRUGIA                               "/>
    <x v="3"/>
    <x v="3"/>
    <s v="20049275-02"/>
    <s v="OXACILINA 1 g Polvo para reconstituir a solución inyectable"/>
    <s v=""/>
    <s v=""/>
    <s v=""/>
    <s v=""/>
    <s v="1 g"/>
    <n v="4"/>
    <n v="2061.9522807017543"/>
    <n v="8247.8091228070207"/>
  </r>
  <r>
    <s v="002"/>
    <s v="FARMACIA DE CIRUGIA                               "/>
    <x v="0"/>
    <x v="0"/>
    <s v="20036851-01"/>
    <s v="ADRENALINA Solución inyectable 1 mg / ml"/>
    <s v=""/>
    <s v=""/>
    <s v=""/>
    <s v=""/>
    <s v="1 mg / ml"/>
    <n v="4"/>
    <n v="2115.7913513513513"/>
    <n v="8463.1654054054106"/>
  </r>
  <r>
    <s v="039"/>
    <s v="ALMACEN CONSULTA EXTERNA ORTOPEDIA"/>
    <x v="2"/>
    <x v="2"/>
    <s v="XV000017"/>
    <s v="VENDA ELASTICA 5 X 5 *1 UNIDAD"/>
    <s v=""/>
    <s v=""/>
    <s v="006"/>
    <s v="Unidad"/>
    <s v=""/>
    <n v="4"/>
    <n v="2172.9377586206897"/>
    <n v="8691.7510344827606"/>
  </r>
  <r>
    <s v="003"/>
    <s v="CARRO  DE PARO RECUPERACION HEMODINAMIA"/>
    <x v="0"/>
    <x v="0"/>
    <s v="1N1025871003100"/>
    <s v="NOREPINEFRINA 4 mg / 4 ml Solución Inyectable"/>
    <s v=""/>
    <s v=""/>
    <s v=""/>
    <s v=""/>
    <s v="4 mg / 4 ml"/>
    <n v="4"/>
    <n v="2198.5294117647059"/>
    <n v="8794.1176470588198"/>
  </r>
  <r>
    <s v="014"/>
    <s v="CARRO DE PARO CARDIOLOGIA                            "/>
    <x v="0"/>
    <x v="0"/>
    <s v="1N1025871003100"/>
    <s v="NOREPINEFRINA 4 mg / 4 ml Solución Inyectable"/>
    <s v=""/>
    <s v=""/>
    <s v=""/>
    <s v=""/>
    <s v="4 mg / 4 ml"/>
    <n v="4"/>
    <n v="2198.5294117647059"/>
    <n v="8794.1176470588198"/>
  </r>
  <r>
    <s v="015"/>
    <s v="CARRO DE PARO HEMODINAMIA                     "/>
    <x v="0"/>
    <x v="0"/>
    <s v="1N1025871003100"/>
    <s v="NOREPINEFRINA 4 mg / 4 ml Solución Inyectable"/>
    <s v=""/>
    <s v=""/>
    <s v=""/>
    <s v=""/>
    <s v="4 mg / 4 ml"/>
    <n v="4"/>
    <n v="2198.5294117647059"/>
    <n v="8794.1176470588198"/>
  </r>
  <r>
    <s v="057"/>
    <s v="CARRO DE PARO UCI 2"/>
    <x v="0"/>
    <x v="0"/>
    <s v="1N1025871003100"/>
    <s v="NOREPINEFRINA 4 mg / 4 ml Solución Inyectable"/>
    <s v=""/>
    <s v=""/>
    <s v=""/>
    <s v=""/>
    <s v="4 mg / 4 ml"/>
    <n v="4"/>
    <n v="2198.5294117647059"/>
    <n v="8794.1176470588198"/>
  </r>
  <r>
    <s v="009"/>
    <s v="CARRO DE PARO URGENCIAS                           "/>
    <x v="6"/>
    <x v="6"/>
    <s v="1M1006621004100"/>
    <s v="MIDAZOLAM 2mg / 2ml solucion inyactable"/>
    <s v=""/>
    <s v=""/>
    <s v=""/>
    <s v=""/>
    <s v="2 ml / 2 ml"/>
    <n v="4"/>
    <n v="2200"/>
    <n v="8800"/>
  </r>
  <r>
    <s v="019"/>
    <s v="CARRO DE PARO UCI 1/2                             "/>
    <x v="0"/>
    <x v="0"/>
    <s v="29523-03"/>
    <s v="SODIO CLORURO 0.9 % Solución Inyectable x 100 ml"/>
    <s v=""/>
    <s v=""/>
    <s v=""/>
    <s v=""/>
    <s v="0.9 % - 100 ML"/>
    <n v="4"/>
    <n v="2206.7211700182816"/>
    <n v="8826.8846800731299"/>
  </r>
  <r>
    <s v="002"/>
    <s v="FARMACIA DE CIRUGIA                               "/>
    <x v="2"/>
    <x v="2"/>
    <s v="XA000038"/>
    <s v="MECHAS GRANDES QUIRURGICAS X 1 REF 0383"/>
    <s v=""/>
    <s v=""/>
    <s v="006"/>
    <s v="Unidad"/>
    <s v=""/>
    <n v="4"/>
    <n v="2245.0050000000001"/>
    <n v="8980.02"/>
  </r>
  <r>
    <s v="002"/>
    <s v="FARMACIA DE CIRUGIA                               "/>
    <x v="0"/>
    <x v="0"/>
    <s v="33519-01"/>
    <s v="MAGNESIO SULFATO 2 g / 10 ml Solución Inyectable"/>
    <s v=""/>
    <s v=""/>
    <s v=""/>
    <s v=""/>
    <s v="2 g / 10 ml"/>
    <n v="4"/>
    <n v="2250.2008641975308"/>
    <n v="9000.8034567901195"/>
  </r>
  <r>
    <s v="017"/>
    <s v="CARRO DE PARO UCI                                 "/>
    <x v="0"/>
    <x v="0"/>
    <s v="19940783-01"/>
    <s v="NOREPINEFRINA 4 mg / 4 ml Solución Inyectable"/>
    <s v=""/>
    <s v=""/>
    <s v=""/>
    <s v=""/>
    <s v="4 mg / 4 ml"/>
    <n v="4"/>
    <n v="2256.593404255319"/>
    <n v="9026.3736170212796"/>
  </r>
  <r>
    <s v="019"/>
    <s v="CARRO DE PARO UCI 1/2                             "/>
    <x v="0"/>
    <x v="0"/>
    <s v="19940783-01"/>
    <s v="NOREPINEFRINA 4 mg / 4 ml Solución Inyectable"/>
    <s v=""/>
    <s v=""/>
    <s v=""/>
    <s v=""/>
    <s v="4 mg / 4 ml"/>
    <n v="4"/>
    <n v="2256.593404255319"/>
    <n v="9026.3736170212796"/>
  </r>
  <r>
    <s v="029"/>
    <s v="CARRO DE PARO CUARTO PISO                         "/>
    <x v="0"/>
    <x v="0"/>
    <s v="19940783-01"/>
    <s v="NOREPINEFRINA 4 mg / 4 ml Solución Inyectable"/>
    <s v=""/>
    <s v=""/>
    <s v=""/>
    <s v=""/>
    <s v="4 mg / 4 ml"/>
    <n v="4"/>
    <n v="2256.593404255319"/>
    <n v="9026.3736170212796"/>
  </r>
  <r>
    <s v="001"/>
    <s v="FARMACIA CENTRAL                                  "/>
    <x v="2"/>
    <x v="2"/>
    <s v="XV000018"/>
    <s v="VENDA ELASTICA 6 X 5 *1 UNIDAD"/>
    <s v=""/>
    <s v=""/>
    <s v="006"/>
    <s v="Unidad"/>
    <s v=""/>
    <n v="4"/>
    <n v="2314.879117647059"/>
    <n v="9259.5164705882398"/>
  </r>
  <r>
    <s v="002"/>
    <s v="FARMACIA DE CIRUGIA                               "/>
    <x v="0"/>
    <x v="0"/>
    <s v="19926707-01"/>
    <s v="HIDROCORTISONA 100 mg Polvo para reconstituir a solución inyectable"/>
    <s v=""/>
    <s v=""/>
    <s v=""/>
    <s v=""/>
    <s v="100 mg"/>
    <n v="4"/>
    <n v="2420.6186170212768"/>
    <n v="9682.4744680851109"/>
  </r>
  <r>
    <s v="002"/>
    <s v="FARMACIA DE CIRUGIA                               "/>
    <x v="2"/>
    <x v="2"/>
    <s v="XD000131"/>
    <s v="SONDA FOLEY 22 X30ML-2 VIAS *1"/>
    <s v=""/>
    <s v=""/>
    <s v="006"/>
    <s v="Unidad"/>
    <s v=""/>
    <n v="4"/>
    <n v="2525.5744680851062"/>
    <n v="10102.29787234043"/>
  </r>
  <r>
    <s v="002"/>
    <s v="FARMACIA DE CIRUGIA                               "/>
    <x v="0"/>
    <x v="0"/>
    <s v="29522-04"/>
    <s v="DEXTROSA EN AGUA DESTILADA 5%  Solución Inyectable 500 ml"/>
    <s v=""/>
    <s v=""/>
    <s v=""/>
    <s v=""/>
    <s v="5 % - 500 ml"/>
    <n v="4"/>
    <n v="2833.9621649484534"/>
    <n v="11335.84865979381"/>
  </r>
  <r>
    <s v="001"/>
    <s v="FARMACIA CENTRAL                                  "/>
    <x v="0"/>
    <x v="0"/>
    <s v="19999832-02"/>
    <s v="BETAMETASONA 0.05 % Crema Tópica"/>
    <s v=""/>
    <s v=""/>
    <s v=""/>
    <s v=""/>
    <s v="0.05%"/>
    <n v="4"/>
    <n v="2922"/>
    <n v="11688"/>
  </r>
  <r>
    <s v="002"/>
    <s v="FARMACIA DE CIRUGIA                               "/>
    <x v="3"/>
    <x v="3"/>
    <s v="20114030-01"/>
    <s v="CLINDAMICINA 600 mg / 4 ml Solución inyectable"/>
    <s v=""/>
    <s v=""/>
    <s v=""/>
    <s v=""/>
    <s v="600 mg "/>
    <n v="4"/>
    <n v="2979"/>
    <n v="11916"/>
  </r>
  <r>
    <s v="001"/>
    <s v="FARMACIA CENTRAL                                  "/>
    <x v="2"/>
    <x v="2"/>
    <s v="XD000407"/>
    <s v="PRESERVATIVO TODAY X UNIDAD"/>
    <s v=""/>
    <s v=""/>
    <s v="006"/>
    <s v="Unidad"/>
    <s v=""/>
    <n v="4"/>
    <n v="2989"/>
    <n v="11956"/>
  </r>
  <r>
    <s v="002"/>
    <s v="FARMACIA DE CIRUGIA                               "/>
    <x v="2"/>
    <x v="2"/>
    <s v="XD000132"/>
    <s v="SONDA FOLEY 22 X30ML-3 VIAS *1"/>
    <s v=""/>
    <s v=""/>
    <s v="006"/>
    <s v="Unidad"/>
    <s v=""/>
    <n v="4"/>
    <n v="3045.0532142857146"/>
    <n v="12180.21285714286"/>
  </r>
  <r>
    <s v="001"/>
    <s v="FARMACIA CENTRAL                                  "/>
    <x v="2"/>
    <x v="2"/>
    <s v="XD000161"/>
    <s v="TUBO PRESION 48P.MACHO/HEMBRA ARTERIAL X1"/>
    <s v=""/>
    <s v=""/>
    <s v="006"/>
    <s v="Unidad"/>
    <s v=""/>
    <n v="4"/>
    <n v="3100"/>
    <n v="12400"/>
  </r>
  <r>
    <s v="001"/>
    <s v="FARMACIA CENTRAL                                  "/>
    <x v="2"/>
    <x v="2"/>
    <s v="XS000094"/>
    <s v="SUTURA QUIRURGICA ABSORBIBLE VICRYL  4/0 P-3  45CM   REF JP494G X 1"/>
    <s v=""/>
    <s v=""/>
    <s v="006"/>
    <s v="Unidad"/>
    <s v=""/>
    <n v="4"/>
    <n v="3412.6313333333337"/>
    <n v="13650.525333333329"/>
  </r>
  <r>
    <s v="002"/>
    <s v="FARMACIA DE CIRUGIA                               "/>
    <x v="2"/>
    <x v="2"/>
    <s v="XT000035"/>
    <s v="TUBO DE TORAX # 28 *1 CATETER"/>
    <s v=""/>
    <s v=""/>
    <s v="006"/>
    <s v="Unidad"/>
    <s v=""/>
    <n v="4"/>
    <n v="3846.7933333333335"/>
    <n v="15387.17333333333"/>
  </r>
  <r>
    <s v="006"/>
    <s v="ALMACEN MEDICOQUIRURGICOS   "/>
    <x v="2"/>
    <x v="2"/>
    <s v="XT000035"/>
    <s v="TUBO DE TORAX # 28 *1 CATETER"/>
    <s v=""/>
    <s v=""/>
    <s v="006"/>
    <s v="Unidad"/>
    <s v=""/>
    <n v="4"/>
    <n v="3846.7933333333335"/>
    <n v="15387.17333333333"/>
  </r>
  <r>
    <s v="002"/>
    <s v="FARMACIA DE CIRUGIA                               "/>
    <x v="0"/>
    <x v="0"/>
    <s v="19992832-03"/>
    <s v="AMIODARONA 150 mg / 3ml Solución Inyectable "/>
    <s v=""/>
    <s v=""/>
    <s v=""/>
    <s v=""/>
    <s v="150 mg / 3ml"/>
    <n v="4"/>
    <n v="3894.9839393939396"/>
    <n v="15579.93575757576"/>
  </r>
  <r>
    <s v="026"/>
    <s v="CARRO DE PARO TERCER PISO                         "/>
    <x v="0"/>
    <x v="0"/>
    <s v="19992832-03"/>
    <s v="AMIODARONA 150 mg / 3ml Solución Inyectable "/>
    <s v=""/>
    <s v=""/>
    <s v=""/>
    <s v=""/>
    <s v="150 mg / 3ml"/>
    <n v="4"/>
    <n v="3894.9839393939396"/>
    <n v="15579.93575757576"/>
  </r>
  <r>
    <s v="001"/>
    <s v="FARMACIA CENTRAL                                  "/>
    <x v="0"/>
    <x v="0"/>
    <s v="19974149-02"/>
    <s v="HALOPERIDOL 2 mg / ml Solución Oral"/>
    <s v=""/>
    <s v=""/>
    <s v=""/>
    <s v=""/>
    <s v="2 mg / ml - 15 ml"/>
    <n v="4"/>
    <n v="4109.090909090909"/>
    <n v="16436.36363636364"/>
  </r>
  <r>
    <s v="001"/>
    <s v="FARMACIA CENTRAL                                  "/>
    <x v="2"/>
    <x v="2"/>
    <s v="XT000023"/>
    <s v="MASCARA PARA TRAQUEOTOMIA ADULTO(1075)*1 AEROSOLTERAP"/>
    <s v=""/>
    <s v=""/>
    <s v="006"/>
    <s v="Unidad"/>
    <s v=""/>
    <n v="4"/>
    <n v="4540.2125333333333"/>
    <n v="18160.85013333333"/>
  </r>
  <r>
    <s v="002"/>
    <s v="FARMACIA DE CIRUGIA                               "/>
    <x v="2"/>
    <x v="2"/>
    <s v="XT000023"/>
    <s v="MASCARA PARA TRAQUEOTOMIA ADULTO(1075)*1 AEROSOLTERAP"/>
    <s v=""/>
    <s v=""/>
    <s v="006"/>
    <s v="Unidad"/>
    <s v=""/>
    <n v="4"/>
    <n v="4540.2125333333333"/>
    <n v="18160.85013333333"/>
  </r>
  <r>
    <s v="008"/>
    <s v="ALMACEN  GENERAL                                         "/>
    <x v="1"/>
    <x v="1"/>
    <s v="AM000230"/>
    <s v="CONECTOR EN T DE 2 &quot;"/>
    <s v=""/>
    <s v=""/>
    <s v="006"/>
    <s v="Unidad"/>
    <s v=""/>
    <n v="4"/>
    <n v="4600"/>
    <n v="18400"/>
  </r>
  <r>
    <s v="053"/>
    <s v="CARRO DE PARO CRITICO QUIROGA"/>
    <x v="2"/>
    <x v="2"/>
    <s v="XT000020"/>
    <s v="INHALOCAMARAADULTO (AEROCHAMBER) -MASKBLUE *1"/>
    <s v=""/>
    <s v=""/>
    <s v="006"/>
    <s v="Unidad"/>
    <s v=""/>
    <n v="4"/>
    <n v="4942.9965822784807"/>
    <n v="19771.986329113919"/>
  </r>
  <r>
    <s v="008"/>
    <s v="ALMACEN  GENERAL                                         "/>
    <x v="1"/>
    <x v="1"/>
    <s v="AM000276"/>
    <s v="BISTURI INDUSTRIAL"/>
    <s v=""/>
    <s v=""/>
    <s v="006"/>
    <s v="Unidad"/>
    <s v=""/>
    <n v="4"/>
    <n v="4984.0874999999996"/>
    <n v="19936.349999999999"/>
  </r>
  <r>
    <s v="002"/>
    <s v="FARMACIA DE CIRUGIA                               "/>
    <x v="2"/>
    <x v="2"/>
    <s v="XD000129"/>
    <s v="SONDA FOLEY 20 X30ML-3 VIAS *1"/>
    <s v=""/>
    <s v=""/>
    <s v="006"/>
    <s v="Unidad"/>
    <s v=""/>
    <n v="4"/>
    <n v="5011.5231578947369"/>
    <n v="20046.092631578951"/>
  </r>
  <r>
    <s v="026"/>
    <s v="CARRO DE PARO TERCER PISO                         "/>
    <x v="1"/>
    <x v="1"/>
    <s v="AM000057"/>
    <s v="PILA MEDIANA ALKALINA"/>
    <s v=""/>
    <s v=""/>
    <s v="006"/>
    <s v="Unidad"/>
    <s v=""/>
    <n v="4"/>
    <n v="5237.6400000000003"/>
    <n v="20950.560000000001"/>
  </r>
  <r>
    <s v="001"/>
    <s v="FARMACIA CENTRAL                                  "/>
    <x v="0"/>
    <x v="0"/>
    <s v="19955370-13"/>
    <s v="ACIDO VALPROICO 250 mg/5ml Jarabe 120 ml"/>
    <s v=""/>
    <s v=""/>
    <s v=""/>
    <s v=""/>
    <s v="250 mg/5ml - 120 ml"/>
    <n v="4"/>
    <n v="5499.625"/>
    <n v="21998.5"/>
  </r>
  <r>
    <s v="005"/>
    <s v="ALMACEN MEDICAMENTOS"/>
    <x v="0"/>
    <x v="0"/>
    <s v="19955370-13"/>
    <s v="ACIDO VALPROICO 250 mg/5ml Jarabe 120 ml"/>
    <s v=""/>
    <s v=""/>
    <s v=""/>
    <s v=""/>
    <s v="250 mg/5ml - 120 ml"/>
    <n v="4"/>
    <n v="5499.625"/>
    <n v="21998.5"/>
  </r>
  <r>
    <s v="002"/>
    <s v="FARMACIA DE CIRUGIA                               "/>
    <x v="3"/>
    <x v="3"/>
    <s v="20120229-1"/>
    <s v="VANCOMICINA CLORHIDRATO 500 mg Polvo para reconstituir a solución inyectable"/>
    <s v=""/>
    <s v=""/>
    <s v=""/>
    <s v=""/>
    <s v="500 mg"/>
    <n v="4"/>
    <n v="5874.1665745856362"/>
    <n v="23496.666298342541"/>
  </r>
  <r>
    <s v="002"/>
    <s v="FARMACIA DE CIRUGIA                               "/>
    <x v="2"/>
    <x v="2"/>
    <s v="XJ000016"/>
    <s v="JERINGA PARA  IRRIGACION DE BOLA X1 ASEPTO"/>
    <s v=""/>
    <s v=""/>
    <s v="006"/>
    <s v="Unidad"/>
    <s v=""/>
    <n v="4"/>
    <n v="6053.3708333333334"/>
    <n v="24213.48333333333"/>
  </r>
  <r>
    <s v="002"/>
    <s v="FARMACIA DE CIRUGIA                               "/>
    <x v="2"/>
    <x v="2"/>
    <s v="XO000031"/>
    <s v="FERULA ORTOPEDICA DEDOS BASEBALL"/>
    <s v=""/>
    <s v=""/>
    <s v="006"/>
    <s v="Unidad"/>
    <s v=""/>
    <n v="4"/>
    <n v="7000"/>
    <n v="28000"/>
  </r>
  <r>
    <s v="001"/>
    <s v="FARMACIA CENTRAL                                  "/>
    <x v="2"/>
    <x v="2"/>
    <s v="XD000072"/>
    <s v="LAPIZ ELECTROBISTURI VALLEYLAB-CON CABLE X 1"/>
    <s v=""/>
    <s v=""/>
    <s v="006"/>
    <s v="Unidad"/>
    <s v=""/>
    <n v="4"/>
    <n v="7737.0401089324614"/>
    <n v="30948.160435729849"/>
  </r>
  <r>
    <s v="001"/>
    <s v="FARMACIA CENTRAL                                  "/>
    <x v="2"/>
    <x v="2"/>
    <s v="XO000041"/>
    <s v="FERULA PARA DEDOS STAX  INMOVILIZADOR  DE 1 A 5"/>
    <s v=""/>
    <s v=""/>
    <s v="006"/>
    <s v="Unidad"/>
    <s v=""/>
    <n v="4"/>
    <n v="7937.304347826087"/>
    <n v="31749.217391304352"/>
  </r>
  <r>
    <s v="002"/>
    <s v="FARMACIA DE CIRUGIA                               "/>
    <x v="0"/>
    <x v="0"/>
    <s v="20176786-1"/>
    <s v="HIDROXICINA 100 mg / 2 ml Solución inyectable"/>
    <s v=""/>
    <s v=""/>
    <s v=""/>
    <s v=""/>
    <s v="100 mg / 2 ml"/>
    <n v="4"/>
    <n v="8354"/>
    <n v="33416"/>
  </r>
  <r>
    <s v="008"/>
    <s v="ALMACEN  GENERAL                                         "/>
    <x v="1"/>
    <x v="1"/>
    <s v="AM000120"/>
    <s v="CANDADO PEQUE¤O"/>
    <s v=""/>
    <s v=""/>
    <s v="006"/>
    <s v="Unidad"/>
    <s v=""/>
    <n v="4"/>
    <n v="9999.25"/>
    <n v="39997"/>
  </r>
  <r>
    <s v="006"/>
    <s v="ALMACEN MEDICOQUIRURGICOS   "/>
    <x v="2"/>
    <x v="2"/>
    <s v="XS000006"/>
    <s v="CINTA UMBILICAL ALGODON U10T X2 DOCENAS"/>
    <s v=""/>
    <s v=""/>
    <s v="006"/>
    <s v="Unidad"/>
    <s v=""/>
    <n v="4"/>
    <n v="10030.552222222221"/>
    <n v="40122.20888888889"/>
  </r>
  <r>
    <s v="008"/>
    <s v="ALMACEN  GENERAL                                         "/>
    <x v="7"/>
    <x v="7"/>
    <s v="AA000046"/>
    <s v="CLORHEXIDINA DIGLUCONATO 0.2 G  (CLORHEXOL) X180 ML ENJUAGE"/>
    <s v=""/>
    <s v=""/>
    <s v="006"/>
    <s v="Unidad"/>
    <s v=""/>
    <n v="4"/>
    <n v="11801.5"/>
    <n v="47206"/>
  </r>
  <r>
    <s v="001"/>
    <s v="FARMACIA CENTRAL                                  "/>
    <x v="2"/>
    <x v="2"/>
    <s v="XS000100"/>
    <s v="SUTURA QUIRURGICA ABSORBIBLE VICRYL 3/0 J311H SH-1 X3 DOCENAS X70CM"/>
    <s v=""/>
    <s v=""/>
    <s v="006"/>
    <s v="Unidad"/>
    <s v=""/>
    <n v="4"/>
    <n v="12353.265681818182"/>
    <n v="49413.062727272729"/>
  </r>
  <r>
    <s v="001"/>
    <s v="FARMACIA CENTRAL                                  "/>
    <x v="2"/>
    <x v="2"/>
    <s v="XD000103"/>
    <s v="PLACA PACIENTE.ELECTROBISTURI 9130 UNIVERSAL X1"/>
    <s v=""/>
    <s v=""/>
    <s v="006"/>
    <s v="Unidad"/>
    <s v=""/>
    <n v="4"/>
    <n v="12613.713373493978"/>
    <n v="50454.853493975897"/>
  </r>
  <r>
    <s v="002"/>
    <s v="FARMACIA DE CIRUGIA                               "/>
    <x v="3"/>
    <x v="3"/>
    <s v="20085484-1"/>
    <s v="MEROPENEM 1 G VIAL POLVO PARA RECONSTITUIR"/>
    <s v=""/>
    <s v=""/>
    <s v=""/>
    <s v=""/>
    <s v="1 g"/>
    <n v="4"/>
    <n v="12681.622916666667"/>
    <n v="50726.491666666669"/>
  </r>
  <r>
    <s v="005"/>
    <s v="ALMACEN MEDICAMENTOS"/>
    <x v="4"/>
    <x v="4"/>
    <s v="19928346-01"/>
    <s v="FONDAPARINUX SODICA Solución inyectable 2.5 mg / 05 ml"/>
    <s v=""/>
    <s v=""/>
    <s v=""/>
    <s v=""/>
    <s v="2.5 mg / 05 ml"/>
    <n v="4"/>
    <n v="13880.781818181818"/>
    <n v="55523.127272727274"/>
  </r>
  <r>
    <s v="001"/>
    <s v="FARMACIA CENTRAL                                  "/>
    <x v="2"/>
    <x v="2"/>
    <s v="XS000117"/>
    <s v="SUTURA QUIRURGICA MONOFILAMENTE ESTERIL SINTETICO NO ABSORBIBLE 3/0 8522T SH X2 DOCENAS C.V."/>
    <s v=""/>
    <s v=""/>
    <s v="006"/>
    <s v="Unidad"/>
    <s v=""/>
    <n v="4"/>
    <n v="14024.245185185186"/>
    <n v="56096.980740740742"/>
  </r>
  <r>
    <s v="001"/>
    <s v="FARMACIA CENTRAL                                  "/>
    <x v="6"/>
    <x v="6"/>
    <s v="20083397-04"/>
    <s v="KETAMINA CLORHIDRATO 500 mg / 10ml Solución inyectable"/>
    <s v=""/>
    <s v=""/>
    <s v=""/>
    <s v=""/>
    <s v="500 mg / 10ml "/>
    <n v="4"/>
    <n v="14380"/>
    <n v="57520"/>
  </r>
  <r>
    <s v="001"/>
    <s v="FARMACIA CENTRAL                                  "/>
    <x v="0"/>
    <x v="0"/>
    <s v="29514-02"/>
    <s v="MANITOL 20 % Solución inyectable bolsa 500ml"/>
    <s v=""/>
    <s v=""/>
    <s v=""/>
    <s v=""/>
    <s v="20 % - 500 ml"/>
    <n v="4"/>
    <n v="15909.861052631579"/>
    <n v="63639.444210526322"/>
  </r>
  <r>
    <s v="001"/>
    <s v="FARMACIA CENTRAL                                  "/>
    <x v="2"/>
    <x v="2"/>
    <s v="XD000452"/>
    <s v="KIT EN T AUTOSELLADO NEBULIZADOR REF 2609000"/>
    <s v=""/>
    <s v=""/>
    <s v="006"/>
    <s v="Unidad"/>
    <s v=""/>
    <n v="4"/>
    <n v="17307.370588235295"/>
    <n v="69229.482352941181"/>
  </r>
  <r>
    <s v="003"/>
    <s v="CARRO  DE PARO RECUPERACION HEMODINAMIA"/>
    <x v="0"/>
    <x v="0"/>
    <s v="20058380-01"/>
    <s v="ADENOSINA 6 mg/2 ml Solución Inyectable"/>
    <s v=""/>
    <s v=""/>
    <s v=""/>
    <s v=""/>
    <s v="6 mg / 2 ml"/>
    <n v="4"/>
    <n v="17324.682926829268"/>
    <n v="69298.731707317071"/>
  </r>
  <r>
    <s v="053"/>
    <s v="CARRO DE PARO CRITICO QUIROGA"/>
    <x v="0"/>
    <x v="0"/>
    <s v="20058380-01"/>
    <s v="ADENOSINA 6 mg/2 ml Solución Inyectable"/>
    <s v=""/>
    <s v=""/>
    <s v=""/>
    <s v=""/>
    <s v="6 mg / 2 ml"/>
    <n v="4"/>
    <n v="17324.682926829268"/>
    <n v="69298.731707317071"/>
  </r>
  <r>
    <s v="003"/>
    <s v="CARRO  DE PARO RECUPERACION HEMODINAMIA"/>
    <x v="0"/>
    <x v="0"/>
    <s v="39227-05"/>
    <s v="METOPROLOL 5 mg / 5ml Solución Inyectable"/>
    <s v=""/>
    <s v=""/>
    <s v=""/>
    <s v=""/>
    <s v="5 mg / 5ml"/>
    <n v="4"/>
    <n v="17751.05"/>
    <n v="71004.2"/>
  </r>
  <r>
    <s v="009"/>
    <s v="CARRO DE PARO URGENCIAS                           "/>
    <x v="0"/>
    <x v="0"/>
    <s v="39227-05"/>
    <s v="METOPROLOL 5 mg / 5ml Solución Inyectable"/>
    <s v=""/>
    <s v=""/>
    <s v=""/>
    <s v=""/>
    <s v="5 mg / 5ml"/>
    <n v="4"/>
    <n v="17751.05"/>
    <n v="71004.2"/>
  </r>
  <r>
    <s v="017"/>
    <s v="CARRO DE PARO UCI                                 "/>
    <x v="0"/>
    <x v="0"/>
    <s v="39227-05"/>
    <s v="METOPROLOL 5 mg / 5ml Solución Inyectable"/>
    <s v=""/>
    <s v=""/>
    <s v=""/>
    <s v=""/>
    <s v="5 mg / 5ml"/>
    <n v="4"/>
    <n v="17751.05"/>
    <n v="71004.2"/>
  </r>
  <r>
    <s v="001"/>
    <s v="FARMACIA CENTRAL                                  "/>
    <x v="2"/>
    <x v="2"/>
    <s v="XT000013"/>
    <s v="CIRCUITO ADULTO VENTILADOR X1 SET COMPLETO 1617"/>
    <s v=""/>
    <s v=""/>
    <s v="006"/>
    <s v="Unidad"/>
    <s v=""/>
    <n v="4"/>
    <n v="19967.312499999996"/>
    <n v="79869.25"/>
  </r>
  <r>
    <s v="001"/>
    <s v="FARMACIA CENTRAL                                  "/>
    <x v="2"/>
    <x v="2"/>
    <s v="XD000253"/>
    <s v="CONECTOR EN -Y- PLASTICO REFLM86-2012"/>
    <s v=""/>
    <s v=""/>
    <s v="006"/>
    <s v="Unidad"/>
    <s v=""/>
    <n v="4"/>
    <n v="20549.056666666667"/>
    <n v="82196.226666666669"/>
  </r>
  <r>
    <s v="001"/>
    <s v="FARMACIA CENTRAL                                  "/>
    <x v="2"/>
    <x v="2"/>
    <s v="XD000293"/>
    <s v="BOLSA PARA CADAVER "/>
    <s v=""/>
    <s v=""/>
    <s v="006"/>
    <s v="Unidad"/>
    <s v=""/>
    <n v="4"/>
    <n v="20807.692631578946"/>
    <n v="83230.770526315784"/>
  </r>
  <r>
    <s v="006"/>
    <s v="ALMACEN MEDICOQUIRURGICOS   "/>
    <x v="2"/>
    <x v="2"/>
    <s v="XD000005"/>
    <s v="BARRERA DE COLOSTOMIA  PLANA RECORTABLE LEXIBLE  57MM NUTURA REF 413167"/>
    <s v=""/>
    <s v=""/>
    <s v="006"/>
    <s v="Unidad"/>
    <s v=""/>
    <n v="4"/>
    <n v="25721"/>
    <n v="102884"/>
  </r>
  <r>
    <s v="002"/>
    <s v="FARMACIA DE CIRUGIA                               "/>
    <x v="2"/>
    <x v="2"/>
    <s v="XE000003"/>
    <s v="EQUIPO DE BOMBA PRIMARIO SANGUINEO REF 14211 "/>
    <s v=""/>
    <s v=""/>
    <s v="006"/>
    <s v="Unidad"/>
    <s v=""/>
    <n v="4"/>
    <n v="26677.178571428569"/>
    <n v="106708.71428571428"/>
  </r>
  <r>
    <s v="002"/>
    <s v="FARMACIA DE CIRUGIA                               "/>
    <x v="0"/>
    <x v="0"/>
    <s v="38991-02"/>
    <s v="TRIAMCINOLONA ACETONIDO 50 mg Suspensión Inyectable"/>
    <s v=""/>
    <s v=""/>
    <s v=""/>
    <s v=""/>
    <s v="50 mg"/>
    <n v="4"/>
    <n v="30602.212499999998"/>
    <n v="122408.85"/>
  </r>
  <r>
    <s v="008"/>
    <s v="ALMACEN  GENERAL                                         "/>
    <x v="10"/>
    <x v="10"/>
    <s v="AD000057"/>
    <s v="SEMIMASCARA CONFORT 2 LT M6400"/>
    <s v=""/>
    <s v=""/>
    <s v="006"/>
    <s v="Unidad"/>
    <s v=""/>
    <n v="4"/>
    <n v="32492.9"/>
    <n v="129971.6"/>
  </r>
  <r>
    <s v="021"/>
    <s v="CENTRAL DE ESTERILIZACION                         "/>
    <x v="2"/>
    <x v="2"/>
    <s v="XD000100"/>
    <s v="PIN DE FIJACION EXTERNA STEINMANN 3,0"/>
    <s v=""/>
    <s v=""/>
    <s v="006"/>
    <s v="Unidad"/>
    <s v=""/>
    <n v="4"/>
    <n v="33962"/>
    <n v="135848"/>
  </r>
  <r>
    <s v="021"/>
    <s v="CENTRAL DE ESTERILIZACION                         "/>
    <x v="2"/>
    <x v="2"/>
    <s v="XD000322"/>
    <s v="PIN DE FIJACION EXTERNA STEINMANN 2,7"/>
    <s v=""/>
    <s v=""/>
    <s v="006"/>
    <s v="Unidad"/>
    <s v=""/>
    <n v="4"/>
    <n v="33962"/>
    <n v="135848"/>
  </r>
  <r>
    <s v="001"/>
    <s v="FARMACIA CENTRAL                                  "/>
    <x v="14"/>
    <x v="14"/>
    <s v="130105"/>
    <s v="SURVIMED OPD HN LIQUIDO 500 ML EASY BAG"/>
    <s v=""/>
    <s v=""/>
    <s v=""/>
    <s v=""/>
    <s v="500 ML"/>
    <n v="4"/>
    <n v="34389.574999999997"/>
    <n v="137558.29999999999"/>
  </r>
  <r>
    <s v="001"/>
    <s v="FARMACIA CENTRAL                                  "/>
    <x v="2"/>
    <x v="2"/>
    <s v="XD000017"/>
    <s v="BOLSA VACIA PARA ADMINISTRACION DE ENEMA 1500ML PARA ADMINISTRACION ENEMA-BRD0021"/>
    <s v=""/>
    <s v=""/>
    <s v="006"/>
    <s v="Unidad"/>
    <s v=""/>
    <n v="4"/>
    <n v="34900.803023255816"/>
    <n v="139603.21209302326"/>
  </r>
  <r>
    <s v="001"/>
    <s v="FARMACIA CENTRAL                                  "/>
    <x v="2"/>
    <x v="2"/>
    <s v="XO000039"/>
    <s v="SANDALIA POS OPERATORIA"/>
    <s v=""/>
    <s v=""/>
    <s v="006"/>
    <s v="Unidad"/>
    <s v=""/>
    <n v="4"/>
    <n v="35000.75"/>
    <n v="140003"/>
  </r>
  <r>
    <s v="002"/>
    <s v="FARMACIA DE CIRUGIA                               "/>
    <x v="2"/>
    <x v="2"/>
    <s v="XD000262"/>
    <s v="ASA DE SILICONA SURG-I-LOOP"/>
    <s v=""/>
    <s v=""/>
    <s v="006"/>
    <s v="Unidad"/>
    <s v=""/>
    <n v="4"/>
    <n v="35848.57894736842"/>
    <n v="143394.31578947368"/>
  </r>
  <r>
    <s v="001"/>
    <s v="FARMACIA CENTRAL                                  "/>
    <x v="4"/>
    <x v="4"/>
    <s v="19968360-01"/>
    <s v="FONDAPARINUX SODICA Solución inyectable 7.5 mg / 0.6 ml"/>
    <s v=""/>
    <s v=""/>
    <s v=""/>
    <s v=""/>
    <s v="7.5 mg / 06 ml"/>
    <n v="4"/>
    <n v="39483.4"/>
    <n v="157933.6"/>
  </r>
  <r>
    <s v="059"/>
    <s v="BODEGA CUARENTENA"/>
    <x v="6"/>
    <x v="6"/>
    <s v="19967652-03"/>
    <s v="BUPRENORFINA 30MG PARCHE TRANSDERMICO 52.5mcg/h"/>
    <s v=""/>
    <s v=""/>
    <s v=""/>
    <s v=""/>
    <s v="30MG"/>
    <n v="4"/>
    <n v="40800"/>
    <n v="163200"/>
  </r>
  <r>
    <s v="006"/>
    <s v="ALMACEN MEDICOQUIRURGICOS   "/>
    <x v="2"/>
    <x v="2"/>
    <s v="XO000023"/>
    <s v="MEDIA ANTIEMBOLICA TALLA S  PAR MEDIA T.E.D.*6"/>
    <s v=""/>
    <s v=""/>
    <s v="006"/>
    <s v="Unidad"/>
    <s v=""/>
    <n v="4"/>
    <n v="42956.055000000008"/>
    <n v="171824.22"/>
  </r>
  <r>
    <s v="008"/>
    <s v="ALMACEN  GENERAL                                         "/>
    <x v="1"/>
    <x v="1"/>
    <s v="AM000299"/>
    <s v="BOMBILLO TIPO CAMPANA 15 V X 150W"/>
    <s v=""/>
    <s v=""/>
    <s v="006"/>
    <s v="Unidad"/>
    <s v=""/>
    <n v="4"/>
    <n v="44268"/>
    <n v="177072"/>
  </r>
  <r>
    <s v="006"/>
    <s v="ALMACEN MEDICOQUIRURGICOS   "/>
    <x v="2"/>
    <x v="2"/>
    <s v="XS000055"/>
    <s v="REMOVEDOR DE GRAPAS APPOSSE CAJA X12 TIJERAS"/>
    <s v=""/>
    <s v=""/>
    <s v="006"/>
    <s v="Unidad"/>
    <s v=""/>
    <n v="4"/>
    <n v="47361.481176470588"/>
    <n v="189445.92470588235"/>
  </r>
  <r>
    <s v="008"/>
    <s v="ALMACEN  GENERAL                                         "/>
    <x v="12"/>
    <x v="12"/>
    <s v="AR000053"/>
    <s v="ALMOHADA COJIN PARA PRONACION CIRUGIA "/>
    <s v=""/>
    <s v=""/>
    <s v="006"/>
    <s v="Unidad"/>
    <s v=""/>
    <n v="4"/>
    <n v="47603.05"/>
    <n v="190412.2"/>
  </r>
  <r>
    <s v="001"/>
    <s v="FARMACIA CENTRAL                                  "/>
    <x v="2"/>
    <x v="2"/>
    <s v="XD000277"/>
    <s v="POLVO PROTECTOR STOMAHESIVE REF 025510"/>
    <s v=""/>
    <s v=""/>
    <s v="006"/>
    <s v="Unidad"/>
    <s v=""/>
    <n v="4"/>
    <n v="49001.453750000001"/>
    <n v="196005.815"/>
  </r>
  <r>
    <s v="001"/>
    <s v="FARMACIA CENTRAL                                  "/>
    <x v="2"/>
    <x v="2"/>
    <s v="XD000106"/>
    <s v="ROPA DESECHABLE LAPARATOMIA(29130)*1 P.COMPLETO"/>
    <s v=""/>
    <s v=""/>
    <s v="006"/>
    <s v="Unidad"/>
    <s v=""/>
    <n v="4"/>
    <n v="53512.670810810807"/>
    <n v="214050.68324324323"/>
  </r>
  <r>
    <s v="001"/>
    <s v="FARMACIA CENTRAL                                  "/>
    <x v="2"/>
    <x v="2"/>
    <s v="XT000014"/>
    <s v="CIRCUITO DE UNA SOLA RAMA CON FILTRO REF 5805000"/>
    <s v=""/>
    <s v=""/>
    <s v="006"/>
    <s v="Unidad"/>
    <s v=""/>
    <n v="4"/>
    <n v="54900.858947368419"/>
    <n v="219603.43578947367"/>
  </r>
  <r>
    <s v="001"/>
    <s v="FARMACIA CENTRAL                                  "/>
    <x v="0"/>
    <x v="0"/>
    <s v="19961974-01"/>
    <s v="BARIO SULFATO 98 % Frasco x 340 g Polvo para suspensión oral"/>
    <s v=""/>
    <s v=""/>
    <s v=""/>
    <s v=""/>
    <s v="340 g"/>
    <n v="4"/>
    <n v="57249.5"/>
    <n v="228998"/>
  </r>
  <r>
    <s v="002"/>
    <s v="FARMACIA DE CIRUGIA                               "/>
    <x v="2"/>
    <x v="2"/>
    <s v="XD000169"/>
    <s v="GUIA UROLOGIA REVESTIDA DE PTFE 0.035X150CM REF M0066201100"/>
    <s v=""/>
    <s v=""/>
    <s v="006"/>
    <s v="Unidad"/>
    <s v=""/>
    <n v="4"/>
    <n v="62563.154444444444"/>
    <n v="250252.61777777775"/>
  </r>
  <r>
    <s v="002"/>
    <s v="FARMACIA DE CIRUGIA                               "/>
    <x v="2"/>
    <x v="2"/>
    <s v="XS000038"/>
    <s v="POLIDIOXANONA SUTURA (CON/SIN AGUJA) PDS II 1 XLH REF. Z881H"/>
    <s v=""/>
    <s v=""/>
    <s v="006"/>
    <s v="Unidad"/>
    <s v=""/>
    <n v="4"/>
    <n v="63360.271000000001"/>
    <n v="253441.084"/>
  </r>
  <r>
    <s v="001"/>
    <s v="FARMACIA CENTRAL                                  "/>
    <x v="4"/>
    <x v="4"/>
    <s v="20013309-02"/>
    <s v="SALMETEROL + FLUTICASONA 50 + 250 mcg Polvo para Inhalación"/>
    <s v=""/>
    <s v=""/>
    <s v=""/>
    <s v=""/>
    <s v="50+250 mcg"/>
    <n v="4"/>
    <n v="64396.378888888896"/>
    <n v="257585.51555555555"/>
  </r>
  <r>
    <s v="001"/>
    <s v="FARMACIA CENTRAL                                  "/>
    <x v="2"/>
    <x v="2"/>
    <s v="XC000038"/>
    <s v="SISTEMA DE CATETER DE ACCESO ARTERIAL  SET  20gax8 REF SAC-00820"/>
    <s v=""/>
    <s v=""/>
    <s v="006"/>
    <s v="Unidad"/>
    <s v=""/>
    <n v="4"/>
    <n v="65871.580535714282"/>
    <n v="263486.32214285713"/>
  </r>
  <r>
    <s v="002"/>
    <s v="FARMACIA DE CIRUGIA                               "/>
    <x v="2"/>
    <x v="2"/>
    <s v="XC000038"/>
    <s v="SISTEMA DE CATETER DE ACCESO ARTERIAL  SET  20gax8 REF SAC-00820"/>
    <s v=""/>
    <s v=""/>
    <s v="006"/>
    <s v="Unidad"/>
    <s v=""/>
    <n v="4"/>
    <n v="65871.580535714282"/>
    <n v="263486.32214285713"/>
  </r>
  <r>
    <s v="008"/>
    <s v="ALMACEN  GENERAL                                         "/>
    <x v="1"/>
    <x v="1"/>
    <s v="AM000111"/>
    <s v="BOMBILLO HALOGENO 33V-235W"/>
    <s v=""/>
    <s v=""/>
    <s v="006"/>
    <s v="Unidad"/>
    <s v=""/>
    <n v="4"/>
    <n v="78540"/>
    <n v="314160"/>
  </r>
  <r>
    <s v="001"/>
    <s v="FARMACIA CENTRAL                                  "/>
    <x v="4"/>
    <x v="4"/>
    <s v="20059263-01"/>
    <s v="GANCICLOVIR 500 mg / 10 ml Solución Inyectable"/>
    <s v=""/>
    <s v=""/>
    <s v=""/>
    <s v=""/>
    <s v="500 mg / 10 ml"/>
    <n v="4"/>
    <n v="79836.133333333331"/>
    <n v="319344.53333333333"/>
  </r>
  <r>
    <s v="002"/>
    <s v="FARMACIA DE CIRUGIA                               "/>
    <x v="2"/>
    <x v="2"/>
    <s v="XC000021"/>
    <s v="CATETER VENOSO CENTRAL DOBLE LUMEN  (17702) REF 4162200E-07"/>
    <s v=""/>
    <s v=""/>
    <s v="006"/>
    <s v="Unidad"/>
    <s v=""/>
    <n v="4"/>
    <n v="80197.548536585367"/>
    <n v="320790.19414634141"/>
  </r>
  <r>
    <s v="006"/>
    <s v="ALMACEN MEDICOQUIRURGICOS   "/>
    <x v="2"/>
    <x v="2"/>
    <s v="XO000024"/>
    <s v="MULETA AXILANTE PAR PARA MARCHA"/>
    <s v=""/>
    <s v=""/>
    <s v="006"/>
    <s v="Unidad"/>
    <s v=""/>
    <n v="4"/>
    <n v="88039.510000000009"/>
    <n v="352158.04"/>
  </r>
  <r>
    <s v="002"/>
    <s v="FARMACIA DE CIRUGIA                               "/>
    <x v="2"/>
    <x v="2"/>
    <s v="XS000159"/>
    <s v="DISPOSITIVO DE CIERRE DE HERIDAS V-LOC 90 2-0 CV-21 REF. VLOCM0315"/>
    <s v=""/>
    <s v=""/>
    <s v="006"/>
    <s v="Unidad"/>
    <s v=""/>
    <n v="4"/>
    <n v="110400"/>
    <n v="441600"/>
  </r>
  <r>
    <s v="002"/>
    <s v="FARMACIA DE CIRUGIA                               "/>
    <x v="2"/>
    <x v="2"/>
    <s v="XS000008"/>
    <s v="DISPOSITIVO DE CIERRE DE HERIDAS V-LOC 180 3-0 CV-23 REF. VLOCL0604 X 1"/>
    <s v=""/>
    <s v=""/>
    <s v="006"/>
    <s v="Unidad"/>
    <s v=""/>
    <n v="4"/>
    <n v="111979.02"/>
    <n v="447916.08"/>
  </r>
  <r>
    <s v="046"/>
    <s v="BODEGA HEMODINAMIA CONSIGNACION"/>
    <x v="2"/>
    <x v="2"/>
    <s v="PSI-6F-7-018"/>
    <s v="INTRODUCTOR FEMORAL PRELUDE ARTERIAL 6FR X 7CM GUIA 0.038 Y AGUJA 18GX4CM"/>
    <s v=""/>
    <s v=""/>
    <s v="006"/>
    <s v="Unidad"/>
    <s v=""/>
    <n v="4"/>
    <n v="113000"/>
    <n v="452000"/>
  </r>
  <r>
    <s v="008"/>
    <s v="ALMACEN  GENERAL                                         "/>
    <x v="1"/>
    <x v="1"/>
    <s v="AM000335"/>
    <s v="MANGUERA P/COMPRESOR  REF 9528 CARDINAL"/>
    <s v=""/>
    <s v=""/>
    <s v="006"/>
    <s v="Unidad"/>
    <s v=""/>
    <n v="4"/>
    <n v="113864.40999999999"/>
    <n v="455457.64"/>
  </r>
  <r>
    <s v="001"/>
    <s v="FARMACIA CENTRAL                                  "/>
    <x v="2"/>
    <x v="2"/>
    <s v="XG000031"/>
    <s v="AGUJA PERCUTANEA PARA CENTESIS REF G10100 OSC-4F-10 / OSC-5F-10"/>
    <s v=""/>
    <s v=""/>
    <s v="006"/>
    <s v="Unidad"/>
    <s v=""/>
    <n v="4"/>
    <n v="119288.09538461539"/>
    <n v="477152.38153846154"/>
  </r>
  <r>
    <s v="008"/>
    <s v="ALMACEN  GENERAL                                         "/>
    <x v="1"/>
    <x v="1"/>
    <s v="AM000227"/>
    <s v="INDICADOR CLASE IV PEROXIDO REF 4500002012 VH202"/>
    <s v=""/>
    <s v=""/>
    <s v="006"/>
    <s v="Unidad"/>
    <s v=""/>
    <n v="4"/>
    <n v="149674.49999999997"/>
    <n v="598698"/>
  </r>
  <r>
    <s v="008"/>
    <s v="ALMACEN  GENERAL                                         "/>
    <x v="1"/>
    <x v="1"/>
    <s v="AM000264"/>
    <s v="BOMBILLO WELCH ALLYN REF 03100"/>
    <s v=""/>
    <s v=""/>
    <s v="006"/>
    <s v="Unidad"/>
    <s v=""/>
    <n v="4"/>
    <n v="154700"/>
    <n v="618800"/>
  </r>
  <r>
    <s v="002"/>
    <s v="FARMACIA DE CIRUGIA                               "/>
    <x v="2"/>
    <x v="2"/>
    <s v="XD000279"/>
    <s v="STENT URETERAL  FR 22-32 CM(DOBLE J) REF POLARIS ULTRA REF 192132"/>
    <s v=""/>
    <s v=""/>
    <s v="006"/>
    <s v="Unidad"/>
    <s v=""/>
    <n v="4"/>
    <n v="162485.03093749998"/>
    <n v="649940.12375000003"/>
  </r>
  <r>
    <s v="001"/>
    <s v="FARMACIA CENTRAL                                  "/>
    <x v="4"/>
    <x v="4"/>
    <s v="19981181-01"/>
    <s v="DAPTOMICINA 500 mg Polvo para reconstituir Solución Inyectable"/>
    <s v=""/>
    <s v=""/>
    <s v=""/>
    <s v=""/>
    <s v="500 mg"/>
    <n v="4"/>
    <n v="213700"/>
    <n v="854800"/>
  </r>
  <r>
    <s v="006"/>
    <s v="ALMACEN MEDICOQUIRURGICOS   "/>
    <x v="2"/>
    <x v="2"/>
    <s v="XD000445"/>
    <s v="MALLA QUIRUGICA SUAVE DE 15CMX15CM REF 0117011"/>
    <s v=""/>
    <s v=""/>
    <s v="006"/>
    <s v="Unidad"/>
    <s v=""/>
    <n v="4"/>
    <n v="223420.47857142857"/>
    <n v="893681.91428571427"/>
  </r>
  <r>
    <s v="046"/>
    <s v="BODEGA HEMODINAMIA CONSIGNACION"/>
    <x v="2"/>
    <x v="2"/>
    <s v="5100038SIM2-H"/>
    <s v="CATETER SIMMOMNS2 HIDROFILICO 5 FR X 100 CM"/>
    <s v=""/>
    <s v=""/>
    <s v="006"/>
    <s v="Unidad"/>
    <s v=""/>
    <n v="4"/>
    <n v="224000"/>
    <n v="896000"/>
  </r>
  <r>
    <s v="008"/>
    <s v="ALMACEN  GENERAL                                         "/>
    <x v="9"/>
    <x v="9"/>
    <s v="AM000288"/>
    <s v="SENSOR SP02 ADULTO PHILIPS REF M1191BL"/>
    <s v=""/>
    <s v=""/>
    <s v="006"/>
    <s v="Unidad"/>
    <s v=""/>
    <n v="4"/>
    <n v="224315"/>
    <n v="897260"/>
  </r>
  <r>
    <s v="008"/>
    <s v="ALMACEN  GENERAL                                         "/>
    <x v="1"/>
    <x v="1"/>
    <s v="AM000032"/>
    <s v="SENSOR SPO2 MONITOR  OHMEDA REF TC410-121"/>
    <s v=""/>
    <s v=""/>
    <s v="006"/>
    <s v="Unidad"/>
    <s v=""/>
    <n v="4"/>
    <n v="232702.75"/>
    <n v="930811"/>
  </r>
  <r>
    <s v="008"/>
    <s v="ALMACEN  GENERAL                                         "/>
    <x v="1"/>
    <x v="1"/>
    <s v="AM000002"/>
    <s v="AMBU (RESUCITADOR) REUSABLE TAMANO ADULTO"/>
    <s v=""/>
    <s v=""/>
    <s v="006"/>
    <s v="Unidad"/>
    <s v=""/>
    <n v="4"/>
    <n v="248175.41076923074"/>
    <n v="992701.64307692309"/>
  </r>
  <r>
    <s v="001"/>
    <s v="FARMACIA CENTRAL                                  "/>
    <x v="4"/>
    <x v="4"/>
    <s v="20061748-05"/>
    <s v="SOPORTE NUTRICIONAL PARENTERAL PERIFERICO + LIPIDOS BOLSA 1448mL"/>
    <s v=""/>
    <s v=""/>
    <s v=""/>
    <s v=""/>
    <s v="1448 ML"/>
    <n v="4"/>
    <n v="267904.11725000001"/>
    <n v="1071616.469"/>
  </r>
  <r>
    <s v="002"/>
    <s v="FARMACIA DE CIRUGIA                               "/>
    <x v="2"/>
    <x v="2"/>
    <s v="XD000281"/>
    <s v="STENTS BILIARES PLASTICOS PROTESIS BILIAR  7X10-10X7-7X7-10X10"/>
    <s v=""/>
    <s v=""/>
    <s v="006"/>
    <s v="Unidad"/>
    <s v=""/>
    <n v="4"/>
    <n v="297657.86166666663"/>
    <n v="1190631.4466666668"/>
  </r>
  <r>
    <s v="001"/>
    <s v="FARMACIA CENTRAL                                  "/>
    <x v="2"/>
    <x v="2"/>
    <s v="XE000018"/>
    <s v="SISTEMA DE DRENAJE TORAXICO TORA SEAL-III "/>
    <s v=""/>
    <s v=""/>
    <s v="006"/>
    <s v="Unidad"/>
    <s v=""/>
    <n v="4"/>
    <n v="298569.47162162163"/>
    <n v="1194277.8864864865"/>
  </r>
  <r>
    <s v="002"/>
    <s v="FARMACIA DE CIRUGIA                               "/>
    <x v="2"/>
    <x v="2"/>
    <s v="XC000036"/>
    <s v="INYECTOR DE ESCLEROTERAPIA   M00518301                                                "/>
    <s v=""/>
    <s v=""/>
    <s v="006"/>
    <s v="Unidad"/>
    <s v=""/>
    <n v="4"/>
    <n v="303183.3854545455"/>
    <n v="1212733.5418181818"/>
  </r>
  <r>
    <s v="046"/>
    <s v="BODEGA HEMODINAMIA CONSIGNACION"/>
    <x v="2"/>
    <x v="2"/>
    <s v="H74939240035130"/>
    <s v="CATETER DE APOYO  RUBICON 35 135CM "/>
    <s v=""/>
    <s v=""/>
    <s v="006"/>
    <s v="Unidad"/>
    <s v=""/>
    <n v="4"/>
    <n v="349828.99999999994"/>
    <n v="1399316"/>
  </r>
  <r>
    <s v="006"/>
    <s v="ALMACEN MEDICOQUIRURGICOS   "/>
    <x v="2"/>
    <x v="2"/>
    <s v="XS000051"/>
    <s v="RECARGA GIA 80 3.8 MM GI8038L X 1"/>
    <s v=""/>
    <s v=""/>
    <s v="006"/>
    <s v="Unidad"/>
    <s v=""/>
    <n v="4"/>
    <n v="357289.31899999996"/>
    <n v="1429157.2760000001"/>
  </r>
  <r>
    <s v="059"/>
    <s v="BODEGA CUARENTENA"/>
    <x v="2"/>
    <x v="2"/>
    <s v="XD000260"/>
    <s v="DISPOSITIVO DE ACCESO LAPAROSCOPICO ABDOMINAL ALEXIS TALLA M REF C8402"/>
    <s v=""/>
    <s v=""/>
    <s v="006"/>
    <s v="Unidad"/>
    <s v=""/>
    <n v="4"/>
    <n v="359127.72"/>
    <n v="1436510.88"/>
  </r>
  <r>
    <s v="006"/>
    <s v="ALMACEN MEDICOQUIRURGICOS   "/>
    <x v="2"/>
    <x v="2"/>
    <s v="XD000176"/>
    <s v="MALLA POLIPROPILENO HERNIA IZQUIEDA 3D MAX  REF 0117311"/>
    <s v=""/>
    <s v=""/>
    <s v="006"/>
    <s v="Unidad"/>
    <s v=""/>
    <n v="4"/>
    <n v="365844.99999999994"/>
    <n v="1463380"/>
  </r>
  <r>
    <s v="001"/>
    <s v="FARMACIA CENTRAL                                  "/>
    <x v="14"/>
    <x v="14"/>
    <s v="NT000013"/>
    <s v="SOPORTE NUTRICIONAL PARENTERAL TOTAL  ADULTO"/>
    <s v=""/>
    <s v=""/>
    <s v=""/>
    <s v=""/>
    <s v="-"/>
    <n v="4"/>
    <n v="377842.88750000001"/>
    <n v="1511371.55"/>
  </r>
  <r>
    <s v="001"/>
    <s v="FARMACIA CENTRAL                                  "/>
    <x v="4"/>
    <x v="4"/>
    <s v="20042955-07"/>
    <s v="CARBOXIMALTOSA DE HIERRO 50 mg / ml Solución inyectable"/>
    <s v=""/>
    <s v=""/>
    <s v=""/>
    <s v=""/>
    <s v="500MG"/>
    <n v="4"/>
    <n v="394611.11111111107"/>
    <n v="1578444.4444444445"/>
  </r>
  <r>
    <s v="008"/>
    <s v="ALMACEN  GENERAL                                         "/>
    <x v="12"/>
    <x v="12"/>
    <s v="AR000045"/>
    <s v="COLCHONETA PARA MESA CIRUGIA"/>
    <s v=""/>
    <s v=""/>
    <s v="006"/>
    <s v="Unidad"/>
    <s v=""/>
    <n v="4"/>
    <n v="595000"/>
    <n v="2380000"/>
  </r>
  <r>
    <s v="008"/>
    <s v="ALMACEN  GENERAL                                         "/>
    <x v="1"/>
    <x v="1"/>
    <s v="AM000340"/>
    <s v="DISECTOR LAPAROSCOPICO EN LINEA 5 X 35 CM   REF CY010"/>
    <s v=""/>
    <s v=""/>
    <s v="006"/>
    <s v="Unidad"/>
    <s v=""/>
    <n v="4"/>
    <n v="600216.96"/>
    <n v="2400867.84"/>
  </r>
  <r>
    <s v="006"/>
    <s v="ALMACEN MEDICOQUIRURGICOS   "/>
    <x v="2"/>
    <x v="2"/>
    <s v="XD000033"/>
    <s v="CUCHILLA PARA CORTE HUESO REF. 9AC75"/>
    <s v=""/>
    <s v=""/>
    <s v="006"/>
    <s v="Unidad"/>
    <s v=""/>
    <n v="4"/>
    <n v="650854.53333333333"/>
    <n v="2603418.1333333333"/>
  </r>
  <r>
    <s v="006"/>
    <s v="ALMACEN MEDICOQUIRURGICOS   "/>
    <x v="2"/>
    <x v="2"/>
    <s v="XS000069"/>
    <s v="SURGICEL FIBRILAR 4X4&quot; 10.2 CM X 10.2 CM X 1  411963"/>
    <s v=""/>
    <s v=""/>
    <s v="006"/>
    <s v="Unidad"/>
    <s v=""/>
    <n v="4"/>
    <n v="678001"/>
    <n v="2712004"/>
  </r>
  <r>
    <s v="006"/>
    <s v="ALMACEN MEDICOQUIRURGICOS   "/>
    <x v="2"/>
    <x v="2"/>
    <s v="XD000034"/>
    <s v="CUCHILLA PARA CORTE HUESO REF. 9BA75 REF 5820110075"/>
    <s v=""/>
    <s v=""/>
    <s v="006"/>
    <s v="Unidad"/>
    <s v=""/>
    <n v="4"/>
    <n v="716205.17142857146"/>
    <n v="2864820.6857142858"/>
  </r>
  <r>
    <s v="002"/>
    <s v="FARMACIA DE CIRUGIA                               "/>
    <x v="2"/>
    <x v="2"/>
    <s v="XD000091"/>
    <s v="PAPILOTOMO CANULOTOMO CORTE 5.5FR.  (MICROKNIFE XL) KD-V451M"/>
    <s v=""/>
    <s v=""/>
    <s v="006"/>
    <s v="Unidad"/>
    <s v=""/>
    <n v="4"/>
    <n v="783143.36"/>
    <n v="3132573.44"/>
  </r>
  <r>
    <s v="008"/>
    <s v="ALMACEN  GENERAL                                         "/>
    <x v="1"/>
    <x v="1"/>
    <s v="AM000197"/>
    <s v="ROLLO PLANO DE 38 CM * 70 METROS -TYVEK"/>
    <s v=""/>
    <s v=""/>
    <s v="006"/>
    <s v="Unidad"/>
    <s v=""/>
    <n v="4"/>
    <n v="849213.75"/>
    <n v="3396855"/>
  </r>
  <r>
    <s v="002"/>
    <s v="FARMACIA DE CIRUGIA                               "/>
    <x v="4"/>
    <x v="4"/>
    <s v="20019432-01"/>
    <s v="TOXINA BOTULINICA 200UI POLVO PARA RECONSTITUIR A SOLUCION INYECTABLE"/>
    <s v=""/>
    <s v=""/>
    <s v=""/>
    <s v=""/>
    <s v="200UI"/>
    <n v="4"/>
    <n v="1399129"/>
    <n v="5596516"/>
  </r>
  <r>
    <s v="052"/>
    <s v="CONSIGNACION LM INSTRUMENS S.A"/>
    <x v="2"/>
    <x v="2"/>
    <s v="XD000296"/>
    <s v="KIT DE TRAQUEOSTOMIA PERCUTANEA  No  8.0 -8.5 320-08/321-08"/>
    <s v=""/>
    <s v=""/>
    <s v="006"/>
    <s v="Unidad"/>
    <s v=""/>
    <n v="4"/>
    <n v="1592274.287142857"/>
    <n v="6369097.1485714288"/>
  </r>
  <r>
    <s v="006"/>
    <s v="ALMACEN MEDICOQUIRURGICOS   "/>
    <x v="2"/>
    <x v="2"/>
    <s v="XS100153"/>
    <s v="SISTEMA DE SELLADO DE VASOS PINZA LIGASURE LF 1923"/>
    <s v=""/>
    <s v=""/>
    <s v="006"/>
    <s v="Unidad"/>
    <s v=""/>
    <n v="4"/>
    <n v="1695762.422"/>
    <n v="6783049.6880000001"/>
  </r>
  <r>
    <s v="008"/>
    <s v="ALMACEN  GENERAL                                         "/>
    <x v="1"/>
    <x v="1"/>
    <s v="AM000366"/>
    <s v="VALVULA EXHALATORIA REF 3365R1V"/>
    <s v=""/>
    <s v=""/>
    <s v="006"/>
    <s v="Unidad"/>
    <s v=""/>
    <n v="4"/>
    <n v="1733830"/>
    <n v="6935320"/>
  </r>
  <r>
    <s v="002"/>
    <s v="FARMACIA DE CIRUGIA                               "/>
    <x v="2"/>
    <x v="2"/>
    <s v="XS000011"/>
    <s v="GRAPA DE PIEL APPOSSE 803712 X1 GRAPADORA"/>
    <s v=""/>
    <s v=""/>
    <s v="006"/>
    <s v="Unidad"/>
    <s v=""/>
    <n v="5"/>
    <n v="-135808.97200000001"/>
    <n v="-679044.86"/>
  </r>
  <r>
    <s v="005"/>
    <s v="ALMACEN MEDICAMENTOS"/>
    <x v="4"/>
    <x v="4"/>
    <s v="58816-02"/>
    <s v="SEVOFLUORANO 100 % Solución para inhalación 250 ml "/>
    <s v=""/>
    <s v=""/>
    <s v=""/>
    <s v=""/>
    <s v="100% - 250 ml"/>
    <n v="5"/>
    <n v="-33746.551249999997"/>
    <n v="-168732.75625000001"/>
  </r>
  <r>
    <s v="014"/>
    <s v="CARRO DE PARO CARDIOLOGIA                            "/>
    <x v="0"/>
    <x v="0"/>
    <s v="29523-02"/>
    <s v="SODIO CLORURO 0.9% -50 ml Solución Inyectable"/>
    <s v=""/>
    <s v=""/>
    <s v=""/>
    <s v=""/>
    <s v="0.9% - 50 ml"/>
    <n v="5"/>
    <n v="-9389.8194444444453"/>
    <n v="-46949.097222222219"/>
  </r>
  <r>
    <s v="019"/>
    <s v="CARRO DE PARO UCI 1/2                             "/>
    <x v="0"/>
    <x v="0"/>
    <s v="29523-02"/>
    <s v="SODIO CLORURO 0.9% -50 ml Solución Inyectable"/>
    <s v=""/>
    <s v=""/>
    <s v=""/>
    <s v=""/>
    <s v="0.9% - 50 ml"/>
    <n v="5"/>
    <n v="-9389.8194444444453"/>
    <n v="-46949.097222222219"/>
  </r>
  <r>
    <s v="022"/>
    <s v="CARRO DE PARO DE CIRUGIA                          "/>
    <x v="0"/>
    <x v="0"/>
    <s v="29523-02"/>
    <s v="SODIO CLORURO 0.9% -50 ml Solución Inyectable"/>
    <s v=""/>
    <s v=""/>
    <s v=""/>
    <s v=""/>
    <s v="0.9% - 50 ml"/>
    <n v="5"/>
    <n v="-9389.8194444444453"/>
    <n v="-46949.097222222219"/>
  </r>
  <r>
    <s v="032"/>
    <s v="CLINICA DE HERIDAS                                "/>
    <x v="2"/>
    <x v="2"/>
    <s v="XA000111"/>
    <s v="APOSITO PARA HERIDAS MEPILEX BORDER FLEX 15X15 CM REF 595400"/>
    <s v=""/>
    <s v=""/>
    <s v="006"/>
    <s v="Unidad"/>
    <s v=""/>
    <n v="5"/>
    <n v="-296.27659574468083"/>
    <n v="-1481.3829787233999"/>
  </r>
  <r>
    <s v="001"/>
    <s v="FARMACIA CENTRAL                                  "/>
    <x v="15"/>
    <x v="15"/>
    <s v="800100-12"/>
    <s v="ETAMBUTOL 400 mg Tableta"/>
    <s v=""/>
    <s v=""/>
    <s v=""/>
    <s v=""/>
    <s v="400 mg"/>
    <n v="5"/>
    <n v="1"/>
    <n v="5"/>
  </r>
  <r>
    <s v="003"/>
    <s v="CARRO  DE PARO RECUPERACION HEMODINAMIA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04"/>
    <s v="CARRO DE PARO RADIOLOGIA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09"/>
    <s v="CARRO DE PARO URGENCIAS  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14"/>
    <s v="CARRO DE PARO CARDIOLOGIA   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15"/>
    <s v="CARRO DE PARO HEMODINAMIA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17"/>
    <s v="CARRO DE PARO UCI        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19"/>
    <s v="CARRO DE PARO UCI 1/2    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22"/>
    <s v="CARRO DE PARO DE CIRUGIA 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25"/>
    <s v="CARRO DE PARO GASTROENTEROLOGÌA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26"/>
    <s v="CARRO DE PARO TERCER PISO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29"/>
    <s v="CARRO DE PARO CUARTO PISO                         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53"/>
    <s v="CARRO DE PARO CRITICO QUIROGA"/>
    <x v="2"/>
    <x v="2"/>
    <s v="XJ000013"/>
    <s v="JERINGA DESECHABLE 5 ML-C/A-3 PARTES X 100"/>
    <s v=""/>
    <s v=""/>
    <s v="006"/>
    <s v="Unidad"/>
    <s v=""/>
    <n v="5"/>
    <n v="202.89964967048215"/>
    <n v="1014.49824835241"/>
  </r>
  <r>
    <s v="019"/>
    <s v="CARRO DE PARO UCI 1/2                             "/>
    <x v="2"/>
    <x v="2"/>
    <s v="XJ000012"/>
    <s v="JERINGA DESECHABLE 3 ML-C/A-3 PARTES X100"/>
    <s v=""/>
    <s v=""/>
    <s v="006"/>
    <s v="Unidad"/>
    <s v=""/>
    <n v="5"/>
    <n v="223.90058038692462"/>
    <n v="1119.50290193462"/>
  </r>
  <r>
    <s v="053"/>
    <s v="CARRO DE PARO CRITICO QUIROGA"/>
    <x v="2"/>
    <x v="2"/>
    <s v="XJ000012"/>
    <s v="JERINGA DESECHABLE 3 ML-C/A-3 PARTES X100"/>
    <s v=""/>
    <s v=""/>
    <s v="006"/>
    <s v="Unidad"/>
    <s v=""/>
    <n v="5"/>
    <n v="223.90058038692462"/>
    <n v="1119.50290193462"/>
  </r>
  <r>
    <s v="003"/>
    <s v="CARRO  DE PARO RECUPERACION HEMODINAMIA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04"/>
    <s v="CARRO DE PARO RADIOLOGIA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09"/>
    <s v="CARRO DE PARO URGENCIAS  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14"/>
    <s v="CARRO DE PARO CARDIOLOGIA   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15"/>
    <s v="CARRO DE PARO HEMODINAMIA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17"/>
    <s v="CARRO DE PARO UCI        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19"/>
    <s v="CARRO DE PARO UCI 1/2    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22"/>
    <s v="CARRO DE PARO DE CIRUGIA 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25"/>
    <s v="CARRO DE PARO GASTROENTEROLOGÌA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26"/>
    <s v="CARRO DE PARO TERCER PISO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29"/>
    <s v="CARRO DE PARO CUARTO PISO                         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53"/>
    <s v="CARRO DE PARO CRITICO QUIROGA"/>
    <x v="2"/>
    <x v="2"/>
    <s v="XJ000010"/>
    <s v="JERINGA DESECHABLE 10ML-C/A-3 PARTES X 100"/>
    <s v=""/>
    <s v=""/>
    <s v="006"/>
    <s v="Unidad"/>
    <s v=""/>
    <n v="5"/>
    <n v="261.77091875138365"/>
    <n v="1308.8545937569199"/>
  </r>
  <r>
    <s v="003"/>
    <s v="CARRO  DE PARO RECUPERACION HEMODINAMIA"/>
    <x v="2"/>
    <x v="2"/>
    <s v="XA000035"/>
    <s v="GASAS PAQUETE ESTERIL X5"/>
    <s v=""/>
    <s v=""/>
    <s v="006"/>
    <s v="Unidad"/>
    <s v=""/>
    <n v="5"/>
    <n v="303.54016676418956"/>
    <n v="1517.70083382095"/>
  </r>
  <r>
    <s v="004"/>
    <s v="CARRO DE PARO RADIOLOGIA"/>
    <x v="2"/>
    <x v="2"/>
    <s v="XA000035"/>
    <s v="GASAS PAQUETE ESTERIL X5"/>
    <s v=""/>
    <s v=""/>
    <s v="006"/>
    <s v="Unidad"/>
    <s v=""/>
    <n v="5"/>
    <n v="303.54016676418956"/>
    <n v="1517.70083382095"/>
  </r>
  <r>
    <s v="009"/>
    <s v="CARRO DE PARO URGENCIAS  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14"/>
    <s v="CARRO DE PARO CARDIOLOGIA   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15"/>
    <s v="CARRO DE PARO HEMODINAMIA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17"/>
    <s v="CARRO DE PARO UCI        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19"/>
    <s v="CARRO DE PARO UCI 1/2    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22"/>
    <s v="CARRO DE PARO DE CIRUGIA 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25"/>
    <s v="CARRO DE PARO GASTROENTEROLOGÌA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26"/>
    <s v="CARRO DE PARO TERCER PISO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29"/>
    <s v="CARRO DE PARO CUARTO PISO                         "/>
    <x v="2"/>
    <x v="2"/>
    <s v="XA000035"/>
    <s v="GASAS PAQUETE ESTERIL X5"/>
    <s v=""/>
    <s v=""/>
    <s v="006"/>
    <s v="Unidad"/>
    <s v=""/>
    <n v="5"/>
    <n v="303.54016676418956"/>
    <n v="1517.70083382095"/>
  </r>
  <r>
    <s v="053"/>
    <s v="CARRO DE PARO CRITICO QUIROGA"/>
    <x v="2"/>
    <x v="2"/>
    <s v="XA000035"/>
    <s v="GASAS PAQUETE ESTERIL X5"/>
    <s v=""/>
    <s v=""/>
    <s v="006"/>
    <s v="Unidad"/>
    <s v=""/>
    <n v="5"/>
    <n v="303.54016676418956"/>
    <n v="1517.70083382095"/>
  </r>
  <r>
    <s v="001"/>
    <s v="FARMACIA CENTRAL                                  "/>
    <x v="2"/>
    <x v="2"/>
    <s v="XJ000026"/>
    <s v="HOJA CUCHILLA MINORA X 1"/>
    <s v=""/>
    <s v=""/>
    <s v="006"/>
    <s v="Unidad"/>
    <s v=""/>
    <n v="5"/>
    <n v="371.2"/>
    <n v="1856"/>
  </r>
  <r>
    <s v="014"/>
    <s v="CARRO DE PARO CARDIOLOGIA                            "/>
    <x v="0"/>
    <x v="0"/>
    <s v="19932754-02"/>
    <s v="SODIO CLORURO 0.9 % Solución inyectable x 500 ml Bolsa"/>
    <s v=""/>
    <s v=""/>
    <s v=""/>
    <s v=""/>
    <s v="0.9 % - 500 ML"/>
    <n v="5"/>
    <n v="407.26055555555558"/>
    <n v="2036.30277777778"/>
  </r>
  <r>
    <s v="015"/>
    <s v="CARRO DE PARO HEMODINAMIA                     "/>
    <x v="0"/>
    <x v="0"/>
    <s v="19932754-02"/>
    <s v="SODIO CLORURO 0.9 % Solución inyectable x 500 ml Bolsa"/>
    <s v=""/>
    <s v=""/>
    <s v=""/>
    <s v=""/>
    <s v="0.9 % - 500 ML"/>
    <n v="5"/>
    <n v="407.26055555555558"/>
    <n v="2036.30277777778"/>
  </r>
  <r>
    <s v="057"/>
    <s v="CARRO DE PARO UCI 2"/>
    <x v="0"/>
    <x v="0"/>
    <s v="19932754-02"/>
    <s v="SODIO CLORURO 0.9 % Solución inyectable x 500 ml Bolsa"/>
    <s v=""/>
    <s v=""/>
    <s v=""/>
    <s v=""/>
    <s v="0.9 % - 500 ML"/>
    <n v="5"/>
    <n v="407.26055555555558"/>
    <n v="2036.30277777778"/>
  </r>
  <r>
    <s v="003"/>
    <s v="CARRO  DE PARO RECUPERACION HEMODINAMIA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04"/>
    <s v="CARRO DE PARO RADIOLOGIA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09"/>
    <s v="CARRO DE PARO URGENCIAS  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14"/>
    <s v="CARRO DE PARO CARDIOLOGIA   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15"/>
    <s v="CARRO DE PARO HEMODINAMIA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17"/>
    <s v="CARRO DE PARO UCI        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19"/>
    <s v="CARRO DE PARO UCI 1/2    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25"/>
    <s v="CARRO DE PARO GASTROENTEROLOGÌA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26"/>
    <s v="CARRO DE PARO TERCER PISO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29"/>
    <s v="CARRO DE PARO CUARTO PISO                         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53"/>
    <s v="CARRO DE PARO CRITICO QUIROGA"/>
    <x v="2"/>
    <x v="2"/>
    <s v="XD000042"/>
    <s v="ELECTRODO MONITOREO ADULTO X30-ECG.DESCARTABLE"/>
    <s v=""/>
    <s v=""/>
    <s v="006"/>
    <s v="Unidad"/>
    <s v=""/>
    <n v="5"/>
    <n v="454.76405146618788"/>
    <n v="2273.82025733094"/>
  </r>
  <r>
    <s v="001"/>
    <s v="FARMACIA CENTRAL                                  "/>
    <x v="0"/>
    <x v="0"/>
    <s v="20041806-01"/>
    <s v="AGUA ESTERIL PARA INYECCION 5ml Solución Inyectable"/>
    <s v=""/>
    <s v=""/>
    <s v=""/>
    <s v=""/>
    <s v="5 ML "/>
    <n v="5"/>
    <n v="549.51703673469387"/>
    <n v="2747.5851836734701"/>
  </r>
  <r>
    <s v="022"/>
    <s v="CARRO DE PARO DE CIRUGIA                          "/>
    <x v="0"/>
    <x v="0"/>
    <s v="211361-06"/>
    <s v="SODIO CLORURO 20 mEq/10 ml Solución inyectable"/>
    <s v=""/>
    <s v=""/>
    <s v=""/>
    <s v=""/>
    <s v="20 mEq/10 ml"/>
    <n v="5"/>
    <n v="654.54545454545462"/>
    <n v="3272.7272727272698"/>
  </r>
  <r>
    <s v="025"/>
    <s v="CARRO DE PARO GASTROENTEROLOGÌA                   "/>
    <x v="0"/>
    <x v="0"/>
    <s v="211361-06"/>
    <s v="SODIO CLORURO 20 mEq/10 ml Solución inyectable"/>
    <s v=""/>
    <s v=""/>
    <s v=""/>
    <s v=""/>
    <s v="20 mEq/10 ml"/>
    <n v="5"/>
    <n v="654.54545454545462"/>
    <n v="3272.7272727272698"/>
  </r>
  <r>
    <s v="008"/>
    <s v="ALMACEN  GENERAL                                         "/>
    <x v="5"/>
    <x v="5"/>
    <s v="AP000145"/>
    <s v="CARPETA YUTE OFICIO SIN MEMBRETE"/>
    <s v=""/>
    <s v=""/>
    <s v="006"/>
    <s v="Unidad"/>
    <s v=""/>
    <n v="5"/>
    <n v="691.83"/>
    <n v="3459.15"/>
  </r>
  <r>
    <s v="002"/>
    <s v="FARMACIA DE CIRUGIA                               "/>
    <x v="2"/>
    <x v="2"/>
    <s v="XD000256"/>
    <s v="SONDA LEVIN-TUBO VENTROL 16 FR NASOGASTRICA120"/>
    <s v=""/>
    <s v=""/>
    <s v="006"/>
    <s v="Unidad"/>
    <s v=""/>
    <n v="5"/>
    <n v="841.07974358974366"/>
    <n v="4205.3987179487203"/>
  </r>
  <r>
    <s v="002"/>
    <s v="FARMACIA DE CIRUGIA                               "/>
    <x v="2"/>
    <x v="2"/>
    <s v="XD000146"/>
    <s v="SONDA NELATON # 8 (UREATRAL)*1"/>
    <s v=""/>
    <s v=""/>
    <s v="006"/>
    <s v="Unidad"/>
    <s v=""/>
    <n v="5"/>
    <n v="923.2431578947369"/>
    <n v="4616.2157894736802"/>
  </r>
  <r>
    <s v="002"/>
    <s v="FARMACIA DE CIRUGIA                               "/>
    <x v="2"/>
    <x v="2"/>
    <s v="XT000084"/>
    <s v="SONDA PARA SUCCION(OJO DE PESCADO)-16FR-60CM*1"/>
    <s v=""/>
    <s v=""/>
    <s v="006"/>
    <s v="Unidad"/>
    <s v=""/>
    <n v="5"/>
    <n v="997.91805460750845"/>
    <n v="4989.5902730375401"/>
  </r>
  <r>
    <s v="032"/>
    <s v="CLINICA DE HERIDAS                                "/>
    <x v="2"/>
    <x v="2"/>
    <s v="XA000016"/>
    <s v="APOSITOS PEQUEÑOS ESTERILES *5"/>
    <s v=""/>
    <s v=""/>
    <s v="006"/>
    <s v="Unidad"/>
    <s v=""/>
    <n v="5"/>
    <n v="1096.6616541353383"/>
    <n v="5483.30827067669"/>
  </r>
  <r>
    <s v="006"/>
    <s v="ALMACEN MEDICOQUIRURGICOS   "/>
    <x v="2"/>
    <x v="2"/>
    <s v="XA000015"/>
    <s v="APOSITOS OCULARES ESTERILES-CAJA *50 UNIDADES"/>
    <s v=""/>
    <s v=""/>
    <s v="006"/>
    <s v="Unidad"/>
    <s v=""/>
    <n v="5"/>
    <n v="1500"/>
    <n v="7500"/>
  </r>
  <r>
    <s v="002"/>
    <s v="FARMACIA DE CIRUGIA                               "/>
    <x v="0"/>
    <x v="0"/>
    <s v="211363-03"/>
    <s v="POTASIO CLORURO 20 mEq/10 ml Solución inyectable"/>
    <s v=""/>
    <s v=""/>
    <s v=""/>
    <s v=""/>
    <s v="20 mEq/10 ml"/>
    <n v="5"/>
    <n v="1552.28"/>
    <n v="7761.4"/>
  </r>
  <r>
    <s v="039"/>
    <s v="ALMACEN CONSULTA EXTERNA ORTOPEDIA"/>
    <x v="2"/>
    <x v="2"/>
    <s v="XV000003"/>
    <s v="VENDA DE ALGODON 5 X 5 *1 LAMINADO"/>
    <s v=""/>
    <s v=""/>
    <s v="006"/>
    <s v="Unidad"/>
    <s v=""/>
    <n v="5"/>
    <n v="1692.1930827067667"/>
    <n v="8460.9654135338296"/>
  </r>
  <r>
    <s v="032"/>
    <s v="CLINICA DE HERIDAS                                "/>
    <x v="2"/>
    <x v="2"/>
    <s v="XV000002"/>
    <s v="VENDA DE ALGODON 4 X 5 *1 LAMINADO"/>
    <s v=""/>
    <s v=""/>
    <s v="006"/>
    <s v="Unidad"/>
    <s v=""/>
    <n v="5"/>
    <n v="1697.6609375"/>
    <n v="8488.3046875"/>
  </r>
  <r>
    <s v="001"/>
    <s v="FARMACIA CENTRAL                                  "/>
    <x v="2"/>
    <x v="2"/>
    <s v="XD000085"/>
    <s v="MAQUINA AFEITAR DESECHABLE-DOBLE HOJA X 1"/>
    <s v=""/>
    <s v=""/>
    <s v="006"/>
    <s v="Unidad"/>
    <s v=""/>
    <n v="5"/>
    <n v="1722.221235955056"/>
    <n v="8611.1061797752809"/>
  </r>
  <r>
    <s v="001"/>
    <s v="FARMACIA CENTRAL                                  "/>
    <x v="2"/>
    <x v="2"/>
    <s v="XO000017"/>
    <s v="INMOVILIZADOR DE DEDOS FLEJE BLANCO X1LAMINA ZIMMER"/>
    <s v=""/>
    <s v=""/>
    <s v="006"/>
    <s v="Unidad"/>
    <s v=""/>
    <n v="5"/>
    <n v="1762"/>
    <n v="8810"/>
  </r>
  <r>
    <s v="017"/>
    <s v="CARRO DE PARO UCI                                 "/>
    <x v="0"/>
    <x v="0"/>
    <s v="32250-01"/>
    <s v="SODIO BICARBONATO 10 meq / 10 ml Solución inyectable"/>
    <s v=""/>
    <s v=""/>
    <s v=""/>
    <s v=""/>
    <s v="10 meq / 10 ml"/>
    <n v="5"/>
    <n v="1849.2706606606607"/>
    <n v="9246.3533033033"/>
  </r>
  <r>
    <s v="017"/>
    <s v="CARRO DE PARO UCI                                 "/>
    <x v="0"/>
    <x v="0"/>
    <s v="20065058-02"/>
    <s v="ONDANSETRON 8 mg / 4 ml Solución Inyectable"/>
    <s v=""/>
    <s v=""/>
    <s v=""/>
    <s v=""/>
    <s v="8 mg / 4 ml"/>
    <n v="5"/>
    <n v="1854.4881250000001"/>
    <n v="9272.4406249999993"/>
  </r>
  <r>
    <s v="001"/>
    <s v="FARMACIA CENTRAL                                  "/>
    <x v="2"/>
    <x v="2"/>
    <s v="XT000002"/>
    <s v="CANULA DE GUEDEL (MAYO) N. 3 X 1"/>
    <s v=""/>
    <s v=""/>
    <s v="006"/>
    <s v="Unidad"/>
    <s v=""/>
    <n v="5"/>
    <n v="1874.4585185185185"/>
    <n v="9372.2925925925902"/>
  </r>
  <r>
    <s v="032"/>
    <s v="CLINICA DE HERIDAS                                "/>
    <x v="2"/>
    <x v="2"/>
    <s v="XV000004"/>
    <s v="VENDA DE ALGODON 6 X 5 *1 LAMINADO"/>
    <s v=""/>
    <s v=""/>
    <s v="006"/>
    <s v="Unidad"/>
    <s v=""/>
    <n v="5"/>
    <n v="1936.3739855072463"/>
    <n v="9681.8699275362305"/>
  </r>
  <r>
    <s v="022"/>
    <s v="CARRO DE PARO DE CIRUGIA                          "/>
    <x v="6"/>
    <x v="6"/>
    <s v="19969030-06"/>
    <s v="MIDAZOLAM 5 mg / 5 ml Solución Inyectable"/>
    <s v=""/>
    <s v=""/>
    <s v=""/>
    <s v=""/>
    <s v="5 mg / 5 ml"/>
    <n v="5"/>
    <n v="1962"/>
    <n v="9810"/>
  </r>
  <r>
    <s v="002"/>
    <s v="FARMACIA DE CIRUGIA                               "/>
    <x v="6"/>
    <x v="6"/>
    <s v="20198543-2"/>
    <s v="MIDAZOLAM 5 mg / 5 ml Solución Inyectable"/>
    <s v=""/>
    <s v=""/>
    <s v=""/>
    <s v=""/>
    <s v="5 mg / 5 ml"/>
    <n v="5"/>
    <n v="2099.7760358342666"/>
    <n v="10498.88017917133"/>
  </r>
  <r>
    <s v="001"/>
    <s v="FARMACIA CENTRAL                                  "/>
    <x v="2"/>
    <x v="2"/>
    <s v="XS000098"/>
    <s v="SUTURA QUIRURGICA ABSORBIBLE VICRYL 2/0 J317H SH -GL123"/>
    <s v=""/>
    <s v=""/>
    <s v="006"/>
    <s v="Unidad"/>
    <s v=""/>
    <n v="5"/>
    <n v="2133.8888888888887"/>
    <n v="10669.44444444444"/>
  </r>
  <r>
    <s v="032"/>
    <s v="CLINICA DE HERIDAS                                "/>
    <x v="2"/>
    <x v="2"/>
    <s v="XV000017"/>
    <s v="VENDA ELASTICA 5 X 5 *1 UNIDAD"/>
    <s v=""/>
    <s v=""/>
    <s v="006"/>
    <s v="Unidad"/>
    <s v=""/>
    <n v="5"/>
    <n v="2172.9377586206897"/>
    <n v="10864.688793103451"/>
  </r>
  <r>
    <s v="003"/>
    <s v="CARRO  DE PARO RECUPERACION HEMODINAMIA"/>
    <x v="6"/>
    <x v="6"/>
    <s v="20043279-03"/>
    <s v="MIDAZOLAM 5 mg / 5 ml Solución Inyectable"/>
    <s v=""/>
    <s v=""/>
    <s v=""/>
    <s v=""/>
    <s v="5 mg / 5 ml"/>
    <n v="5"/>
    <n v="2224.0216666666665"/>
    <n v="11120.10833333333"/>
  </r>
  <r>
    <s v="015"/>
    <s v="CARRO DE PARO HEMODINAMIA                     "/>
    <x v="6"/>
    <x v="6"/>
    <s v="20043279-03"/>
    <s v="MIDAZOLAM 5 mg / 5 ml Solución Inyectable"/>
    <s v=""/>
    <s v=""/>
    <s v=""/>
    <s v=""/>
    <s v="5 mg / 5 ml"/>
    <n v="5"/>
    <n v="2224.0216666666665"/>
    <n v="11120.10833333333"/>
  </r>
  <r>
    <s v="002"/>
    <s v="FARMACIA DE CIRUGIA                               "/>
    <x v="6"/>
    <x v="6"/>
    <s v="19931880-09"/>
    <s v="FENTANILO CITRATO 0.5 mg / 10 ml Solución Inyectable"/>
    <s v=""/>
    <s v=""/>
    <s v=""/>
    <s v=""/>
    <s v="0,5 MG / 10 ML"/>
    <n v="5"/>
    <n v="2291"/>
    <n v="11455"/>
  </r>
  <r>
    <s v="032"/>
    <s v="CLINICA DE HERIDAS                                "/>
    <x v="2"/>
    <x v="2"/>
    <s v="XV000018"/>
    <s v="VENDA ELASTICA 6 X 5 *1 UNIDAD"/>
    <s v=""/>
    <s v=""/>
    <s v="006"/>
    <s v="Unidad"/>
    <s v=""/>
    <n v="5"/>
    <n v="2314.879117647059"/>
    <n v="11574.395588235289"/>
  </r>
  <r>
    <s v="039"/>
    <s v="ALMACEN CONSULTA EXTERNA ORTOPEDIA"/>
    <x v="2"/>
    <x v="2"/>
    <s v="XV000018"/>
    <s v="VENDA ELASTICA 6 X 5 *1 UNIDAD"/>
    <s v=""/>
    <s v=""/>
    <s v="006"/>
    <s v="Unidad"/>
    <s v=""/>
    <n v="5"/>
    <n v="2314.879117647059"/>
    <n v="11574.395588235289"/>
  </r>
  <r>
    <s v="001"/>
    <s v="FARMACIA CENTRAL                                  "/>
    <x v="3"/>
    <x v="3"/>
    <s v="19980678-01"/>
    <s v="IVERMECTINA 0.6 % Suspensión Oral 5 ML"/>
    <s v=""/>
    <s v=""/>
    <s v=""/>
    <s v=""/>
    <s v="0.6 % - 5 ml"/>
    <n v="5"/>
    <n v="2409.8421052631579"/>
    <n v="12049.21052631579"/>
  </r>
  <r>
    <s v="003"/>
    <s v="CARRO  DE PARO RECUPERACION HEMODINAMIA"/>
    <x v="0"/>
    <x v="0"/>
    <s v="29523-05"/>
    <s v="SODIO CLORURO 0.9 % Solución Inyectable Bolsa 500 ml"/>
    <s v=""/>
    <s v=""/>
    <s v=""/>
    <s v=""/>
    <s v="0.9 % - 500 ML"/>
    <n v="5"/>
    <n v="2635.2512459283389"/>
    <n v="13176.256229641691"/>
  </r>
  <r>
    <s v="004"/>
    <s v="CARRO DE PARO RADIOLOGIA"/>
    <x v="0"/>
    <x v="0"/>
    <s v="29523-05"/>
    <s v="SODIO CLORURO 0.9 % Solución Inyectable Bolsa 500 ml"/>
    <s v=""/>
    <s v=""/>
    <s v=""/>
    <s v=""/>
    <s v="0.9 % - 500 ML"/>
    <n v="5"/>
    <n v="2635.2512459283389"/>
    <n v="13176.256229641691"/>
  </r>
  <r>
    <s v="032"/>
    <s v="CLINICA DE HERIDAS                                "/>
    <x v="2"/>
    <x v="2"/>
    <s v="XV000016"/>
    <s v="VENDA ELASTICA 4 X 5 *1 UNIDAD"/>
    <s v=""/>
    <s v=""/>
    <s v="006"/>
    <s v="Unidad"/>
    <s v=""/>
    <n v="5"/>
    <n v="2641.6159235668792"/>
    <n v="13208.07961783439"/>
  </r>
  <r>
    <s v="039"/>
    <s v="ALMACEN CONSULTA EXTERNA ORTOPEDIA"/>
    <x v="2"/>
    <x v="2"/>
    <s v="XV000016"/>
    <s v="VENDA ELASTICA 4 X 5 *1 UNIDAD"/>
    <s v=""/>
    <s v=""/>
    <s v="006"/>
    <s v="Unidad"/>
    <s v=""/>
    <n v="5"/>
    <n v="2641.6159235668792"/>
    <n v="13208.07961783439"/>
  </r>
  <r>
    <s v="008"/>
    <s v="ALMACEN  GENERAL                                         "/>
    <x v="5"/>
    <x v="5"/>
    <s v="AP000044"/>
    <s v="HUELLERO"/>
    <s v=""/>
    <s v=""/>
    <s v="006"/>
    <s v="Unidad"/>
    <s v=""/>
    <n v="5"/>
    <n v="2712.0239999999999"/>
    <n v="13560.12"/>
  </r>
  <r>
    <s v="002"/>
    <s v="FARMACIA DE CIRUGIA                               "/>
    <x v="2"/>
    <x v="2"/>
    <s v="XE000006"/>
    <s v="EQUIPO BURETROL 150ML (ARC2421) *40"/>
    <s v=""/>
    <s v=""/>
    <s v="006"/>
    <s v="Unidad"/>
    <s v=""/>
    <n v="5"/>
    <n v="2850.6473571428573"/>
    <n v="14253.236785714291"/>
  </r>
  <r>
    <s v="053"/>
    <s v="CARRO DE PARO CRITICO QUIROGA"/>
    <x v="0"/>
    <x v="0"/>
    <s v="29522-03"/>
    <s v="DEXTROSA EN AGUA DESTILADA 5%  Solución Inyectable 250 ml"/>
    <s v=""/>
    <s v=""/>
    <s v=""/>
    <s v=""/>
    <s v="5%"/>
    <n v="5"/>
    <n v="2878.8739788732396"/>
    <n v="14394.3698943662"/>
  </r>
  <r>
    <s v="002"/>
    <s v="FARMACIA DE CIRUGIA                               "/>
    <x v="0"/>
    <x v="0"/>
    <s v="20203819-1"/>
    <s v="TRANEXAMICO ACIDO 500 mg/5 ml Solución Inyectable"/>
    <s v=""/>
    <s v=""/>
    <s v=""/>
    <s v=""/>
    <s v="500 mg / 5 ml"/>
    <n v="5"/>
    <n v="3007"/>
    <n v="15035"/>
  </r>
  <r>
    <s v="001"/>
    <s v="FARMACIA CENTRAL                                  "/>
    <x v="2"/>
    <x v="2"/>
    <s v="XD000121"/>
    <s v="SONDA FOLEY 16 X 30 DE 2 VIAS"/>
    <s v=""/>
    <s v=""/>
    <s v="006"/>
    <s v="Unidad"/>
    <s v=""/>
    <n v="5"/>
    <n v="3095.4549999999999"/>
    <n v="15477.275"/>
  </r>
  <r>
    <s v="006"/>
    <s v="ALMACEN MEDICOQUIRURGICOS   "/>
    <x v="2"/>
    <x v="2"/>
    <s v="XT000045"/>
    <s v="TUBO ENDOTRAQUEAL # 6.0-C/B X1"/>
    <s v=""/>
    <s v=""/>
    <s v="006"/>
    <s v="Unidad"/>
    <s v=""/>
    <n v="5"/>
    <n v="3146.0238095238092"/>
    <n v="15730.11904761905"/>
  </r>
  <r>
    <s v="006"/>
    <s v="ALMACEN MEDICOQUIRURGICOS   "/>
    <x v="2"/>
    <x v="2"/>
    <s v="XT000046"/>
    <s v="TUBO ENDOTRAQUEAL # 6.5-C/B X1"/>
    <s v=""/>
    <s v=""/>
    <s v="006"/>
    <s v="Unidad"/>
    <s v=""/>
    <n v="5"/>
    <n v="3219.5391304347827"/>
    <n v="16097.69565217391"/>
  </r>
  <r>
    <s v="001"/>
    <s v="FARMACIA CENTRAL                                  "/>
    <x v="2"/>
    <x v="2"/>
    <s v="XT000047"/>
    <s v="TUBO ENDOTRAQUEAL # 7.0-C/B X1"/>
    <s v=""/>
    <s v=""/>
    <s v="006"/>
    <s v="Unidad"/>
    <s v=""/>
    <n v="5"/>
    <n v="3269.9845714285716"/>
    <n v="16349.922857142859"/>
  </r>
  <r>
    <s v="006"/>
    <s v="ALMACEN MEDICOQUIRURGICOS   "/>
    <x v="2"/>
    <x v="2"/>
    <s v="XT000047"/>
    <s v="TUBO ENDOTRAQUEAL # 7.0-C/B X1"/>
    <s v=""/>
    <s v=""/>
    <s v="006"/>
    <s v="Unidad"/>
    <s v=""/>
    <n v="5"/>
    <n v="3269.9845714285716"/>
    <n v="16349.922857142859"/>
  </r>
  <r>
    <s v="002"/>
    <s v="FARMACIA DE CIRUGIA                               "/>
    <x v="2"/>
    <x v="2"/>
    <s v="XD000135"/>
    <s v="SONDA FOLEY 24 X30ML-3 VIAS *1"/>
    <s v=""/>
    <s v=""/>
    <s v="006"/>
    <s v="Unidad"/>
    <s v=""/>
    <n v="5"/>
    <n v="3607.4894444444449"/>
    <n v="18037.447222222221"/>
  </r>
  <r>
    <s v="005"/>
    <s v="ALMACEN MEDICAMENTOS"/>
    <x v="3"/>
    <x v="3"/>
    <s v="20059276-1"/>
    <s v="CORTICOIDE + NEOMICINA  + POLIMIXINA 1 mg+3.027 mg+ 6.000 UI / ml Solución Oftálmica 5 ML"/>
    <s v=""/>
    <s v=""/>
    <s v=""/>
    <s v=""/>
    <s v="1mg+3,5mg+1mg - 5 ml"/>
    <n v="5"/>
    <n v="3619"/>
    <n v="18095"/>
  </r>
  <r>
    <s v="009"/>
    <s v="CARRO DE PARO URGENCIAS  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17"/>
    <s v="CARRO DE PARO UCI        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19"/>
    <s v="CARRO DE PARO UCI 1/2    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22"/>
    <s v="CARRO DE PARO DE CIRUGIA 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25"/>
    <s v="CARRO DE PARO GASTROENTEROLOGÌA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26"/>
    <s v="CARRO DE PARO TERCER PISO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29"/>
    <s v="CARRO DE PARO CUARTO PISO                         "/>
    <x v="0"/>
    <x v="0"/>
    <s v="19907869-06"/>
    <s v="SODIO CLORURO 0.9 % Solución Inyectable x 500 ml"/>
    <s v=""/>
    <s v=""/>
    <s v=""/>
    <s v=""/>
    <s v="0.9 % - 500 ML"/>
    <n v="5"/>
    <n v="3736.8571428571427"/>
    <n v="18684.28571428571"/>
  </r>
  <r>
    <s v="001"/>
    <s v="FARMACIA CENTRAL                                  "/>
    <x v="0"/>
    <x v="0"/>
    <s v="19992832-03"/>
    <s v="AMIODARONA 150 mg / 3ml Solución Inyectable "/>
    <s v=""/>
    <s v=""/>
    <s v=""/>
    <s v=""/>
    <s v="150 mg / 3ml"/>
    <n v="5"/>
    <n v="3894.9839393939396"/>
    <n v="19474.9196969697"/>
  </r>
  <r>
    <s v="053"/>
    <s v="CARRO DE PARO CRITICO QUIROGA"/>
    <x v="0"/>
    <x v="0"/>
    <s v="19992832-03"/>
    <s v="AMIODARONA 150 mg / 3ml Solución Inyectable "/>
    <s v=""/>
    <s v=""/>
    <s v=""/>
    <s v=""/>
    <s v="150 mg / 3ml"/>
    <n v="5"/>
    <n v="3894.9839393939396"/>
    <n v="19474.9196969697"/>
  </r>
  <r>
    <s v="008"/>
    <s v="ALMACEN  GENERAL                                         "/>
    <x v="5"/>
    <x v="5"/>
    <s v="AP000100"/>
    <s v="TINTA PARA SELLO"/>
    <s v=""/>
    <s v=""/>
    <s v="006"/>
    <s v="Unidad"/>
    <s v=""/>
    <n v="5"/>
    <n v="4002.84"/>
    <n v="20014.2"/>
  </r>
  <r>
    <s v="002"/>
    <s v="FARMACIA DE CIRUGIA                               "/>
    <x v="2"/>
    <x v="2"/>
    <s v="XT000039"/>
    <s v="TUBO DE TORAX # 36 *1 CATETER"/>
    <s v=""/>
    <s v=""/>
    <s v="006"/>
    <s v="Unidad"/>
    <s v=""/>
    <n v="5"/>
    <n v="4398.5443333333333"/>
    <n v="21992.721666666672"/>
  </r>
  <r>
    <s v="002"/>
    <s v="FARMACIA DE CIRUGIA                               "/>
    <x v="2"/>
    <x v="2"/>
    <s v="XT000038"/>
    <s v="TUBO DE TORAX # 34 *1 CATETER"/>
    <s v=""/>
    <s v=""/>
    <s v="006"/>
    <s v="Unidad"/>
    <s v=""/>
    <n v="5"/>
    <n v="4519.7368421052633"/>
    <n v="22598.68421052632"/>
  </r>
  <r>
    <s v="001"/>
    <s v="FARMACIA CENTRAL                                  "/>
    <x v="0"/>
    <x v="0"/>
    <s v="20121750-3"/>
    <s v="TRAMADOL+DICLOFENACO 50MG+50MG TABLETA"/>
    <s v=""/>
    <s v=""/>
    <s v=""/>
    <s v=""/>
    <s v="50 MG+50MG"/>
    <n v="5"/>
    <n v="4750.8"/>
    <n v="23754"/>
  </r>
  <r>
    <s v="001"/>
    <s v="FARMACIA CENTRAL                                  "/>
    <x v="2"/>
    <x v="2"/>
    <s v="XS000119"/>
    <s v="SUTURA QUIRURGICA MONOFILAMENTE ESTERIL SINTETICO NO ABSORBIBLE 4/0 9557T RB-1 X2 DOCENAS"/>
    <s v=""/>
    <s v=""/>
    <s v="006"/>
    <s v="Unidad"/>
    <s v=""/>
    <n v="5"/>
    <n v="4840.5384615384619"/>
    <n v="24202.692307692309"/>
  </r>
  <r>
    <s v="006"/>
    <s v="ALMACEN MEDICOQUIRURGICOS   "/>
    <x v="2"/>
    <x v="2"/>
    <s v="XT000077"/>
    <s v="NEBULIZADOR DE ALTO VOLUMEN CON ENTRADA"/>
    <s v=""/>
    <s v=""/>
    <s v="006"/>
    <s v="Unidad"/>
    <s v=""/>
    <n v="5"/>
    <n v="5105"/>
    <n v="25525"/>
  </r>
  <r>
    <s v="001"/>
    <s v="FARMACIA CENTRAL                                  "/>
    <x v="2"/>
    <x v="2"/>
    <s v="XS000142"/>
    <s v="PINZA PLASTICA PARA SELLAR BOLSA DE COLOSTOMIA*1"/>
    <s v=""/>
    <s v=""/>
    <s v="006"/>
    <s v="Unidad"/>
    <s v=""/>
    <n v="5"/>
    <n v="6068.0211111111103"/>
    <n v="30340.105555555561"/>
  </r>
  <r>
    <s v="005"/>
    <s v="ALMACEN MEDICAMENTOS"/>
    <x v="0"/>
    <x v="0"/>
    <s v="37223-10"/>
    <s v="ALUMINIO HIDROXIDO + MAGNESIO HIDROXIDO + SIMETICONA 4 g +4 g + 0.4 g Suspensión Oral 360 ml"/>
    <s v=""/>
    <s v=""/>
    <s v=""/>
    <s v=""/>
    <s v="4g +4g +0.4 g - 360 ml"/>
    <n v="5"/>
    <n v="6199.6"/>
    <n v="30998"/>
  </r>
  <r>
    <s v="004"/>
    <s v="CARRO DE PARO RADIOLOGIA"/>
    <x v="6"/>
    <x v="6"/>
    <s v="35430-01"/>
    <s v="MIDAZOLAM 5 mg / 5 ml Solución Inyectable"/>
    <s v=""/>
    <s v=""/>
    <s v=""/>
    <s v=""/>
    <s v="5 mg / 5 ml"/>
    <n v="5"/>
    <n v="6808.1310000000003"/>
    <n v="34040.654999999999"/>
  </r>
  <r>
    <s v="014"/>
    <s v="CARRO DE PARO CARDIOLOGIA                            "/>
    <x v="6"/>
    <x v="6"/>
    <s v="35430-01"/>
    <s v="MIDAZOLAM 5 mg / 5 ml Solución Inyectable"/>
    <s v=""/>
    <s v=""/>
    <s v=""/>
    <s v=""/>
    <s v="5 mg / 5 ml"/>
    <n v="5"/>
    <n v="6808.1310000000003"/>
    <n v="34040.654999999999"/>
  </r>
  <r>
    <s v="017"/>
    <s v="CARRO DE PARO UCI                                 "/>
    <x v="6"/>
    <x v="6"/>
    <s v="35430-01"/>
    <s v="MIDAZOLAM 5 mg / 5 ml Solución Inyectable"/>
    <s v=""/>
    <s v=""/>
    <s v=""/>
    <s v=""/>
    <s v="5 mg / 5 ml"/>
    <n v="5"/>
    <n v="6808.1310000000003"/>
    <n v="34040.654999999999"/>
  </r>
  <r>
    <s v="019"/>
    <s v="CARRO DE PARO UCI 1/2                             "/>
    <x v="6"/>
    <x v="6"/>
    <s v="35430-01"/>
    <s v="MIDAZOLAM 5 mg / 5 ml Solución Inyectable"/>
    <s v=""/>
    <s v=""/>
    <s v=""/>
    <s v=""/>
    <s v="5 mg / 5 ml"/>
    <n v="5"/>
    <n v="6808.1310000000003"/>
    <n v="34040.654999999999"/>
  </r>
  <r>
    <s v="053"/>
    <s v="CARRO DE PARO CRITICO QUIROGA"/>
    <x v="6"/>
    <x v="6"/>
    <s v="35430-01"/>
    <s v="MIDAZOLAM 5 mg / 5 ml Solución Inyectable"/>
    <s v=""/>
    <s v=""/>
    <s v=""/>
    <s v=""/>
    <s v="5 mg / 5 ml"/>
    <n v="5"/>
    <n v="6808.1310000000003"/>
    <n v="34040.654999999999"/>
  </r>
  <r>
    <s v="006"/>
    <s v="ALMACEN MEDICOQUIRURGICOS   "/>
    <x v="2"/>
    <x v="2"/>
    <s v="XD000123"/>
    <s v="SONDA FOLEY 16FRX5ML 2VIAS SILICONA 100%"/>
    <s v=""/>
    <s v=""/>
    <s v="006"/>
    <s v="Unidad"/>
    <s v=""/>
    <n v="5"/>
    <n v="8440.2525000000005"/>
    <n v="42201.262499999997"/>
  </r>
  <r>
    <s v="001"/>
    <s v="FARMACIA CENTRAL                                  "/>
    <x v="0"/>
    <x v="0"/>
    <s v="20026310-10"/>
    <s v="CISATRACURIO AMPOLLA 10 mg / 5 ml Solución inyectable"/>
    <s v=""/>
    <s v=""/>
    <s v=""/>
    <s v=""/>
    <s v="10 mg"/>
    <n v="5"/>
    <n v="9136.7907865168545"/>
    <n v="45683.953932584271"/>
  </r>
  <r>
    <s v="002"/>
    <s v="FARMACIA DE CIRUGIA                               "/>
    <x v="2"/>
    <x v="2"/>
    <s v="XJ000017"/>
    <s v="JERINGA PUNTA CATETER X60ML S/A 3PARTES X40 X1"/>
    <s v=""/>
    <s v=""/>
    <s v="006"/>
    <s v="Unidad"/>
    <s v=""/>
    <n v="5"/>
    <n v="9752.0057333333316"/>
    <n v="48760.028666666673"/>
  </r>
  <r>
    <s v="005"/>
    <s v="ALMACEN MEDICAMENTOS"/>
    <x v="0"/>
    <x v="0"/>
    <s v="19990590-16"/>
    <s v="METILPREDNISOLONA SUCCINATO 500 "/>
    <s v=""/>
    <s v=""/>
    <s v=""/>
    <s v=""/>
    <s v="500 mg"/>
    <n v="5"/>
    <n v="13085.133076923077"/>
    <n v="65425.665384615379"/>
  </r>
  <r>
    <s v="001"/>
    <s v="FARMACIA CENTRAL                                  "/>
    <x v="2"/>
    <x v="2"/>
    <s v="XS000120"/>
    <s v="SUTURA QUIRURGICA MONOFILAMENTE ESTERIL SINTETICO NO ABSORBIBLE 5/0 9556T RB1/RB1 X2 DOCENAS"/>
    <s v=""/>
    <s v=""/>
    <s v="006"/>
    <s v="Unidad"/>
    <s v=""/>
    <n v="5"/>
    <n v="16715.953333333335"/>
    <n v="83579.766666666663"/>
  </r>
  <r>
    <s v="002"/>
    <s v="FARMACIA DE CIRUGIA                               "/>
    <x v="8"/>
    <x v="8"/>
    <s v="19942878-01"/>
    <s v="HEPARINA SODICA 5.000 UI/ ML Solución Inyectable"/>
    <s v=""/>
    <s v=""/>
    <s v=""/>
    <s v=""/>
    <s v="5.000 UI/ ML"/>
    <n v="5"/>
    <n v="17425.042000000001"/>
    <n v="87125.21"/>
  </r>
  <r>
    <s v="001"/>
    <s v="FARMACIA CENTRAL                                  "/>
    <x v="2"/>
    <x v="2"/>
    <s v="XT000026"/>
    <s v="SISTEMA DE SUCCION Y RECOLECCION DE FLUIDOS LINER 1500 ML A 2000 ML"/>
    <s v=""/>
    <s v=""/>
    <s v="006"/>
    <s v="Unidad"/>
    <s v=""/>
    <n v="5"/>
    <n v="18832.731374999999"/>
    <n v="94163.656875000001"/>
  </r>
  <r>
    <s v="059"/>
    <s v="BODEGA CUARENTENA"/>
    <x v="2"/>
    <x v="2"/>
    <s v="XA000083"/>
    <s v="COMPRESA ABSORBENTE 7X9 CM  CUTIMED SORBACT REF 72165-00"/>
    <s v=""/>
    <s v=""/>
    <s v="006"/>
    <s v="Unidad"/>
    <s v=""/>
    <n v="5"/>
    <n v="19722"/>
    <n v="98610"/>
  </r>
  <r>
    <s v="002"/>
    <s v="FARMACIA DE CIRUGIA                               "/>
    <x v="2"/>
    <x v="2"/>
    <s v="XD000101"/>
    <s v="PIN DE FIJACION EXTERNA STEINMANN 3,5"/>
    <s v=""/>
    <s v=""/>
    <s v="006"/>
    <s v="Unidad"/>
    <s v=""/>
    <n v="5"/>
    <n v="20298.25"/>
    <n v="101491.25"/>
  </r>
  <r>
    <s v="006"/>
    <s v="ALMACEN MEDICOQUIRURGICOS   "/>
    <x v="2"/>
    <x v="2"/>
    <s v="XO000019"/>
    <s v="INMOVILIZADOR HOMBRO M GRIS  BANDA"/>
    <s v=""/>
    <s v=""/>
    <s v="006"/>
    <s v="Unidad"/>
    <s v=""/>
    <n v="5"/>
    <n v="21998.666666666668"/>
    <n v="109993.33333333331"/>
  </r>
  <r>
    <s v="001"/>
    <s v="FARMACIA CENTRAL                                  "/>
    <x v="0"/>
    <x v="0"/>
    <s v="1980184-8"/>
    <s v="BUDESONIDA 0.5 mg / ml Suspensión para inhalación 2 ML"/>
    <s v=""/>
    <s v=""/>
    <s v=""/>
    <s v=""/>
    <s v="2 mL"/>
    <n v="5"/>
    <n v="24761.702000000001"/>
    <n v="123808.51"/>
  </r>
  <r>
    <s v="006"/>
    <s v="ALMACEN MEDICOQUIRURGICOS   "/>
    <x v="2"/>
    <x v="2"/>
    <s v="XT000001"/>
    <s v="ADAPTADOR DE MOUNT CON CODO 90 GRADOS"/>
    <s v=""/>
    <s v=""/>
    <s v="006"/>
    <s v="Unidad"/>
    <s v=""/>
    <n v="5"/>
    <n v="25631.887777777778"/>
    <n v="128159.43888888888"/>
  </r>
  <r>
    <s v="032"/>
    <s v="CLINICA DE HERIDAS                                "/>
    <x v="2"/>
    <x v="2"/>
    <s v="XA000112"/>
    <s v="APOSITO PARA HERIDAS MEPILEX BORDER FLEX 10X10 CM REF 595300"/>
    <s v=""/>
    <s v=""/>
    <s v="006"/>
    <s v="Unidad"/>
    <s v=""/>
    <n v="5"/>
    <n v="26442.580645161292"/>
    <n v="132212.90322580645"/>
  </r>
  <r>
    <s v="001"/>
    <s v="FARMACIA CENTRAL                                  "/>
    <x v="2"/>
    <x v="2"/>
    <s v="XA000078"/>
    <s v="EXTRACTO ACUOSO DE TRITICUM VULGARE 15 %  FITOSTIMOLINE CREMA X 32 GRAMOS"/>
    <s v=""/>
    <s v=""/>
    <s v="006"/>
    <s v="Unidad"/>
    <s v=""/>
    <n v="5"/>
    <n v="31856.218620689655"/>
    <n v="159281.09310344828"/>
  </r>
  <r>
    <s v="008"/>
    <s v="ALMACEN  GENERAL                                         "/>
    <x v="1"/>
    <x v="1"/>
    <s v="AM000372"/>
    <s v="SENSORES DE HUMO"/>
    <s v=""/>
    <s v=""/>
    <s v="006"/>
    <s v="Unidad"/>
    <s v=""/>
    <n v="5"/>
    <n v="32326.7"/>
    <n v="161633.5"/>
  </r>
  <r>
    <s v="032"/>
    <s v="CLINICA DE HERIDAS                                "/>
    <x v="2"/>
    <x v="2"/>
    <s v="XA000077"/>
    <s v="APOSITO DE HIDROFIBRAS PARA HERIDAS AQUACEL EXTRA REF 420672"/>
    <s v=""/>
    <s v=""/>
    <s v="006"/>
    <s v="Unidad"/>
    <s v=""/>
    <n v="5"/>
    <n v="33148.608"/>
    <n v="165743.04000000001"/>
  </r>
  <r>
    <s v="006"/>
    <s v="ALMACEN MEDICOQUIRURGICOS   "/>
    <x v="2"/>
    <x v="2"/>
    <s v="XO000018"/>
    <s v="INMOVILIZADOR HOMBRO L GRIS BANDA"/>
    <s v=""/>
    <s v=""/>
    <s v="006"/>
    <s v="Unidad"/>
    <s v=""/>
    <n v="5"/>
    <n v="33443.181666666671"/>
    <n v="167215.90833333333"/>
  </r>
  <r>
    <s v="002"/>
    <s v="FARMACIA DE CIRUGIA                               "/>
    <x v="2"/>
    <x v="2"/>
    <s v="XD000057"/>
    <s v="GUANTE QUIRURGICO CON REVESTIMIENTO EN BIOGEL ANTICORTE"/>
    <s v=""/>
    <s v=""/>
    <s v="006"/>
    <s v="Unidad"/>
    <s v=""/>
    <n v="5"/>
    <n v="35363.481200000002"/>
    <n v="176817.40599999999"/>
  </r>
  <r>
    <s v="032"/>
    <s v="CLINICA DE HERIDAS                                "/>
    <x v="2"/>
    <x v="2"/>
    <s v="XA000107"/>
    <s v="VENDAJE MOLNLYCKE EXUFIBER  10x12 REF 709902"/>
    <s v=""/>
    <s v=""/>
    <s v="006"/>
    <s v="Unidad"/>
    <s v=""/>
    <n v="5"/>
    <n v="36704.470588235294"/>
    <n v="183522.35294117648"/>
  </r>
  <r>
    <s v="001"/>
    <s v="FARMACIA CENTRAL                                  "/>
    <x v="6"/>
    <x v="6"/>
    <s v="20044646-06"/>
    <s v="REMIFENTANILO 2 mg Polvo para reconstituir a solución inyectable"/>
    <s v=""/>
    <s v=""/>
    <s v=""/>
    <s v=""/>
    <s v="2 mg"/>
    <n v="5"/>
    <n v="39180.571875000001"/>
    <n v="195902.859375"/>
  </r>
  <r>
    <s v="006"/>
    <s v="ALMACEN MEDICOQUIRURGICOS   "/>
    <x v="2"/>
    <x v="2"/>
    <s v="XT000083"/>
    <s v="CIRCUITO JACSON REES DE 2 LT"/>
    <s v=""/>
    <s v=""/>
    <s v="006"/>
    <s v="Unidad"/>
    <s v=""/>
    <n v="5"/>
    <n v="39863.991999999998"/>
    <n v="199319.96"/>
  </r>
  <r>
    <s v="002"/>
    <s v="FARMACIA DE CIRUGIA                               "/>
    <x v="2"/>
    <x v="2"/>
    <s v="XA000056"/>
    <s v="APOSITO DE TRANSFERENCIA DE EXHUDADO MEPILEX 15X20CM REF 294899"/>
    <s v=""/>
    <s v=""/>
    <s v="006"/>
    <s v="Unidad"/>
    <s v=""/>
    <n v="5"/>
    <n v="40459.713207547167"/>
    <n v="202298.56603773584"/>
  </r>
  <r>
    <s v="032"/>
    <s v="CLINICA DE HERIDAS                                "/>
    <x v="2"/>
    <x v="2"/>
    <s v="XA000056"/>
    <s v="APOSITO DE TRANSFERENCIA DE EXHUDADO MEPILEX 15X20CM REF 294899"/>
    <s v=""/>
    <s v=""/>
    <s v="006"/>
    <s v="Unidad"/>
    <s v=""/>
    <n v="5"/>
    <n v="40459.713207547167"/>
    <n v="202298.56603773584"/>
  </r>
  <r>
    <s v="002"/>
    <s v="FARMACIA DE CIRUGIA                               "/>
    <x v="2"/>
    <x v="2"/>
    <s v="XS000176"/>
    <s v="POLIDIOXANONA SUTURA (CON AGUJA) PDS PLUS 1 CT REF. PDP353"/>
    <s v=""/>
    <s v=""/>
    <s v="006"/>
    <s v="Unidad"/>
    <s v=""/>
    <n v="5"/>
    <n v="43119.531999999999"/>
    <n v="215597.66"/>
  </r>
  <r>
    <s v="032"/>
    <s v="CLINICA DE HERIDAS                                "/>
    <x v="2"/>
    <x v="2"/>
    <s v="XA000004"/>
    <s v="APOSITO CON FORMULA DE GEL CONTROLADA DUODERM  15X15CM CGF"/>
    <s v=""/>
    <s v=""/>
    <s v="006"/>
    <s v="Unidad"/>
    <s v=""/>
    <n v="5"/>
    <n v="45932.162499999999"/>
    <n v="229660.8125"/>
  </r>
  <r>
    <s v="001"/>
    <s v="FARMACIA CENTRAL                                  "/>
    <x v="0"/>
    <x v="0"/>
    <s v="20059262-02"/>
    <s v="INSULINA DEGLUDEC 100 UI/mlSolución inyectable Pluma x 3 ml "/>
    <s v=""/>
    <s v=""/>
    <s v=""/>
    <s v=""/>
    <s v="100 UI/ml - 3 ml"/>
    <n v="5"/>
    <n v="46988.93"/>
    <n v="234944.65"/>
  </r>
  <r>
    <s v="032"/>
    <s v="CLINICA DE HERIDAS                                "/>
    <x v="2"/>
    <x v="2"/>
    <s v="XA000006"/>
    <s v="APOSITO DE HIDROFIBRA CON PLATA AQUACEL-AG 10X10CM CARBOXIMETILCELULOSA SODICA"/>
    <s v=""/>
    <s v=""/>
    <s v="006"/>
    <s v="Unidad"/>
    <s v=""/>
    <n v="5"/>
    <n v="48839.396000000001"/>
    <n v="244196.98"/>
  </r>
  <r>
    <s v="032"/>
    <s v="CLINICA DE HERIDAS                                "/>
    <x v="2"/>
    <x v="2"/>
    <s v="XA000103"/>
    <s v="APOSITO  MEPILEX  MOLNLYCKE AG 10 X 10 REF 287100"/>
    <s v=""/>
    <s v=""/>
    <s v="006"/>
    <s v="Unidad"/>
    <s v=""/>
    <n v="5"/>
    <n v="53723.454545454544"/>
    <n v="268617.27272727271"/>
  </r>
  <r>
    <s v="008"/>
    <s v="ALMACEN  GENERAL                                         "/>
    <x v="7"/>
    <x v="7"/>
    <s v="AA000106"/>
    <s v="QUIRUGER  GALON (GLUTARALDEHIDO)"/>
    <s v=""/>
    <s v=""/>
    <s v="006"/>
    <s v="Unidad"/>
    <s v=""/>
    <n v="5"/>
    <n v="54005.599999999999"/>
    <n v="270028"/>
  </r>
  <r>
    <s v="032"/>
    <s v="CLINICA DE HERIDAS                                "/>
    <x v="2"/>
    <x v="2"/>
    <s v="XA000089"/>
    <s v="VENDAJE PARA CICATRIZACION CON MEDICAMENTO EXUFIBER AG 10x12 REF 603422"/>
    <s v=""/>
    <s v=""/>
    <s v="006"/>
    <s v="Unidad"/>
    <s v=""/>
    <n v="5"/>
    <n v="61816.666666666664"/>
    <n v="309083.33333333331"/>
  </r>
  <r>
    <s v="006"/>
    <s v="ALMACEN MEDICOQUIRURGICOS   "/>
    <x v="2"/>
    <x v="2"/>
    <s v="XD000169"/>
    <s v="GUIA UROLOGIA REVESTIDA DE PTFE 0.035X150CM REF M0066201100"/>
    <s v=""/>
    <s v=""/>
    <s v="006"/>
    <s v="Unidad"/>
    <s v=""/>
    <n v="5"/>
    <n v="62563.154444444444"/>
    <n v="312815.77222222224"/>
  </r>
  <r>
    <s v="032"/>
    <s v="CLINICA DE HERIDAS                                "/>
    <x v="2"/>
    <x v="2"/>
    <s v="XA000109"/>
    <s v="VENDAJE PARA CICATRIZACION POST OP MEPILEX 10X15CM REF 496300"/>
    <s v=""/>
    <s v=""/>
    <s v="006"/>
    <s v="Unidad"/>
    <s v=""/>
    <n v="5"/>
    <n v="64308.11538461539"/>
    <n v="321540.57692307694"/>
  </r>
  <r>
    <s v="005"/>
    <s v="ALMACEN MEDICAMENTOS"/>
    <x v="4"/>
    <x v="4"/>
    <s v="20013309-02"/>
    <s v="SALMETEROL + FLUTICASONA 50 + 250 mcg Polvo para Inhalación"/>
    <s v=""/>
    <s v=""/>
    <s v=""/>
    <s v=""/>
    <s v="50+250 mcg"/>
    <n v="5"/>
    <n v="64396.378888888896"/>
    <n v="321981.89444444445"/>
  </r>
  <r>
    <s v="001"/>
    <s v="FARMACIA CENTRAL                                  "/>
    <x v="2"/>
    <x v="2"/>
    <s v="XD000283"/>
    <s v="PASTA PROTECTORA CUTANEA Y RELLENO STOMAHESIVE RE3F 183910"/>
    <s v=""/>
    <s v=""/>
    <s v="006"/>
    <s v="Unidad"/>
    <s v=""/>
    <n v="5"/>
    <n v="64922.14875"/>
    <n v="324610.74375000002"/>
  </r>
  <r>
    <s v="032"/>
    <s v="CLINICA DE HERIDAS                                "/>
    <x v="2"/>
    <x v="2"/>
    <s v="XA000110"/>
    <s v="APOSITO DE FIJACION MEPITEL ONE 10X18CM REF 289500"/>
    <s v=""/>
    <s v=""/>
    <s v="006"/>
    <s v="Unidad"/>
    <s v=""/>
    <n v="5"/>
    <n v="65514.193548387098"/>
    <n v="327570.96774193546"/>
  </r>
  <r>
    <s v="005"/>
    <s v="ALMACEN MEDICAMENTOS"/>
    <x v="4"/>
    <x v="4"/>
    <s v="19902533-03"/>
    <s v="SALMETEROL + FLUTICASONA 50 + 500 mcg Suspensión para inhalación"/>
    <s v=""/>
    <s v=""/>
    <s v=""/>
    <s v=""/>
    <s v="50 + 500 mcg"/>
    <n v="5"/>
    <n v="66642.182499999995"/>
    <n v="333210.91249999998"/>
  </r>
  <r>
    <s v="002"/>
    <s v="FARMACIA DE CIRUGIA                               "/>
    <x v="2"/>
    <x v="2"/>
    <s v="XS000091"/>
    <s v="SUTURA NO ABSORBIBLEETHILON 8/0 BV130-5 W2808 X13CM A/R X1 DOCENA"/>
    <s v=""/>
    <s v=""/>
    <s v="006"/>
    <s v="Unidad"/>
    <s v=""/>
    <n v="5"/>
    <n v="70176.235294117636"/>
    <n v="350881.17647058825"/>
  </r>
  <r>
    <s v="032"/>
    <s v="CLINICA DE HERIDAS                                "/>
    <x v="2"/>
    <x v="2"/>
    <s v="XA000090"/>
    <s v="VENDAJE PARA CICATRIZACION MEPILEX BORDER POST OP 10X20CM REF 496405"/>
    <s v=""/>
    <s v=""/>
    <s v="006"/>
    <s v="Unidad"/>
    <s v=""/>
    <n v="5"/>
    <n v="77163.733333333323"/>
    <n v="385818.66666666663"/>
  </r>
  <r>
    <s v="001"/>
    <s v="FARMACIA CENTRAL                                  "/>
    <x v="2"/>
    <x v="2"/>
    <s v="XA000002"/>
    <s v="APOSITO CON FORMULA DE GEL CONTROLADA DUO DERM  20X20CM CAJA X5 "/>
    <s v=""/>
    <s v=""/>
    <s v="006"/>
    <s v="Unidad"/>
    <s v=""/>
    <n v="5"/>
    <n v="82157.708333333328"/>
    <n v="410788.54166666663"/>
  </r>
  <r>
    <s v="032"/>
    <s v="CLINICA DE HERIDAS                                "/>
    <x v="2"/>
    <x v="2"/>
    <s v="XA000002"/>
    <s v="APOSITO CON FORMULA DE GEL CONTROLADA DUO DERM  20X20CM CAJA X5 "/>
    <s v=""/>
    <s v=""/>
    <s v="006"/>
    <s v="Unidad"/>
    <s v=""/>
    <n v="5"/>
    <n v="82157.708333333328"/>
    <n v="410788.54166666663"/>
  </r>
  <r>
    <s v="001"/>
    <s v="FARMACIA CENTRAL                                  "/>
    <x v="2"/>
    <x v="2"/>
    <s v="XA000069"/>
    <s v="APOSITO HIDRATANTE PARA HERIDAS DERMICAS CON ALGINATO"/>
    <s v=""/>
    <s v=""/>
    <s v="006"/>
    <s v="Unidad"/>
    <s v=""/>
    <n v="5"/>
    <n v="84561.285714285725"/>
    <n v="422806.42857142858"/>
  </r>
  <r>
    <s v="052"/>
    <s v="CONSIGNACION LM INSTRUMENS S.A"/>
    <x v="2"/>
    <x v="2"/>
    <s v="XD000338"/>
    <s v="CLIP DE FIJACION LARGO  REF HX-610-135L"/>
    <s v=""/>
    <s v=""/>
    <s v="006"/>
    <s v="Unidad"/>
    <s v=""/>
    <n v="5"/>
    <n v="86554.464000000007"/>
    <n v="432772.32"/>
  </r>
  <r>
    <s v="001"/>
    <s v="FARMACIA CENTRAL                                  "/>
    <x v="2"/>
    <x v="2"/>
    <s v="XT000068"/>
    <s v="SUJETADOR PARA TUBO ENDOBRONQUEAL  ORAL                                                             "/>
    <s v=""/>
    <s v=""/>
    <s v="006"/>
    <s v="Unidad"/>
    <s v=""/>
    <n v="5"/>
    <n v="100452.13374999999"/>
    <n v="502260.66875000001"/>
  </r>
  <r>
    <s v="032"/>
    <s v="CLINICA DE HERIDAS                                "/>
    <x v="2"/>
    <x v="2"/>
    <s v="XA000099"/>
    <s v="VENDAJE PARA CICATRIZACION MEPILEX BORDER POST OP 10X25CM REF 496455"/>
    <s v=""/>
    <s v=""/>
    <s v="006"/>
    <s v="Unidad"/>
    <s v=""/>
    <n v="5"/>
    <n v="110812.81733333333"/>
    <n v="554064.08666666667"/>
  </r>
  <r>
    <s v="032"/>
    <s v="CLINICA DE HERIDAS                                "/>
    <x v="2"/>
    <x v="2"/>
    <s v="XA000086"/>
    <s v="APOSITO DE FIJACION MEPILEX 20 X 20 CM  REF 294499"/>
    <s v=""/>
    <s v=""/>
    <s v="006"/>
    <s v="Unidad"/>
    <s v=""/>
    <n v="5"/>
    <n v="119005.6"/>
    <n v="595028"/>
  </r>
  <r>
    <s v="006"/>
    <s v="ALMACEN MEDICOQUIRURGICOS   "/>
    <x v="2"/>
    <x v="2"/>
    <s v="XO000026"/>
    <s v="SISTEMA COMPRESION NEUMATICA INTERMITENTE  TALLA L"/>
    <s v=""/>
    <s v=""/>
    <s v="006"/>
    <s v="Unidad"/>
    <s v=""/>
    <n v="5"/>
    <n v="126428.15222222223"/>
    <n v="632140.76111111115"/>
  </r>
  <r>
    <s v="008"/>
    <s v="ALMACEN  GENERAL                                         "/>
    <x v="1"/>
    <x v="1"/>
    <s v="AM000280"/>
    <s v="JUEGO DE CHUPAS ADULTO PARA ELECTROCARDIOGRAFO"/>
    <s v=""/>
    <s v=""/>
    <s v="006"/>
    <s v="Unidad"/>
    <s v=""/>
    <n v="5"/>
    <n v="129880"/>
    <n v="649400"/>
  </r>
  <r>
    <s v="001"/>
    <s v="FARMACIA CENTRAL                                  "/>
    <x v="2"/>
    <x v="2"/>
    <s v="XT000094"/>
    <s v="CIRCUITO PARA VENTILADOR ZOLL REF 820-0106-00"/>
    <s v=""/>
    <s v=""/>
    <s v="006"/>
    <s v="Unidad"/>
    <s v=""/>
    <n v="5"/>
    <n v="133108.87142857144"/>
    <n v="665544.35714285716"/>
  </r>
  <r>
    <s v="052"/>
    <s v="CONSIGNACION LM INSTRUMENS S.A"/>
    <x v="2"/>
    <x v="2"/>
    <s v="XD000004"/>
    <s v="ASA DE POLIPECTOMIA (SET ALAMBRE Y CAMISA)REF M00562670"/>
    <s v=""/>
    <s v=""/>
    <s v="006"/>
    <s v="Unidad"/>
    <s v=""/>
    <n v="5"/>
    <n v="135729.74428571429"/>
    <n v="678648.72142857139"/>
  </r>
  <r>
    <s v="032"/>
    <s v="CLINICA DE HERIDAS                                "/>
    <x v="2"/>
    <x v="2"/>
    <s v="XA000088"/>
    <s v="APOSITO  MEPILEX  MOLNLYCKE AG 15 X 15 REF 287300"/>
    <s v=""/>
    <s v=""/>
    <s v="006"/>
    <s v="Unidad"/>
    <s v=""/>
    <n v="5"/>
    <n v="140199.87282051283"/>
    <n v="700999.36410256405"/>
  </r>
  <r>
    <s v="032"/>
    <s v="CLINICA DE HERIDAS                                "/>
    <x v="0"/>
    <x v="0"/>
    <s v="19932754-03"/>
    <s v="SODIO CLORURO 0.9 % Solución Inyectable x 250 ml"/>
    <s v=""/>
    <s v=""/>
    <s v=""/>
    <s v=""/>
    <s v="0.9 % - 250 ML"/>
    <n v="5"/>
    <n v="142511.84"/>
    <n v="712559.2"/>
  </r>
  <r>
    <s v="001"/>
    <s v="FARMACIA CENTRAL                                  "/>
    <x v="2"/>
    <x v="2"/>
    <s v="XT000031"/>
    <s v="SISTEMA VENTILACIÓN BITRAC FULLFACE REF:3139010"/>
    <s v=""/>
    <s v=""/>
    <s v="006"/>
    <s v="Unidad"/>
    <s v=""/>
    <n v="5"/>
    <n v="147133.30192307694"/>
    <n v="735666.50961538462"/>
  </r>
  <r>
    <s v="006"/>
    <s v="ALMACEN MEDICOQUIRURGICOS   "/>
    <x v="2"/>
    <x v="2"/>
    <s v="XC000014"/>
    <s v="SONDA PARA NUTRICION ENTERAL POR GASTROSTOMIA 24FR X1 "/>
    <s v=""/>
    <s v=""/>
    <s v="006"/>
    <s v="Unidad"/>
    <s v=""/>
    <n v="5"/>
    <n v="167434.28"/>
    <n v="837171.4"/>
  </r>
  <r>
    <s v="005"/>
    <s v="ALMACEN MEDICAMENTOS"/>
    <x v="0"/>
    <x v="0"/>
    <s v="20039622-02"/>
    <s v="ACIDO GADOTERICO 279 mg/mL  Solución Inyectable Fco 15 mL"/>
    <s v=""/>
    <s v=""/>
    <s v=""/>
    <s v=""/>
    <s v="279 mg/mL"/>
    <n v="5"/>
    <n v="188211"/>
    <n v="941055"/>
  </r>
  <r>
    <s v="006"/>
    <s v="ALMACEN MEDICOQUIRURGICOS   "/>
    <x v="2"/>
    <x v="2"/>
    <s v="XC000010"/>
    <s v="CATETER PARA EMBOLECTOMIA FOGARTY #03 (120803F) X 1"/>
    <s v=""/>
    <s v=""/>
    <s v="006"/>
    <s v="Unidad"/>
    <s v=""/>
    <n v="5"/>
    <n v="191583.57142857142"/>
    <n v="957917.85714285716"/>
  </r>
  <r>
    <s v="009"/>
    <s v="CARRO DE PARO URGENCIAS                           "/>
    <x v="1"/>
    <x v="1"/>
    <s v="AM000029"/>
    <s v="HOJA LARINGOSCOPIO   RECTA  DE 0 A 4  FIBRA OPTICA"/>
    <s v=""/>
    <s v=""/>
    <s v="006"/>
    <s v="Unidad"/>
    <s v=""/>
    <n v="5"/>
    <n v="246265.91363636364"/>
    <n v="1231329.5681818184"/>
  </r>
  <r>
    <s v="004"/>
    <s v="CARRO DE PARO RADIOLOGIA"/>
    <x v="1"/>
    <x v="1"/>
    <s v="AM000017"/>
    <s v="HOJA PARA LARINGOSCOPIO UNIDAD CURVA DE 0 A 4 FIBRA OPTICA"/>
    <s v=""/>
    <s v=""/>
    <s v="006"/>
    <s v="Unidad"/>
    <s v=""/>
    <n v="5"/>
    <n v="282984.17235294118"/>
    <n v="1414920.861764706"/>
  </r>
  <r>
    <s v="014"/>
    <s v="CARRO DE PARO CARDIOLOGIA                            "/>
    <x v="1"/>
    <x v="1"/>
    <s v="AM000017"/>
    <s v="HOJA PARA LARINGOSCOPIO UNIDAD CURVA DE 0 A 4 FIBRA OPTICA"/>
    <s v=""/>
    <s v=""/>
    <s v="006"/>
    <s v="Unidad"/>
    <s v=""/>
    <n v="5"/>
    <n v="282984.17235294118"/>
    <n v="1414920.861764706"/>
  </r>
  <r>
    <s v="001"/>
    <s v="FARMACIA CENTRAL                                  "/>
    <x v="2"/>
    <x v="2"/>
    <s v="XC000001"/>
    <s v="CATETER  DOBLE LUMEN X 70 CM(PICC)"/>
    <s v=""/>
    <s v=""/>
    <s v="006"/>
    <s v="Unidad"/>
    <s v=""/>
    <n v="5"/>
    <n v="294637.73333333334"/>
    <n v="1473188.6666666665"/>
  </r>
  <r>
    <s v="008"/>
    <s v="ALMACEN  GENERAL                                         "/>
    <x v="1"/>
    <x v="1"/>
    <s v="AM000382"/>
    <s v="CABLE ECG COMPLETO TRONCAL Y LEADS 3 DERI. GENERAL ELEC. "/>
    <s v=""/>
    <s v=""/>
    <s v="006"/>
    <s v="Unidad"/>
    <s v=""/>
    <n v="5"/>
    <n v="384370"/>
    <n v="1921850"/>
  </r>
  <r>
    <s v="005"/>
    <s v="ALMACEN MEDICAMENTOS"/>
    <x v="4"/>
    <x v="4"/>
    <s v="20042955-07"/>
    <s v="CARBOXIMALTOSA DE HIERRO 50 mg / ml Solución inyectable"/>
    <s v=""/>
    <s v=""/>
    <s v=""/>
    <s v=""/>
    <s v="500MG"/>
    <n v="5"/>
    <n v="394611.11111111107"/>
    <n v="1973055.5555555555"/>
  </r>
  <r>
    <s v="002"/>
    <s v="FARMACIA DE CIRUGIA                               "/>
    <x v="2"/>
    <x v="2"/>
    <s v="XS000070"/>
    <s v="SURGICEL FIBRILAR 5.1X10.2 HEMOSTATICO SOBRE REF: 411962"/>
    <s v=""/>
    <s v=""/>
    <s v="006"/>
    <s v="Unidad"/>
    <s v=""/>
    <n v="5"/>
    <n v="414253.2"/>
    <n v="2071266"/>
  </r>
  <r>
    <s v="001"/>
    <s v="FARMACIA CENTRAL                                  "/>
    <x v="4"/>
    <x v="4"/>
    <s v="20010106-01"/>
    <s v="LACOSAMIDA 200 mg / 20 ml Solución Inyectable"/>
    <s v=""/>
    <s v=""/>
    <s v=""/>
    <s v=""/>
    <s v="200 mg / 20 ml"/>
    <n v="5"/>
    <n v="437002.39428571431"/>
    <n v="2185011.9714285717"/>
  </r>
  <r>
    <s v="002"/>
    <s v="FARMACIA DE CIRUGIA                               "/>
    <x v="2"/>
    <x v="2"/>
    <s v="XS000046"/>
    <s v="RECARGA ENDOGIA 45 MM ARTICULAR EGIA45AVM  VASCULAR X 1"/>
    <s v=""/>
    <s v=""/>
    <s v="006"/>
    <s v="Unidad"/>
    <s v=""/>
    <n v="5"/>
    <n v="607068.11055555556"/>
    <n v="3035340.5527777779"/>
  </r>
  <r>
    <s v="002"/>
    <s v="FARMACIA DE CIRUGIA                               "/>
    <x v="2"/>
    <x v="2"/>
    <s v="XS000048"/>
    <s v="RECARGA ENDOGIA ARTICULAR 60AVM VASCULAR"/>
    <s v=""/>
    <s v=""/>
    <s v="006"/>
    <s v="Unidad"/>
    <s v=""/>
    <n v="5"/>
    <n v="607441.23294117651"/>
    <n v="3037206.1647058823"/>
  </r>
  <r>
    <s v="002"/>
    <s v="FARMACIA DE CIRUGIA                               "/>
    <x v="2"/>
    <x v="2"/>
    <s v="XS000022"/>
    <s v="GRAPADORA LINEAL CORTANTE GIA 60-3.8 GIA6038S X1"/>
    <s v=""/>
    <s v=""/>
    <s v="006"/>
    <s v="Unidad"/>
    <s v=""/>
    <n v="5"/>
    <n v="634422.94999999995"/>
    <n v="3172114.75"/>
  </r>
  <r>
    <s v="002"/>
    <s v="FARMACIA DE CIRUGIA                               "/>
    <x v="2"/>
    <x v="2"/>
    <s v="XS000069"/>
    <s v="SURGICEL FIBRILAR 4X4&quot; 10.2 CM X 10.2 CM X 1  411963"/>
    <s v=""/>
    <s v=""/>
    <s v="006"/>
    <s v="Unidad"/>
    <s v=""/>
    <n v="5"/>
    <n v="678001"/>
    <n v="3390005"/>
  </r>
  <r>
    <s v="008"/>
    <s v="ALMACEN  GENERAL                                         "/>
    <x v="1"/>
    <x v="1"/>
    <s v="AM000211"/>
    <s v="PRUEBA BOWIE DICK 3M REF 135LF CAJA X 30 HOJAS"/>
    <s v=""/>
    <s v=""/>
    <s v="006"/>
    <s v="Unidad"/>
    <s v=""/>
    <n v="5"/>
    <n v="925642.14199999999"/>
    <n v="4628210.71"/>
  </r>
  <r>
    <s v="001"/>
    <s v="FARMACIA CENTRAL                                  "/>
    <x v="4"/>
    <x v="4"/>
    <s v="20093733-1"/>
    <s v="LEVOSIMENDAN 12.5 mg / 5 ml Solución Inyectable"/>
    <s v=""/>
    <s v=""/>
    <s v=""/>
    <s v=""/>
    <s v="12.5 mg / 5"/>
    <n v="5"/>
    <n v="934940.8"/>
    <n v="4674704"/>
  </r>
  <r>
    <s v="002"/>
    <s v="FARMACIA DE CIRUGIA                               "/>
    <x v="2"/>
    <x v="2"/>
    <s v="XD000087"/>
    <s v="MATRIZ PARA INJERTO DE DURA DURAGEN 5 X 5 CM X 1  REF DP1022  "/>
    <s v=""/>
    <s v=""/>
    <s v="006"/>
    <s v="Unidad"/>
    <s v=""/>
    <n v="5"/>
    <n v="1157245.7"/>
    <n v="5786228.5"/>
  </r>
  <r>
    <s v="001"/>
    <s v="FARMACIA CENTRAL                                  "/>
    <x v="4"/>
    <x v="4"/>
    <s v="33103-02"/>
    <s v="ALTEPLASE (TPA) 50 mg  polvo Estéril para Inyección"/>
    <s v=""/>
    <s v=""/>
    <s v=""/>
    <s v=""/>
    <s v="50 mg"/>
    <n v="5"/>
    <n v="1737313.7885714285"/>
    <n v="8686568.9428571425"/>
  </r>
  <r>
    <s v="020"/>
    <s v="STOCK FISIOTERAPIA UCI 2                                     "/>
    <x v="2"/>
    <x v="2"/>
    <s v="XJ000010"/>
    <s v="JERINGA DESECHABLE 10ML-C/A-3 PARTES X 100"/>
    <s v=""/>
    <s v=""/>
    <s v="006"/>
    <s v="Unidad"/>
    <s v=""/>
    <n v="6"/>
    <n v="261.77091875138365"/>
    <n v="1570.6255125083001"/>
  </r>
  <r>
    <s v="001"/>
    <s v="FARMACIA CENTRAL                                  "/>
    <x v="2"/>
    <x v="2"/>
    <s v="XD000139"/>
    <s v="SONDA NELATON # 10 (UREATRAL)"/>
    <s v=""/>
    <s v=""/>
    <s v="006"/>
    <s v="Unidad"/>
    <s v=""/>
    <n v="6"/>
    <n v="426.17857142857144"/>
    <n v="2557.0714285714298"/>
  </r>
  <r>
    <s v="001"/>
    <s v="FARMACIA CENTRAL                                  "/>
    <x v="0"/>
    <x v="0"/>
    <s v="19973358-02"/>
    <s v="ACETAZOLAMIDA 250mg tableta"/>
    <s v=""/>
    <s v=""/>
    <s v=""/>
    <s v=""/>
    <s v="250 mg"/>
    <n v="6"/>
    <n v="449.10833333333329"/>
    <n v="2694.65"/>
  </r>
  <r>
    <s v="002"/>
    <s v="FARMACIA DE CIRUGIA                               "/>
    <x v="3"/>
    <x v="3"/>
    <s v="19988939-04"/>
    <s v="GENTAMICINA 80 mg / 2 ml Solución Inyectable"/>
    <s v=""/>
    <s v=""/>
    <s v=""/>
    <s v=""/>
    <s v="80 mg"/>
    <n v="6"/>
    <n v="756.85053571428568"/>
    <n v="4541.1032142857102"/>
  </r>
  <r>
    <s v="001"/>
    <s v="FARMACIA CENTRAL                                  "/>
    <x v="2"/>
    <x v="2"/>
    <s v="XD000256"/>
    <s v="SONDA LEVIN-TUBO VENTROL 16 FR NASOGASTRICA120"/>
    <s v=""/>
    <s v=""/>
    <s v="006"/>
    <s v="Unidad"/>
    <s v=""/>
    <n v="6"/>
    <n v="841.07974358974366"/>
    <n v="5046.4784615384597"/>
  </r>
  <r>
    <s v="006"/>
    <s v="ALMACEN MEDICOQUIRURGICOS   "/>
    <x v="2"/>
    <x v="2"/>
    <s v="XV000015"/>
    <s v="VENDA ELASTICA 3 X 5 *1 UNIDAD"/>
    <s v=""/>
    <s v=""/>
    <s v="006"/>
    <s v="Unidad"/>
    <s v=""/>
    <n v="6"/>
    <n v="1111.6666666666665"/>
    <n v="6670"/>
  </r>
  <r>
    <s v="002"/>
    <s v="FARMACIA DE CIRUGIA      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03"/>
    <s v="CARRO  DE PARO RECUPERACION HEMODINAMIA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04"/>
    <s v="CARRO DE PARO RADIOLOGIA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09"/>
    <s v="CARRO DE PARO URGENCIAS  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14"/>
    <s v="CARRO DE PARO CARDIOLOGIA   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15"/>
    <s v="CARRO DE PARO HEMODINAMIA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17"/>
    <s v="CARRO DE PARO UCI        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22"/>
    <s v="CARRO DE PARO DE CIRUGIA 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25"/>
    <s v="CARRO DE PARO GASTROENTEROLOGÌA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26"/>
    <s v="CARRO DE PARO TERCER PISO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29"/>
    <s v="CARRO DE PARO CUARTO PISO                         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57"/>
    <s v="CARRO DE PARO UCI 2"/>
    <x v="0"/>
    <x v="0"/>
    <s v="20039073-01"/>
    <s v="CALCIO GLUCONATO 10%  Solución Inyectable 10 ML"/>
    <s v=""/>
    <s v=""/>
    <s v=""/>
    <s v=""/>
    <s v="10% - 10 ML"/>
    <n v="6"/>
    <n v="1287.0478666666668"/>
    <n v="7722.2871999999998"/>
  </r>
  <r>
    <s v="001"/>
    <s v="FARMACIA CENTRAL                                  "/>
    <x v="2"/>
    <x v="2"/>
    <s v="XJ000004"/>
    <s v="CATETERES PERIFERICOS INTRAVENOSOS INSYTE #14*50"/>
    <s v=""/>
    <s v=""/>
    <s v="006"/>
    <s v="Unidad"/>
    <s v=""/>
    <n v="6"/>
    <n v="1558.1416494845362"/>
    <n v="9348.8498969072207"/>
  </r>
  <r>
    <s v="001"/>
    <s v="FARMACIA CENTRAL                                  "/>
    <x v="0"/>
    <x v="0"/>
    <s v="19941380-02"/>
    <s v="DOPAMINA CLORHIDRATO 200 mg / 5 ml Solución Inyectable"/>
    <s v=""/>
    <s v=""/>
    <s v=""/>
    <s v=""/>
    <s v="200 mg / 5 ml"/>
    <n v="6"/>
    <n v="1652.1557466063348"/>
    <n v="9912.9344796380101"/>
  </r>
  <r>
    <s v="002"/>
    <s v="FARMACIA DE CIRUGIA                               "/>
    <x v="2"/>
    <x v="2"/>
    <s v="XJ000007"/>
    <s v="CATETERES PERIFERICOS INTRAVENOSOS INSYTE #24*50"/>
    <s v=""/>
    <s v=""/>
    <s v="006"/>
    <s v="Unidad"/>
    <s v=""/>
    <n v="6"/>
    <n v="2022.0220430107527"/>
    <n v="12132.132258064519"/>
  </r>
  <r>
    <s v="002"/>
    <s v="FARMACIA DE CIRUGIA                               "/>
    <x v="0"/>
    <x v="0"/>
    <s v="19940783-01"/>
    <s v="NOREPINEFRINA 4 mg / 4 ml Solución Inyectable"/>
    <s v=""/>
    <s v=""/>
    <s v=""/>
    <s v=""/>
    <s v="4 mg / 4 ml"/>
    <n v="6"/>
    <n v="2256.593404255319"/>
    <n v="13539.56042553191"/>
  </r>
  <r>
    <s v="059"/>
    <s v="BODEGA CUARENTENA"/>
    <x v="6"/>
    <x v="6"/>
    <s v="19931880-09."/>
    <s v="FENTANILO CITRATO 0.5 mg / 10 ml Solución Inyectable"/>
    <s v=""/>
    <s v=""/>
    <s v=""/>
    <s v=""/>
    <s v="0,5 MG / 10 ML"/>
    <n v="6"/>
    <n v="2291"/>
    <n v="13746"/>
  </r>
  <r>
    <s v="001"/>
    <s v="FARMACIA CENTRAL                                  "/>
    <x v="0"/>
    <x v="0"/>
    <s v="20143309-01"/>
    <s v="BETAMETILDIGOXINA 0.2 mg / 2 ml Solución Inyectable"/>
    <s v=""/>
    <s v=""/>
    <s v=""/>
    <s v=""/>
    <s v="0.2 mg / 2 ml"/>
    <n v="6"/>
    <n v="3328.5"/>
    <n v="19971"/>
  </r>
  <r>
    <s v="008"/>
    <s v="ALMACEN  GENERAL                                         "/>
    <x v="5"/>
    <x v="5"/>
    <s v="AP000101"/>
    <s v="HUMEDECEDORES PARA DEDOS"/>
    <s v=""/>
    <s v=""/>
    <s v="006"/>
    <s v="Unidad"/>
    <s v=""/>
    <n v="6"/>
    <n v="3414.8666666666663"/>
    <n v="20489.2"/>
  </r>
  <r>
    <s v="005"/>
    <s v="ALMACEN MEDICAMENTOS"/>
    <x v="0"/>
    <x v="0"/>
    <s v="19997076-01"/>
    <s v="NISTATINA 100.000 UI/ml Suspensión Oral Frasco 60ml"/>
    <s v=""/>
    <s v=""/>
    <s v=""/>
    <s v=""/>
    <s v="100.000 UI/ml 60 ML"/>
    <n v="6"/>
    <n v="4386.9977777777776"/>
    <n v="26321.986666666671"/>
  </r>
  <r>
    <s v="001"/>
    <s v="FARMACIA CENTRAL                                  "/>
    <x v="0"/>
    <x v="0"/>
    <s v="38332-02"/>
    <s v="TIAMINA 1000 mg/10 ml Solución inyectable"/>
    <s v=""/>
    <s v=""/>
    <s v=""/>
    <s v=""/>
    <s v="1000 mg/10"/>
    <n v="6"/>
    <n v="4749.7633333333333"/>
    <n v="28498.58"/>
  </r>
  <r>
    <s v="020"/>
    <s v="STOCK FISIOTERAPIA UCI 2                                     "/>
    <x v="2"/>
    <x v="2"/>
    <s v="XJ000008"/>
    <s v="JERINGA CON HEPARINA  PARA GASIMETRIA SANGUINEA X 1CC"/>
    <s v=""/>
    <s v=""/>
    <s v="006"/>
    <s v="Unidad"/>
    <s v=""/>
    <n v="6"/>
    <n v="5585.4120765027319"/>
    <n v="33512.47245901639"/>
  </r>
  <r>
    <s v="002"/>
    <s v="FARMACIA DE CIRUGIA                               "/>
    <x v="2"/>
    <x v="2"/>
    <s v="XS000131"/>
    <s v="SUTURA QUIRURGICA NO ABSORBIBLE SEDA PERMAHAND 2/0 185T-SC26 X2 DOCENAS SP44420"/>
    <s v=""/>
    <s v=""/>
    <s v="006"/>
    <s v="Unidad"/>
    <s v=""/>
    <n v="6"/>
    <n v="5898.3784375000005"/>
    <n v="35390.270624999997"/>
  </r>
  <r>
    <s v="001"/>
    <s v="FARMACIA CENTRAL                                  "/>
    <x v="2"/>
    <x v="2"/>
    <s v="XS000136"/>
    <s v="SUTURA QUIRURGICA NO ABSORBIBLE SEDA PERMAHAND 3/0 K832H SH X3 DOCENAS"/>
    <s v=""/>
    <s v=""/>
    <s v="006"/>
    <s v="Unidad"/>
    <s v=""/>
    <n v="6"/>
    <n v="6049.8867924528304"/>
    <n v="36299.32075471698"/>
  </r>
  <r>
    <s v="008"/>
    <s v="ALMACEN  GENERAL                                         "/>
    <x v="5"/>
    <x v="5"/>
    <s v="AP000095"/>
    <s v="PLANILLERO ACRILICO TAMA¥O OFICIO"/>
    <s v=""/>
    <s v=""/>
    <s v="006"/>
    <s v="Unidad"/>
    <s v=""/>
    <n v="6"/>
    <n v="6120.8050000000003"/>
    <n v="36724.83"/>
  </r>
  <r>
    <s v="001"/>
    <s v="FARMACIA CENTRAL                                  "/>
    <x v="2"/>
    <x v="2"/>
    <s v="XS000129"/>
    <s v="SUTURA QUIRURGICA NO ABSORBIBLE SEDA PERMAHAND 0 K834H SH X3 DOCENAS"/>
    <s v=""/>
    <s v=""/>
    <s v="006"/>
    <s v="Unidad"/>
    <s v=""/>
    <n v="6"/>
    <n v="6786.375"/>
    <n v="40718.25"/>
  </r>
  <r>
    <s v="002"/>
    <s v="FARMACIA DE CIRUGIA                               "/>
    <x v="2"/>
    <x v="2"/>
    <s v="XS000129"/>
    <s v="SUTURA QUIRURGICA NO ABSORBIBLE SEDA PERMAHAND 0 K834H SH X3 DOCENAS"/>
    <s v=""/>
    <s v=""/>
    <s v="006"/>
    <s v="Unidad"/>
    <s v=""/>
    <n v="6"/>
    <n v="6786.375"/>
    <n v="40718.25"/>
  </r>
  <r>
    <s v="002"/>
    <s v="FARMACIA DE CIRUGIA                               "/>
    <x v="0"/>
    <x v="0"/>
    <s v="19902579-02"/>
    <s v="LEVOBUPIVACAINA HCL  ANHIDRA 0,75% Solución Inyectable ampullepack 10 mL"/>
    <s v=""/>
    <s v=""/>
    <s v=""/>
    <s v=""/>
    <s v="0,75% - 10 ml"/>
    <n v="6"/>
    <n v="7040.1296296296296"/>
    <n v="42240.777777777781"/>
  </r>
  <r>
    <s v="008"/>
    <s v="ALMACEN  GENERAL                                         "/>
    <x v="5"/>
    <x v="5"/>
    <s v="AP000139"/>
    <s v="PAPEL MINDRAY BENEHEARTH D3-D6 50X20"/>
    <s v=""/>
    <s v=""/>
    <s v="006"/>
    <s v="Unidad"/>
    <s v=""/>
    <n v="6"/>
    <n v="7587.166666666667"/>
    <n v="45523"/>
  </r>
  <r>
    <s v="043"/>
    <s v="BODEGA DE CENTRAL DE MEZCLAS"/>
    <x v="0"/>
    <x v="0"/>
    <s v="20037305-01"/>
    <s v="SUCCINILCOLINA 10 ml Solución inyectable"/>
    <s v=""/>
    <s v=""/>
    <s v=""/>
    <s v=""/>
    <s v="10 ml"/>
    <n v="6"/>
    <n v="7714.5542857142855"/>
    <n v="46287.325714285711"/>
  </r>
  <r>
    <s v="008"/>
    <s v="ALMACEN  GENERAL                                         "/>
    <x v="5"/>
    <x v="5"/>
    <s v="AP000112"/>
    <s v="PASTA CATALOGO 3 HUECOS    TAMA¥O CARTA"/>
    <s v=""/>
    <s v=""/>
    <s v="006"/>
    <s v="Unidad"/>
    <s v=""/>
    <n v="6"/>
    <n v="8065.7466666666669"/>
    <n v="48394.48"/>
  </r>
  <r>
    <s v="005"/>
    <s v="ALMACEN MEDICAMENTOS"/>
    <x v="0"/>
    <x v="0"/>
    <s v="20122840-01"/>
    <s v="LEVONORGESTREL 0.75 mg Tableta"/>
    <s v=""/>
    <s v=""/>
    <s v=""/>
    <s v=""/>
    <s v="0.75 mg"/>
    <n v="6"/>
    <n v="8500"/>
    <n v="51000"/>
  </r>
  <r>
    <s v="005"/>
    <s v="ALMACEN MEDICAMENTOS"/>
    <x v="0"/>
    <x v="0"/>
    <s v="20066836-01"/>
    <s v="BROMURO DE IPRATROPIO 20 mcg / Dosis- Aerosol 200 Dosis"/>
    <s v=""/>
    <s v=""/>
    <s v=""/>
    <s v=""/>
    <s v="200 Puff"/>
    <n v="6"/>
    <n v="8973.6524000000009"/>
    <n v="53841.914400000001"/>
  </r>
  <r>
    <s v="002"/>
    <s v="FARMACIA DE CIRUGIA                               "/>
    <x v="2"/>
    <x v="2"/>
    <s v="XS000075"/>
    <s v="SUTURA DE COLAGENO CROMADO CROMADO 2/0 923T CT-1 X2 DOCENAS"/>
    <s v=""/>
    <s v=""/>
    <s v="006"/>
    <s v="Unidad"/>
    <s v=""/>
    <n v="6"/>
    <n v="9011.8305555555562"/>
    <n v="54070.98333333333"/>
  </r>
  <r>
    <s v="001"/>
    <s v="FARMACIA CENTRAL                                  "/>
    <x v="2"/>
    <x v="2"/>
    <s v="XS000101"/>
    <s v="SUTURA QUIRURGICA ABSORBIBLE VICRYL 4/0 J304H RB-1 X3 DOCENAS"/>
    <s v=""/>
    <s v=""/>
    <s v="006"/>
    <s v="Unidad"/>
    <s v=""/>
    <n v="6"/>
    <n v="9188.3127499999991"/>
    <n v="55129.876499999998"/>
  </r>
  <r>
    <s v="001"/>
    <s v="FARMACIA CENTRAL                                  "/>
    <x v="14"/>
    <x v="14"/>
    <s v="150408"/>
    <s v="OSMOLITE HN 1.2 LIQUIDO LATA 237 ML"/>
    <s v=""/>
    <s v=""/>
    <s v=""/>
    <s v=""/>
    <s v="1,2 KCAL"/>
    <n v="6"/>
    <n v="9246.2649999999994"/>
    <n v="55477.59"/>
  </r>
  <r>
    <s v="021"/>
    <s v="CENTRAL DE ESTERILIZACION                         "/>
    <x v="2"/>
    <x v="2"/>
    <s v="XD000092"/>
    <s v="PIN DE FIJACION EXTERNA  CLAVO DE KIRSCHNER 1,0"/>
    <s v=""/>
    <s v=""/>
    <s v="006"/>
    <s v="Unidad"/>
    <s v=""/>
    <n v="6"/>
    <n v="9283.9847619047632"/>
    <n v="55703.908571428568"/>
  </r>
  <r>
    <s v="001"/>
    <s v="FARMACIA CENTRAL                                  "/>
    <x v="0"/>
    <x v="0"/>
    <s v="20151815-01"/>
    <s v="GLUCONATO DE POTASIO 31.2% Elixir Fco 180mL"/>
    <s v=""/>
    <s v=""/>
    <s v=""/>
    <s v=""/>
    <s v="31.2%  - 180 ml"/>
    <n v="6"/>
    <n v="9399.9156249999996"/>
    <n v="56399.493750000001"/>
  </r>
  <r>
    <s v="001"/>
    <s v="FARMACIA CENTRAL                                  "/>
    <x v="2"/>
    <x v="2"/>
    <s v="XO000007"/>
    <s v="CABESTRILLO ADULTO (3080) X1 BOLSA 3005"/>
    <s v=""/>
    <s v=""/>
    <s v="006"/>
    <s v="Unidad"/>
    <s v=""/>
    <n v="6"/>
    <n v="9463.0059259259251"/>
    <n v="56778.035555555558"/>
  </r>
  <r>
    <s v="002"/>
    <s v="FARMACIA DE CIRUGIA                               "/>
    <x v="2"/>
    <x v="2"/>
    <s v="XA000033"/>
    <s v="ESPONJA QUIRURGICA ESTERIL SIN TUBO-400402"/>
    <s v=""/>
    <s v=""/>
    <s v="006"/>
    <s v="Unidad"/>
    <s v=""/>
    <n v="6"/>
    <n v="10061.055555555555"/>
    <n v="60366.333333333328"/>
  </r>
  <r>
    <s v="021"/>
    <s v="CENTRAL DE ESTERILIZACION                         "/>
    <x v="2"/>
    <x v="2"/>
    <s v="XD000094"/>
    <s v="PIN DE FIJACION EXTERNA CLAVO DE KIRSCHNER 0,8"/>
    <s v=""/>
    <s v=""/>
    <s v="006"/>
    <s v="Unidad"/>
    <s v=""/>
    <n v="6"/>
    <n v="11246.598666666669"/>
    <n v="67479.592000000004"/>
  </r>
  <r>
    <s v="021"/>
    <s v="CENTRAL DE ESTERILIZACION                         "/>
    <x v="2"/>
    <x v="2"/>
    <s v="XD000093"/>
    <s v="PIN DE FIJACION EXTERNA CLAVODE KIRSCHNER  1.5"/>
    <s v=""/>
    <s v=""/>
    <s v="006"/>
    <s v="Unidad"/>
    <s v=""/>
    <n v="6"/>
    <n v="11604.883417721519"/>
    <n v="69629.300506329106"/>
  </r>
  <r>
    <s v="021"/>
    <s v="CENTRAL DE ESTERILIZACION                         "/>
    <x v="2"/>
    <x v="2"/>
    <s v="XD000321"/>
    <s v="PIN DE FIJACION EXTERNA CLAVO KIRSCHNER 2.0"/>
    <s v=""/>
    <s v=""/>
    <s v="006"/>
    <s v="Unidad"/>
    <s v=""/>
    <n v="6"/>
    <n v="11805.164179104477"/>
    <n v="70830.985074626864"/>
  </r>
  <r>
    <s v="021"/>
    <s v="CENTRAL DE ESTERILIZACION                         "/>
    <x v="2"/>
    <x v="2"/>
    <s v="XD000097"/>
    <s v="PIN DE FIJACION EXTERNA CLAVO KIRSCHNER 1,8"/>
    <s v=""/>
    <s v=""/>
    <s v="006"/>
    <s v="Unidad"/>
    <s v=""/>
    <n v="6"/>
    <n v="11945.122727272726"/>
    <n v="71670.736363636359"/>
  </r>
  <r>
    <s v="001"/>
    <s v="FARMACIA CENTRAL                                  "/>
    <x v="2"/>
    <x v="2"/>
    <s v="XS000103"/>
    <s v="SUTURA QUIRURGICA ABSORBIBLE VICRYL 5/0-J303-RB-1CAJA X1 DOCENA"/>
    <s v=""/>
    <s v=""/>
    <s v="006"/>
    <s v="Unidad"/>
    <s v=""/>
    <n v="6"/>
    <n v="12420.510985915495"/>
    <n v="74523.06591549296"/>
  </r>
  <r>
    <s v="008"/>
    <s v="ALMACEN  GENERAL                                         "/>
    <x v="1"/>
    <x v="1"/>
    <s v="AM000353"/>
    <s v="RECIPIENTE 3000 ML  CANISTER"/>
    <s v=""/>
    <s v=""/>
    <s v="006"/>
    <s v="Unidad"/>
    <s v=""/>
    <n v="6"/>
    <n v="14637"/>
    <n v="87822"/>
  </r>
  <r>
    <s v="001"/>
    <s v="FARMACIA CENTRAL                                  "/>
    <x v="14"/>
    <x v="14"/>
    <s v="140601"/>
    <s v="FRESUBIN HEPA DRINK LIQUIDO BOTELLA 200 ML"/>
    <s v=""/>
    <s v=""/>
    <s v=""/>
    <s v=""/>
    <s v="200 ML"/>
    <n v="6"/>
    <n v="15352.716923076923"/>
    <n v="92116.301538461543"/>
  </r>
  <r>
    <s v="008"/>
    <s v="ALMACEN  GENERAL                                         "/>
    <x v="12"/>
    <x v="12"/>
    <s v="AR000038"/>
    <s v="CAMISETA UNISEX "/>
    <s v=""/>
    <s v=""/>
    <s v="006"/>
    <s v="Unidad"/>
    <s v=""/>
    <n v="6"/>
    <n v="15500"/>
    <n v="93000"/>
  </r>
  <r>
    <s v="001"/>
    <s v="FARMACIA CENTRAL                                  "/>
    <x v="2"/>
    <x v="2"/>
    <s v="XS000128"/>
    <s v="SUTURA QUIRURGICA MONOFILAMENTE ESTERIL SINTETICO NO ABSORBIBLE6/0(1397T E11)P8697TP1 X2 DOCENAS"/>
    <s v=""/>
    <s v=""/>
    <s v="006"/>
    <s v="Unidad"/>
    <s v=""/>
    <n v="6"/>
    <n v="16054.317027027026"/>
    <n v="96325.902162162165"/>
  </r>
  <r>
    <s v="022"/>
    <s v="CARRO DE PARO DE CIRUGIA                          "/>
    <x v="0"/>
    <x v="0"/>
    <s v="52271-01"/>
    <s v="AMIODARONA 150 mg / 3ml Solución Inyectable"/>
    <s v=""/>
    <s v=""/>
    <s v=""/>
    <s v=""/>
    <s v="150 mg / 3ml"/>
    <n v="6"/>
    <n v="17623.232"/>
    <n v="105739.39200000001"/>
  </r>
  <r>
    <s v="006"/>
    <s v="ALMACEN MEDICOQUIRURGICOS   "/>
    <x v="2"/>
    <x v="2"/>
    <s v="XS000108"/>
    <s v="SUTURA QUIRURGICA DE GLICONATO MONOFILAMENTO ABSORBIBLE MONOSYN 3/0 DS19 X 70CM REF. 23405"/>
    <s v=""/>
    <s v=""/>
    <s v="006"/>
    <s v="Unidad"/>
    <s v=""/>
    <n v="6"/>
    <n v="18564.290571428573"/>
    <n v="111385.74342857144"/>
  </r>
  <r>
    <s v="001"/>
    <s v="FARMACIA CENTRAL                                  "/>
    <x v="0"/>
    <x v="0"/>
    <s v="20055559-02"/>
    <s v="LACTATO DE RINGER Solucion de  Irrigacion Bolsa 3000 mL"/>
    <s v=""/>
    <s v=""/>
    <s v=""/>
    <s v=""/>
    <s v="3000 ml"/>
    <n v="6"/>
    <n v="20000.333333333332"/>
    <n v="120002"/>
  </r>
  <r>
    <s v="002"/>
    <s v="FARMACIA DE CIRUGIA                               "/>
    <x v="2"/>
    <x v="2"/>
    <s v="XT000054"/>
    <s v="TUBO ENDOTRAQUEAL #7.0 REFORZADO X5"/>
    <s v=""/>
    <s v=""/>
    <s v="006"/>
    <s v="Unidad"/>
    <s v=""/>
    <n v="6"/>
    <n v="22157.21"/>
    <n v="132943.26"/>
  </r>
  <r>
    <s v="001"/>
    <s v="FARMACIA CENTRAL                                  "/>
    <x v="2"/>
    <x v="2"/>
    <s v="XS000127"/>
    <s v="SUTURA QUIRURGICA MONOFILAMENTE ESTERIL SINTETICO NO ABSORBIBLE6/0 8726T C-1 X2 DOCENAS"/>
    <s v=""/>
    <s v=""/>
    <s v="006"/>
    <s v="Unidad"/>
    <s v=""/>
    <n v="6"/>
    <n v="23344.931034482757"/>
    <n v="140069.58620689655"/>
  </r>
  <r>
    <s v="001"/>
    <s v="FARMACIA CENTRAL                                  "/>
    <x v="2"/>
    <x v="2"/>
    <s v="XS000097"/>
    <s v="SUTURA QUIRURGICA ABSORBIBLE VICRYL 1 J347H CT-1 X3 DOCENAS X90CM REF 813"/>
    <s v=""/>
    <s v=""/>
    <s v="006"/>
    <s v="Unidad"/>
    <s v=""/>
    <n v="6"/>
    <n v="24238.930714285714"/>
    <n v="145433.58428571429"/>
  </r>
  <r>
    <s v="002"/>
    <s v="FARMACIA DE CIRUGIA                               "/>
    <x v="2"/>
    <x v="2"/>
    <s v="XT000055"/>
    <s v="TUBO ENDOTRAQUEAL #7.5 REFORZADO X5"/>
    <s v=""/>
    <s v=""/>
    <s v="006"/>
    <s v="Unidad"/>
    <s v=""/>
    <n v="6"/>
    <n v="24478.484782608695"/>
    <n v="146870.90869565215"/>
  </r>
  <r>
    <s v="001"/>
    <s v="FARMACIA CENTRAL                                  "/>
    <x v="0"/>
    <x v="0"/>
    <s v="20071108-01"/>
    <s v="GLICINA 1.5 % Solución para Irrigación Urológica 3000 ML"/>
    <s v=""/>
    <s v=""/>
    <s v=""/>
    <s v=""/>
    <s v="1.5 %"/>
    <n v="6"/>
    <n v="26687.623787878791"/>
    <n v="160125.74272727271"/>
  </r>
  <r>
    <s v="006"/>
    <s v="ALMACEN MEDICOQUIRURGICOS   "/>
    <x v="2"/>
    <x v="2"/>
    <s v="XO000004"/>
    <s v="BRACE MUNECA DERECHA/IZQUIERDA S "/>
    <s v=""/>
    <s v=""/>
    <s v="006"/>
    <s v="Unidad"/>
    <s v=""/>
    <n v="6"/>
    <n v="30500"/>
    <n v="183000"/>
  </r>
  <r>
    <s v="008"/>
    <s v="ALMACEN  GENERAL                                         "/>
    <x v="7"/>
    <x v="7"/>
    <s v="AA000160"/>
    <s v="GUANTES DE CAUCHO MANGA LARGA "/>
    <s v=""/>
    <s v=""/>
    <s v="006"/>
    <s v="Unidad"/>
    <s v=""/>
    <n v="6"/>
    <n v="33266.654999999999"/>
    <n v="199599.93"/>
  </r>
  <r>
    <s v="006"/>
    <s v="ALMACEN MEDICOQUIRURGICOS   "/>
    <x v="2"/>
    <x v="2"/>
    <s v="XE000015"/>
    <s v="KIT DE TRACCION CUTANEA ADULTO SENCILLO."/>
    <s v=""/>
    <s v=""/>
    <s v="006"/>
    <s v="Unidad"/>
    <s v=""/>
    <n v="6"/>
    <n v="36998.228749999995"/>
    <n v="221989.3725"/>
  </r>
  <r>
    <s v="001"/>
    <s v="FARMACIA CENTRAL                                  "/>
    <x v="0"/>
    <x v="0"/>
    <s v="41528-04"/>
    <s v="SUCRALFATO 200 ml Suspensión Oral Frasco 200ml"/>
    <s v=""/>
    <s v=""/>
    <s v=""/>
    <s v=""/>
    <s v="20 g"/>
    <n v="6"/>
    <n v="38481.096521739135"/>
    <n v="230886.57913043481"/>
  </r>
  <r>
    <s v="005"/>
    <s v="ALMACEN MEDICAMENTOS"/>
    <x v="4"/>
    <x v="4"/>
    <s v="19968360-01"/>
    <s v="FONDAPARINUX SODICA Solución inyectable 7.5 mg / 0.6 ml"/>
    <s v=""/>
    <s v=""/>
    <s v=""/>
    <s v=""/>
    <s v="7.5 mg / 06 ml"/>
    <n v="6"/>
    <n v="39483.4"/>
    <n v="236900.4"/>
  </r>
  <r>
    <s v="008"/>
    <s v="ALMACEN  GENERAL                                         "/>
    <x v="12"/>
    <x v="12"/>
    <s v="AR000034"/>
    <s v="PANTALON DE SUDADERA X 1"/>
    <s v=""/>
    <s v=""/>
    <s v="006"/>
    <s v="Unidad"/>
    <s v=""/>
    <n v="6"/>
    <n v="40800"/>
    <n v="244800"/>
  </r>
  <r>
    <s v="008"/>
    <s v="ALMACEN  GENERAL                                         "/>
    <x v="10"/>
    <x v="10"/>
    <s v="AD000056"/>
    <s v="KIT DE 2 DISCOS FILTRANTES SERIE M600"/>
    <s v=""/>
    <s v=""/>
    <s v="006"/>
    <s v="Unidad"/>
    <s v=""/>
    <n v="6"/>
    <n v="43827.6"/>
    <n v="262965.59999999998"/>
  </r>
  <r>
    <s v="008"/>
    <s v="ALMACEN  GENERAL                                         "/>
    <x v="10"/>
    <x v="10"/>
    <s v="AD000021"/>
    <s v="GUANTES CARNAZA REFORZADOS"/>
    <s v=""/>
    <s v=""/>
    <s v="006"/>
    <s v="Unidad"/>
    <s v=""/>
    <n v="6"/>
    <n v="47916.94"/>
    <n v="287501.64"/>
  </r>
  <r>
    <s v="006"/>
    <s v="ALMACEN MEDICOQUIRURGICOS   "/>
    <x v="2"/>
    <x v="2"/>
    <s v="XS000118"/>
    <s v="SUTURA QUIRURGICA MONOFILAMENTE ESTERIL SINTETICO NO ABSORBIBLE 3/0(1363T E24)P8663TPS X2 DOCENAS SP5663"/>
    <s v=""/>
    <s v=""/>
    <s v="006"/>
    <s v="Unidad"/>
    <s v=""/>
    <n v="6"/>
    <n v="52417.890967741943"/>
    <n v="314507.34580645157"/>
  </r>
  <r>
    <s v="002"/>
    <s v="FARMACIA DE CIRUGIA                               "/>
    <x v="2"/>
    <x v="2"/>
    <s v="XD000106"/>
    <s v="ROPA DESECHABLE LAPARATOMIA(29130)*1 P.COMPLETO"/>
    <s v=""/>
    <s v=""/>
    <s v="006"/>
    <s v="Unidad"/>
    <s v=""/>
    <n v="6"/>
    <n v="53512.670810810807"/>
    <n v="321076.02486486488"/>
  </r>
  <r>
    <s v="008"/>
    <s v="ALMACEN  GENERAL                                         "/>
    <x v="1"/>
    <x v="1"/>
    <s v="AM000012"/>
    <s v="PATO ORINAL EN ACERO INOXIDABLE"/>
    <s v=""/>
    <s v=""/>
    <s v="006"/>
    <s v="Unidad"/>
    <s v=""/>
    <n v="6"/>
    <n v="71400"/>
    <n v="428400"/>
  </r>
  <r>
    <s v="002"/>
    <s v="FARMACIA DE CIRUGIA                               "/>
    <x v="2"/>
    <x v="2"/>
    <s v="XA000090"/>
    <s v="VENDAJE PARA CICATRIZACION MEPILEX BORDER POST OP 10X20CM REF 496405"/>
    <s v=""/>
    <s v=""/>
    <s v="006"/>
    <s v="Unidad"/>
    <s v=""/>
    <n v="6"/>
    <n v="77163.733333333323"/>
    <n v="462982.40000000002"/>
  </r>
  <r>
    <s v="008"/>
    <s v="ALMACEN  GENERAL                                         "/>
    <x v="10"/>
    <x v="10"/>
    <s v="AD000053"/>
    <s v="IMPERMEABLE PANTALON Y CHAQUETA"/>
    <s v=""/>
    <s v=""/>
    <s v="006"/>
    <s v="Unidad"/>
    <s v=""/>
    <n v="6"/>
    <n v="87228.496666666659"/>
    <n v="523370.98"/>
  </r>
  <r>
    <s v="008"/>
    <s v="ALMACEN  GENERAL                                         "/>
    <x v="1"/>
    <x v="1"/>
    <s v="AM000200"/>
    <s v="PAPEL PARA EQUIPO STERIVAC REF 1217"/>
    <s v=""/>
    <s v=""/>
    <s v="006"/>
    <s v="Unidad"/>
    <s v=""/>
    <n v="6"/>
    <n v="99960"/>
    <n v="599760"/>
  </r>
  <r>
    <s v="008"/>
    <s v="ALMACEN  GENERAL                                         "/>
    <x v="1"/>
    <x v="1"/>
    <s v="AM000386"/>
    <s v="TALLIMETRO EN ACRILICO"/>
    <s v=""/>
    <s v=""/>
    <s v="006"/>
    <s v="Unidad"/>
    <s v=""/>
    <n v="6"/>
    <n v="113050"/>
    <n v="678300"/>
  </r>
  <r>
    <s v="006"/>
    <s v="ALMACEN MEDICOQUIRURGICOS   "/>
    <x v="2"/>
    <x v="2"/>
    <s v="XD000084"/>
    <s v="MANTA QUIRURGICA CARDIACA 63500"/>
    <s v=""/>
    <s v=""/>
    <s v="006"/>
    <s v="Unidad"/>
    <s v=""/>
    <n v="6"/>
    <n v="132235.43700000001"/>
    <n v="793412.62199999997"/>
  </r>
  <r>
    <s v="043"/>
    <s v="BODEGA DE CENTRAL DE MEZCLAS"/>
    <x v="0"/>
    <x v="0"/>
    <s v="19932754-03"/>
    <s v="SODIO CLORURO 0.9 % Solución Inyectable x 250 ml"/>
    <s v=""/>
    <s v=""/>
    <s v=""/>
    <s v=""/>
    <s v="0.9 % - 250 ML"/>
    <n v="6"/>
    <n v="142511.84"/>
    <n v="855071.04"/>
  </r>
  <r>
    <s v="006"/>
    <s v="ALMACEN MEDICOQUIRURGICOS   "/>
    <x v="2"/>
    <x v="2"/>
    <s v="XT000040"/>
    <s v="TUBO ENDOBRONQUIAL 35FR SIN CPAP IZQUIERDO/35FR"/>
    <s v=""/>
    <s v=""/>
    <s v="006"/>
    <s v="Unidad"/>
    <s v=""/>
    <n v="6"/>
    <n v="201306.78571428571"/>
    <n v="1207840.7142857143"/>
  </r>
  <r>
    <s v="008"/>
    <s v="ALMACEN  GENERAL                                         "/>
    <x v="1"/>
    <x v="1"/>
    <s v="AM000360"/>
    <s v="PLASTILINA TERAPEUTICA X LIBRA"/>
    <s v=""/>
    <s v=""/>
    <s v="006"/>
    <s v="Unidad"/>
    <s v=""/>
    <n v="6"/>
    <n v="205000"/>
    <n v="1230000"/>
  </r>
  <r>
    <s v="008"/>
    <s v="ALMACEN  GENERAL                                         "/>
    <x v="1"/>
    <x v="1"/>
    <s v="AM000030"/>
    <s v="SENSOR DE SPO2 ADULTO NELLCOR CORTO"/>
    <s v=""/>
    <s v=""/>
    <s v="006"/>
    <s v="Unidad"/>
    <s v=""/>
    <n v="6"/>
    <n v="209674.91666666669"/>
    <n v="1258049.5"/>
  </r>
  <r>
    <s v="052"/>
    <s v="CONSIGNACION LM INSTRUMENS S.A"/>
    <x v="2"/>
    <x v="2"/>
    <s v="XC000036"/>
    <s v="INYECTOR DE ESCLEROTERAPIA   M00518301                                                "/>
    <s v=""/>
    <s v=""/>
    <s v="006"/>
    <s v="Unidad"/>
    <s v=""/>
    <n v="6"/>
    <n v="303183.3854545455"/>
    <n v="1819100.3127272727"/>
  </r>
  <r>
    <s v="005"/>
    <s v="ALMACEN MEDICAMENTOS"/>
    <x v="4"/>
    <x v="4"/>
    <s v="201181-01"/>
    <s v="DESFLURANO  Solución para inhalación Fco 240mL"/>
    <s v=""/>
    <s v=""/>
    <s v=""/>
    <s v=""/>
    <s v="240mL"/>
    <n v="6"/>
    <n v="315220.08333333331"/>
    <n v="1891320.5"/>
  </r>
  <r>
    <s v="006"/>
    <s v="ALMACEN MEDICOQUIRURGICOS   "/>
    <x v="2"/>
    <x v="2"/>
    <s v="XD000443"/>
    <s v="MALLA 3D MAX  M BAJA DENSIDAD HERNIA DERECHA 7.9 X 13.4  REF 0117320"/>
    <s v=""/>
    <s v=""/>
    <s v="006"/>
    <s v="Unidad"/>
    <s v=""/>
    <n v="6"/>
    <n v="320339.66666666663"/>
    <n v="1922038"/>
  </r>
  <r>
    <s v="008"/>
    <s v="ALMACEN  GENERAL                                         "/>
    <x v="1"/>
    <x v="1"/>
    <s v="AM000220"/>
    <s v="INFUSOR DE 1000ML REUSABLE REF  5275"/>
    <s v=""/>
    <s v=""/>
    <s v="006"/>
    <s v="Unidad"/>
    <s v=""/>
    <n v="6"/>
    <n v="327250.16666666663"/>
    <n v="1963501"/>
  </r>
  <r>
    <s v="002"/>
    <s v="FARMACIA DE CIRUGIA                               "/>
    <x v="2"/>
    <x v="2"/>
    <s v="XS000051"/>
    <s v="RECARGA GIA 80 3.8 MM GI8038L X 1"/>
    <s v=""/>
    <s v=""/>
    <s v="006"/>
    <s v="Unidad"/>
    <s v=""/>
    <n v="6"/>
    <n v="357289.31899999996"/>
    <n v="2143735.9139999999"/>
  </r>
  <r>
    <s v="006"/>
    <s v="ALMACEN MEDICOQUIRURGICOS   "/>
    <x v="2"/>
    <x v="2"/>
    <s v="XS000048"/>
    <s v="RECARGA ENDOGIA ARTICULAR 60AVM VASCULAR"/>
    <s v=""/>
    <s v=""/>
    <s v="006"/>
    <s v="Unidad"/>
    <s v=""/>
    <n v="6"/>
    <n v="607441.23294117651"/>
    <n v="3644647.3976470586"/>
  </r>
  <r>
    <s v="048"/>
    <s v="CONSIGNACION FRIDEN"/>
    <x v="2"/>
    <x v="2"/>
    <s v="XS000048"/>
    <s v="RECARGA ENDOGIA ARTICULAR 60AVM VASCULAR"/>
    <s v=""/>
    <s v=""/>
    <s v="006"/>
    <s v="Unidad"/>
    <s v=""/>
    <n v="6"/>
    <n v="607441.23294117651"/>
    <n v="3644647.3976470586"/>
  </r>
  <r>
    <s v="002"/>
    <s v="FARMACIA DE CIRUGIA                               "/>
    <x v="2"/>
    <x v="2"/>
    <s v="XS000044"/>
    <s v="RECARGA ENDO GIA 60 MM ARTICULADA MEDIANA REF.EGIA60AMT"/>
    <s v=""/>
    <s v=""/>
    <s v="006"/>
    <s v="Unidad"/>
    <s v=""/>
    <n v="6"/>
    <n v="654782.09666666668"/>
    <n v="3928692.58"/>
  </r>
  <r>
    <s v="006"/>
    <s v="ALMACEN MEDICOQUIRURGICOS   "/>
    <x v="2"/>
    <x v="2"/>
    <s v="XS000023"/>
    <s v="GRAPADORA LINEAL CORTANTE GIA80-3.8 GIA8038S X 1"/>
    <s v=""/>
    <s v=""/>
    <s v="006"/>
    <s v="Unidad"/>
    <s v=""/>
    <n v="6"/>
    <n v="727616.76857142861"/>
    <n v="4365700.6114285719"/>
  </r>
  <r>
    <s v="052"/>
    <s v="CONSIGNACION LM INSTRUMENS S.A"/>
    <x v="2"/>
    <x v="2"/>
    <s v="XD000049"/>
    <s v="EXTRACTORA DE CALCULOS PRO XL 12-15 REF M00547110 B-V433P-A"/>
    <s v=""/>
    <s v=""/>
    <s v="006"/>
    <s v="Unidad"/>
    <s v=""/>
    <n v="6"/>
    <n v="813809.10399999993"/>
    <n v="4882854.6239999998"/>
  </r>
  <r>
    <s v="002"/>
    <s v="FARMACIA DE CIRUGIA                               "/>
    <x v="2"/>
    <x v="2"/>
    <s v="XS000043"/>
    <s v="RECARGA ENDO GIA 45 MM ARTICULAR EGIA45AMT X 1"/>
    <s v=""/>
    <s v=""/>
    <s v="006"/>
    <s v="Unidad"/>
    <s v=""/>
    <n v="6"/>
    <n v="920191.51"/>
    <n v="5521149.0599999996"/>
  </r>
  <r>
    <s v="006"/>
    <s v="ALMACEN MEDICOQUIRURGICOS   "/>
    <x v="2"/>
    <x v="2"/>
    <s v="XS000043"/>
    <s v="RECARGA ENDO GIA 45 MM ARTICULAR EGIA45AMT X 1"/>
    <s v=""/>
    <s v=""/>
    <s v="006"/>
    <s v="Unidad"/>
    <s v=""/>
    <n v="6"/>
    <n v="920191.51"/>
    <n v="5521149.0599999996"/>
  </r>
  <r>
    <s v="001"/>
    <s v="FARMACIA CENTRAL                                  "/>
    <x v="0"/>
    <x v="0"/>
    <s v="214251-07"/>
    <s v="LORATADINA 10 mg Tableta"/>
    <s v=""/>
    <s v=""/>
    <s v=""/>
    <s v=""/>
    <s v="10 mg"/>
    <n v="7"/>
    <n v="53.074179104477608"/>
    <n v="371.51925373133997"/>
  </r>
  <r>
    <s v="001"/>
    <s v="FARMACIA CENTRAL                                  "/>
    <x v="2"/>
    <x v="2"/>
    <s v="XD000145"/>
    <s v="SONDA NELATON # 6 (UREATRAL)*1"/>
    <s v=""/>
    <s v=""/>
    <s v="006"/>
    <s v="Unidad"/>
    <s v=""/>
    <n v="7"/>
    <n v="446.59574468085106"/>
    <n v="3126.1702127659601"/>
  </r>
  <r>
    <s v="001"/>
    <s v="FARMACIA CENTRAL                                  "/>
    <x v="6"/>
    <x v="6"/>
    <s v="19989418-01"/>
    <s v="HIDROMORFONA CLORHIDRATO 2.5 mg _x000a_Tableta"/>
    <s v=""/>
    <s v=""/>
    <s v=""/>
    <s v=""/>
    <s v="2.5mg"/>
    <n v="7"/>
    <n v="615.98"/>
    <n v="4311.8599999999997"/>
  </r>
  <r>
    <s v="002"/>
    <s v="FARMACIA DE CIRUGIA                               "/>
    <x v="2"/>
    <x v="2"/>
    <s v="XG000050"/>
    <s v="AGUJA HIPODERMICA 30G X 1"/>
    <s v=""/>
    <s v=""/>
    <s v="006"/>
    <s v="Unidad"/>
    <s v=""/>
    <n v="7"/>
    <n v="808.70714285714291"/>
    <n v="5660.95"/>
  </r>
  <r>
    <s v="015"/>
    <s v="CARRO DE PARO HEMODINAMIA                     "/>
    <x v="0"/>
    <x v="0"/>
    <s v="20032463-03"/>
    <s v="ADRENALINA Solución inyectable 1 mg / ml"/>
    <s v=""/>
    <s v=""/>
    <s v=""/>
    <s v=""/>
    <s v="1 mg / ml"/>
    <n v="7"/>
    <n v="868.85911602209944"/>
    <n v="6082.0138121546997"/>
  </r>
  <r>
    <s v="001"/>
    <s v="FARMACIA CENTRAL                                  "/>
    <x v="0"/>
    <x v="0"/>
    <s v="19940343-02"/>
    <s v="MESALAZINA 500 mg Tableta de liberación retardada"/>
    <s v=""/>
    <s v=""/>
    <s v=""/>
    <s v=""/>
    <s v="500 mg"/>
    <n v="7"/>
    <n v="1240.4666666666667"/>
    <n v="8683.2666666666701"/>
  </r>
  <r>
    <s v="026"/>
    <s v="CARRO DE PARO TERCER PISO                         "/>
    <x v="0"/>
    <x v="0"/>
    <s v="20004032-04"/>
    <s v="SODIO BICARBONATO 10 meq / 10 ml Solución inyectable"/>
    <s v=""/>
    <s v=""/>
    <s v=""/>
    <s v=""/>
    <s v="10 meq / 10 ml"/>
    <n v="7"/>
    <n v="1970.5454545454545"/>
    <n v="13793.81818181818"/>
  </r>
  <r>
    <s v="001"/>
    <s v="FARMACIA CENTRAL                                  "/>
    <x v="2"/>
    <x v="2"/>
    <s v="XJ000005"/>
    <s v="CATETERES PERIFERICOS INTRAVENOSOS INSYTE #16*50"/>
    <s v=""/>
    <s v=""/>
    <s v="006"/>
    <s v="Unidad"/>
    <s v=""/>
    <n v="7"/>
    <n v="1999.3788311688313"/>
    <n v="13995.651818181819"/>
  </r>
  <r>
    <s v="008"/>
    <s v="ALMACEN  GENERAL                                         "/>
    <x v="5"/>
    <x v="5"/>
    <s v="AP000027"/>
    <s v="ORDEN DE SALIDA"/>
    <s v=""/>
    <s v=""/>
    <s v="006"/>
    <s v="Unidad"/>
    <s v=""/>
    <n v="7"/>
    <n v="2000"/>
    <n v="14000"/>
  </r>
  <r>
    <s v="008"/>
    <s v="ALMACEN  GENERAL                                         "/>
    <x v="5"/>
    <x v="5"/>
    <s v="AP000099"/>
    <s v="TINTA CHINA NEGRA 30 CC"/>
    <s v=""/>
    <s v=""/>
    <s v="006"/>
    <s v="Unidad"/>
    <s v=""/>
    <n v="7"/>
    <n v="2618"/>
    <n v="18326"/>
  </r>
  <r>
    <s v="006"/>
    <s v="ALMACEN MEDICOQUIRURGICOS   "/>
    <x v="2"/>
    <x v="2"/>
    <s v="XT000044"/>
    <s v="TUBO ENDOTRAQUEAL # 5.5-C/B X1"/>
    <s v=""/>
    <s v=""/>
    <s v="006"/>
    <s v="Unidad"/>
    <s v=""/>
    <n v="7"/>
    <n v="2900"/>
    <n v="20300"/>
  </r>
  <r>
    <s v="005"/>
    <s v="ALMACEN MEDICAMENTOS"/>
    <x v="0"/>
    <x v="0"/>
    <s v="20096492-01"/>
    <s v="OXIMETAZOLINA 0.05 % Solución nasal 15 ML"/>
    <s v=""/>
    <s v=""/>
    <s v=""/>
    <s v=""/>
    <s v="0.05 % - 15 ml"/>
    <n v="7"/>
    <n v="3067"/>
    <n v="21469"/>
  </r>
  <r>
    <s v="006"/>
    <s v="ALMACEN MEDICOQUIRURGICOS   "/>
    <x v="2"/>
    <x v="2"/>
    <s v="XD000121"/>
    <s v="SONDA FOLEY 16 X 30 DE 2 VIAS"/>
    <s v=""/>
    <s v=""/>
    <s v="006"/>
    <s v="Unidad"/>
    <s v=""/>
    <n v="7"/>
    <n v="3095.4549999999999"/>
    <n v="21668.185000000001"/>
  </r>
  <r>
    <s v="001"/>
    <s v="FARMACIA CENTRAL                                  "/>
    <x v="0"/>
    <x v="0"/>
    <s v="1A1014821001100"/>
    <s v="AMIODARONA 150 mg / 3ml Solución Inyectable"/>
    <s v=""/>
    <s v=""/>
    <s v=""/>
    <s v=""/>
    <s v="150 mg / 3ml"/>
    <n v="7"/>
    <n v="3166"/>
    <n v="22162"/>
  </r>
  <r>
    <s v="002"/>
    <s v="FARMACIA DE CIRUGIA                               "/>
    <x v="6"/>
    <x v="6"/>
    <s v="20008613-01"/>
    <s v="MEPERIDINA CLORHIDRATO 100 mg / 2 ml Solución Inyectable"/>
    <s v=""/>
    <s v=""/>
    <s v=""/>
    <s v=""/>
    <s v="100 mg / 2 ml"/>
    <n v="7"/>
    <n v="3260.375"/>
    <n v="22822.625"/>
  </r>
  <r>
    <s v="059"/>
    <s v="BODEGA CUARENTENA"/>
    <x v="6"/>
    <x v="6"/>
    <s v="20008613-01"/>
    <s v="MEPERIDINA CLORHIDRATO 100 mg / 2 ml Solución Inyectable"/>
    <s v=""/>
    <s v=""/>
    <s v=""/>
    <s v=""/>
    <s v="100 mg / 2 ml"/>
    <n v="7"/>
    <n v="3260.375"/>
    <n v="22822.625"/>
  </r>
  <r>
    <s v="001"/>
    <s v="FARMACIA CENTRAL                                  "/>
    <x v="0"/>
    <x v="0"/>
    <s v="1982542-01"/>
    <s v="DICLOFENACO SODICO 1% Gel Tópico "/>
    <s v=""/>
    <s v=""/>
    <s v=""/>
    <s v=""/>
    <s v="1 %"/>
    <n v="7"/>
    <n v="3889.1462962962964"/>
    <n v="27224.02407407407"/>
  </r>
  <r>
    <s v="015"/>
    <s v="CARRO DE PARO HEMODINAMIA                     "/>
    <x v="0"/>
    <x v="0"/>
    <s v="19992832-03"/>
    <s v="AMIODARONA 150 mg / 3ml Solución Inyectable "/>
    <s v=""/>
    <s v=""/>
    <s v=""/>
    <s v=""/>
    <s v="150 mg / 3ml"/>
    <n v="7"/>
    <n v="3894.9839393939396"/>
    <n v="27264.887575757581"/>
  </r>
  <r>
    <s v="005"/>
    <s v="ALMACEN MEDICAMENTOS"/>
    <x v="0"/>
    <x v="0"/>
    <s v="19974149-02"/>
    <s v="HALOPERIDOL 2 mg / ml Solución Oral"/>
    <s v=""/>
    <s v=""/>
    <s v=""/>
    <s v=""/>
    <s v="2 mg / ml - 15 ml"/>
    <n v="7"/>
    <n v="4109.090909090909"/>
    <n v="28763.63636363636"/>
  </r>
  <r>
    <s v="006"/>
    <s v="ALMACEN MEDICOQUIRURGICOS   "/>
    <x v="2"/>
    <x v="2"/>
    <s v="XT000036"/>
    <s v="TUBO DE TORAX # 30 *1 CATETER"/>
    <s v=""/>
    <s v=""/>
    <s v="006"/>
    <s v="Unidad"/>
    <s v=""/>
    <n v="7"/>
    <n v="4187"/>
    <n v="29309"/>
  </r>
  <r>
    <s v="008"/>
    <s v="ALMACEN  GENERAL                                         "/>
    <x v="1"/>
    <x v="1"/>
    <s v="AM000011"/>
    <s v="PAPEL PARA DESFIBRILADOR HP MODEL.CODE MASTER REF 1005020"/>
    <s v=""/>
    <s v=""/>
    <s v="006"/>
    <s v="Unidad"/>
    <s v=""/>
    <n v="7"/>
    <n v="4555.9142857142851"/>
    <n v="31891.4"/>
  </r>
  <r>
    <s v="002"/>
    <s v="FARMACIA DE CIRUGIA                               "/>
    <x v="0"/>
    <x v="0"/>
    <s v="19927243-01"/>
    <s v="METILPREDNISOLONA ACETATO 40 mg Polvo para reconstituir a solución Inyección 1 ML"/>
    <s v=""/>
    <s v=""/>
    <s v=""/>
    <s v=""/>
    <s v="40 mg"/>
    <n v="7"/>
    <n v="4953.2514285714287"/>
    <n v="34672.76"/>
  </r>
  <r>
    <s v="002"/>
    <s v="FARMACIA DE CIRUGIA                               "/>
    <x v="2"/>
    <x v="2"/>
    <s v="XS000133"/>
    <s v="SUTURA QUIRURGICA NO ABSORBIBLE SEDA PERMAHAND 2/0 K833H SH X3 DOCENAS"/>
    <s v=""/>
    <s v=""/>
    <s v="006"/>
    <s v="Unidad"/>
    <s v=""/>
    <n v="7"/>
    <n v="5912"/>
    <n v="41384"/>
  </r>
  <r>
    <s v="005"/>
    <s v="ALMACEN MEDICAMENTOS"/>
    <x v="0"/>
    <x v="0"/>
    <s v="20001727-2"/>
    <s v="BETAMETASONA FOSFATO + BETAMETASONA ACETATO 3 + 3 mg /ml Solución inyectable-RETARD"/>
    <s v=""/>
    <s v=""/>
    <s v=""/>
    <s v=""/>
    <s v="3 + 3 mg /ml"/>
    <n v="7"/>
    <n v="6329"/>
    <n v="44303"/>
  </r>
  <r>
    <s v="001"/>
    <s v="FARMACIA CENTRAL                                  "/>
    <x v="0"/>
    <x v="0"/>
    <s v="20084123-01"/>
    <s v="BECLOMETASONA DIPROPIONATO 250 mcg / Puff Suspensión para inhalación 200 Dosis"/>
    <s v=""/>
    <s v=""/>
    <s v=""/>
    <s v=""/>
    <s v="200 puff"/>
    <n v="7"/>
    <n v="6999.5883333333331"/>
    <n v="48997.118333333332"/>
  </r>
  <r>
    <s v="002"/>
    <s v="FARMACIA DE CIRUGIA                               "/>
    <x v="2"/>
    <x v="2"/>
    <s v="XS000087"/>
    <s v="SUTURA DE POLIESTERETHIBOND 2/0(B411H-CT1)B411H X3 DOCENAS"/>
    <s v=""/>
    <s v=""/>
    <s v="006"/>
    <s v="Unidad"/>
    <s v=""/>
    <n v="7"/>
    <n v="7002"/>
    <n v="49014"/>
  </r>
  <r>
    <s v="001"/>
    <s v="FARMACIA CENTRAL                                  "/>
    <x v="0"/>
    <x v="0"/>
    <s v="27190-03"/>
    <s v="INSULINA ZINC NPH 100 UI / ml Suspensión inyectable x 10 ml"/>
    <s v=""/>
    <s v=""/>
    <s v=""/>
    <s v=""/>
    <s v="100 UI / ml - 10 ml"/>
    <n v="7"/>
    <n v="7108"/>
    <n v="49756"/>
  </r>
  <r>
    <s v="002"/>
    <s v="FARMACIA DE CIRUGIA                               "/>
    <x v="0"/>
    <x v="0"/>
    <s v="20179253-2"/>
    <s v="ACETAMINOFEN 1000 mg / 6.7 ml Sol Inyectable"/>
    <s v=""/>
    <s v=""/>
    <s v=""/>
    <s v=""/>
    <s v="1000mg/100ml"/>
    <n v="7"/>
    <n v="7201.4065725806449"/>
    <n v="50409.846008064524"/>
  </r>
  <r>
    <s v="006"/>
    <s v="ALMACEN MEDICOQUIRURGICOS   "/>
    <x v="2"/>
    <x v="2"/>
    <s v="XE000012"/>
    <s v="EQUIPO PARA ADMINISTRACION DE PLAQUETAS"/>
    <s v=""/>
    <s v=""/>
    <s v="006"/>
    <s v="Unidad"/>
    <s v=""/>
    <n v="7"/>
    <n v="7608.4736842105258"/>
    <n v="53259.31578947368"/>
  </r>
  <r>
    <s v="001"/>
    <s v="FARMACIA CENTRAL                                  "/>
    <x v="2"/>
    <x v="2"/>
    <s v="XS000122"/>
    <s v="SUTURA QUIRURGICA MONOFILAMENTE ESTERIL SINTETICO NO ABSORBIBLE 5/0(1398T E13)P8698TP3 X2 DOCENAS"/>
    <s v=""/>
    <s v=""/>
    <s v="006"/>
    <s v="Unidad"/>
    <s v=""/>
    <n v="7"/>
    <n v="8377.6663636363628"/>
    <n v="58643.664545454551"/>
  </r>
  <r>
    <s v="008"/>
    <s v="ALMACEN  GENERAL                                         "/>
    <x v="9"/>
    <x v="9"/>
    <s v="AM000323"/>
    <s v="CEPILLO PARA LIMPIEZA  INSTRUMENTAL ENDO BRUSH REF 345EBS"/>
    <s v=""/>
    <s v=""/>
    <s v="006"/>
    <s v="Unidad"/>
    <s v=""/>
    <n v="7"/>
    <n v="9712.3685714285712"/>
    <n v="67986.58"/>
  </r>
  <r>
    <s v="002"/>
    <s v="FARMACIA DE CIRUGIA                               "/>
    <x v="0"/>
    <x v="0"/>
    <s v="39002-03"/>
    <s v="LIDOCAINA CLORHIDRATO 2 % Jalea 30 ML"/>
    <s v=""/>
    <s v=""/>
    <s v=""/>
    <s v=""/>
    <s v="2 % - 30 ml"/>
    <n v="7"/>
    <n v="9728.7152252252235"/>
    <n v="68101.006576576576"/>
  </r>
  <r>
    <s v="001"/>
    <s v="FARMACIA CENTRAL                                  "/>
    <x v="0"/>
    <x v="0"/>
    <s v="29517-01"/>
    <s v="DEXTROSA EN AGUA DESTILADA 50%  Solución Inyectable 500 ml"/>
    <s v=""/>
    <s v=""/>
    <s v=""/>
    <s v=""/>
    <s v="50 % - 500 ml"/>
    <n v="7"/>
    <n v="10404.861842105262"/>
    <n v="72834.03289473684"/>
  </r>
  <r>
    <s v="001"/>
    <s v="FARMACIA CENTRAL                                  "/>
    <x v="0"/>
    <x v="0"/>
    <s v="19990590-16"/>
    <s v="METILPREDNISOLONA SUCCINATO 500 "/>
    <s v=""/>
    <s v=""/>
    <s v=""/>
    <s v=""/>
    <s v="500 mg"/>
    <n v="7"/>
    <n v="13085.133076923077"/>
    <n v="91595.931538461533"/>
  </r>
  <r>
    <s v="001"/>
    <s v="FARMACIA CENTRAL                                  "/>
    <x v="2"/>
    <x v="2"/>
    <s v="XS000102"/>
    <s v="SUTURA QUIRURGICA ABSORBIBLE VICRYL 5/0(J113G-E13)JP493G-P3 X1DOCENA"/>
    <s v=""/>
    <s v=""/>
    <s v="006"/>
    <s v="Unidad"/>
    <s v=""/>
    <n v="7"/>
    <n v="13757.371714285715"/>
    <n v="96301.601999999999"/>
  </r>
  <r>
    <s v="001"/>
    <s v="FARMACIA CENTRAL                                  "/>
    <x v="4"/>
    <x v="4"/>
    <s v="19928346-01"/>
    <s v="FONDAPARINUX SODICA Solución inyectable 2.5 mg / 05 ml"/>
    <s v=""/>
    <s v=""/>
    <s v=""/>
    <s v=""/>
    <s v="2.5 mg / 05 ml"/>
    <n v="7"/>
    <n v="13880.781818181818"/>
    <n v="97165.472727272718"/>
  </r>
  <r>
    <s v="006"/>
    <s v="ALMACEN MEDICOQUIRURGICOS   "/>
    <x v="2"/>
    <x v="2"/>
    <s v="XS000117"/>
    <s v="SUTURA QUIRURGICA MONOFILAMENTE ESTERIL SINTETICO NO ABSORBIBLE 3/0 8522T SH X2 DOCENAS C.V."/>
    <s v=""/>
    <s v=""/>
    <s v="006"/>
    <s v="Unidad"/>
    <s v=""/>
    <n v="7"/>
    <n v="14024.245185185186"/>
    <n v="98169.716296296305"/>
  </r>
  <r>
    <s v="001"/>
    <s v="FARMACIA CENTRAL                                  "/>
    <x v="14"/>
    <x v="14"/>
    <s v="130106"/>
    <s v="ALIMENTO OLIGOMERICO HIPERCALORICO VITAL 1.5 KCAL 220 ML"/>
    <s v=""/>
    <s v=""/>
    <s v=""/>
    <s v=""/>
    <s v="220 ML"/>
    <n v="7"/>
    <n v="14169.398064516128"/>
    <n v="99185.786451612905"/>
  </r>
  <r>
    <s v="008"/>
    <s v="ALMACEN  GENERAL                                         "/>
    <x v="1"/>
    <x v="1"/>
    <s v="AM000328"/>
    <s v="BOQUILLA DE GASTRO DESECHABLE"/>
    <s v=""/>
    <s v=""/>
    <s v="006"/>
    <s v="Unidad"/>
    <s v=""/>
    <n v="7"/>
    <n v="15036.862857142858"/>
    <n v="105258.04"/>
  </r>
  <r>
    <s v="006"/>
    <s v="ALMACEN MEDICOQUIRURGICOS   "/>
    <x v="2"/>
    <x v="2"/>
    <s v="XD000015"/>
    <s v="BOLSA PARA  UROSTOMIA CON VALVULA  NATURA 45 MM REF 401544-404593"/>
    <s v=""/>
    <s v=""/>
    <s v="006"/>
    <s v="Unidad"/>
    <s v=""/>
    <n v="7"/>
    <n v="15693"/>
    <n v="109851"/>
  </r>
  <r>
    <s v="006"/>
    <s v="ALMACEN MEDICOQUIRURGICOS   "/>
    <x v="2"/>
    <x v="2"/>
    <s v="XS000128"/>
    <s v="SUTURA QUIRURGICA MONOFILAMENTE ESTERIL SINTETICO NO ABSORBIBLE6/0(1397T E11)P8697TP1 X2 DOCENAS"/>
    <s v=""/>
    <s v=""/>
    <s v="006"/>
    <s v="Unidad"/>
    <s v=""/>
    <n v="7"/>
    <n v="16054.317027027026"/>
    <n v="112380.2191891892"/>
  </r>
  <r>
    <s v="002"/>
    <s v="FARMACIA DE CIRUGIA                               "/>
    <x v="6"/>
    <x v="6"/>
    <s v="49510-06."/>
    <s v="KETAMINA CLORHIDRATO 500 mg / 10ml Solución inyectable"/>
    <s v=""/>
    <s v=""/>
    <s v=""/>
    <s v=""/>
    <s v="500 mg / 10ml "/>
    <n v="7"/>
    <n v="18562"/>
    <n v="129934"/>
  </r>
  <r>
    <s v="059"/>
    <s v="BODEGA CUARENTENA"/>
    <x v="6"/>
    <x v="6"/>
    <s v="49510-06."/>
    <s v="KETAMINA CLORHIDRATO 500 mg / 10ml Solución inyectable"/>
    <s v=""/>
    <s v=""/>
    <s v=""/>
    <s v=""/>
    <s v="500 mg / 10ml "/>
    <n v="7"/>
    <n v="18562"/>
    <n v="129934"/>
  </r>
  <r>
    <s v="001"/>
    <s v="FARMACIA CENTRAL                                  "/>
    <x v="0"/>
    <x v="0"/>
    <s v="1P1039971001100"/>
    <s v="PROTAMINA CLORHIDRATO  50 MG/5ML Solución Inyectable"/>
    <s v=""/>
    <s v=""/>
    <s v=""/>
    <s v=""/>
    <s v="5000 UI / 5 ml"/>
    <n v="7"/>
    <n v="18750"/>
    <n v="131250"/>
  </r>
  <r>
    <s v="008"/>
    <s v="ALMACEN  GENERAL                                         "/>
    <x v="1"/>
    <x v="1"/>
    <s v="AM000005"/>
    <s v="PERA TENSIOMETRO"/>
    <s v=""/>
    <s v=""/>
    <s v="006"/>
    <s v="Unidad"/>
    <s v=""/>
    <n v="7"/>
    <n v="19040"/>
    <n v="133280"/>
  </r>
  <r>
    <s v="002"/>
    <s v="FARMACIA DE CIRUGIA                               "/>
    <x v="0"/>
    <x v="0"/>
    <s v="19954947-10"/>
    <s v="AGUA ESTERIL PARA IRRIGACION 3000 ml"/>
    <s v=""/>
    <s v=""/>
    <s v=""/>
    <s v=""/>
    <s v="3000 ml"/>
    <n v="7"/>
    <n v="19312.63109090909"/>
    <n v="135188.41763636365"/>
  </r>
  <r>
    <s v="008"/>
    <s v="ALMACEN  GENERAL                                         "/>
    <x v="1"/>
    <x v="1"/>
    <s v="AM000223"/>
    <s v="MASCARA LARINGEA DESECHABLE 1.0 A 5.0"/>
    <s v=""/>
    <s v=""/>
    <s v="006"/>
    <s v="Unidad"/>
    <s v=""/>
    <n v="7"/>
    <n v="20138.673076923078"/>
    <n v="140970.71153846153"/>
  </r>
  <r>
    <s v="002"/>
    <s v="FARMACIA DE CIRUGIA                               "/>
    <x v="2"/>
    <x v="2"/>
    <s v="XS000034"/>
    <s v="HEMOCLIP PLUS MEDIUM AZUL T 125 C X 10 CARTUCHOS"/>
    <s v=""/>
    <s v=""/>
    <s v="006"/>
    <s v="Unidad"/>
    <s v=""/>
    <n v="7"/>
    <n v="22027.811764705883"/>
    <n v="154194.68235294119"/>
  </r>
  <r>
    <s v="001"/>
    <s v="FARMACIA CENTRAL                                  "/>
    <x v="4"/>
    <x v="4"/>
    <s v="19950479-19"/>
    <s v="INSULINA GLULISINA 100 UI / ml Solución inyectable lapiz x 3mL"/>
    <s v=""/>
    <s v=""/>
    <s v=""/>
    <s v=""/>
    <s v="100 UI /ml Pen 3mL"/>
    <n v="7"/>
    <n v="23765.34"/>
    <n v="166357.38"/>
  </r>
  <r>
    <s v="001"/>
    <s v="FARMACIA CENTRAL                                  "/>
    <x v="2"/>
    <x v="2"/>
    <s v="XA000112"/>
    <s v="APOSITO PARA HERIDAS MEPILEX BORDER FLEX 10X10 CM REF 595300"/>
    <s v=""/>
    <s v=""/>
    <s v="006"/>
    <s v="Unidad"/>
    <s v=""/>
    <n v="7"/>
    <n v="26442.580645161292"/>
    <n v="185098.06451612903"/>
  </r>
  <r>
    <s v="006"/>
    <s v="ALMACEN MEDICOQUIRURGICOS   "/>
    <x v="2"/>
    <x v="2"/>
    <s v="XD000008"/>
    <s v="BARRERA DE COLOSTOMIA Y   MOLDEABLE CONVEXA NATURA DE 57 MM REF 404594-401545"/>
    <s v=""/>
    <s v=""/>
    <s v="006"/>
    <s v="Unidad"/>
    <s v=""/>
    <n v="7"/>
    <n v="26450"/>
    <n v="185150"/>
  </r>
  <r>
    <s v="002"/>
    <s v="FARMACIA DE CIRUGIA                               "/>
    <x v="2"/>
    <x v="2"/>
    <s v="XA000030"/>
    <s v="ESPONJA HEMOSTATICA DE COLAGENO GELFOAM ESPONJA ESTERIL SZ12 12CM "/>
    <s v=""/>
    <s v=""/>
    <s v="006"/>
    <s v="Unidad"/>
    <s v=""/>
    <n v="7"/>
    <n v="28080.865121951221"/>
    <n v="196566.05585365856"/>
  </r>
  <r>
    <s v="006"/>
    <s v="ALMACEN MEDICOQUIRURGICOS   "/>
    <x v="2"/>
    <x v="2"/>
    <s v="XT000008"/>
    <s v="CANULA PARA TRAQUEOTOMIA #8.0 X 1 PORTEX"/>
    <s v=""/>
    <s v=""/>
    <s v="006"/>
    <s v="Unidad"/>
    <s v=""/>
    <n v="7"/>
    <n v="28220.3"/>
    <n v="197542.1"/>
  </r>
  <r>
    <s v="001"/>
    <s v="FARMACIA CENTRAL                                  "/>
    <x v="14"/>
    <x v="14"/>
    <s v="150306"/>
    <s v="FRESUBIN 2 KCAL HP LIQUIDO EASYBAG 500 ML"/>
    <s v=""/>
    <s v=""/>
    <s v=""/>
    <s v=""/>
    <s v="500 ML"/>
    <n v="7"/>
    <n v="29499.503666666667"/>
    <n v="206496.52566666668"/>
  </r>
  <r>
    <s v="001"/>
    <s v="FARMACIA CENTRAL                                  "/>
    <x v="2"/>
    <x v="2"/>
    <s v="XT000069"/>
    <s v="CIRCUITO DE VENTILACION DOBLE RAMA"/>
    <s v=""/>
    <s v=""/>
    <s v="006"/>
    <s v="Unidad"/>
    <s v=""/>
    <n v="7"/>
    <n v="37188.424999999996"/>
    <n v="260318.97500000001"/>
  </r>
  <r>
    <s v="008"/>
    <s v="ALMACEN  GENERAL                                         "/>
    <x v="10"/>
    <x v="10"/>
    <s v="AD000011"/>
    <s v="UNIFORME GRIS  OSCURO 150"/>
    <s v=""/>
    <s v=""/>
    <s v="006"/>
    <s v="Unidad"/>
    <s v=""/>
    <n v="7"/>
    <n v="54000"/>
    <n v="378000"/>
  </r>
  <r>
    <s v="008"/>
    <s v="ALMACEN  GENERAL                                         "/>
    <x v="13"/>
    <x v="13"/>
    <s v="AC000001"/>
    <s v="PAPEL PELICULA VINIPEL X 1500 METROS X 30CMS"/>
    <s v=""/>
    <s v=""/>
    <s v="006"/>
    <s v="Unidad"/>
    <s v=""/>
    <n v="7"/>
    <n v="59774.212857142855"/>
    <n v="418419.49"/>
  </r>
  <r>
    <s v="001"/>
    <s v="FARMACIA CENTRAL                                  "/>
    <x v="0"/>
    <x v="0"/>
    <s v="20138304-3"/>
    <s v="ACIDO GADOTERICO 279 mg/mL  Solución Inyectable Fco 15 mL"/>
    <s v=""/>
    <s v=""/>
    <s v=""/>
    <s v=""/>
    <s v="279 mg/mL"/>
    <n v="7"/>
    <n v="60000"/>
    <n v="420000"/>
  </r>
  <r>
    <s v="001"/>
    <s v="FARMACIA CENTRAL                                  "/>
    <x v="0"/>
    <x v="0"/>
    <s v="49611-01"/>
    <s v="BARIO SULFATO 4.97440 G/100 ML SUSPENSION ORAL BOTELLA X 225"/>
    <s v=""/>
    <s v=""/>
    <s v=""/>
    <s v=""/>
    <s v="225 ML"/>
    <n v="7"/>
    <n v="60455.142857142855"/>
    <n v="423186"/>
  </r>
  <r>
    <s v="001"/>
    <s v="FARMACIA CENTRAL                                  "/>
    <x v="14"/>
    <x v="14"/>
    <s v="140119"/>
    <s v="DIBEN 1,5 KCAL HP LIQUIDO EASYBAG  1000 ML"/>
    <s v=""/>
    <s v=""/>
    <s v=""/>
    <s v=""/>
    <s v="1.5 KCAL/ML"/>
    <n v="7"/>
    <n v="61428.804285714286"/>
    <n v="430001.63"/>
  </r>
  <r>
    <s v="008"/>
    <s v="ALMACEN  GENERAL                                         "/>
    <x v="12"/>
    <x v="12"/>
    <s v="AR000001"/>
    <s v="FORRO PARA COLCHONETA CON CREMALLERA 57X177X8CM"/>
    <s v=""/>
    <s v=""/>
    <s v="006"/>
    <s v="Unidad"/>
    <s v=""/>
    <n v="7"/>
    <n v="62987"/>
    <n v="440909"/>
  </r>
  <r>
    <s v="001"/>
    <s v="FARMACIA CENTRAL                                  "/>
    <x v="2"/>
    <x v="2"/>
    <s v="XA000109"/>
    <s v="VENDAJE PARA CICATRIZACION POST OP MEPILEX 10X15CM REF 496300"/>
    <s v=""/>
    <s v=""/>
    <s v="006"/>
    <s v="Unidad"/>
    <s v=""/>
    <n v="7"/>
    <n v="64308.11538461539"/>
    <n v="450156.80769230769"/>
  </r>
  <r>
    <s v="002"/>
    <s v="FARMACIA DE CIRUGIA                               "/>
    <x v="2"/>
    <x v="2"/>
    <s v="XE000019"/>
    <s v="TRANSDUCTOR DE PRESION 5200 DT-4812/6012 SENCILL"/>
    <s v=""/>
    <s v=""/>
    <s v="006"/>
    <s v="Unidad"/>
    <s v=""/>
    <n v="7"/>
    <n v="76993.137647058829"/>
    <n v="538951.9635294117"/>
  </r>
  <r>
    <s v="001"/>
    <s v="FARMACIA CENTRAL                                  "/>
    <x v="2"/>
    <x v="2"/>
    <s v="XC000021"/>
    <s v="CATETER VENOSO CENTRAL DOBLE LUMEN  (17702) REF 4162200E-07"/>
    <s v=""/>
    <s v=""/>
    <s v="006"/>
    <s v="Unidad"/>
    <s v=""/>
    <n v="7"/>
    <n v="80197.548536585367"/>
    <n v="561382.83975609764"/>
  </r>
  <r>
    <s v="008"/>
    <s v="ALMACEN  GENERAL                                         "/>
    <x v="1"/>
    <x v="1"/>
    <s v="AM000203"/>
    <s v="CAL SODADA INTERSORB  X 4.5 KG"/>
    <s v=""/>
    <s v=""/>
    <s v="006"/>
    <s v="Unidad"/>
    <s v=""/>
    <n v="7"/>
    <n v="91842.642857142855"/>
    <n v="642898.5"/>
  </r>
  <r>
    <s v="008"/>
    <s v="ALMACEN  GENERAL                                         "/>
    <x v="1"/>
    <x v="1"/>
    <s v="AM000127"/>
    <s v="BOMBILLO WELCH ALLYN REF.2800 EQUIPO DE ORGANOS"/>
    <s v=""/>
    <s v=""/>
    <s v="006"/>
    <s v="Unidad"/>
    <s v=""/>
    <n v="7"/>
    <n v="94724"/>
    <n v="663068"/>
  </r>
  <r>
    <s v="006"/>
    <s v="ALMACEN MEDICOQUIRURGICOS   "/>
    <x v="2"/>
    <x v="2"/>
    <s v="XD000265"/>
    <s v="INTRODUCTOR PERCUTANEO SWAN 7.0 FR X1"/>
    <s v=""/>
    <s v=""/>
    <s v="006"/>
    <s v="Unidad"/>
    <s v=""/>
    <n v="7"/>
    <n v="95000"/>
    <n v="665000"/>
  </r>
  <r>
    <s v="001"/>
    <s v="FARMACIA CENTRAL                                  "/>
    <x v="4"/>
    <x v="4"/>
    <s v="19931619-01"/>
    <s v="ERTAPENEM 1g Polvo para reconstituir a solución inyectable "/>
    <s v=""/>
    <s v=""/>
    <s v=""/>
    <s v=""/>
    <s v="1 g"/>
    <n v="7"/>
    <n v="97265.373529411765"/>
    <n v="680857.61470588227"/>
  </r>
  <r>
    <s v="006"/>
    <s v="ALMACEN MEDICOQUIRURGICOS   "/>
    <x v="2"/>
    <x v="2"/>
    <s v="XO000059"/>
    <s v="TORNIQUETE ANTI-HEMORRAGICO "/>
    <s v=""/>
    <s v=""/>
    <s v="006"/>
    <s v="Unidad"/>
    <s v=""/>
    <n v="7"/>
    <n v="111666.71428571429"/>
    <n v="781667"/>
  </r>
  <r>
    <s v="006"/>
    <s v="ALMACEN MEDICOQUIRURGICOS   "/>
    <x v="2"/>
    <x v="2"/>
    <s v="XO000027"/>
    <s v="SISTEMA COMPRESION NEUMATICA INTERMITENTE TALLA M"/>
    <s v=""/>
    <s v=""/>
    <s v="006"/>
    <s v="Unidad"/>
    <s v=""/>
    <n v="7"/>
    <n v="126651.68888888888"/>
    <n v="886561.82222222222"/>
  </r>
  <r>
    <s v="006"/>
    <s v="ALMACEN MEDICOQUIRURGICOS   "/>
    <x v="2"/>
    <x v="2"/>
    <s v="XA000088"/>
    <s v="APOSITO  MEPILEX  MOLNLYCKE AG 15 X 15 REF 287300"/>
    <s v=""/>
    <s v=""/>
    <s v="006"/>
    <s v="Unidad"/>
    <s v=""/>
    <n v="7"/>
    <n v="140199.87282051283"/>
    <n v="981399.10974358977"/>
  </r>
  <r>
    <s v="008"/>
    <s v="ALMACEN  GENERAL                                         "/>
    <x v="1"/>
    <x v="1"/>
    <s v="AM000006"/>
    <s v="SENSOR DE FLUJO  VENT Y MAQ DE ANES DRAGEER REF 8403735-10"/>
    <s v=""/>
    <s v=""/>
    <s v="006"/>
    <s v="Unidad"/>
    <s v=""/>
    <n v="7"/>
    <n v="151820"/>
    <n v="1062740"/>
  </r>
  <r>
    <s v="008"/>
    <s v="ALMACEN  GENERAL                                         "/>
    <x v="12"/>
    <x v="12"/>
    <s v="AR000002"/>
    <s v="FORRO PARA COLCHON CON CREMALLERA 102X206X18 CM"/>
    <s v=""/>
    <s v=""/>
    <s v="006"/>
    <s v="Unidad"/>
    <s v=""/>
    <n v="7"/>
    <n v="167203.57142857142"/>
    <n v="1170425"/>
  </r>
  <r>
    <s v="008"/>
    <s v="ALMACEN  GENERAL                                         "/>
    <x v="1"/>
    <x v="1"/>
    <s v="AM000193"/>
    <s v="ROLLO PLANO DE 7.5CM *100 MT  TYVEK"/>
    <s v=""/>
    <s v=""/>
    <s v="006"/>
    <s v="Unidad"/>
    <s v=""/>
    <n v="7"/>
    <n v="189085.14285714287"/>
    <n v="1323596"/>
  </r>
  <r>
    <s v="008"/>
    <s v="ALMACEN  GENERAL                                         "/>
    <x v="1"/>
    <x v="1"/>
    <s v="AM000226"/>
    <s v="INDICADOR TIRAS MULTIPARAMETROS VAPOR REF RS 1250"/>
    <s v=""/>
    <s v=""/>
    <s v="006"/>
    <s v="Unidad"/>
    <s v=""/>
    <n v="7"/>
    <n v="263610.28571428574"/>
    <n v="1845272"/>
  </r>
  <r>
    <s v="002"/>
    <s v="FARMACIA DE CIRUGIA                               "/>
    <x v="2"/>
    <x v="2"/>
    <s v="XS000050"/>
    <s v="RECARGA GIA 60 -4.8 MM GIA6048L X 1"/>
    <s v=""/>
    <s v=""/>
    <s v="006"/>
    <s v="Unidad"/>
    <s v=""/>
    <n v="7"/>
    <n v="394587.76714285713"/>
    <n v="2762114.37"/>
  </r>
  <r>
    <s v="002"/>
    <s v="FARMACIA DE CIRUGIA                               "/>
    <x v="2"/>
    <x v="2"/>
    <s v="XG000033"/>
    <s v="CUCHILLA PARA DERMATOMO PDGETT X 1"/>
    <s v=""/>
    <s v=""/>
    <s v="006"/>
    <s v="Unidad"/>
    <s v=""/>
    <n v="7"/>
    <n v="396541.71428571426"/>
    <n v="2775792"/>
  </r>
  <r>
    <s v="008"/>
    <s v="ALMACEN  GENERAL                                         "/>
    <x v="1"/>
    <x v="1"/>
    <s v="AM000194"/>
    <s v="ROLLO PLANO DE 25 CM * 100METROS -TYVEK"/>
    <s v=""/>
    <s v=""/>
    <s v="006"/>
    <s v="Unidad"/>
    <s v=""/>
    <n v="7"/>
    <n v="611566.28571428568"/>
    <n v="4280964"/>
  </r>
  <r>
    <s v="001"/>
    <s v="FARMACIA CENTRAL                                  "/>
    <x v="2"/>
    <x v="2"/>
    <s v="XT000028"/>
    <s v="SISTEMA SUCCION ADAPTADOR #14 TRAQUEAL CERRADA LARGA"/>
    <s v=""/>
    <s v=""/>
    <s v="006"/>
    <s v="Unidad"/>
    <s v=""/>
    <n v="8"/>
    <n v="-123798.43206896551"/>
    <n v="-990387.45655172411"/>
  </r>
  <r>
    <s v="002"/>
    <s v="FARMACIA DE CIRUGIA                               "/>
    <x v="2"/>
    <x v="2"/>
    <s v="XA000036"/>
    <s v="GASAS-CIRUGIA-PAQUETE X8 ESTERIL REF0384"/>
    <s v=""/>
    <s v=""/>
    <s v="006"/>
    <s v="Unidad"/>
    <s v=""/>
    <n v="8"/>
    <n v="-89923.92624999999"/>
    <n v="-719391.41"/>
  </r>
  <r>
    <s v="008"/>
    <s v="ALMACEN  GENERAL                                         "/>
    <x v="1"/>
    <x v="1"/>
    <s v="AM000062"/>
    <s v="PILA DOBLE AA"/>
    <s v=""/>
    <s v=""/>
    <s v="006"/>
    <s v="Unidad"/>
    <s v=""/>
    <n v="8"/>
    <n v="223.4"/>
    <n v="1787.2"/>
  </r>
  <r>
    <s v="002"/>
    <s v="FARMACIA DE CIRUGIA                               "/>
    <x v="0"/>
    <x v="0"/>
    <s v="20041806-02"/>
    <s v="AGUA  ESTERIL PARA INYECCION 10 ml  Solución Inyectable"/>
    <s v=""/>
    <s v=""/>
    <s v=""/>
    <s v=""/>
    <s v="10 ml"/>
    <n v="8"/>
    <n v="275"/>
    <n v="2200"/>
  </r>
  <r>
    <s v="002"/>
    <s v="FARMACIA DE CIRUGIA                               "/>
    <x v="2"/>
    <x v="2"/>
    <s v="XD000145"/>
    <s v="SONDA NELATON # 6 (UREATRAL)*1"/>
    <s v=""/>
    <s v=""/>
    <s v="006"/>
    <s v="Unidad"/>
    <s v=""/>
    <n v="8"/>
    <n v="446.59574468085106"/>
    <n v="3572.7659574468098"/>
  </r>
  <r>
    <s v="002"/>
    <s v="FARMACIA DE CIRUGIA                               "/>
    <x v="0"/>
    <x v="0"/>
    <s v="20162259-4"/>
    <s v="METOCLOPRAMIDA 10 mg / 2 ml  Solución Inyectable"/>
    <s v=""/>
    <s v=""/>
    <s v=""/>
    <s v=""/>
    <s v="10 mg / 2 ml"/>
    <n v="8"/>
    <n v="524.74826989619385"/>
    <n v="4197.9861591695499"/>
  </r>
  <r>
    <s v="001"/>
    <s v="FARMACIA CENTRAL                                  "/>
    <x v="0"/>
    <x v="0"/>
    <s v="19969414-02"/>
    <s v="ACETILCISTEINA 600mg"/>
    <s v=""/>
    <s v=""/>
    <s v=""/>
    <s v=""/>
    <s v="600 mg"/>
    <n v="8"/>
    <n v="737"/>
    <n v="5896"/>
  </r>
  <r>
    <s v="001"/>
    <s v="FARMACIA CENTRAL                                  "/>
    <x v="0"/>
    <x v="0"/>
    <s v="20124854-4"/>
    <s v="ACIDO TRANEXAMICO 500 MG"/>
    <s v=""/>
    <s v=""/>
    <s v=""/>
    <s v=""/>
    <s v="500 mg"/>
    <n v="8"/>
    <n v="779.30612244897964"/>
    <n v="6234.4489795918398"/>
  </r>
  <r>
    <s v="001"/>
    <s v="FARMACIA CENTRAL                                  "/>
    <x v="2"/>
    <x v="2"/>
    <s v="XD000146"/>
    <s v="SONDA NELATON # 8 (UREATRAL)*1"/>
    <s v=""/>
    <s v=""/>
    <s v="006"/>
    <s v="Unidad"/>
    <s v=""/>
    <n v="8"/>
    <n v="923.2431578947369"/>
    <n v="7385.9452631578897"/>
  </r>
  <r>
    <s v="001"/>
    <s v="FARMACIA CENTRAL                                  "/>
    <x v="0"/>
    <x v="0"/>
    <s v="20064456-1"/>
    <s v="SERTRALINA 50 mg Tableta"/>
    <s v=""/>
    <s v=""/>
    <s v=""/>
    <s v=""/>
    <s v="50 mg"/>
    <n v="8"/>
    <n v="1130"/>
    <n v="9040"/>
  </r>
  <r>
    <s v="002"/>
    <s v="FARMACIA DE CIRUGIA                               "/>
    <x v="2"/>
    <x v="2"/>
    <s v="XJ000004"/>
    <s v="CATETERES PERIFERICOS INTRAVENOSOS INSYTE #14*50"/>
    <s v=""/>
    <s v=""/>
    <s v="006"/>
    <s v="Unidad"/>
    <s v=""/>
    <n v="8"/>
    <n v="1558.1416494845362"/>
    <n v="12465.133195876289"/>
  </r>
  <r>
    <s v="009"/>
    <s v="CARRO DE PARO URGENCIAS                           "/>
    <x v="0"/>
    <x v="0"/>
    <s v="20055558-1"/>
    <s v="SODIO CLORURO 0.9 % Solución inyectable x 100 ml"/>
    <s v=""/>
    <s v=""/>
    <s v=""/>
    <s v=""/>
    <s v="0.9 % - 100 ML"/>
    <n v="8"/>
    <n v="1891.5274999999999"/>
    <n v="15132.22"/>
  </r>
  <r>
    <s v="003"/>
    <s v="CARRO  DE PARO RECUPERACION HEMODINAMIA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04"/>
    <s v="CARRO DE PARO RADIOLOGIA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14"/>
    <s v="CARRO DE PARO CARDIOLOGIA       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15"/>
    <s v="CARRO DE PARO HEMODINAMIA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17"/>
    <s v="CARRO DE PARO UCI            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22"/>
    <s v="CARRO DE PARO DE CIRUGIA     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25"/>
    <s v="CARRO DE PARO GASTROENTEROLOGÌA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26"/>
    <s v="CARRO DE PARO TERCER PISO    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29"/>
    <s v="CARRO DE PARO CUARTO PISO                         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57"/>
    <s v="CARRO DE PARO UCI 2"/>
    <x v="0"/>
    <x v="0"/>
    <s v="29523-03"/>
    <s v="SODIO CLORURO 0.9 % Solución Inyectable x 100 ml"/>
    <s v=""/>
    <s v=""/>
    <s v=""/>
    <s v=""/>
    <s v="0.9 % - 100 ML"/>
    <n v="8"/>
    <n v="2206.7211700182816"/>
    <n v="17653.769360146249"/>
  </r>
  <r>
    <s v="001"/>
    <s v="FARMACIA CENTRAL                                  "/>
    <x v="0"/>
    <x v="0"/>
    <s v="19979158-5"/>
    <s v="SODIO CLORURO 0.9% 1000ML FCO"/>
    <s v=""/>
    <s v=""/>
    <s v=""/>
    <s v=""/>
    <s v="0.9 % - 1000 ML"/>
    <n v="8"/>
    <n v="2217"/>
    <n v="17736"/>
  </r>
  <r>
    <s v="001"/>
    <s v="FARMACIA CENTRAL                                  "/>
    <x v="0"/>
    <x v="0"/>
    <s v="19990588-06"/>
    <s v="FENITOINA SODICA 50 mg/ ml Solución Inyectable"/>
    <s v=""/>
    <s v=""/>
    <s v=""/>
    <s v=""/>
    <s v="250 mg/ 5ml"/>
    <n v="8"/>
    <n v="2218.1857500000001"/>
    <n v="17745.486000000001"/>
  </r>
  <r>
    <s v="001"/>
    <s v="FARMACIA CENTRAL                                  "/>
    <x v="2"/>
    <x v="2"/>
    <s v="XD000122"/>
    <s v="SONDA FOLEY 16 X 5ML-2 VIAS *1"/>
    <s v=""/>
    <s v=""/>
    <s v="006"/>
    <s v="Unidad"/>
    <s v=""/>
    <n v="8"/>
    <n v="2343.1153424657537"/>
    <n v="18744.922739726029"/>
  </r>
  <r>
    <s v="006"/>
    <s v="ALMACEN MEDICOQUIRURGICOS   "/>
    <x v="2"/>
    <x v="2"/>
    <s v="XT000060"/>
    <s v="TUBO ENDOTRAQUEAL 3.0 S/B"/>
    <s v=""/>
    <s v=""/>
    <s v="006"/>
    <s v="Unidad"/>
    <s v=""/>
    <n v="8"/>
    <n v="2900"/>
    <n v="23200"/>
  </r>
  <r>
    <s v="002"/>
    <s v="FARMACIA DE CIRUGIA                               "/>
    <x v="6"/>
    <x v="6"/>
    <s v="20013906-01"/>
    <s v="MORFINA CLORHIDRATO 10 mg / 1ml Solución Inyectable"/>
    <s v=""/>
    <s v=""/>
    <s v=""/>
    <s v=""/>
    <s v="10 mg / 1ml"/>
    <n v="8"/>
    <n v="3307.4908974358973"/>
    <n v="26459.927179487178"/>
  </r>
  <r>
    <s v="009"/>
    <s v="CARRO DE PARO URGENCIAS                           "/>
    <x v="0"/>
    <x v="0"/>
    <s v="42849-01"/>
    <s v="ADRENALINA Solución inyectable 1 mg / ml"/>
    <s v=""/>
    <s v=""/>
    <s v=""/>
    <s v=""/>
    <s v="1 mg / ml"/>
    <n v="8"/>
    <n v="3921.962962962963"/>
    <n v="31375.703703703701"/>
  </r>
  <r>
    <s v="001"/>
    <s v="FARMACIA CENTRAL                                  "/>
    <x v="4"/>
    <x v="4"/>
    <s v="20135088-1"/>
    <s v="FLUCITOSINA 500 MG"/>
    <s v=""/>
    <s v=""/>
    <s v=""/>
    <s v=""/>
    <s v="500 MG"/>
    <n v="8"/>
    <n v="3928.3249999999998"/>
    <n v="31426.6"/>
  </r>
  <r>
    <s v="008"/>
    <s v="ALMACEN  GENERAL                                         "/>
    <x v="5"/>
    <x v="5"/>
    <s v="AP000097"/>
    <s v="TIJERAS"/>
    <s v=""/>
    <s v=""/>
    <s v="006"/>
    <s v="Unidad"/>
    <s v=""/>
    <n v="8"/>
    <n v="4226.4341176470589"/>
    <n v="33811.472941176471"/>
  </r>
  <r>
    <s v="002"/>
    <s v="FARMACIA DE CIRUGIA                               "/>
    <x v="2"/>
    <x v="2"/>
    <s v="XS000119"/>
    <s v="SUTURA QUIRURGICA MONOFILAMENTE ESTERIL SINTETICO NO ABSORBIBLE 4/0 9557T RB-1 X2 DOCENAS"/>
    <s v=""/>
    <s v=""/>
    <s v="006"/>
    <s v="Unidad"/>
    <s v=""/>
    <n v="8"/>
    <n v="4840.5384615384619"/>
    <n v="38724.307692307688"/>
  </r>
  <r>
    <s v="008"/>
    <s v="ALMACEN  GENERAL                                         "/>
    <x v="12"/>
    <x v="12"/>
    <s v="AR000036"/>
    <s v="BATA CON CREMALLERA LABORATORIO"/>
    <s v=""/>
    <s v=""/>
    <s v="006"/>
    <s v="Unidad"/>
    <s v=""/>
    <n v="8"/>
    <n v="5395.75"/>
    <n v="43166"/>
  </r>
  <r>
    <s v="006"/>
    <s v="ALMACEN MEDICOQUIRURGICOS   "/>
    <x v="2"/>
    <x v="2"/>
    <s v="XS000142"/>
    <s v="PINZA PLASTICA PARA SELLAR BOLSA DE COLOSTOMIA*1"/>
    <s v=""/>
    <s v=""/>
    <s v="006"/>
    <s v="Unidad"/>
    <s v=""/>
    <n v="8"/>
    <n v="6068.0211111111103"/>
    <n v="48544.168888888889"/>
  </r>
  <r>
    <s v="006"/>
    <s v="ALMACEN MEDICOQUIRURGICOS   "/>
    <x v="2"/>
    <x v="2"/>
    <s v="XD000003"/>
    <s v="ADAPTADOR MACHO-MACHO*B BRAUN*"/>
    <s v=""/>
    <s v=""/>
    <s v="006"/>
    <s v="Unidad"/>
    <s v=""/>
    <n v="8"/>
    <n v="6628.1875"/>
    <n v="53025.5"/>
  </r>
  <r>
    <s v="001"/>
    <s v="FARMACIA CENTRAL                                  "/>
    <x v="2"/>
    <x v="2"/>
    <s v="XE000032"/>
    <s v="SET EXTENCION MICROCLAVE DE DOS VIAS "/>
    <s v=""/>
    <s v=""/>
    <s v="006"/>
    <s v="Unidad"/>
    <s v=""/>
    <n v="8"/>
    <n v="7410.140845070423"/>
    <n v="59281.126760563377"/>
  </r>
  <r>
    <s v="001"/>
    <s v="FARMACIA CENTRAL                                  "/>
    <x v="0"/>
    <x v="0"/>
    <s v="20067505-03"/>
    <s v="HIDROXICINA 100 mg / 2 ml Solución inyectable"/>
    <s v=""/>
    <s v=""/>
    <s v=""/>
    <s v=""/>
    <s v="100 mg / 2 ml"/>
    <n v="8"/>
    <n v="7724.9152631578954"/>
    <n v="61799.322105263163"/>
  </r>
  <r>
    <s v="002"/>
    <s v="FARMACIA DE CIRUGIA                               "/>
    <x v="2"/>
    <x v="2"/>
    <s v="XD000072"/>
    <s v="LAPIZ ELECTROBISTURI VALLEYLAB-CON CABLE X 1"/>
    <s v=""/>
    <s v=""/>
    <s v="006"/>
    <s v="Unidad"/>
    <s v=""/>
    <n v="8"/>
    <n v="7737.0401089324614"/>
    <n v="61896.320871459691"/>
  </r>
  <r>
    <s v="002"/>
    <s v="FARMACIA DE CIRUGIA                               "/>
    <x v="2"/>
    <x v="2"/>
    <s v="XS000006"/>
    <s v="CINTA UMBILICAL ALGODON U10T X2 DOCENAS"/>
    <s v=""/>
    <s v=""/>
    <s v="006"/>
    <s v="Unidad"/>
    <s v=""/>
    <n v="8"/>
    <n v="10030.552222222221"/>
    <n v="80244.41777777778"/>
  </r>
  <r>
    <s v="002"/>
    <s v="FARMACIA DE CIRUGIA                               "/>
    <x v="0"/>
    <x v="0"/>
    <s v="20096205-01"/>
    <s v="VASOPRESINA 20 U.I Solución inyectable"/>
    <s v=""/>
    <s v=""/>
    <s v=""/>
    <s v=""/>
    <s v="20 UI"/>
    <n v="8"/>
    <n v="10080.152592592593"/>
    <n v="80641.22074074074"/>
  </r>
  <r>
    <s v="001"/>
    <s v="FARMACIA CENTRAL                                  "/>
    <x v="2"/>
    <x v="2"/>
    <s v="XT000016"/>
    <s v="FRASCOS RECOLECTORES DE MUESTRAS TRAMPAS DE LUKENS (RECOLECTOR DE SECRECIONES)"/>
    <s v=""/>
    <s v=""/>
    <s v="006"/>
    <s v="Unidad"/>
    <s v=""/>
    <n v="8"/>
    <n v="10583.331578947367"/>
    <n v="84666.652631578952"/>
  </r>
  <r>
    <s v="001"/>
    <s v="FARMACIA CENTRAL                                  "/>
    <x v="14"/>
    <x v="14"/>
    <s v="150305"/>
    <s v="FRESUBIN 2 KCAL DRINK LIQUIDO BOTELLA 200 ML"/>
    <s v=""/>
    <s v=""/>
    <s v=""/>
    <s v=""/>
    <s v="200 ML"/>
    <n v="8"/>
    <n v="11445.761964285715"/>
    <n v="91566.095714285722"/>
  </r>
  <r>
    <s v="008"/>
    <s v="ALMACEN  GENERAL                                         "/>
    <x v="5"/>
    <x v="5"/>
    <s v="AP000142"/>
    <s v="BANDA DE CAUCHO REF 22 X KILO"/>
    <s v=""/>
    <s v=""/>
    <s v="006"/>
    <s v="Unidad"/>
    <s v=""/>
    <n v="8"/>
    <n v="11560.684999999999"/>
    <n v="92485.48"/>
  </r>
  <r>
    <s v="008"/>
    <s v="ALMACEN  GENERAL                                         "/>
    <x v="10"/>
    <x v="10"/>
    <s v="AD000034"/>
    <s v="MONOGAFAS DE PROTECCION ERGONOMICAS"/>
    <s v=""/>
    <s v=""/>
    <s v="006"/>
    <s v="Unidad"/>
    <s v=""/>
    <n v="8"/>
    <n v="13072.225"/>
    <n v="104577.8"/>
  </r>
  <r>
    <s v="005"/>
    <s v="ALMACEN MEDICAMENTOS"/>
    <x v="14"/>
    <x v="14"/>
    <s v="141008"/>
    <s v="FRESUBIN RENAL LIQUIDO BOTELLA  200 ML"/>
    <s v=""/>
    <s v=""/>
    <s v=""/>
    <s v=""/>
    <s v="200 ML"/>
    <n v="8"/>
    <n v="13569.95090909091"/>
    <n v="108559.60727272728"/>
  </r>
  <r>
    <s v="006"/>
    <s v="ALMACEN MEDICOQUIRURGICOS   "/>
    <x v="2"/>
    <x v="2"/>
    <s v="XD000012"/>
    <s v="BOLSA DE COLOSTOMIA 57MM NATURA PLANA  REF 402534"/>
    <s v=""/>
    <s v=""/>
    <s v="006"/>
    <s v="Unidad"/>
    <s v=""/>
    <n v="8"/>
    <n v="14683.125"/>
    <n v="117465"/>
  </r>
  <r>
    <s v="008"/>
    <s v="ALMACEN  GENERAL                                         "/>
    <x v="1"/>
    <x v="1"/>
    <s v="AM000378"/>
    <s v="GRAMURIO X UND"/>
    <s v=""/>
    <s v=""/>
    <s v="006"/>
    <s v="Unidad"/>
    <s v=""/>
    <n v="8"/>
    <n v="14782.991249999999"/>
    <n v="118263.93"/>
  </r>
  <r>
    <s v="002"/>
    <s v="FARMACIA DE CIRUGIA                               "/>
    <x v="2"/>
    <x v="2"/>
    <s v="XS000005"/>
    <s v="CERA OSEA.1029754 CAJA X 2 DOCENAS CERA HUESOS"/>
    <s v=""/>
    <s v=""/>
    <s v="006"/>
    <s v="Unidad"/>
    <s v=""/>
    <n v="8"/>
    <n v="14976.094545454545"/>
    <n v="119808.75636363636"/>
  </r>
  <r>
    <s v="006"/>
    <s v="ALMACEN MEDICOQUIRURGICOS   "/>
    <x v="2"/>
    <x v="2"/>
    <s v="XO000014"/>
    <s v="COLLAR CERVICAL TALLA S  BLANDO"/>
    <s v=""/>
    <s v=""/>
    <s v="006"/>
    <s v="Unidad"/>
    <s v=""/>
    <n v="8"/>
    <n v="15428.7"/>
    <n v="123429.6"/>
  </r>
  <r>
    <s v="002"/>
    <s v="FARMACIA DE CIRUGIA                               "/>
    <x v="2"/>
    <x v="2"/>
    <s v="XS000120"/>
    <s v="SUTURA QUIRURGICA MONOFILAMENTE ESTERIL SINTETICO NO ABSORBIBLE 5/0 9556T RB1/RB1 X2 DOCENAS"/>
    <s v=""/>
    <s v=""/>
    <s v="006"/>
    <s v="Unidad"/>
    <s v=""/>
    <n v="8"/>
    <n v="16715.953333333335"/>
    <n v="133727.62666666668"/>
  </r>
  <r>
    <s v="001"/>
    <s v="FARMACIA CENTRAL                                  "/>
    <x v="0"/>
    <x v="0"/>
    <s v="19910693-06"/>
    <s v="INSULINA ASPARTA 100 UI/ml Solución inyectable pluma x 3 ml"/>
    <s v=""/>
    <s v=""/>
    <s v=""/>
    <s v=""/>
    <s v="100 UI/ml - 3 ml"/>
    <n v="8"/>
    <n v="22881.53"/>
    <n v="183052.24"/>
  </r>
  <r>
    <s v="002"/>
    <s v="FARMACIA DE CIRUGIA                               "/>
    <x v="2"/>
    <x v="2"/>
    <s v="XS000097"/>
    <s v="SUTURA QUIRURGICA ABSORBIBLE VICRYL 1 J347H CT-1 X3 DOCENAS X90CM REF 813"/>
    <s v=""/>
    <s v=""/>
    <s v="006"/>
    <s v="Unidad"/>
    <s v=""/>
    <n v="8"/>
    <n v="24238.930714285714"/>
    <n v="193911.44571428571"/>
  </r>
  <r>
    <s v="008"/>
    <s v="ALMACEN  GENERAL                                         "/>
    <x v="5"/>
    <x v="5"/>
    <s v="AP000037"/>
    <s v="COSEDORA RANK 690"/>
    <s v=""/>
    <s v=""/>
    <s v="006"/>
    <s v="Unidad"/>
    <s v=""/>
    <n v="8"/>
    <n v="32969.487500000003"/>
    <n v="263755.90000000002"/>
  </r>
  <r>
    <s v="008"/>
    <s v="ALMACEN  GENERAL                                         "/>
    <x v="5"/>
    <x v="5"/>
    <s v="AP000156"/>
    <s v="PERFORADORA INDUSTRIAL 100 HOJAS"/>
    <s v=""/>
    <s v=""/>
    <s v="006"/>
    <s v="Unidad"/>
    <s v=""/>
    <n v="8"/>
    <n v="40983.624999999993"/>
    <n v="327869"/>
  </r>
  <r>
    <s v="006"/>
    <s v="ALMACEN MEDICOQUIRURGICOS   "/>
    <x v="2"/>
    <x v="2"/>
    <s v="XA000027"/>
    <s v="COTONOIDE RADIOPACO REF 801403 XRAY 1X1 REF 0425"/>
    <s v=""/>
    <s v=""/>
    <s v="006"/>
    <s v="Unidad"/>
    <s v=""/>
    <n v="8"/>
    <n v="46306.20444444444"/>
    <n v="370449.63555555552"/>
  </r>
  <r>
    <s v="006"/>
    <s v="ALMACEN MEDICOQUIRURGICOS   "/>
    <x v="2"/>
    <x v="2"/>
    <s v="XA000025"/>
    <s v="COTONOIDE RADIOPACO REF.801401 *10 XRAY"/>
    <s v=""/>
    <s v=""/>
    <s v="006"/>
    <s v="Unidad"/>
    <s v=""/>
    <n v="8"/>
    <n v="46979.333333333328"/>
    <n v="375834.66666666663"/>
  </r>
  <r>
    <s v="007"/>
    <s v="CONSIGNACIÓN CROSSWELL                         "/>
    <x v="2"/>
    <x v="2"/>
    <s v="XA000103"/>
    <s v="APOSITO  MEPILEX  MOLNLYCKE AG 10 X 10 REF 287100"/>
    <s v=""/>
    <s v=""/>
    <s v="006"/>
    <s v="Unidad"/>
    <s v=""/>
    <n v="8"/>
    <n v="53723.454545454544"/>
    <n v="429787.63636363629"/>
  </r>
  <r>
    <s v="008"/>
    <s v="ALMACEN  GENERAL                                         "/>
    <x v="1"/>
    <x v="1"/>
    <s v="AM000331"/>
    <s v="SET JUEGO DE TUBERIAS CON FILTRO PAR REF GS1016"/>
    <s v=""/>
    <s v=""/>
    <s v="006"/>
    <s v="Unidad"/>
    <s v=""/>
    <n v="8"/>
    <n v="55464.637500000004"/>
    <n v="443717.1"/>
  </r>
  <r>
    <s v="052"/>
    <s v="CONSIGNACION LM INSTRUMENS S.A"/>
    <x v="1"/>
    <x v="1"/>
    <s v="AM000266"/>
    <s v="PROTECTOR BUCAL REUTILIZABLE"/>
    <s v=""/>
    <s v=""/>
    <s v="006"/>
    <s v="Unidad"/>
    <s v=""/>
    <n v="8"/>
    <n v="77350"/>
    <n v="618800"/>
  </r>
  <r>
    <s v="006"/>
    <s v="ALMACEN MEDICOQUIRURGICOS   "/>
    <x v="2"/>
    <x v="2"/>
    <s v="XC000021"/>
    <s v="CATETER VENOSO CENTRAL DOBLE LUMEN  (17702) REF 4162200E-07"/>
    <s v=""/>
    <s v=""/>
    <s v="006"/>
    <s v="Unidad"/>
    <s v=""/>
    <n v="8"/>
    <n v="80197.548536585367"/>
    <n v="641580.38829268294"/>
  </r>
  <r>
    <s v="001"/>
    <s v="FARMACIA CENTRAL                                  "/>
    <x v="2"/>
    <x v="2"/>
    <s v="XA000099"/>
    <s v="VENDAJE PARA CICATRIZACION MEPILEX BORDER POST OP 10X25CM REF 496455"/>
    <s v=""/>
    <s v=""/>
    <s v="006"/>
    <s v="Unidad"/>
    <s v=""/>
    <n v="8"/>
    <n v="110812.81733333333"/>
    <n v="886502.53866666672"/>
  </r>
  <r>
    <s v="006"/>
    <s v="ALMACEN MEDICOQUIRURGICOS   "/>
    <x v="2"/>
    <x v="2"/>
    <s v="XA000017"/>
    <s v="CAMPO INCISION ANTIMICROBIAL IOBAN  6650/6648"/>
    <s v=""/>
    <s v=""/>
    <s v="006"/>
    <s v="Unidad"/>
    <s v=""/>
    <n v="8"/>
    <n v="124536.58499999999"/>
    <n v="996292.68"/>
  </r>
  <r>
    <s v="002"/>
    <s v="FARMACIA DE CIRUGIA                               "/>
    <x v="2"/>
    <x v="2"/>
    <s v="XS000082"/>
    <s v="SUTURA DE NYLON NEGRO TRENZADO NO ABSORBIBLE NUROLON 4-0 N104T TF 8HEB 45CM X2 DOCENAS"/>
    <s v=""/>
    <s v=""/>
    <s v="006"/>
    <s v="Unidad"/>
    <s v=""/>
    <n v="8"/>
    <n v="158332.22875000001"/>
    <n v="1266657.83"/>
  </r>
  <r>
    <s v="001"/>
    <s v="FARMACIA CENTRAL                                  "/>
    <x v="4"/>
    <x v="4"/>
    <s v="19926495-01"/>
    <s v="CASPOFUNGINA 50 mg Polvo para reconstituir a solución inyectable"/>
    <s v=""/>
    <s v=""/>
    <s v=""/>
    <s v=""/>
    <s v="50 mg"/>
    <n v="8"/>
    <n v="224515.89374999999"/>
    <n v="1796127.15"/>
  </r>
  <r>
    <s v="008"/>
    <s v="ALMACEN  GENERAL                                         "/>
    <x v="1"/>
    <x v="1"/>
    <s v="AM000022"/>
    <s v="SENSOR DE SPO2 MINDAY MEC 1200 Y BC 800  E058"/>
    <s v=""/>
    <s v=""/>
    <s v="006"/>
    <s v="Unidad"/>
    <s v=""/>
    <n v="8"/>
    <n v="239490.75"/>
    <n v="1915926"/>
  </r>
  <r>
    <s v="008"/>
    <s v="ALMACEN  GENERAL                                         "/>
    <x v="1"/>
    <x v="1"/>
    <s v="AM000302"/>
    <s v="SENSOR DE TEMPERATURA TIPO PIEL PHILIPS"/>
    <s v=""/>
    <s v=""/>
    <s v="006"/>
    <s v="Unidad"/>
    <s v=""/>
    <n v="8"/>
    <n v="251635.625"/>
    <n v="2013085"/>
  </r>
  <r>
    <s v="006"/>
    <s v="ALMACEN MEDICOQUIRURGICOS   "/>
    <x v="2"/>
    <x v="2"/>
    <s v="XD000286"/>
    <s v="GUIA SENSOR DUAL FLEX 0.35 PUNTA RECTA   LONG 150 CM"/>
    <s v=""/>
    <s v=""/>
    <s v="006"/>
    <s v="Unidad"/>
    <s v=""/>
    <n v="8"/>
    <n v="262484.39545454545"/>
    <n v="2099875.1636363636"/>
  </r>
  <r>
    <s v="002"/>
    <s v="FARMACIA DE CIRUGIA                               "/>
    <x v="2"/>
    <x v="2"/>
    <s v="XD000284"/>
    <s v="ASA DE CORTE MONOPOLAR ANGULADA 24/26 ASA STORZ"/>
    <s v=""/>
    <s v=""/>
    <s v="006"/>
    <s v="Unidad"/>
    <s v=""/>
    <n v="8"/>
    <n v="553041.93999999994"/>
    <n v="4424335.5199999996"/>
  </r>
  <r>
    <s v="008"/>
    <s v="ALMACEN  GENERAL                                         "/>
    <x v="1"/>
    <x v="1"/>
    <s v="AM000344"/>
    <s v="CELDA DE OXIGENO PARA VENTILADOR 900/300 REF MAX-12"/>
    <s v=""/>
    <s v=""/>
    <s v="006"/>
    <s v="Unidad"/>
    <s v=""/>
    <n v="8"/>
    <n v="579133.375"/>
    <n v="4633067"/>
  </r>
  <r>
    <s v="002"/>
    <s v="FARMACIA DE CIRUGIA                               "/>
    <x v="2"/>
    <x v="2"/>
    <s v="XD000289"/>
    <s v="ULTRABLATOR ANGULADO 30Ø A 90Ø DE "/>
    <s v=""/>
    <s v=""/>
    <s v="006"/>
    <s v="Unidad"/>
    <s v=""/>
    <n v="8"/>
    <n v="807360"/>
    <n v="6458880"/>
  </r>
  <r>
    <s v="001"/>
    <s v="FARMACIA CENTRAL                                  "/>
    <x v="2"/>
    <x v="2"/>
    <s v="XT000085"/>
    <s v="SISTEMA SUCCION ADAPTADOR #14 TRAQUEAL CERRADA CORTA REF 0291"/>
    <s v=""/>
    <s v=""/>
    <s v="006"/>
    <s v="Unidad"/>
    <s v=""/>
    <n v="9"/>
    <n v="-133257.26047619048"/>
    <n v="-1199315.3442857142"/>
  </r>
  <r>
    <s v="052"/>
    <s v="CONSIGNACION LM INSTRUMENS S.A"/>
    <x v="2"/>
    <x v="2"/>
    <s v="XT000085"/>
    <s v="SISTEMA SUCCION ADAPTADOR #14 TRAQUEAL CERRADA CORTA REF 0291"/>
    <s v=""/>
    <s v=""/>
    <s v="006"/>
    <s v="Unidad"/>
    <s v=""/>
    <n v="9"/>
    <n v="-133257.26047619048"/>
    <n v="-1199315.3442857142"/>
  </r>
  <r>
    <s v="002"/>
    <s v="FARMACIA DE CIRUGIA                               "/>
    <x v="2"/>
    <x v="2"/>
    <s v="XT000087"/>
    <s v="BAJALENGUAS X  UND"/>
    <s v=""/>
    <s v=""/>
    <s v="006"/>
    <s v="Unidad"/>
    <s v=""/>
    <n v="9"/>
    <n v="185.33333333333334"/>
    <n v="1668"/>
  </r>
  <r>
    <s v="018"/>
    <s v="STOCK  FISIOTERAPIA UCI  1                                         "/>
    <x v="2"/>
    <x v="2"/>
    <s v="XJ000010"/>
    <s v="JERINGA DESECHABLE 10ML-C/A-3 PARTES X 100"/>
    <s v=""/>
    <s v=""/>
    <s v="006"/>
    <s v="Unidad"/>
    <s v=""/>
    <n v="9"/>
    <n v="261.77091875138365"/>
    <n v="2355.9382687624502"/>
  </r>
  <r>
    <s v="002"/>
    <s v="FARMACIA DE CIRUGIA                               "/>
    <x v="2"/>
    <x v="2"/>
    <s v="XG000018"/>
    <s v="HOJA BISTURI # 11 *100"/>
    <s v=""/>
    <s v=""/>
    <s v="006"/>
    <s v="Unidad"/>
    <s v=""/>
    <n v="9"/>
    <n v="409.59333333333331"/>
    <n v="3686.34"/>
  </r>
  <r>
    <s v="001"/>
    <s v="FARMACIA CENTRAL                                  "/>
    <x v="2"/>
    <x v="2"/>
    <s v="XD000143"/>
    <s v="SONDA NELATON # 18 (UREATRAL)*1"/>
    <s v=""/>
    <s v=""/>
    <s v="006"/>
    <s v="Unidad"/>
    <s v=""/>
    <n v="9"/>
    <n v="653"/>
    <n v="5877"/>
  </r>
  <r>
    <s v="001"/>
    <s v="FARMACIA CENTRAL                                  "/>
    <x v="2"/>
    <x v="2"/>
    <s v="XD000142"/>
    <s v="SONDA NELATON # 16 (UREATRAL)*1"/>
    <s v=""/>
    <s v=""/>
    <s v="006"/>
    <s v="Unidad"/>
    <s v=""/>
    <n v="9"/>
    <n v="669.47519999999997"/>
    <n v="6025.2767999999996"/>
  </r>
  <r>
    <s v="001"/>
    <s v="FARMACIA CENTRAL                                  "/>
    <x v="2"/>
    <x v="2"/>
    <s v="XD000408"/>
    <s v="TAMPON O.B"/>
    <s v=""/>
    <s v=""/>
    <s v="006"/>
    <s v="Unidad"/>
    <s v=""/>
    <n v="9"/>
    <n v="782.11310344827587"/>
    <n v="7039.0179310344802"/>
  </r>
  <r>
    <s v="001"/>
    <s v="FARMACIA CENTRAL                                  "/>
    <x v="0"/>
    <x v="0"/>
    <s v="19940877-02"/>
    <s v="ATROPINA SULFATO 1mg / ml Solución inyectable"/>
    <s v=""/>
    <s v=""/>
    <s v=""/>
    <s v=""/>
    <s v="1mg / ml"/>
    <n v="9"/>
    <n v="824.47363636363639"/>
    <n v="7420.2627272727304"/>
  </r>
  <r>
    <s v="002"/>
    <s v="FARMACIA DE CIRUGIA                               "/>
    <x v="0"/>
    <x v="0"/>
    <s v="20032463-03"/>
    <s v="ADRENALINA Solución inyectable 1 mg / ml"/>
    <s v=""/>
    <s v=""/>
    <s v=""/>
    <s v=""/>
    <s v="1 mg / ml"/>
    <n v="9"/>
    <n v="868.85911602209944"/>
    <n v="7819.7320441989004"/>
  </r>
  <r>
    <s v="009"/>
    <s v="CARRO DE PARO URGENCIAS                           "/>
    <x v="0"/>
    <x v="0"/>
    <s v="20032463-03"/>
    <s v="ADRENALINA Solución inyectable 1 mg / ml"/>
    <s v=""/>
    <s v=""/>
    <s v=""/>
    <s v=""/>
    <s v="1 mg / ml"/>
    <n v="9"/>
    <n v="868.85911602209944"/>
    <n v="7819.7320441989004"/>
  </r>
  <r>
    <s v="001"/>
    <s v="FARMACIA CENTRAL                                  "/>
    <x v="2"/>
    <x v="2"/>
    <s v="XD000137"/>
    <s v="SONDA LEVIN-TUBO VENTROL 14FR NASOGASTRICA120"/>
    <s v=""/>
    <s v=""/>
    <s v="006"/>
    <s v="Unidad"/>
    <s v=""/>
    <n v="9"/>
    <n v="1072.3889285714286"/>
    <n v="9651.5003571428606"/>
  </r>
  <r>
    <s v="001"/>
    <s v="FARMACIA CENTRAL                                  "/>
    <x v="0"/>
    <x v="0"/>
    <s v="19942431-5"/>
    <s v="TRIMETAZIDINA 35 MG"/>
    <s v=""/>
    <s v=""/>
    <s v=""/>
    <s v=""/>
    <s v="35 MG"/>
    <n v="9"/>
    <n v="1105"/>
    <n v="9945"/>
  </r>
  <r>
    <s v="001"/>
    <s v="FARMACIA CENTRAL                                  "/>
    <x v="2"/>
    <x v="2"/>
    <s v="XD000257"/>
    <s v="SONDA LEVIN-TUBO VENTROL 18FR NASOGASTRICA120"/>
    <s v=""/>
    <s v=""/>
    <s v="006"/>
    <s v="Unidad"/>
    <s v=""/>
    <n v="9"/>
    <n v="1199.452380952381"/>
    <n v="10795.071428571429"/>
  </r>
  <r>
    <s v="001"/>
    <s v="FARMACIA CENTRAL                                  "/>
    <x v="3"/>
    <x v="3"/>
    <s v="19942488-2"/>
    <s v="CLOTRIMAZOL 100 MG OVULO VAGINAL"/>
    <s v=""/>
    <s v=""/>
    <s v=""/>
    <s v=""/>
    <s v="100 MG"/>
    <n v="9"/>
    <n v="1810"/>
    <n v="16290"/>
  </r>
  <r>
    <s v="002"/>
    <s v="FARMACIA DE CIRUGIA                               "/>
    <x v="2"/>
    <x v="2"/>
    <s v="XJ000005"/>
    <s v="CATETERES PERIFERICOS INTRAVENOSOS INSYTE #16*50"/>
    <s v=""/>
    <s v=""/>
    <s v="006"/>
    <s v="Unidad"/>
    <s v=""/>
    <n v="9"/>
    <n v="1999.3788311688313"/>
    <n v="17994.40948051948"/>
  </r>
  <r>
    <s v="002"/>
    <s v="FARMACIA DE CIRUGIA                               "/>
    <x v="2"/>
    <x v="2"/>
    <s v="XD000122"/>
    <s v="SONDA FOLEY 16 X 5ML-2 VIAS *1"/>
    <s v=""/>
    <s v=""/>
    <s v="006"/>
    <s v="Unidad"/>
    <s v=""/>
    <n v="9"/>
    <n v="2343.1153424657537"/>
    <n v="21088.038082191779"/>
  </r>
  <r>
    <s v="006"/>
    <s v="ALMACEN MEDICOQUIRURGICOS   "/>
    <x v="2"/>
    <x v="2"/>
    <s v="XT000051"/>
    <s v="TUBO ENDOTRAQUEAL # 9.0-C/B X1"/>
    <s v=""/>
    <s v=""/>
    <s v="006"/>
    <s v="Unidad"/>
    <s v=""/>
    <n v="9"/>
    <n v="2355.9733333333334"/>
    <n v="21203.759999999998"/>
  </r>
  <r>
    <s v="006"/>
    <s v="ALMACEN MEDICOQUIRURGICOS   "/>
    <x v="2"/>
    <x v="2"/>
    <s v="XT000043"/>
    <s v="TUBO ENDOTRAQUEAL # 5.0-C/B X1"/>
    <s v=""/>
    <s v=""/>
    <s v="006"/>
    <s v="Unidad"/>
    <s v=""/>
    <n v="9"/>
    <n v="2546.1666666666665"/>
    <n v="22915.5"/>
  </r>
  <r>
    <s v="006"/>
    <s v="ALMACEN MEDICOQUIRURGICOS   "/>
    <x v="2"/>
    <x v="2"/>
    <s v="XD000127"/>
    <s v="SONDA FOLEY 20 X 5ML-2 VIAS *1"/>
    <s v=""/>
    <s v=""/>
    <s v="006"/>
    <s v="Unidad"/>
    <s v=""/>
    <n v="9"/>
    <n v="2831.1111111111113"/>
    <n v="25480"/>
  </r>
  <r>
    <s v="001"/>
    <s v="FARMACIA CENTRAL                                  "/>
    <x v="2"/>
    <x v="2"/>
    <s v="XT000024"/>
    <s v="MASCARA VENTURY ADULTO (1088) X 1 HUDSON"/>
    <s v=""/>
    <s v=""/>
    <s v="006"/>
    <s v="Unidad"/>
    <s v=""/>
    <n v="9"/>
    <n v="3766.5286274509804"/>
    <n v="33898.757647058817"/>
  </r>
  <r>
    <s v="029"/>
    <s v="CARRO DE PARO CUARTO PISO                         "/>
    <x v="0"/>
    <x v="0"/>
    <s v="42849-01"/>
    <s v="ADRENALINA Solución inyectable 1 mg / ml"/>
    <s v=""/>
    <s v=""/>
    <s v=""/>
    <s v=""/>
    <s v="1 mg / ml"/>
    <n v="9"/>
    <n v="3921.962962962963"/>
    <n v="35297.666666666672"/>
  </r>
  <r>
    <s v="001"/>
    <s v="FARMACIA CENTRAL                                  "/>
    <x v="2"/>
    <x v="2"/>
    <s v="XT000064"/>
    <s v="TUBO SUCCION DAVOL 3 M.X1/4 D.I.DAVOL(36290)*1"/>
    <s v=""/>
    <s v=""/>
    <s v="006"/>
    <s v="Unidad"/>
    <s v=""/>
    <n v="9"/>
    <n v="4436.8685029940125"/>
    <n v="39931.81652694611"/>
  </r>
  <r>
    <s v="002"/>
    <s v="FARMACIA DE CIRUGIA                               "/>
    <x v="2"/>
    <x v="2"/>
    <s v="XS000111"/>
    <s v="SUTURA QUIRURGICA MONOFILAMENTE ESTERIL SINTETICO NO ABSORBIBLE REF O CT-1 8424"/>
    <s v=""/>
    <s v=""/>
    <s v="006"/>
    <s v="Unidad"/>
    <s v=""/>
    <n v="9"/>
    <n v="4553.4851515151513"/>
    <n v="40981.366363636364"/>
  </r>
  <r>
    <s v="008"/>
    <s v="ALMACEN  GENERAL                                         "/>
    <x v="12"/>
    <x v="12"/>
    <s v="AR000039"/>
    <s v="MEDIAS TODAS LA TALLAS"/>
    <s v=""/>
    <s v=""/>
    <s v="006"/>
    <s v="Unidad"/>
    <s v=""/>
    <n v="9"/>
    <n v="5289.22"/>
    <n v="47602.98"/>
  </r>
  <r>
    <s v="002"/>
    <s v="FARMACIA DE CIRUGIA                               "/>
    <x v="2"/>
    <x v="2"/>
    <s v="XJ000008"/>
    <s v="JERINGA CON HEPARINA  PARA GASIMETRIA SANGUINEA X 1CC"/>
    <s v=""/>
    <s v=""/>
    <s v="006"/>
    <s v="Unidad"/>
    <s v=""/>
    <n v="9"/>
    <n v="5585.4120765027319"/>
    <n v="50268.708688524588"/>
  </r>
  <r>
    <s v="018"/>
    <s v="STOCK  FISIOTERAPIA UCI  1                                         "/>
    <x v="2"/>
    <x v="2"/>
    <s v="XJ000008"/>
    <s v="JERINGA CON HEPARINA  PARA GASIMETRIA SANGUINEA X 1CC"/>
    <s v=""/>
    <s v=""/>
    <s v="006"/>
    <s v="Unidad"/>
    <s v=""/>
    <n v="9"/>
    <n v="5585.4120765027319"/>
    <n v="50268.708688524588"/>
  </r>
  <r>
    <s v="008"/>
    <s v="ALMACEN  GENERAL                                         "/>
    <x v="1"/>
    <x v="1"/>
    <s v="AM000238"/>
    <s v="CONECTOR PLASTICO DE NIBP PARA BRAZALETE REF BM9054"/>
    <s v=""/>
    <s v=""/>
    <s v="006"/>
    <s v="Unidad"/>
    <s v=""/>
    <n v="9"/>
    <n v="6545"/>
    <n v="58905"/>
  </r>
  <r>
    <s v="001"/>
    <s v="FARMACIA CENTRAL                                  "/>
    <x v="2"/>
    <x v="2"/>
    <s v="XJ000019"/>
    <s v="JERINGA PARA SONDAS CON ENFIT PARA NUTRICION ENTERAL  50 ML REF NCE50SEC"/>
    <s v=""/>
    <s v=""/>
    <s v="006"/>
    <s v="Unidad"/>
    <s v=""/>
    <n v="9"/>
    <n v="6722.8188976377951"/>
    <n v="60505.370078740161"/>
  </r>
  <r>
    <s v="001"/>
    <s v="FARMACIA CENTRAL                                  "/>
    <x v="6"/>
    <x v="6"/>
    <s v="20054403-1"/>
    <s v="CLONAZEPAM 2.5 mg / m Solución Oral frasco 20 mL"/>
    <s v=""/>
    <s v=""/>
    <s v=""/>
    <s v=""/>
    <s v="2.5mg/mL"/>
    <n v="9"/>
    <n v="7213.333333333333"/>
    <n v="64920"/>
  </r>
  <r>
    <s v="001"/>
    <s v="FARMACIA CENTRAL                                  "/>
    <x v="0"/>
    <x v="0"/>
    <s v="20068276-03"/>
    <s v="DOBUTAMINA 250 mg / 20 ml Solución Inyectable"/>
    <s v=""/>
    <s v=""/>
    <s v=""/>
    <s v=""/>
    <s v="250 mg-20ml"/>
    <n v="9"/>
    <n v="7374.5791666666673"/>
    <n v="66371.212499999994"/>
  </r>
  <r>
    <s v="001"/>
    <s v="FARMACIA CENTRAL                                  "/>
    <x v="0"/>
    <x v="0"/>
    <s v="20121570-2"/>
    <s v="HIERRO PARENTERAL 100 mg / 5 ml Solución Inyectable"/>
    <s v=""/>
    <s v=""/>
    <s v=""/>
    <s v=""/>
    <s v="100 mg / 5 ml"/>
    <n v="9"/>
    <n v="8215"/>
    <n v="73935"/>
  </r>
  <r>
    <s v="001"/>
    <s v="FARMACIA CENTRAL                                  "/>
    <x v="0"/>
    <x v="0"/>
    <s v="20003652-02"/>
    <s v="MILRINONA 10 mg /10 ml Solución inyectable"/>
    <s v=""/>
    <s v=""/>
    <s v=""/>
    <s v=""/>
    <s v="10 mg /10 ml"/>
    <n v="9"/>
    <n v="8235"/>
    <n v="74115"/>
  </r>
  <r>
    <s v="008"/>
    <s v="ALMACEN  GENERAL                                         "/>
    <x v="13"/>
    <x v="13"/>
    <s v="AC000019"/>
    <s v="BOTELLON DE AGUA X 20 LITROS"/>
    <s v=""/>
    <s v=""/>
    <s v="006"/>
    <s v="Unidad"/>
    <s v=""/>
    <n v="9"/>
    <n v="11326.517777777779"/>
    <n v="101938.66"/>
  </r>
  <r>
    <s v="043"/>
    <s v="BODEGA DE CENTRAL DE MEZCLAS"/>
    <x v="6"/>
    <x v="6"/>
    <s v="20083397-04"/>
    <s v="KETAMINA CLORHIDRATO 500 mg / 10ml Solución inyectable"/>
    <s v=""/>
    <s v=""/>
    <s v=""/>
    <s v=""/>
    <s v="500 mg / 10ml "/>
    <n v="9"/>
    <n v="14380"/>
    <n v="129420"/>
  </r>
  <r>
    <s v="002"/>
    <s v="FARMACIA DE CIRUGIA                               "/>
    <x v="2"/>
    <x v="2"/>
    <s v="XD000039"/>
    <s v="DRENES DE PENROSE UNIDAD-TODO TAMANO *12"/>
    <s v=""/>
    <s v=""/>
    <s v="006"/>
    <s v="Unidad"/>
    <s v=""/>
    <n v="9"/>
    <n v="17528.672285714285"/>
    <n v="157758.05057142855"/>
  </r>
  <r>
    <s v="001"/>
    <s v="FARMACIA CENTRAL                                  "/>
    <x v="0"/>
    <x v="0"/>
    <s v="24063-01"/>
    <s v="MESNA 400mg/4mL Solución inyectable "/>
    <s v=""/>
    <s v=""/>
    <s v=""/>
    <s v=""/>
    <s v="400mg/4mL"/>
    <n v="9"/>
    <n v="18903.244444444441"/>
    <n v="170129.2"/>
  </r>
  <r>
    <s v="002"/>
    <s v="FARMACIA DE CIRUGIA                               "/>
    <x v="2"/>
    <x v="2"/>
    <s v="XG000011"/>
    <s v="AGUJA PARA ESTIMULACION NERVIOSA PERIFERICA STIMUPLEX CANULA G-22 X50MM 4894502 G-50 X25"/>
    <s v=""/>
    <s v=""/>
    <s v="006"/>
    <s v="Unidad"/>
    <s v=""/>
    <n v="9"/>
    <n v="19231.611836734693"/>
    <n v="173084.50653061224"/>
  </r>
  <r>
    <s v="008"/>
    <s v="ALMACEN  GENERAL                                         "/>
    <x v="7"/>
    <x v="7"/>
    <s v="AA000038"/>
    <s v="CONTENEDOR CORTOPUNZANTE 9.40 LT"/>
    <s v=""/>
    <s v=""/>
    <s v="006"/>
    <s v="Unidad"/>
    <s v=""/>
    <n v="9"/>
    <n v="19771.751111111109"/>
    <n v="177945.76"/>
  </r>
  <r>
    <s v="001"/>
    <s v="FARMACIA CENTRAL                                  "/>
    <x v="2"/>
    <x v="2"/>
    <s v="XD000018"/>
    <s v="BOLSA Y  BARRERA DE COLOSTOMIA  POSOPERATORIA ACTIVE LIFE REF 227711"/>
    <s v=""/>
    <s v=""/>
    <s v="006"/>
    <s v="Unidad"/>
    <s v=""/>
    <n v="9"/>
    <n v="26190.521951219511"/>
    <n v="235714.69756097559"/>
  </r>
  <r>
    <s v="006"/>
    <s v="ALMACEN MEDICOQUIRURGICOS   "/>
    <x v="2"/>
    <x v="2"/>
    <s v="XA000003"/>
    <s v="APOSITO CON FORMULA DE GEL CONTROLADA DUO DERM APOSITO 10X10  CGF   APOSITOS"/>
    <s v=""/>
    <s v=""/>
    <s v="006"/>
    <s v="Unidad"/>
    <s v=""/>
    <n v="9"/>
    <n v="28816.730454545454"/>
    <n v="259350.57409090907"/>
  </r>
  <r>
    <s v="001"/>
    <s v="FARMACIA CENTRAL                                  "/>
    <x v="6"/>
    <x v="6"/>
    <s v="218190-01"/>
    <s v="MORFINA CLORHIDRATO 3 % Solución Oral 30 ML"/>
    <s v=""/>
    <s v=""/>
    <s v=""/>
    <s v=""/>
    <s v="3 % 30 ML"/>
    <n v="9"/>
    <n v="33488.977777777778"/>
    <n v="301400.8"/>
  </r>
  <r>
    <s v="001"/>
    <s v="FARMACIA CENTRAL                                  "/>
    <x v="0"/>
    <x v="0"/>
    <s v="20032988-01"/>
    <s v="NITROPRUSIATO DE SODIO 50 mg/2ml Solución Inyectable"/>
    <s v=""/>
    <s v=""/>
    <s v=""/>
    <s v=""/>
    <s v="50 MG / 2 ML"/>
    <n v="9"/>
    <n v="35252.121212121208"/>
    <n v="317269.09090909094"/>
  </r>
  <r>
    <s v="001"/>
    <s v="FARMACIA CENTRAL                                  "/>
    <x v="2"/>
    <x v="2"/>
    <s v="XA000056"/>
    <s v="APOSITO DE TRANSFERENCIA DE EXHUDADO MEPILEX 15X20CM REF 294899"/>
    <s v=""/>
    <s v=""/>
    <s v="006"/>
    <s v="Unidad"/>
    <s v=""/>
    <n v="9"/>
    <n v="40459.713207547167"/>
    <n v="364137.41886792454"/>
  </r>
  <r>
    <s v="006"/>
    <s v="ALMACEN MEDICOQUIRURGICOS   "/>
    <x v="2"/>
    <x v="2"/>
    <s v="XO000021"/>
    <s v="MEDIA ANTIEMBOLICA TALLA L  PAR MEDIA T.E.D.*6"/>
    <s v=""/>
    <s v=""/>
    <s v="006"/>
    <s v="Unidad"/>
    <s v=""/>
    <n v="9"/>
    <n v="41329.494545454545"/>
    <n v="371965.45090909087"/>
  </r>
  <r>
    <s v="002"/>
    <s v="FARMACIA DE CIRUGIA                               "/>
    <x v="2"/>
    <x v="2"/>
    <s v="XA000109"/>
    <s v="VENDAJE PARA CICATRIZACION POST OP MEPILEX 10X15CM REF 496300"/>
    <s v=""/>
    <s v=""/>
    <s v="006"/>
    <s v="Unidad"/>
    <s v=""/>
    <n v="9"/>
    <n v="64308.11538461539"/>
    <n v="578773.0384615385"/>
  </r>
  <r>
    <s v="001"/>
    <s v="FARMACIA CENTRAL                                  "/>
    <x v="2"/>
    <x v="2"/>
    <s v="XE000019"/>
    <s v="TRANSDUCTOR DE PRESION 5200 DT-4812/6012 SENCILL"/>
    <s v=""/>
    <s v=""/>
    <s v="006"/>
    <s v="Unidad"/>
    <s v=""/>
    <n v="9"/>
    <n v="76993.137647058829"/>
    <n v="692938.23882352945"/>
  </r>
  <r>
    <s v="007"/>
    <s v="CONSIGNACIÓN CROSSWELL                         "/>
    <x v="2"/>
    <x v="2"/>
    <s v="XA000090"/>
    <s v="VENDAJE PARA CICATRIZACION MEPILEX BORDER POST OP 10X20CM REF 496405"/>
    <s v=""/>
    <s v=""/>
    <s v="006"/>
    <s v="Unidad"/>
    <s v=""/>
    <n v="9"/>
    <n v="77163.733333333323"/>
    <n v="694473.6"/>
  </r>
  <r>
    <s v="006"/>
    <s v="ALMACEN MEDICOQUIRURGICOS   "/>
    <x v="2"/>
    <x v="2"/>
    <s v="XE000002"/>
    <s v="EQUIPO ADMINISTRACION DE FLUIDOS TEMP REF 24200 3M"/>
    <s v=""/>
    <s v=""/>
    <s v="006"/>
    <s v="Unidad"/>
    <s v=""/>
    <n v="9"/>
    <n v="77439.036842105255"/>
    <n v="696951.33157894737"/>
  </r>
  <r>
    <s v="006"/>
    <s v="ALMACEN MEDICOQUIRURGICOS   "/>
    <x v="2"/>
    <x v="2"/>
    <s v="XG000031"/>
    <s v="AGUJA PERCUTANEA PARA CENTESIS REF G10100 OSC-4F-10 / OSC-5F-10"/>
    <s v=""/>
    <s v=""/>
    <s v="006"/>
    <s v="Unidad"/>
    <s v=""/>
    <n v="9"/>
    <n v="119288.09538461539"/>
    <n v="1073592.8584615383"/>
  </r>
  <r>
    <s v="006"/>
    <s v="ALMACEN MEDICOQUIRURGICOS   "/>
    <x v="2"/>
    <x v="2"/>
    <s v="XT000086"/>
    <s v="FILTRO ESPIRATORIOREF 4-076887   D/X800"/>
    <s v=""/>
    <s v=""/>
    <s v="006"/>
    <s v="Unidad"/>
    <s v=""/>
    <n v="9"/>
    <n v="119623.89538461539"/>
    <n v="1076615.0584615385"/>
  </r>
  <r>
    <s v="006"/>
    <s v="ALMACEN MEDICOQUIRURGICOS   "/>
    <x v="2"/>
    <x v="2"/>
    <s v="XC000040"/>
    <s v="CATETER PARA EMBOLECTOMIA FOGARTY #02 FR (160126) X 1"/>
    <s v=""/>
    <s v=""/>
    <s v="006"/>
    <s v="Unidad"/>
    <s v=""/>
    <n v="9"/>
    <n v="205427.83333333331"/>
    <n v="1848850.5"/>
  </r>
  <r>
    <s v="002"/>
    <s v="FARMACIA DE CIRUGIA                               "/>
    <x v="2"/>
    <x v="2"/>
    <s v="XS000068"/>
    <s v="SURGICEL FIBRILAR 2.5X5 HEMOSTATICO SOBRE REF: 411961"/>
    <s v=""/>
    <s v=""/>
    <s v="006"/>
    <s v="Unidad"/>
    <s v=""/>
    <n v="9"/>
    <n v="231201.28444444446"/>
    <n v="2080811.56"/>
  </r>
  <r>
    <s v="008"/>
    <s v="ALMACEN  GENERAL                                         "/>
    <x v="1"/>
    <x v="1"/>
    <s v="AM000135"/>
    <s v="LATIGUILLO 3 DERIVADAS NIHON KODEN REF TCMKB3-90P   M398"/>
    <s v=""/>
    <s v=""/>
    <s v="006"/>
    <s v="Unidad"/>
    <s v=""/>
    <n v="9"/>
    <n v="341318.55555555556"/>
    <n v="3071867"/>
  </r>
  <r>
    <s v="002"/>
    <s v="FARMACIA DE CIRUGIA                               "/>
    <x v="0"/>
    <x v="0"/>
    <s v="20037783-01"/>
    <s v="CISATRACURIO AMPOLLA 10 mg / 5 ml Solución inyectable"/>
    <s v=""/>
    <s v=""/>
    <s v=""/>
    <s v=""/>
    <s v="10 mg"/>
    <n v="10"/>
    <n v="-4331.6099999999997"/>
    <n v="-43316.1"/>
  </r>
  <r>
    <s v="005"/>
    <s v="ALMACEN MEDICAMENTOS"/>
    <x v="0"/>
    <x v="0"/>
    <s v="19997616-05"/>
    <s v="HIOSCINA N BUTIL BROMURO 20 mg / ml Solución inyectable"/>
    <s v=""/>
    <s v=""/>
    <s v=""/>
    <s v=""/>
    <s v="20 mg / ml"/>
    <n v="10"/>
    <n v="-115.94615384615383"/>
    <n v="-1159.4615384615399"/>
  </r>
  <r>
    <s v="001"/>
    <s v="FARMACIA CENTRAL                                  "/>
    <x v="0"/>
    <x v="0"/>
    <s v="19905554-12"/>
    <s v="METFORMINA 850 mg Tableta"/>
    <s v=""/>
    <s v=""/>
    <s v=""/>
    <s v=""/>
    <s v="850 mg"/>
    <n v="10"/>
    <n v="66"/>
    <n v="660"/>
  </r>
  <r>
    <s v="001"/>
    <s v="FARMACIA CENTRAL                                  "/>
    <x v="3"/>
    <x v="3"/>
    <s v="19973372-03"/>
    <s v="CLOROQUINA FOSFATO  250 mg  Tableta"/>
    <s v=""/>
    <s v=""/>
    <s v=""/>
    <s v=""/>
    <s v="250mg"/>
    <n v="10"/>
    <n v="156.63999999999999"/>
    <n v="1566.4"/>
  </r>
  <r>
    <s v="001"/>
    <s v="FARMACIA CENTRAL                                  "/>
    <x v="8"/>
    <x v="8"/>
    <s v="20032093-08"/>
    <s v="WARFARINA SODICA 5 mg Tableta"/>
    <s v=""/>
    <s v=""/>
    <s v=""/>
    <s v=""/>
    <s v="5 mg"/>
    <n v="10"/>
    <n v="230"/>
    <n v="2300"/>
  </r>
  <r>
    <s v="008"/>
    <s v="ALMACEN  GENERAL                                         "/>
    <x v="5"/>
    <x v="5"/>
    <s v="AP000105"/>
    <s v="GANCHOS METALICOS ESCARAPELAS"/>
    <s v=""/>
    <s v=""/>
    <s v="006"/>
    <s v="Unidad"/>
    <s v=""/>
    <n v="10"/>
    <n v="379.5"/>
    <n v="3795"/>
  </r>
  <r>
    <s v="017"/>
    <s v="CARRO DE PARO UCI                                 "/>
    <x v="0"/>
    <x v="0"/>
    <s v="19930286-02"/>
    <s v="ADRENALINA Solución inyectable 1 mg / ml"/>
    <s v=""/>
    <s v=""/>
    <s v=""/>
    <s v=""/>
    <s v="1 mg / ml"/>
    <n v="10"/>
    <n v="380.6"/>
    <n v="3806"/>
  </r>
  <r>
    <s v="002"/>
    <s v="FARMACIA DE CIRUGIA                               "/>
    <x v="0"/>
    <x v="0"/>
    <s v="20011388-13"/>
    <s v="FUROSEMIDA 20 mg / 2 ml Solución inyectable"/>
    <s v=""/>
    <s v=""/>
    <s v=""/>
    <s v=""/>
    <s v="20 mg / 2 ml"/>
    <n v="10"/>
    <n v="480.11012658227844"/>
    <n v="4801.1012658227801"/>
  </r>
  <r>
    <s v="005"/>
    <s v="ALMACEN MEDICAMENTOS"/>
    <x v="0"/>
    <x v="0"/>
    <s v="20014926-03"/>
    <s v="ARIPIPRAZOL 15mg Tableta"/>
    <s v=""/>
    <s v=""/>
    <s v=""/>
    <s v=""/>
    <s v="15 mg"/>
    <n v="10"/>
    <n v="650.00016129032258"/>
    <n v="6500.0016129032301"/>
  </r>
  <r>
    <s v="006"/>
    <s v="ALMACEN MEDICOQUIRURGICOS   "/>
    <x v="2"/>
    <x v="2"/>
    <s v="XD000143"/>
    <s v="SONDA NELATON # 18 (UREATRAL)*1"/>
    <s v=""/>
    <s v=""/>
    <s v="006"/>
    <s v="Unidad"/>
    <s v=""/>
    <n v="10"/>
    <n v="653"/>
    <n v="6530"/>
  </r>
  <r>
    <s v="002"/>
    <s v="FARMACIA DE CIRUGIA                               "/>
    <x v="0"/>
    <x v="0"/>
    <s v="19924285-34"/>
    <s v="TRAMADOL 50mg/mL SOLUCION INYECTABLE"/>
    <s v=""/>
    <s v=""/>
    <s v=""/>
    <s v=""/>
    <s v="50 mg/ml"/>
    <n v="10"/>
    <n v="680.01049531459171"/>
    <n v="6800.1049531459203"/>
  </r>
  <r>
    <s v="002"/>
    <s v="FARMACIA DE CIRUGIA                               "/>
    <x v="0"/>
    <x v="0"/>
    <s v="19934265-03"/>
    <s v="SODIO CLORURO 20 mEq/10 ml Solución inyectable"/>
    <s v=""/>
    <s v=""/>
    <s v=""/>
    <s v=""/>
    <s v="20 mEq/10 ml"/>
    <n v="10"/>
    <n v="724.15287499999999"/>
    <n v="7241.5287500000004"/>
  </r>
  <r>
    <s v="004"/>
    <s v="CARRO DE PARO RADIOLOGIA"/>
    <x v="0"/>
    <x v="0"/>
    <s v="20032463-03"/>
    <s v="ADRENALINA Solución inyectable 1 mg / ml"/>
    <s v=""/>
    <s v=""/>
    <s v=""/>
    <s v=""/>
    <s v="1 mg / ml"/>
    <n v="10"/>
    <n v="868.85911602209944"/>
    <n v="8688.5911602209908"/>
  </r>
  <r>
    <s v="022"/>
    <s v="CARRO DE PARO DE CIRUGIA                          "/>
    <x v="0"/>
    <x v="0"/>
    <s v="20032463-03"/>
    <s v="ADRENALINA Solución inyectable 1 mg / ml"/>
    <s v=""/>
    <s v=""/>
    <s v=""/>
    <s v=""/>
    <s v="1 mg / ml"/>
    <n v="10"/>
    <n v="868.85911602209944"/>
    <n v="8688.5911602209908"/>
  </r>
  <r>
    <s v="025"/>
    <s v="CARRO DE PARO GASTROENTEROLOGÌA                   "/>
    <x v="0"/>
    <x v="0"/>
    <s v="20032463-03"/>
    <s v="ADRENALINA Solución inyectable 1 mg / ml"/>
    <s v=""/>
    <s v=""/>
    <s v=""/>
    <s v=""/>
    <s v="1 mg / ml"/>
    <n v="10"/>
    <n v="868.85911602209944"/>
    <n v="8688.5911602209908"/>
  </r>
  <r>
    <s v="026"/>
    <s v="CARRO DE PARO TERCER PISO                         "/>
    <x v="0"/>
    <x v="0"/>
    <s v="20032463-03"/>
    <s v="ADRENALINA Solución inyectable 1 mg / ml"/>
    <s v=""/>
    <s v=""/>
    <s v=""/>
    <s v=""/>
    <s v="1 mg / ml"/>
    <n v="10"/>
    <n v="868.85911602209944"/>
    <n v="8688.5911602209908"/>
  </r>
  <r>
    <s v="053"/>
    <s v="CARRO DE PARO CRITICO QUIROGA"/>
    <x v="0"/>
    <x v="0"/>
    <s v="20032463-03"/>
    <s v="ADRENALINA Solución inyectable 1 mg / ml"/>
    <s v=""/>
    <s v=""/>
    <s v=""/>
    <s v=""/>
    <s v="1 mg / ml"/>
    <n v="10"/>
    <n v="868.85911602209944"/>
    <n v="8688.5911602209908"/>
  </r>
  <r>
    <s v="032"/>
    <s v="CLINICA DE HERIDAS                                "/>
    <x v="2"/>
    <x v="2"/>
    <s v="XD000060"/>
    <s v="GUANTE QUIRURGICO ESTERIL T-7.0 *1 PAR "/>
    <s v=""/>
    <s v=""/>
    <s v="006"/>
    <s v="Unidad"/>
    <s v=""/>
    <n v="10"/>
    <n v="1017.2755338691159"/>
    <n v="10172.75533869116"/>
  </r>
  <r>
    <s v="001"/>
    <s v="FARMACIA CENTRAL                                  "/>
    <x v="0"/>
    <x v="0"/>
    <s v="33777-03"/>
    <s v="N-ACETILCISTEINA 200 mg Granulado"/>
    <s v=""/>
    <s v=""/>
    <s v=""/>
    <s v=""/>
    <s v="200 mg"/>
    <n v="10"/>
    <n v="1715.12"/>
    <n v="17151.2"/>
  </r>
  <r>
    <s v="003"/>
    <s v="CARRO  DE PARO RECUPERACION HEMODINAMIA"/>
    <x v="0"/>
    <x v="0"/>
    <s v="20036851-01"/>
    <s v="ADRENALINA Solución inyectable 1 mg / ml"/>
    <s v=""/>
    <s v=""/>
    <s v=""/>
    <s v=""/>
    <s v="1 mg / ml"/>
    <n v="10"/>
    <n v="2115.7913513513513"/>
    <n v="21157.913513513511"/>
  </r>
  <r>
    <s v="014"/>
    <s v="CARRO DE PARO CARDIOLOGIA                            "/>
    <x v="0"/>
    <x v="0"/>
    <s v="20036851-01"/>
    <s v="ADRENALINA Solución inyectable 1 mg / ml"/>
    <s v=""/>
    <s v=""/>
    <s v=""/>
    <s v=""/>
    <s v="1 mg / ml"/>
    <n v="10"/>
    <n v="2115.7913513513513"/>
    <n v="21157.913513513511"/>
  </r>
  <r>
    <s v="026"/>
    <s v="CARRO DE PARO TERCER PISO                         "/>
    <x v="0"/>
    <x v="0"/>
    <s v="20036851-01"/>
    <s v="ADRENALINA Solución inyectable 1 mg / ml"/>
    <s v=""/>
    <s v=""/>
    <s v=""/>
    <s v=""/>
    <s v="1 mg / ml"/>
    <n v="10"/>
    <n v="2115.7913513513513"/>
    <n v="21157.913513513511"/>
  </r>
  <r>
    <s v="001"/>
    <s v="FARMACIA CENTRAL                                  "/>
    <x v="0"/>
    <x v="0"/>
    <s v="19961688-03"/>
    <s v="FITOMENADIONA 10 mg / ml Solución Inyectable"/>
    <s v=""/>
    <s v=""/>
    <s v=""/>
    <s v=""/>
    <s v="10 mg / ml"/>
    <n v="10"/>
    <n v="2200.9333333333334"/>
    <n v="22009.333333333328"/>
  </r>
  <r>
    <s v="032"/>
    <s v="CLINICA DE HERIDAS                                "/>
    <x v="0"/>
    <x v="0"/>
    <s v="29523-03"/>
    <s v="SODIO CLORURO 0.9 % Solución Inyectable x 100 ml"/>
    <s v=""/>
    <s v=""/>
    <s v=""/>
    <s v=""/>
    <s v="0.9 % - 100 ML"/>
    <n v="10"/>
    <n v="2206.7211700182816"/>
    <n v="22067.211700182819"/>
  </r>
  <r>
    <s v="008"/>
    <s v="ALMACEN  GENERAL                                         "/>
    <x v="7"/>
    <x v="7"/>
    <s v="AA000158"/>
    <s v="AZUL DE METILENO FRASCO 30 ML"/>
    <s v=""/>
    <s v=""/>
    <s v="006"/>
    <s v="Unidad"/>
    <s v=""/>
    <n v="10"/>
    <n v="2300"/>
    <n v="23000"/>
  </r>
  <r>
    <s v="001"/>
    <s v="FARMACIA CENTRAL                                  "/>
    <x v="2"/>
    <x v="2"/>
    <s v="XT000022"/>
    <s v="MASCARA DE OXIGENO REF HS-MZ01XL"/>
    <s v=""/>
    <s v=""/>
    <s v="006"/>
    <s v="Unidad"/>
    <s v=""/>
    <n v="10"/>
    <n v="2345.8135802469137"/>
    <n v="23458.13580246914"/>
  </r>
  <r>
    <s v="001"/>
    <s v="FARMACIA CENTRAL                                  "/>
    <x v="2"/>
    <x v="2"/>
    <s v="XD000125"/>
    <s v="SONDA FOLEY 18 X 5ML-2 VIAS *1"/>
    <s v=""/>
    <s v=""/>
    <s v="006"/>
    <s v="Unidad"/>
    <s v=""/>
    <n v="10"/>
    <n v="2529.7741935483873"/>
    <n v="25297.741935483871"/>
  </r>
  <r>
    <s v="006"/>
    <s v="ALMACEN MEDICOQUIRURGICOS   "/>
    <x v="2"/>
    <x v="2"/>
    <s v="XD000136"/>
    <s v="SONDA FOLEY 8 X 3ML-2 VIAS *1 CATETER"/>
    <s v=""/>
    <s v=""/>
    <s v="006"/>
    <s v="Unidad"/>
    <s v=""/>
    <n v="10"/>
    <n v="2597.4"/>
    <n v="25974"/>
  </r>
  <r>
    <s v="006"/>
    <s v="ALMACEN MEDICOQUIRURGICOS   "/>
    <x v="2"/>
    <x v="2"/>
    <s v="XD000134"/>
    <s v="SONDA FOLEY 24 X30ML-2 VIAS *1"/>
    <s v=""/>
    <s v=""/>
    <s v="006"/>
    <s v="Unidad"/>
    <s v=""/>
    <n v="10"/>
    <n v="2747.9"/>
    <n v="27479"/>
  </r>
  <r>
    <s v="006"/>
    <s v="ALMACEN MEDICOQUIRURGICOS   "/>
    <x v="2"/>
    <x v="2"/>
    <s v="XD000133"/>
    <s v="SONDA FOLEY 24 X 5ML-2 VIAS *1"/>
    <s v=""/>
    <s v=""/>
    <s v="006"/>
    <s v="Unidad"/>
    <s v=""/>
    <n v="10"/>
    <n v="2837.2"/>
    <n v="28372"/>
  </r>
  <r>
    <s v="006"/>
    <s v="ALMACEN MEDICOQUIRURGICOS   "/>
    <x v="2"/>
    <x v="2"/>
    <s v="XT000050"/>
    <s v="TUBO ENDOTRAQUEAL # 8.5-C/B X1"/>
    <s v=""/>
    <s v=""/>
    <s v="006"/>
    <s v="Unidad"/>
    <s v=""/>
    <n v="10"/>
    <n v="3156.7916666666665"/>
    <n v="31567.916666666672"/>
  </r>
  <r>
    <s v="001"/>
    <s v="FARMACIA CENTRAL                                  "/>
    <x v="2"/>
    <x v="2"/>
    <s v="XE000016"/>
    <s v="MICRONEBULIZADOR ADULTO SET-1885 MASC+MANG.HUDSO"/>
    <s v=""/>
    <s v=""/>
    <s v="006"/>
    <s v="Unidad"/>
    <s v=""/>
    <n v="10"/>
    <n v="3204.7664179104477"/>
    <n v="32047.664179104479"/>
  </r>
  <r>
    <s v="001"/>
    <s v="FARMACIA CENTRAL                                  "/>
    <x v="6"/>
    <x v="6"/>
    <s v="20008613-01"/>
    <s v="MEPERIDINA CLORHIDRATO 100 mg / 2 ml Solución Inyectable"/>
    <s v=""/>
    <s v=""/>
    <s v=""/>
    <s v=""/>
    <s v="100 mg / 2 ml"/>
    <n v="10"/>
    <n v="3260.375"/>
    <n v="32603.75"/>
  </r>
  <r>
    <s v="019"/>
    <s v="CARRO DE PARO UCI 1/2                             "/>
    <x v="0"/>
    <x v="0"/>
    <s v="42849-01"/>
    <s v="ADRENALINA Solución inyectable 1 mg / ml"/>
    <s v=""/>
    <s v=""/>
    <s v=""/>
    <s v=""/>
    <s v="1 mg / ml"/>
    <n v="10"/>
    <n v="3921.962962962963"/>
    <n v="39219.629629629628"/>
  </r>
  <r>
    <s v="001"/>
    <s v="FARMACIA CENTRAL                                  "/>
    <x v="6"/>
    <x v="6"/>
    <s v="20019151-06"/>
    <s v="DIAZEPAM 10 mg / 2 ml Solución inyectable"/>
    <s v=""/>
    <s v=""/>
    <s v=""/>
    <s v=""/>
    <s v="10 mg "/>
    <n v="10"/>
    <n v="4001"/>
    <n v="40010"/>
  </r>
  <r>
    <s v="001"/>
    <s v="FARMACIA CENTRAL                                  "/>
    <x v="2"/>
    <x v="2"/>
    <s v="XS000131"/>
    <s v="SUTURA QUIRURGICA NO ABSORBIBLE SEDA PERMAHAND 2/0 185T-SC26 X2 DOCENAS SP44420"/>
    <s v=""/>
    <s v=""/>
    <s v="006"/>
    <s v="Unidad"/>
    <s v=""/>
    <n v="10"/>
    <n v="5898.3784375000005"/>
    <n v="58983.784375000003"/>
  </r>
  <r>
    <s v="001"/>
    <s v="FARMACIA CENTRAL                                  "/>
    <x v="2"/>
    <x v="2"/>
    <s v="XE000012"/>
    <s v="EQUIPO PARA ADMINISTRACION DE PLAQUETAS"/>
    <s v=""/>
    <s v=""/>
    <s v="006"/>
    <s v="Unidad"/>
    <s v=""/>
    <n v="10"/>
    <n v="7608.4736842105258"/>
    <n v="76084.736842105267"/>
  </r>
  <r>
    <s v="001"/>
    <s v="FARMACIA CENTRAL                                  "/>
    <x v="2"/>
    <x v="2"/>
    <s v="XD000441"/>
    <s v="MANTA TERMICA DE EMERGENCIA DESECHABLE"/>
    <s v=""/>
    <s v=""/>
    <s v="006"/>
    <s v="Unidad"/>
    <s v=""/>
    <n v="10"/>
    <n v="8010.6979411764705"/>
    <n v="80106.979411764711"/>
  </r>
  <r>
    <s v="005"/>
    <s v="ALMACEN MEDICAMENTOS"/>
    <x v="0"/>
    <x v="0"/>
    <s v="20003652-02"/>
    <s v="MILRINONA 10 mg /10 ml Solución inyectable"/>
    <s v=""/>
    <s v=""/>
    <s v=""/>
    <s v=""/>
    <s v="10 mg /10 ml"/>
    <n v="10"/>
    <n v="8235"/>
    <n v="82350"/>
  </r>
  <r>
    <s v="005"/>
    <s v="ALMACEN MEDICAMENTOS"/>
    <x v="0"/>
    <x v="0"/>
    <s v="20151815-01"/>
    <s v="GLUCONATO DE POTASIO 31.2% Elixir Fco 180mL"/>
    <s v=""/>
    <s v=""/>
    <s v=""/>
    <s v=""/>
    <s v="31.2%  - 180 ml"/>
    <n v="10"/>
    <n v="9399.9156249999996"/>
    <n v="93999.15625"/>
  </r>
  <r>
    <s v="001"/>
    <s v="FARMACIA CENTRAL                                  "/>
    <x v="0"/>
    <x v="0"/>
    <s v="20159461-1"/>
    <s v="AZTREONAM 1000 mg Polvo para reconstituir a solución inyectable"/>
    <s v=""/>
    <s v=""/>
    <s v=""/>
    <s v=""/>
    <s v="1000 mg"/>
    <n v="10"/>
    <n v="9616"/>
    <n v="96160"/>
  </r>
  <r>
    <s v="001"/>
    <s v="FARMACIA CENTRAL                                  "/>
    <x v="3"/>
    <x v="3"/>
    <s v="20020358-8"/>
    <s v="MOXIFLOXACINO 400 mg Tableta"/>
    <s v=""/>
    <s v=""/>
    <s v=""/>
    <s v=""/>
    <s v="400 MG"/>
    <n v="10"/>
    <n v="9871.5879999999997"/>
    <n v="98715.88"/>
  </r>
  <r>
    <s v="001"/>
    <s v="FARMACIA CENTRAL                                  "/>
    <x v="0"/>
    <x v="0"/>
    <s v="20150258-1"/>
    <s v="CLEMASTINA 1 mg / ml Solución inyectable x 2 ml"/>
    <s v=""/>
    <s v=""/>
    <s v=""/>
    <s v=""/>
    <s v="2 mg"/>
    <n v="10"/>
    <n v="10622.596"/>
    <n v="106225.96"/>
  </r>
  <r>
    <s v="032"/>
    <s v="CLINICA DE HERIDAS                                "/>
    <x v="2"/>
    <x v="2"/>
    <s v="XA000039"/>
    <s v="PELICULA TRANSPARENTE  FIXOMULL 10X15"/>
    <s v=""/>
    <s v=""/>
    <s v="006"/>
    <s v="Unidad"/>
    <s v=""/>
    <n v="10"/>
    <n v="10692.271420345489"/>
    <n v="106922.71420345487"/>
  </r>
  <r>
    <s v="002"/>
    <s v="FARMACIA DE CIRUGIA                               "/>
    <x v="2"/>
    <x v="2"/>
    <s v="XS000173"/>
    <s v="SUTURA QUIRURGICA ABSORBIBLE VICRYL  4/0 PS-2  3/8 19MM REF JP496G"/>
    <s v=""/>
    <s v=""/>
    <s v="006"/>
    <s v="Unidad"/>
    <s v=""/>
    <n v="10"/>
    <n v="11865"/>
    <n v="118650"/>
  </r>
  <r>
    <s v="008"/>
    <s v="ALMACEN  GENERAL                                         "/>
    <x v="1"/>
    <x v="1"/>
    <s v="AM000327"/>
    <s v="ESPECULO DESECHABLE PARA OTOSCOPIO REF 24400U"/>
    <s v=""/>
    <s v=""/>
    <s v="006"/>
    <s v="Unidad"/>
    <s v=""/>
    <n v="10"/>
    <n v="11899.8"/>
    <n v="118998"/>
  </r>
  <r>
    <s v="001"/>
    <s v="FARMACIA CENTRAL                                  "/>
    <x v="8"/>
    <x v="8"/>
    <s v="19904162-02"/>
    <s v="DALTEPARINA SODICA 5.000 UI / 0.2 ml Solución inyectable"/>
    <s v=""/>
    <s v=""/>
    <s v=""/>
    <s v=""/>
    <s v="5.000 UI / 0.2"/>
    <n v="10"/>
    <n v="13386.8"/>
    <n v="133868"/>
  </r>
  <r>
    <s v="058"/>
    <s v="BODEGA SEDE QUIROIGA"/>
    <x v="2"/>
    <x v="2"/>
    <s v="AA000091"/>
    <s v="GUANTES FLEXAM DESECHABLES PARA EXAMEN 100 T.M."/>
    <s v=""/>
    <s v=""/>
    <s v="006"/>
    <s v="Unidad"/>
    <s v=""/>
    <n v="10"/>
    <n v="15064.306117424243"/>
    <n v="150643.06117424241"/>
  </r>
  <r>
    <s v="005"/>
    <s v="ALMACEN MEDICAMENTOS"/>
    <x v="4"/>
    <x v="4"/>
    <s v="20002059-06"/>
    <s v="CLARITROMICINA 500 mg Polvo para reconstituir a solución inyectable"/>
    <s v=""/>
    <s v=""/>
    <s v=""/>
    <s v=""/>
    <s v="500 mg"/>
    <n v="10"/>
    <n v="15216.537037037038"/>
    <n v="152165.37037037036"/>
  </r>
  <r>
    <s v="008"/>
    <s v="ALMACEN  GENERAL                                         "/>
    <x v="1"/>
    <x v="1"/>
    <s v="AM000359"/>
    <s v="TAPON CANAL TRABAJO BIOPSIA ENDOSCOPIO"/>
    <s v=""/>
    <s v=""/>
    <s v="006"/>
    <s v="Unidad"/>
    <s v=""/>
    <n v="10"/>
    <n v="21339.89"/>
    <n v="213398.9"/>
  </r>
  <r>
    <s v="006"/>
    <s v="ALMACEN MEDICOQUIRURGICOS   "/>
    <x v="2"/>
    <x v="2"/>
    <s v="XS000034"/>
    <s v="HEMOCLIP PLUS MEDIUM AZUL T 125 C X 10 CARTUCHOS"/>
    <s v=""/>
    <s v=""/>
    <s v="006"/>
    <s v="Unidad"/>
    <s v=""/>
    <n v="10"/>
    <n v="22027.811764705883"/>
    <n v="220278.1176470588"/>
  </r>
  <r>
    <s v="005"/>
    <s v="ALMACEN MEDICAMENTOS"/>
    <x v="0"/>
    <x v="0"/>
    <s v="1980804-02"/>
    <s v="BROMURO DE IPRATROPIO 0.25 mg / ml Soluciónpara Nebulizar"/>
    <s v=""/>
    <s v=""/>
    <s v=""/>
    <s v=""/>
    <s v="15 ml"/>
    <n v="10"/>
    <n v="22303.329230769228"/>
    <n v="223033.29230769232"/>
  </r>
  <r>
    <s v="005"/>
    <s v="ALMACEN MEDICAMENTOS"/>
    <x v="0"/>
    <x v="0"/>
    <s v="19900482-01"/>
    <s v="L-ORNITINA-L-ASPARTATO 5g / 10ml Solución inyectable"/>
    <s v=""/>
    <s v=""/>
    <s v=""/>
    <s v=""/>
    <s v="5g / 10ml"/>
    <n v="10"/>
    <n v="26857.064761904763"/>
    <n v="268570.64761904761"/>
  </r>
  <r>
    <s v="002"/>
    <s v="FARMACIA DE CIRUGIA                               "/>
    <x v="2"/>
    <x v="2"/>
    <s v="XT000056"/>
    <s v="TUBO ENDOTRAQUEAL #8.0 REFORZADO X5"/>
    <s v=""/>
    <s v=""/>
    <s v="006"/>
    <s v="Unidad"/>
    <s v=""/>
    <n v="10"/>
    <n v="28692.595000000001"/>
    <n v="286925.95"/>
  </r>
  <r>
    <s v="005"/>
    <s v="ALMACEN MEDICAMENTOS"/>
    <x v="0"/>
    <x v="0"/>
    <s v="20087855-01"/>
    <s v="SUCRALFATO 200 ml Suspensión Oral Frasco 200ml"/>
    <s v=""/>
    <s v=""/>
    <s v=""/>
    <s v=""/>
    <s v="20 g"/>
    <n v="10"/>
    <n v="30902"/>
    <n v="309020"/>
  </r>
  <r>
    <s v="001"/>
    <s v="FARMACIA CENTRAL                                  "/>
    <x v="2"/>
    <x v="2"/>
    <s v="XA000009"/>
    <s v="APOSITO EXTRA DELGADO DUO DERM  15X15CM EXTRA THIN "/>
    <s v=""/>
    <s v=""/>
    <s v="006"/>
    <s v="Unidad"/>
    <s v=""/>
    <n v="10"/>
    <n v="30949.8"/>
    <n v="309498"/>
  </r>
  <r>
    <s v="006"/>
    <s v="ALMACEN MEDICOQUIRURGICOS   "/>
    <x v="2"/>
    <x v="2"/>
    <s v="XA000009"/>
    <s v="APOSITO EXTRA DELGADO DUO DERM  15X15CM EXTRA THIN "/>
    <s v=""/>
    <s v=""/>
    <s v="006"/>
    <s v="Unidad"/>
    <s v=""/>
    <n v="10"/>
    <n v="30949.8"/>
    <n v="309498"/>
  </r>
  <r>
    <s v="001"/>
    <s v="FARMACIA CENTRAL                                  "/>
    <x v="2"/>
    <x v="2"/>
    <s v="XJ000020"/>
    <s v="CUCHILLA CLIPPER CIRUGIA GENERAL  B.D X 1 REF 4406"/>
    <s v=""/>
    <s v=""/>
    <s v="006"/>
    <s v="Unidad"/>
    <s v=""/>
    <n v="10"/>
    <n v="33095.185624999998"/>
    <n v="330951.85625000001"/>
  </r>
  <r>
    <s v="002"/>
    <s v="FARMACIA DE CIRUGIA                               "/>
    <x v="2"/>
    <x v="2"/>
    <s v="XA000027"/>
    <s v="COTONOIDE RADIOPACO REF 801403 XRAY 1X1 REF 0425"/>
    <s v=""/>
    <s v=""/>
    <s v="006"/>
    <s v="Unidad"/>
    <s v=""/>
    <n v="10"/>
    <n v="46306.20444444444"/>
    <n v="463062.04444444447"/>
  </r>
  <r>
    <s v="001"/>
    <s v="FARMACIA CENTRAL                                  "/>
    <x v="2"/>
    <x v="2"/>
    <s v="XA000110"/>
    <s v="APOSITO DE FIJACION MEPITEL ONE 10X18CM REF 289500"/>
    <s v=""/>
    <s v=""/>
    <s v="006"/>
    <s v="Unidad"/>
    <s v=""/>
    <n v="10"/>
    <n v="65514.193548387098"/>
    <n v="655141.93548387091"/>
  </r>
  <r>
    <s v="001"/>
    <s v="FARMACIA CENTRAL                                  "/>
    <x v="2"/>
    <x v="2"/>
    <s v="XA000090"/>
    <s v="VENDAJE PARA CICATRIZACION MEPILEX BORDER POST OP 10X20CM REF 496405"/>
    <s v=""/>
    <s v=""/>
    <s v="006"/>
    <s v="Unidad"/>
    <s v=""/>
    <n v="10"/>
    <n v="77163.733333333323"/>
    <n v="771637.33333333326"/>
  </r>
  <r>
    <s v="002"/>
    <s v="FARMACIA DE CIRUGIA                               "/>
    <x v="2"/>
    <x v="2"/>
    <s v="XE000002"/>
    <s v="EQUIPO ADMINISTRACION DE FLUIDOS TEMP REF 24200 3M"/>
    <s v=""/>
    <s v=""/>
    <s v="006"/>
    <s v="Unidad"/>
    <s v=""/>
    <n v="10"/>
    <n v="77439.036842105255"/>
    <n v="774390.36842105258"/>
  </r>
  <r>
    <s v="005"/>
    <s v="ALMACEN MEDICAMENTOS"/>
    <x v="4"/>
    <x v="4"/>
    <s v="19931619-01"/>
    <s v="ERTAPENEM 1g Polvo para reconstituir a solución inyectable "/>
    <s v=""/>
    <s v=""/>
    <s v=""/>
    <s v=""/>
    <s v="1 g"/>
    <n v="10"/>
    <n v="97265.373529411765"/>
    <n v="972653.73529411759"/>
  </r>
  <r>
    <s v="008"/>
    <s v="ALMACEN  GENERAL                                         "/>
    <x v="1"/>
    <x v="1"/>
    <s v="AM000208"/>
    <s v="CINTA CONTROL QUIMICO PARA PEROXIDO H202 REF 00PCC071"/>
    <s v=""/>
    <s v=""/>
    <s v="006"/>
    <s v="Unidad"/>
    <s v=""/>
    <n v="10"/>
    <n v="99619.6"/>
    <n v="996196"/>
  </r>
  <r>
    <s v="006"/>
    <s v="ALMACEN MEDICOQUIRURGICOS   "/>
    <x v="2"/>
    <x v="2"/>
    <s v="XT000068"/>
    <s v="SUJETADOR PARA TUBO ENDOBRONQUEAL  ORAL                                                             "/>
    <s v=""/>
    <s v=""/>
    <s v="006"/>
    <s v="Unidad"/>
    <s v=""/>
    <n v="10"/>
    <n v="100452.13374999999"/>
    <n v="1004521.3375"/>
  </r>
  <r>
    <s v="001"/>
    <s v="FARMACIA CENTRAL                                  "/>
    <x v="2"/>
    <x v="2"/>
    <s v="XA000101"/>
    <s v="APOSITO PARA HERIDAS MEPILEX BORDER HEEL 22 X 23 CM REF 282790"/>
    <s v=""/>
    <s v=""/>
    <s v="006"/>
    <s v="Unidad"/>
    <s v=""/>
    <n v="10"/>
    <n v="124027.62773584906"/>
    <n v="1240276.2773584905"/>
  </r>
  <r>
    <s v="001"/>
    <s v="FARMACIA CENTRAL                                  "/>
    <x v="2"/>
    <x v="2"/>
    <s v="XA000088"/>
    <s v="APOSITO  MEPILEX  MOLNLYCKE AG 15 X 15 REF 287300"/>
    <s v=""/>
    <s v=""/>
    <s v="006"/>
    <s v="Unidad"/>
    <s v=""/>
    <n v="10"/>
    <n v="140199.87282051283"/>
    <n v="1401998.7282051281"/>
  </r>
  <r>
    <s v="001"/>
    <s v="FARMACIA CENTRAL                                  "/>
    <x v="4"/>
    <x v="4"/>
    <s v="19979420-02"/>
    <s v="TERLIPRESINA ACETATO 1 mg Polvo para reconstituir a solución inyectable"/>
    <s v=""/>
    <s v=""/>
    <s v=""/>
    <s v=""/>
    <s v="1 mg"/>
    <n v="10"/>
    <n v="155000"/>
    <n v="1550000"/>
  </r>
  <r>
    <s v="006"/>
    <s v="ALMACEN MEDICOQUIRURGICOS   "/>
    <x v="2"/>
    <x v="2"/>
    <s v="XC000001"/>
    <s v="CATETER  DOBLE LUMEN X 70 CM(PICC)"/>
    <s v=""/>
    <s v=""/>
    <s v="006"/>
    <s v="Unidad"/>
    <s v=""/>
    <n v="10"/>
    <n v="294637.73333333334"/>
    <n v="2946377.333333333"/>
  </r>
  <r>
    <s v="001"/>
    <s v="FARMACIA CENTRAL                                  "/>
    <x v="2"/>
    <x v="2"/>
    <s v="XA000111"/>
    <s v="APOSITO PARA HERIDAS MEPILEX BORDER FLEX 15X15 CM REF 595400"/>
    <s v=""/>
    <s v=""/>
    <s v="006"/>
    <s v="Unidad"/>
    <s v=""/>
    <n v="11"/>
    <n v="-296.27659574468083"/>
    <n v="-3259.0425531914898"/>
  </r>
  <r>
    <s v="002"/>
    <s v="FARMACIA DE CIRUGIA                               "/>
    <x v="2"/>
    <x v="2"/>
    <s v="XG000003"/>
    <s v="AGUJA DESECHABLE # 18 G.X1-1/2*100"/>
    <s v=""/>
    <s v=""/>
    <s v="006"/>
    <s v="Unidad"/>
    <s v=""/>
    <n v="11"/>
    <n v="70.974907834101387"/>
    <n v="780.72398617511999"/>
  </r>
  <r>
    <s v="057"/>
    <s v="CARRO DE PARO UCI 2"/>
    <x v="0"/>
    <x v="0"/>
    <s v="20032463-03"/>
    <s v="ADRENALINA Solución inyectable 1 mg / ml"/>
    <s v=""/>
    <s v=""/>
    <s v=""/>
    <s v=""/>
    <s v="1 mg / ml"/>
    <n v="11"/>
    <n v="868.85911602209944"/>
    <n v="9557.4502762430893"/>
  </r>
  <r>
    <s v="001"/>
    <s v="FARMACIA CENTRAL                                  "/>
    <x v="2"/>
    <x v="2"/>
    <s v="XV000003"/>
    <s v="VENDA DE ALGODON 5 X 5 *1 LAMINADO"/>
    <s v=""/>
    <s v=""/>
    <s v="006"/>
    <s v="Unidad"/>
    <s v=""/>
    <n v="11"/>
    <n v="1692.1930827067667"/>
    <n v="18614.12390977444"/>
  </r>
  <r>
    <s v="002"/>
    <s v="FARMACIA DE CIRUGIA                               "/>
    <x v="2"/>
    <x v="2"/>
    <s v="XS000094"/>
    <s v="SUTURA QUIRURGICA ABSORBIBLE VICRYL  4/0 P-3  45CM   REF JP494G X 1"/>
    <s v=""/>
    <s v=""/>
    <s v="006"/>
    <s v="Unidad"/>
    <s v=""/>
    <n v="11"/>
    <n v="3412.6313333333337"/>
    <n v="37538.94466666667"/>
  </r>
  <r>
    <s v="006"/>
    <s v="ALMACEN MEDICOQUIRURGICOS   "/>
    <x v="2"/>
    <x v="2"/>
    <s v="XT000038"/>
    <s v="TUBO DE TORAX # 34 *1 CATETER"/>
    <s v=""/>
    <s v=""/>
    <s v="006"/>
    <s v="Unidad"/>
    <s v=""/>
    <n v="11"/>
    <n v="4519.7368421052633"/>
    <n v="49717.105263157893"/>
  </r>
  <r>
    <s v="001"/>
    <s v="FARMACIA CENTRAL                                  "/>
    <x v="14"/>
    <x v="14"/>
    <s v="NT000041"/>
    <s v="IBS BIOTIC PROBIOTICOS"/>
    <s v=""/>
    <s v=""/>
    <s v=""/>
    <s v=""/>
    <s v="3 X 10 MILLONES"/>
    <n v="11"/>
    <n v="4604.7090909090912"/>
    <n v="50651.8"/>
  </r>
  <r>
    <s v="005"/>
    <s v="ALMACEN MEDICAMENTOS"/>
    <x v="0"/>
    <x v="0"/>
    <s v="20011983-01"/>
    <s v="SALBUTAMOL 100 mcg / Puff Solución para Inhalación 200 Dosis"/>
    <s v=""/>
    <s v=""/>
    <s v=""/>
    <s v=""/>
    <s v="200 puff"/>
    <n v="11"/>
    <n v="4708.1851851851852"/>
    <n v="51790.037037037036"/>
  </r>
  <r>
    <s v="001"/>
    <s v="FARMACIA CENTRAL                                  "/>
    <x v="0"/>
    <x v="0"/>
    <s v="48568-02"/>
    <s v="SULTAMICILINA 375 MG TABLETA"/>
    <s v=""/>
    <s v=""/>
    <s v=""/>
    <s v=""/>
    <s v="375 MG"/>
    <n v="11"/>
    <n v="4895.6363636363631"/>
    <n v="53852"/>
  </r>
  <r>
    <s v="002"/>
    <s v="FARMACIA DE CIRUGIA                               "/>
    <x v="2"/>
    <x v="2"/>
    <s v="XG000022"/>
    <s v="AGUJA ESPINAL SPINOCAN  G-25 X 3-1/2 X88MM X25U"/>
    <s v=""/>
    <s v=""/>
    <s v="006"/>
    <s v="Unidad"/>
    <s v=""/>
    <n v="11"/>
    <n v="6317.9467326732674"/>
    <n v="69497.414059405943"/>
  </r>
  <r>
    <s v="005"/>
    <s v="ALMACEN MEDICAMENTOS"/>
    <x v="0"/>
    <x v="0"/>
    <s v="20084123-01"/>
    <s v="BECLOMETASONA DIPROPIONATO 250 mcg / Puff Suspensión para inhalación 200 Dosis"/>
    <s v=""/>
    <s v=""/>
    <s v=""/>
    <s v=""/>
    <s v="200 puff"/>
    <n v="11"/>
    <n v="6999.5883333333331"/>
    <n v="76995.471666666665"/>
  </r>
  <r>
    <s v="008"/>
    <s v="ALMACEN  GENERAL                                         "/>
    <x v="1"/>
    <x v="1"/>
    <s v="AM000342"/>
    <s v="O-RING PARA VAPORIZADOR M. A. OHMEDA REF D01102-3043-000"/>
    <s v=""/>
    <s v=""/>
    <s v="006"/>
    <s v="Unidad"/>
    <s v=""/>
    <n v="11"/>
    <n v="9520"/>
    <n v="104720"/>
  </r>
  <r>
    <s v="002"/>
    <s v="FARMACIA DE CIRUGIA                               "/>
    <x v="2"/>
    <x v="2"/>
    <s v="XS000057"/>
    <s v="SISTEMA DE LIGADURA LIGACLIPS TITANIUN CLIP MED/L  LT300  REF0301-06ML"/>
    <s v=""/>
    <s v=""/>
    <s v="006"/>
    <s v="Unidad"/>
    <s v=""/>
    <n v="11"/>
    <n v="10051.892727272727"/>
    <n v="110570.82"/>
  </r>
  <r>
    <s v="001"/>
    <s v="FARMACIA CENTRAL                                  "/>
    <x v="14"/>
    <x v="14"/>
    <s v="140111"/>
    <s v="DIBEN DRINK  LIQUIDO BOTELLA  200 ML"/>
    <s v=""/>
    <s v=""/>
    <s v=""/>
    <s v=""/>
    <s v="200 ML"/>
    <n v="11"/>
    <n v="12504.225915492958"/>
    <n v="137546.48507042255"/>
  </r>
  <r>
    <s v="001"/>
    <s v="FARMACIA CENTRAL                                  "/>
    <x v="0"/>
    <x v="0"/>
    <s v="43735-03"/>
    <s v="LIDOCAINA HCL SIN EPINEFRINA 1% Solución Inyectable 10mL"/>
    <s v=""/>
    <s v=""/>
    <s v=""/>
    <s v=""/>
    <s v="1% - 10 ml"/>
    <n v="11"/>
    <n v="12590.576039603962"/>
    <n v="138496.33643564355"/>
  </r>
  <r>
    <s v="001"/>
    <s v="FARMACIA CENTRAL                                  "/>
    <x v="0"/>
    <x v="0"/>
    <s v="19995161-03"/>
    <s v="ROCURONIO BROMURO 50 mg / 5 ml Solución inyectable"/>
    <s v=""/>
    <s v=""/>
    <s v=""/>
    <s v=""/>
    <s v="50 mg"/>
    <n v="11"/>
    <n v="13500.487848101266"/>
    <n v="148505.36632911392"/>
  </r>
  <r>
    <s v="006"/>
    <s v="ALMACEN MEDICOQUIRURGICOS   "/>
    <x v="2"/>
    <x v="2"/>
    <s v="XS000102"/>
    <s v="SUTURA QUIRURGICA ABSORBIBLE VICRYL 5/0(J113G-E13)JP493G-P3 X1DOCENA"/>
    <s v=""/>
    <s v=""/>
    <s v="006"/>
    <s v="Unidad"/>
    <s v=""/>
    <n v="11"/>
    <n v="13757.371714285715"/>
    <n v="151331.08885714287"/>
  </r>
  <r>
    <s v="006"/>
    <s v="ALMACEN MEDICOQUIRURGICOS   "/>
    <x v="2"/>
    <x v="2"/>
    <s v="XO000010"/>
    <s v="COLLAR CERVICAL PHILADELPHIA M UNIDAD"/>
    <s v=""/>
    <s v=""/>
    <s v="006"/>
    <s v="Unidad"/>
    <s v=""/>
    <n v="11"/>
    <n v="15127.890769230769"/>
    <n v="166406.79846153845"/>
  </r>
  <r>
    <s v="002"/>
    <s v="FARMACIA DE CIRUGIA                               "/>
    <x v="0"/>
    <x v="0"/>
    <s v="20108472-02"/>
    <s v="NEFOPAM 20 mg/2ml sol inyectable"/>
    <s v=""/>
    <s v=""/>
    <s v=""/>
    <s v=""/>
    <s v="20 mg/ 2 ml"/>
    <n v="11"/>
    <n v="15707.147521367522"/>
    <n v="172778.62273504274"/>
  </r>
  <r>
    <s v="006"/>
    <s v="ALMACEN MEDICOQUIRURGICOS   "/>
    <x v="2"/>
    <x v="2"/>
    <s v="XS000120"/>
    <s v="SUTURA QUIRURGICA MONOFILAMENTE ESTERIL SINTETICO NO ABSORBIBLE 5/0 9556T RB1/RB1 X2 DOCENAS"/>
    <s v=""/>
    <s v=""/>
    <s v="006"/>
    <s v="Unidad"/>
    <s v=""/>
    <n v="11"/>
    <n v="16715.953333333335"/>
    <n v="183875.48666666669"/>
  </r>
  <r>
    <s v="002"/>
    <s v="FARMACIA DE CIRUGIA                               "/>
    <x v="0"/>
    <x v="0"/>
    <s v="20004699-01"/>
    <s v="LABETALOL 100 mg / 20 ml Solución Inyectable"/>
    <s v=""/>
    <s v=""/>
    <s v=""/>
    <s v=""/>
    <s v="100 mg / 20 ml"/>
    <n v="11"/>
    <n v="18361.839391304347"/>
    <n v="201980.23330434784"/>
  </r>
  <r>
    <s v="006"/>
    <s v="ALMACEN MEDICOQUIRURGICOS   "/>
    <x v="2"/>
    <x v="2"/>
    <s v="XD000006"/>
    <s v="BARRERA DE COLOSTOMIA PROTECTORA 45MM  SUR-FIT  REF "/>
    <s v=""/>
    <s v=""/>
    <s v="006"/>
    <s v="Unidad"/>
    <s v=""/>
    <n v="11"/>
    <n v="20109.540769230771"/>
    <n v="221204.94846153847"/>
  </r>
  <r>
    <s v="001"/>
    <s v="FARMACIA CENTRAL                                  "/>
    <x v="0"/>
    <x v="0"/>
    <s v="19900482-01"/>
    <s v="L-ORNITINA-L-ASPARTATO 5g / 10ml Solución inyectable"/>
    <s v=""/>
    <s v=""/>
    <s v=""/>
    <s v=""/>
    <s v="5g / 10ml"/>
    <n v="11"/>
    <n v="26857.064761904763"/>
    <n v="295427.71238095238"/>
  </r>
  <r>
    <s v="001"/>
    <s v="FARMACIA CENTRAL                                  "/>
    <x v="4"/>
    <x v="4"/>
    <s v="20029185-01"/>
    <s v="LINEZOLID 600 mg / 300 ml Solución Inyectable"/>
    <s v=""/>
    <s v=""/>
    <s v=""/>
    <s v=""/>
    <s v="600 mg / 300 ml"/>
    <n v="11"/>
    <n v="29979.841269841269"/>
    <n v="329778.25396825396"/>
  </r>
  <r>
    <s v="008"/>
    <s v="ALMACEN  GENERAL                                         "/>
    <x v="5"/>
    <x v="5"/>
    <s v="AP000141"/>
    <s v="LIBRO DE CONTABILIDAD DE 300 FOLIOS"/>
    <s v=""/>
    <s v=""/>
    <s v="006"/>
    <s v="Unidad"/>
    <s v=""/>
    <n v="11"/>
    <n v="31427.640909090911"/>
    <n v="345704.05"/>
  </r>
  <r>
    <s v="002"/>
    <s v="FARMACIA DE CIRUGIA                               "/>
    <x v="2"/>
    <x v="2"/>
    <s v="XG000010"/>
    <s v="AGUJA PARA ESTIMULACION NERVIOSA PERIFERICA STIMUPLEX CANULA G-21X100MM REF 4894260"/>
    <s v=""/>
    <s v=""/>
    <s v="006"/>
    <s v="Unidad"/>
    <s v=""/>
    <n v="11"/>
    <n v="35776.850892857146"/>
    <n v="393545.35982142854"/>
  </r>
  <r>
    <s v="002"/>
    <s v="FARMACIA DE CIRUGIA                               "/>
    <x v="6"/>
    <x v="6"/>
    <s v="20044646-06"/>
    <s v="REMIFENTANILO 2 mg Polvo para reconstituir a solución inyectable"/>
    <s v=""/>
    <s v=""/>
    <s v=""/>
    <s v=""/>
    <s v="2 mg"/>
    <n v="11"/>
    <n v="39180.571875000001"/>
    <n v="430986.29062500002"/>
  </r>
  <r>
    <s v="005"/>
    <s v="ALMACEN MEDICAMENTOS"/>
    <x v="0"/>
    <x v="0"/>
    <s v="20029994-01"/>
    <s v="SUSTITUTO DE PLASMA HUMANO 4 % 500 ml"/>
    <s v=""/>
    <s v=""/>
    <s v=""/>
    <s v=""/>
    <s v="4% 500 ml"/>
    <n v="11"/>
    <n v="43328.285714285717"/>
    <n v="476611.1428571429"/>
  </r>
  <r>
    <s v="058"/>
    <s v="BODEGA SEDE QUIROIGA"/>
    <x v="2"/>
    <x v="2"/>
    <s v="XJ000009"/>
    <s v="JERINGA DESECHABLE 100ML 3P S/A INYECTOR RX NEMO"/>
    <s v=""/>
    <s v=""/>
    <s v="006"/>
    <s v="Unidad"/>
    <s v=""/>
    <n v="11"/>
    <n v="50605.866129032256"/>
    <n v="556664.52741935488"/>
  </r>
  <r>
    <s v="005"/>
    <s v="ALMACEN MEDICAMENTOS"/>
    <x v="4"/>
    <x v="4"/>
    <s v="20059263-01"/>
    <s v="GANCICLOVIR 500 mg / 10 ml Solución Inyectable"/>
    <s v=""/>
    <s v=""/>
    <s v=""/>
    <s v=""/>
    <s v="500 mg / 10 ml"/>
    <n v="11"/>
    <n v="79836.133333333331"/>
    <n v="878197.46666666667"/>
  </r>
  <r>
    <s v="008"/>
    <s v="ALMACEN  GENERAL                                         "/>
    <x v="7"/>
    <x v="7"/>
    <s v="AA000155"/>
    <s v="QUINEUTRIM X 3750 CC"/>
    <s v=""/>
    <s v=""/>
    <s v="006"/>
    <s v="Unidad"/>
    <s v=""/>
    <n v="11"/>
    <n v="97249.136363636353"/>
    <n v="1069740.5"/>
  </r>
  <r>
    <s v="001"/>
    <s v="FARMACIA CENTRAL                                  "/>
    <x v="4"/>
    <x v="4"/>
    <s v="19968918-01"/>
    <s v="ALBUMINA HUMANA NORMAL 20 % Solución inyectable"/>
    <s v=""/>
    <s v=""/>
    <s v=""/>
    <s v=""/>
    <s v="20 % 50 ml"/>
    <n v="11"/>
    <n v="114428.79285714285"/>
    <n v="1258716.7214285713"/>
  </r>
  <r>
    <s v="006"/>
    <s v="ALMACEN MEDICOQUIRURGICOS   "/>
    <x v="2"/>
    <x v="2"/>
    <s v="XT000076"/>
    <s v="TUBO ENDOBRONQUIAL 37 FR DERECHO / IZQUIERDO X 1"/>
    <s v=""/>
    <s v=""/>
    <s v="006"/>
    <s v="Unidad"/>
    <s v=""/>
    <n v="11"/>
    <n v="197535.65384615384"/>
    <n v="2172892.192307692"/>
  </r>
  <r>
    <s v="006"/>
    <s v="ALMACEN MEDICOQUIRURGICOS   "/>
    <x v="2"/>
    <x v="2"/>
    <s v="XE000018"/>
    <s v="SISTEMA DE DRENAJE TORAXICO TORA SEAL-III "/>
    <s v=""/>
    <s v=""/>
    <s v="006"/>
    <s v="Unidad"/>
    <s v=""/>
    <n v="11"/>
    <n v="298569.47162162163"/>
    <n v="3284264.1878378382"/>
  </r>
  <r>
    <s v="006"/>
    <s v="ALMACEN MEDICOQUIRURGICOS   "/>
    <x v="2"/>
    <x v="2"/>
    <s v="XS000065"/>
    <s v="SUJECION ARTICULADA ENDO CLINCH II 5 MM GRASPER DE DIENTE REF 174317/17406 X 1 EPIX REF C4130"/>
    <s v=""/>
    <s v=""/>
    <s v="006"/>
    <s v="Unidad"/>
    <s v=""/>
    <n v="11"/>
    <n v="449425.76142857142"/>
    <n v="4943683.3757142853"/>
  </r>
  <r>
    <s v="001"/>
    <s v="FARMACIA CENTRAL                                  "/>
    <x v="2"/>
    <x v="2"/>
    <s v="XT000017"/>
    <s v="GUIA PARA INTUBACION X1 ESTILETE TUBO ENDOTRAQUE"/>
    <s v=""/>
    <s v=""/>
    <s v="006"/>
    <s v="Unidad"/>
    <s v=""/>
    <n v="12"/>
    <n v="-58082.704199999993"/>
    <n v="-696992.45039999997"/>
  </r>
  <r>
    <s v="008"/>
    <s v="ALMACEN  GENERAL                                         "/>
    <x v="1"/>
    <x v="1"/>
    <s v="AM000046"/>
    <s v="PILA ALKACELL TRIPLE AAA"/>
    <s v=""/>
    <s v=""/>
    <s v="006"/>
    <s v="Unidad"/>
    <s v=""/>
    <n v="12"/>
    <n v="-22267.615000000002"/>
    <n v="-267211.38"/>
  </r>
  <r>
    <s v="008"/>
    <s v="ALMACEN  GENERAL                                         "/>
    <x v="12"/>
    <x v="12"/>
    <s v="AR000031"/>
    <s v="PANTALONETA DESECHABLE HOMBRE"/>
    <s v=""/>
    <s v=""/>
    <s v="006"/>
    <s v="Unidad"/>
    <s v=""/>
    <n v="12"/>
    <n v="-1149.4166666666665"/>
    <n v="-13793"/>
  </r>
  <r>
    <s v="008"/>
    <s v="ALMACEN  GENERAL                                         "/>
    <x v="5"/>
    <x v="5"/>
    <s v="AP000096"/>
    <s v="TAJALAPICES"/>
    <s v=""/>
    <s v=""/>
    <s v="006"/>
    <s v="Unidad"/>
    <s v=""/>
    <n v="12"/>
    <n v="337.94833333333332"/>
    <n v="4055.38"/>
  </r>
  <r>
    <s v="001"/>
    <s v="FARMACIA CENTRAL                                  "/>
    <x v="0"/>
    <x v="0"/>
    <s v="40260-02"/>
    <s v="CIANOCOBALAMINA 1mg/ml Solución inyectable"/>
    <s v=""/>
    <s v=""/>
    <s v=""/>
    <s v=""/>
    <s v="1MG"/>
    <n v="12"/>
    <n v="812.87333333333333"/>
    <n v="9754.48"/>
  </r>
  <r>
    <s v="002"/>
    <s v="FARMACIA DE CIRUGIA                               "/>
    <x v="2"/>
    <x v="2"/>
    <s v="XD000055"/>
    <s v="GLUCOMETRIA- INSUMOS"/>
    <s v=""/>
    <s v=""/>
    <s v="006"/>
    <s v="Unidad"/>
    <s v=""/>
    <n v="12"/>
    <n v="1000"/>
    <n v="12000"/>
  </r>
  <r>
    <s v="001"/>
    <s v="FARMACIA CENTRAL                                  "/>
    <x v="0"/>
    <x v="0"/>
    <s v="19966576-03"/>
    <s v="LIDOCAINA CLORHIDRATO 2 % S.E. Solución inyectable 10 ml"/>
    <s v=""/>
    <s v=""/>
    <s v=""/>
    <s v=""/>
    <s v="2 % - 10 ml"/>
    <n v="12"/>
    <n v="1013.732700729927"/>
    <n v="12164.79240875912"/>
  </r>
  <r>
    <s v="001"/>
    <s v="FARMACIA CENTRAL                                  "/>
    <x v="0"/>
    <x v="0"/>
    <s v="19998076-1"/>
    <s v="GEMFIBROZILO 600 mg Tableta"/>
    <s v=""/>
    <s v=""/>
    <s v=""/>
    <s v=""/>
    <s v="600 mg"/>
    <n v="12"/>
    <n v="1071.3333333333335"/>
    <n v="12856"/>
  </r>
  <r>
    <s v="002"/>
    <s v="FARMACIA DE CIRUGIA                               "/>
    <x v="2"/>
    <x v="2"/>
    <s v="XJ000014"/>
    <s v="JERINGA DESECHABLE 50ML-C/A-3 PARTES X 100"/>
    <s v=""/>
    <s v=""/>
    <s v="006"/>
    <s v="Unidad"/>
    <s v=""/>
    <n v="12"/>
    <n v="1323.9450549450551"/>
    <n v="15887.34065934066"/>
  </r>
  <r>
    <s v="001"/>
    <s v="FARMACIA CENTRAL                                  "/>
    <x v="0"/>
    <x v="0"/>
    <s v="37246-01"/>
    <s v="ISOSORBIDE DINITRATO 5MG TABLETAS"/>
    <s v=""/>
    <s v=""/>
    <s v=""/>
    <s v=""/>
    <s v="5 MG"/>
    <n v="12"/>
    <n v="1327.6666666666667"/>
    <n v="15932"/>
  </r>
  <r>
    <s v="003"/>
    <s v="CARRO  DE PARO RECUPERACION HEMODINAMIA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04"/>
    <s v="CARRO DE PARO RADIOLOGIA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09"/>
    <s v="CARRO DE PARO URGENCIAS        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14"/>
    <s v="CARRO DE PARO CARDIOLOGIA         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22"/>
    <s v="CARRO DE PARO DE CIRUGIA       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25"/>
    <s v="CARRO DE PARO GASTROENTEROLOGÌA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26"/>
    <s v="CARRO DE PARO TERCER PISO      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29"/>
    <s v="CARRO DE PARO CUARTO PISO                         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53"/>
    <s v="CARRO DE PARO CRITICO QUIROGA"/>
    <x v="0"/>
    <x v="0"/>
    <s v="32250-01"/>
    <s v="SODIO BICARBONATO 10 meq / 10 ml Solución inyectable"/>
    <s v=""/>
    <s v=""/>
    <s v=""/>
    <s v=""/>
    <s v="10 meq / 10 ml"/>
    <n v="12"/>
    <n v="1849.2706606606607"/>
    <n v="22191.247927927929"/>
  </r>
  <r>
    <s v="002"/>
    <s v="FARMACIA DE CIRUGIA                               "/>
    <x v="0"/>
    <x v="0"/>
    <s v="20065058-02"/>
    <s v="ONDANSETRON 8 mg / 4 ml Solución Inyectable"/>
    <s v=""/>
    <s v=""/>
    <s v=""/>
    <s v=""/>
    <s v="8 mg / 4 ml"/>
    <n v="12"/>
    <n v="1854.4881250000001"/>
    <n v="22253.857499999998"/>
  </r>
  <r>
    <s v="001"/>
    <s v="FARMACIA CENTRAL                                  "/>
    <x v="2"/>
    <x v="2"/>
    <s v="XV000004"/>
    <s v="VENDA DE ALGODON 6 X 5 *1 LAMINADO"/>
    <s v=""/>
    <s v=""/>
    <s v="006"/>
    <s v="Unidad"/>
    <s v=""/>
    <n v="12"/>
    <n v="1936.3739855072463"/>
    <n v="23236.487826086959"/>
  </r>
  <r>
    <s v="005"/>
    <s v="ALMACEN MEDICAMENTOS"/>
    <x v="0"/>
    <x v="0"/>
    <s v="19979158-5"/>
    <s v="SODIO CLORURO 0.9% 1000ML FCO"/>
    <s v=""/>
    <s v=""/>
    <s v=""/>
    <s v=""/>
    <s v="0.9 % - 1000 ML"/>
    <n v="12"/>
    <n v="2217"/>
    <n v="26604"/>
  </r>
  <r>
    <s v="043"/>
    <s v="BODEGA DE CENTRAL DE MEZCLAS"/>
    <x v="0"/>
    <x v="0"/>
    <s v="29523-05"/>
    <s v="SODIO CLORURO 0.9 % Solución Inyectable Bolsa 500 ml"/>
    <s v=""/>
    <s v=""/>
    <s v=""/>
    <s v=""/>
    <s v="0.9 % - 500 ML"/>
    <n v="12"/>
    <n v="2635.2512459283389"/>
    <n v="31623.01495114007"/>
  </r>
  <r>
    <s v="008"/>
    <s v="ALMACEN  GENERAL                                         "/>
    <x v="9"/>
    <x v="9"/>
    <s v="AA000152"/>
    <s v="TINTURA DE BENJUI FRASCO X 30 ML"/>
    <s v=""/>
    <s v=""/>
    <s v="006"/>
    <s v="Unidad"/>
    <s v=""/>
    <n v="12"/>
    <n v="2916"/>
    <n v="34992"/>
  </r>
  <r>
    <s v="059"/>
    <s v="BODEGA CUARENTENA"/>
    <x v="0"/>
    <x v="0"/>
    <s v="218006-03"/>
    <s v="PENICILINA G BENZATINICA 2.400.000 UI polvo Estéril para Inyección"/>
    <s v=""/>
    <s v=""/>
    <s v=""/>
    <s v=""/>
    <s v="2.400.000 UI"/>
    <n v="12"/>
    <n v="3124.7857142857142"/>
    <n v="37497.428571428572"/>
  </r>
  <r>
    <s v="001"/>
    <s v="FARMACIA CENTRAL                                  "/>
    <x v="2"/>
    <x v="2"/>
    <s v="XT000021"/>
    <s v="MASCARA DE  OXIGENO DE NO REINHALACION ADULTO"/>
    <s v=""/>
    <s v=""/>
    <s v="006"/>
    <s v="Unidad"/>
    <s v=""/>
    <n v="12"/>
    <n v="3147.4638144329897"/>
    <n v="37769.565773195878"/>
  </r>
  <r>
    <s v="001"/>
    <s v="FARMACIA CENTRAL                                  "/>
    <x v="3"/>
    <x v="3"/>
    <s v="19928054-17"/>
    <s v="CEFEPIME 1 g Polvo para reconstituir a solución inyectable"/>
    <s v=""/>
    <s v=""/>
    <s v=""/>
    <s v=""/>
    <s v="1 g"/>
    <n v="12"/>
    <n v="4356.7533333333331"/>
    <n v="52281.04"/>
  </r>
  <r>
    <s v="001"/>
    <s v="FARMACIA CENTRAL                                  "/>
    <x v="8"/>
    <x v="8"/>
    <s v="20158710-2"/>
    <s v="RIVAROXABAN 15 mg Tableta"/>
    <s v=""/>
    <s v=""/>
    <s v=""/>
    <s v=""/>
    <s v="15 mg"/>
    <n v="12"/>
    <n v="4406.1499999999996"/>
    <n v="52873.8"/>
  </r>
  <r>
    <s v="005"/>
    <s v="ALMACEN MEDICAMENTOS"/>
    <x v="0"/>
    <x v="0"/>
    <s v="38332-02"/>
    <s v="TIAMINA 1000 mg/10 ml Solución inyectable"/>
    <s v=""/>
    <s v=""/>
    <s v=""/>
    <s v=""/>
    <s v="1000 mg/10"/>
    <n v="12"/>
    <n v="4749.7633333333333"/>
    <n v="56997.16"/>
  </r>
  <r>
    <s v="005"/>
    <s v="ALMACEN MEDICAMENTOS"/>
    <x v="0"/>
    <x v="0"/>
    <s v="4001722-01"/>
    <s v="LIDOCAINA HCL SIN EPINEFRINA 1% Solución Inyectable 50mL"/>
    <s v=""/>
    <s v=""/>
    <s v=""/>
    <s v=""/>
    <s v="50 ML"/>
    <n v="12"/>
    <n v="5875"/>
    <n v="70500"/>
  </r>
  <r>
    <s v="005"/>
    <s v="ALMACEN MEDICAMENTOS"/>
    <x v="0"/>
    <x v="0"/>
    <s v="20052492-02"/>
    <s v="POLIESTIRENO SULFONATO DE CALCIO 15 g Polvo para suspensión oral"/>
    <s v=""/>
    <s v=""/>
    <s v=""/>
    <s v=""/>
    <s v="15 g"/>
    <n v="12"/>
    <n v="5985.3670588235291"/>
    <n v="71824.404705882349"/>
  </r>
  <r>
    <s v="002"/>
    <s v="FARMACIA DE CIRUGIA                               "/>
    <x v="2"/>
    <x v="2"/>
    <s v="XS000138"/>
    <s v="SUTURA QUIRURGICA NO ABSORBIBLE SEDA PERMAHAND 3/0SSP53TS/A(SA84T) X3 DOCENAS"/>
    <s v=""/>
    <s v=""/>
    <s v="006"/>
    <s v="Unidad"/>
    <s v=""/>
    <n v="12"/>
    <n v="7120.3655555555551"/>
    <n v="85444.386666666673"/>
  </r>
  <r>
    <s v="006"/>
    <s v="ALMACEN MEDICOQUIRURGICOS   "/>
    <x v="2"/>
    <x v="2"/>
    <s v="XS000124"/>
    <s v="SUTURA QUIRURGICA MONOFILAMENTE ESTERIL SINTETICO NO ABSORBIBLE1 CT-1 8425"/>
    <s v=""/>
    <s v=""/>
    <s v="006"/>
    <s v="Unidad"/>
    <s v=""/>
    <n v="12"/>
    <n v="7423.5372413793102"/>
    <n v="89082.446896551715"/>
  </r>
  <r>
    <s v="008"/>
    <s v="ALMACEN  GENERAL                                         "/>
    <x v="5"/>
    <x v="5"/>
    <s v="AP000177"/>
    <s v="LIBRETA DE RECIBOS DE CAJA  X 50 JUEGOS"/>
    <s v=""/>
    <s v=""/>
    <s v="006"/>
    <s v="Unidad"/>
    <s v=""/>
    <n v="12"/>
    <n v="7569.666666666667"/>
    <n v="90836"/>
  </r>
  <r>
    <s v="002"/>
    <s v="FARMACIA DE CIRUGIA                               "/>
    <x v="2"/>
    <x v="2"/>
    <s v="XS000095"/>
    <s v="SUTURA QUIRURGICA ABSORBIBLE VICRYL 0 J346H CT-1 -REF 924"/>
    <s v=""/>
    <s v=""/>
    <s v="006"/>
    <s v="Unidad"/>
    <s v=""/>
    <n v="12"/>
    <n v="8998.1188888888901"/>
    <n v="107977.42666666668"/>
  </r>
  <r>
    <s v="006"/>
    <s v="ALMACEN MEDICOQUIRURGICOS   "/>
    <x v="2"/>
    <x v="2"/>
    <s v="XS000075"/>
    <s v="SUTURA DE COLAGENO CROMADO CROMADO 2/0 923T CT-1 X2 DOCENAS"/>
    <s v=""/>
    <s v=""/>
    <s v="006"/>
    <s v="Unidad"/>
    <s v=""/>
    <n v="12"/>
    <n v="9011.8305555555562"/>
    <n v="108141.96666666667"/>
  </r>
  <r>
    <s v="006"/>
    <s v="ALMACEN MEDICOQUIRURGICOS   "/>
    <x v="2"/>
    <x v="2"/>
    <s v="XS000076"/>
    <s v="SUTURA DE COLAGENO CROMADO CROMADO 2/0 G123T SH X2 DOCENAS"/>
    <s v=""/>
    <s v=""/>
    <s v="006"/>
    <s v="Unidad"/>
    <s v=""/>
    <n v="12"/>
    <n v="9360.9473684210516"/>
    <n v="112331.36842105264"/>
  </r>
  <r>
    <s v="006"/>
    <s v="ALMACEN MEDICOQUIRURGICOS   "/>
    <x v="2"/>
    <x v="2"/>
    <s v="XA000033"/>
    <s v="ESPONJA QUIRURGICA ESTERIL SIN TUBO-400402"/>
    <s v=""/>
    <s v=""/>
    <s v="006"/>
    <s v="Unidad"/>
    <s v=""/>
    <n v="12"/>
    <n v="10061.055555555555"/>
    <n v="120732.66666666669"/>
  </r>
  <r>
    <s v="001"/>
    <s v="FARMACIA CENTRAL                                  "/>
    <x v="2"/>
    <x v="2"/>
    <s v="XE000013"/>
    <s v="EQUIPO PARA DRENAJE URINARIO CYSTOFLO  MRD2926"/>
    <s v=""/>
    <s v=""/>
    <s v="006"/>
    <s v="Unidad"/>
    <s v=""/>
    <n v="12"/>
    <n v="10302.013482142856"/>
    <n v="123624.16178571428"/>
  </r>
  <r>
    <s v="008"/>
    <s v="ALMACEN  GENERAL                                         "/>
    <x v="12"/>
    <x v="12"/>
    <s v="AR000033"/>
    <s v="ROPA INTERIOR UNISEX"/>
    <s v=""/>
    <s v=""/>
    <s v="006"/>
    <s v="Unidad"/>
    <s v=""/>
    <n v="12"/>
    <n v="11200"/>
    <n v="134400"/>
  </r>
  <r>
    <s v="006"/>
    <s v="ALMACEN MEDICOQUIRURGICOS   "/>
    <x v="2"/>
    <x v="2"/>
    <s v="XS000113"/>
    <s v="SUTURA QUIRURGICA MONOFILAMENTE ESTERIL SINTETICO NO ABSORBIBLE 2/0 8185T SC-26 45CM X 2 DOCENAS"/>
    <s v=""/>
    <s v=""/>
    <s v="006"/>
    <s v="Unidad"/>
    <s v=""/>
    <n v="12"/>
    <n v="11583.361842105262"/>
    <n v="139000.34210526315"/>
  </r>
  <r>
    <s v="006"/>
    <s v="ALMACEN MEDICOQUIRURGICOS   "/>
    <x v="2"/>
    <x v="2"/>
    <s v="XS000096"/>
    <s v="SUTURA QUIRURGICA ABSORBIBLE VICRYL 1 J335H CT-2 X3 DOCENAS"/>
    <s v=""/>
    <s v=""/>
    <s v="006"/>
    <s v="Unidad"/>
    <s v=""/>
    <n v="12"/>
    <n v="12691.384705882354"/>
    <n v="152296.61647058823"/>
  </r>
  <r>
    <s v="006"/>
    <s v="ALMACEN MEDICOQUIRURGICOS   "/>
    <x v="2"/>
    <x v="2"/>
    <s v="XS000115"/>
    <s v="SUTURA QUIRURGICA MONOFILAMENTE ESTERIL SINTETICO NO ABSORBIBLE 2/0 8623H KS X3 DOCENAS"/>
    <s v=""/>
    <s v=""/>
    <s v="006"/>
    <s v="Unidad"/>
    <s v=""/>
    <n v="12"/>
    <n v="14371.732413793105"/>
    <n v="172460.78896551725"/>
  </r>
  <r>
    <s v="002"/>
    <s v="FARMACIA DE CIRUGIA                               "/>
    <x v="2"/>
    <x v="2"/>
    <s v="XS000080"/>
    <s v="SUTURA DE COLAGENO CROMADO CROMADO 4/0 G121T SH X2 DOCENAS"/>
    <s v=""/>
    <s v=""/>
    <s v="006"/>
    <s v="Unidad"/>
    <s v=""/>
    <n v="12"/>
    <n v="14660.791666666666"/>
    <n v="175929.5"/>
  </r>
  <r>
    <s v="006"/>
    <s v="ALMACEN MEDICOQUIRURGICOS   "/>
    <x v="2"/>
    <x v="2"/>
    <s v="XS000080"/>
    <s v="SUTURA DE COLAGENO CROMADO CROMADO 4/0 G121T SH X2 DOCENAS"/>
    <s v=""/>
    <s v=""/>
    <s v="006"/>
    <s v="Unidad"/>
    <s v=""/>
    <n v="12"/>
    <n v="14660.791666666666"/>
    <n v="175929.5"/>
  </r>
  <r>
    <s v="002"/>
    <s v="FARMACIA DE CIRUGIA                               "/>
    <x v="2"/>
    <x v="2"/>
    <s v="XS000083"/>
    <s v="SUTURA DE POLIESTER 0 ETHIBOND B412H CT-2 X3 DOCENAS"/>
    <s v=""/>
    <s v=""/>
    <s v="006"/>
    <s v="Unidad"/>
    <s v=""/>
    <n v="12"/>
    <n v="15750"/>
    <n v="189000"/>
  </r>
  <r>
    <s v="002"/>
    <s v="FARMACIA DE CIRUGIA                               "/>
    <x v="2"/>
    <x v="2"/>
    <s v="XS000171"/>
    <s v="SUTURA QUIRURGICA ABSORBIBLE VICRYL RAPID 3/0   75CM  REF SV-425"/>
    <s v=""/>
    <s v=""/>
    <s v="006"/>
    <s v="Unidad"/>
    <s v=""/>
    <n v="12"/>
    <n v="18788.875"/>
    <n v="225466.5"/>
  </r>
  <r>
    <s v="006"/>
    <s v="ALMACEN MEDICOQUIRURGICOS   "/>
    <x v="2"/>
    <x v="2"/>
    <s v="XS000171"/>
    <s v="SUTURA QUIRURGICA ABSORBIBLE VICRYL RAPID 3/0   75CM  REF SV-425"/>
    <s v=""/>
    <s v=""/>
    <s v="006"/>
    <s v="Unidad"/>
    <s v=""/>
    <n v="12"/>
    <n v="18788.875"/>
    <n v="225466.5"/>
  </r>
  <r>
    <s v="002"/>
    <s v="FARMACIA DE CIRUGIA                               "/>
    <x v="2"/>
    <x v="2"/>
    <s v="XT000026"/>
    <s v="SISTEMA DE SUCCION Y RECOLECCION DE FLUIDOS LINER 1500 ML A 2000 ML"/>
    <s v=""/>
    <s v=""/>
    <s v="006"/>
    <s v="Unidad"/>
    <s v=""/>
    <n v="12"/>
    <n v="18832.731374999999"/>
    <n v="225992.77650000001"/>
  </r>
  <r>
    <s v="001"/>
    <s v="FARMACIA CENTRAL                                  "/>
    <x v="2"/>
    <x v="2"/>
    <s v="XE000010"/>
    <s v="EQUIPO FREEGO BOLSA(S810) 1.5LITRO *30"/>
    <s v=""/>
    <s v=""/>
    <s v="006"/>
    <s v="Unidad"/>
    <s v=""/>
    <n v="12"/>
    <n v="21103.222727272725"/>
    <n v="253238.67272727273"/>
  </r>
  <r>
    <s v="043"/>
    <s v="BODEGA DE CENTRAL DE MEZCLAS"/>
    <x v="2"/>
    <x v="2"/>
    <s v="XE000005"/>
    <s v="EQUIPO BOMBA FOTOSENSIBLE REF. 14007"/>
    <s v=""/>
    <s v=""/>
    <s v="006"/>
    <s v="Unidad"/>
    <s v=""/>
    <n v="12"/>
    <n v="26231.993161764709"/>
    <n v="314783.91794117651"/>
  </r>
  <r>
    <s v="002"/>
    <s v="FARMACIA DE CIRUGIA                               "/>
    <x v="0"/>
    <x v="0"/>
    <s v="20071108-01"/>
    <s v="GLICINA 1.5 % Solución para Irrigación Urológica 3000 ML"/>
    <s v=""/>
    <s v=""/>
    <s v=""/>
    <s v=""/>
    <s v="1.5 %"/>
    <n v="12"/>
    <n v="26687.623787878791"/>
    <n v="320251.48545454541"/>
  </r>
  <r>
    <s v="001"/>
    <s v="FARMACIA CENTRAL                                  "/>
    <x v="0"/>
    <x v="0"/>
    <s v="20189657-1"/>
    <s v="AZUL DE METILENO 10 mg / ml Solución Inyectable  "/>
    <s v=""/>
    <s v=""/>
    <s v=""/>
    <s v=""/>
    <s v="10 mg"/>
    <n v="12"/>
    <n v="26826.743333333332"/>
    <n v="321920.92"/>
  </r>
  <r>
    <s v="001"/>
    <s v="FARMACIA CENTRAL                                  "/>
    <x v="2"/>
    <x v="2"/>
    <s v="XA000003"/>
    <s v="APOSITO CON FORMULA DE GEL CONTROLADA DUO DERM APOSITO 10X10  CGF   APOSITOS"/>
    <s v=""/>
    <s v=""/>
    <s v="006"/>
    <s v="Unidad"/>
    <s v=""/>
    <n v="12"/>
    <n v="28816.730454545454"/>
    <n v="345800.76545454544"/>
  </r>
  <r>
    <s v="006"/>
    <s v="ALMACEN MEDICOQUIRURGICOS   "/>
    <x v="2"/>
    <x v="2"/>
    <s v="XA000032"/>
    <s v="ESPONJA QUIRURGICA ESTERIL CON TUBO-400410"/>
    <s v=""/>
    <s v=""/>
    <s v="006"/>
    <s v="Unidad"/>
    <s v=""/>
    <n v="12"/>
    <n v="29465"/>
    <n v="353580"/>
  </r>
  <r>
    <s v="008"/>
    <s v="ALMACEN  GENERAL                                         "/>
    <x v="1"/>
    <x v="1"/>
    <s v="AM000205"/>
    <s v="CINTA CONTROL A VAPOR"/>
    <s v=""/>
    <s v=""/>
    <s v="006"/>
    <s v="Unidad"/>
    <s v=""/>
    <n v="12"/>
    <n v="32004.66333333333"/>
    <n v="384055.96"/>
  </r>
  <r>
    <s v="002"/>
    <s v="FARMACIA DE CIRUGIA                               "/>
    <x v="2"/>
    <x v="2"/>
    <s v="XA000026"/>
    <s v="COTONOIDE RADIOPACO REF.801407 *10 XRAY 1/2 X  1407-0435"/>
    <s v=""/>
    <s v=""/>
    <s v="006"/>
    <s v="Unidad"/>
    <s v=""/>
    <n v="12"/>
    <n v="34951.095714285715"/>
    <n v="419413.14857142855"/>
  </r>
  <r>
    <s v="001"/>
    <s v="FARMACIA CENTRAL                                  "/>
    <x v="2"/>
    <x v="2"/>
    <s v="XA000107"/>
    <s v="VENDAJE MOLNLYCKE EXUFIBER  10x12 REF 709902"/>
    <s v=""/>
    <s v=""/>
    <s v="006"/>
    <s v="Unidad"/>
    <s v=""/>
    <n v="12"/>
    <n v="36704.470588235294"/>
    <n v="440453.6470588235"/>
  </r>
  <r>
    <s v="048"/>
    <s v="CONSIGNACION FRIDEN"/>
    <x v="2"/>
    <x v="2"/>
    <s v="XS000055"/>
    <s v="REMOVEDOR DE GRAPAS APPOSSE CAJA X12 TIJERAS"/>
    <s v=""/>
    <s v=""/>
    <s v="006"/>
    <s v="Unidad"/>
    <s v=""/>
    <n v="12"/>
    <n v="47361.481176470588"/>
    <n v="568337.77411764709"/>
  </r>
  <r>
    <s v="001"/>
    <s v="FARMACIA CENTRAL                                  "/>
    <x v="4"/>
    <x v="4"/>
    <s v="22542-08"/>
    <s v="IOHEXOL 300 mg de Iodo Solución inyectable x 50 ml- OMNIPAQUE 300"/>
    <s v=""/>
    <s v=""/>
    <s v=""/>
    <s v=""/>
    <s v="350 mg - 50 ml"/>
    <n v="12"/>
    <n v="52782.251078431378"/>
    <n v="633387.01294117654"/>
  </r>
  <r>
    <s v="001"/>
    <s v="FARMACIA CENTRAL                                  "/>
    <x v="2"/>
    <x v="2"/>
    <s v="XA000089"/>
    <s v="VENDAJE PARA CICATRIZACION CON MEDICAMENTO EXUFIBER AG 10x12 REF 603422"/>
    <s v=""/>
    <s v=""/>
    <s v="006"/>
    <s v="Unidad"/>
    <s v=""/>
    <n v="12"/>
    <n v="61816.666666666664"/>
    <n v="741800"/>
  </r>
  <r>
    <s v="006"/>
    <s v="ALMACEN MEDICOQUIRURGICOS   "/>
    <x v="2"/>
    <x v="2"/>
    <s v="XS000091"/>
    <s v="SUTURA NO ABSORBIBLEETHILON 8/0 BV130-5 W2808 X13CM A/R X1 DOCENA"/>
    <s v=""/>
    <s v=""/>
    <s v="006"/>
    <s v="Unidad"/>
    <s v=""/>
    <n v="12"/>
    <n v="70176.235294117636"/>
    <n v="842114.82352941181"/>
  </r>
  <r>
    <s v="006"/>
    <s v="ALMACEN MEDICOQUIRURGICOS   "/>
    <x v="2"/>
    <x v="2"/>
    <s v="XS000046"/>
    <s v="RECARGA ENDOGIA 45 MM ARTICULAR EGIA45AVM  VASCULAR X 1"/>
    <s v=""/>
    <s v=""/>
    <s v="006"/>
    <s v="Unidad"/>
    <s v=""/>
    <n v="12"/>
    <n v="607068.11055555556"/>
    <n v="7284817.3266666662"/>
  </r>
  <r>
    <s v="002"/>
    <s v="FARMACIA DE CIRUGIA                               "/>
    <x v="2"/>
    <x v="2"/>
    <s v="XJ000015"/>
    <s v="JERINGA DESECHABLE DE INSULINA 1ML X 100UI."/>
    <s v=""/>
    <s v=""/>
    <s v="006"/>
    <s v="Unidad"/>
    <s v=""/>
    <n v="13"/>
    <n v="229.47137931034484"/>
    <n v="2983.1279310344798"/>
  </r>
  <r>
    <s v="001"/>
    <s v="FARMACIA CENTRAL                                  "/>
    <x v="0"/>
    <x v="0"/>
    <s v="19966222-1"/>
    <s v="AZATIOPRINA 50 mg Tableta"/>
    <s v=""/>
    <s v=""/>
    <s v=""/>
    <s v=""/>
    <s v="50 mg"/>
    <n v="13"/>
    <n v="865"/>
    <n v="11245"/>
  </r>
  <r>
    <s v="001"/>
    <s v="FARMACIA CENTRAL                                  "/>
    <x v="0"/>
    <x v="0"/>
    <s v="19930287-01"/>
    <s v="ATROPINA SULFATO 1mg / ml Solución inyectable"/>
    <s v=""/>
    <s v=""/>
    <s v=""/>
    <s v=""/>
    <s v="1mg / ml"/>
    <n v="13"/>
    <n v="958.57"/>
    <n v="12461.41"/>
  </r>
  <r>
    <s v="001"/>
    <s v="FARMACIA CENTRAL                                  "/>
    <x v="0"/>
    <x v="0"/>
    <s v="19908236-07"/>
    <s v="AMIKACINA SULFATO 500 mg/2 ml Solución Inyectable"/>
    <s v=""/>
    <s v=""/>
    <s v=""/>
    <s v=""/>
    <s v="2 ml"/>
    <n v="13"/>
    <n v="1469.3718840579709"/>
    <n v="19101.83449275362"/>
  </r>
  <r>
    <s v="001"/>
    <s v="FARMACIA CENTRAL                                  "/>
    <x v="3"/>
    <x v="3"/>
    <s v="20049276-01"/>
    <s v="PENICILINA G BENZATINICA 1.200.000 UI Polvo para reconstituir a suspensión inyectable"/>
    <s v=""/>
    <s v=""/>
    <s v=""/>
    <s v=""/>
    <s v="1.200.000 UI"/>
    <n v="13"/>
    <n v="1750"/>
    <n v="22750"/>
  </r>
  <r>
    <s v="002"/>
    <s v="FARMACIA DE CIRUGIA                               "/>
    <x v="2"/>
    <x v="2"/>
    <s v="XS000098"/>
    <s v="SUTURA QUIRURGICA ABSORBIBLE VICRYL 2/0 J317H SH -GL123"/>
    <s v=""/>
    <s v=""/>
    <s v="006"/>
    <s v="Unidad"/>
    <s v=""/>
    <n v="13"/>
    <n v="2133.8888888888887"/>
    <n v="27740.555555555558"/>
  </r>
  <r>
    <s v="002"/>
    <s v="FARMACIA DE CIRUGIA                               "/>
    <x v="2"/>
    <x v="2"/>
    <s v="XJ000003"/>
    <s v="CATETERES PERIFERICOS INTRAVENOSOS  INSYTE #22*50"/>
    <s v=""/>
    <s v=""/>
    <s v="006"/>
    <s v="Unidad"/>
    <s v=""/>
    <n v="13"/>
    <n v="2145.7358134490237"/>
    <n v="27894.56557483731"/>
  </r>
  <r>
    <s v="008"/>
    <s v="ALMACEN  GENERAL                                         "/>
    <x v="5"/>
    <x v="5"/>
    <s v="AP000091"/>
    <s v="SACA GANCHOS COSEDORA"/>
    <s v=""/>
    <s v=""/>
    <s v="006"/>
    <s v="Unidad"/>
    <s v=""/>
    <n v="13"/>
    <n v="2195.0153846153844"/>
    <n v="28535.200000000001"/>
  </r>
  <r>
    <s v="001"/>
    <s v="FARMACIA CENTRAL                                  "/>
    <x v="0"/>
    <x v="0"/>
    <s v="19978379-1"/>
    <s v="MESALAZINA GRANULOS DE LIBERACION PROLONGADA 1 GR Sobres"/>
    <s v=""/>
    <s v=""/>
    <s v=""/>
    <s v=""/>
    <s v="1 gramo"/>
    <n v="13"/>
    <n v="2550"/>
    <n v="33150"/>
  </r>
  <r>
    <s v="001"/>
    <s v="FARMACIA CENTRAL                                  "/>
    <x v="0"/>
    <x v="0"/>
    <s v="29522-04"/>
    <s v="DEXTROSA EN AGUA DESTILADA 5%  Solución Inyectable 500 ml"/>
    <s v=""/>
    <s v=""/>
    <s v=""/>
    <s v=""/>
    <s v="5 % - 500 ml"/>
    <n v="13"/>
    <n v="2833.9621649484534"/>
    <n v="36841.508144329899"/>
  </r>
  <r>
    <s v="008"/>
    <s v="ALMACEN  GENERAL                                         "/>
    <x v="5"/>
    <x v="5"/>
    <s v="AP000030"/>
    <s v="CLIP MARIPOSA WINGO*50(CAJA)"/>
    <s v=""/>
    <s v=""/>
    <s v="006"/>
    <s v="Unidad"/>
    <s v=""/>
    <n v="13"/>
    <n v="2854.4"/>
    <n v="37107.199999999997"/>
  </r>
  <r>
    <s v="006"/>
    <s v="ALMACEN MEDICOQUIRURGICOS   "/>
    <x v="2"/>
    <x v="2"/>
    <s v="XT000042"/>
    <s v="TUBO ENDOTRAQUEAL # 4.5-C/B X1"/>
    <s v=""/>
    <s v=""/>
    <s v="006"/>
    <s v="Unidad"/>
    <s v=""/>
    <n v="13"/>
    <n v="3056.5454545454545"/>
    <n v="39735.090909090912"/>
  </r>
  <r>
    <s v="006"/>
    <s v="ALMACEN MEDICOQUIRURGICOS   "/>
    <x v="2"/>
    <x v="2"/>
    <s v="XD000135"/>
    <s v="SONDA FOLEY 24 X30ML-3 VIAS *1"/>
    <s v=""/>
    <s v=""/>
    <s v="006"/>
    <s v="Unidad"/>
    <s v=""/>
    <n v="13"/>
    <n v="3607.4894444444449"/>
    <n v="46897.36277777778"/>
  </r>
  <r>
    <s v="008"/>
    <s v="ALMACEN  GENERAL                                         "/>
    <x v="5"/>
    <x v="5"/>
    <s v="AP000040"/>
    <s v="CUADERNO CUADRICULADO  PEQUE¥O"/>
    <s v=""/>
    <s v=""/>
    <s v="006"/>
    <s v="Unidad"/>
    <s v=""/>
    <n v="13"/>
    <n v="3847.7938461538461"/>
    <n v="50021.32"/>
  </r>
  <r>
    <s v="001"/>
    <s v="FARMACIA CENTRAL                                  "/>
    <x v="2"/>
    <x v="2"/>
    <s v="XJ000018"/>
    <s v="JERINGA PARA SONDAS CON ENFIT PARA NUTRICION ENTERAL  20 ML REF NCE20SEC"/>
    <s v=""/>
    <s v=""/>
    <s v="006"/>
    <s v="Unidad"/>
    <s v=""/>
    <n v="13"/>
    <n v="3950.5238983050849"/>
    <n v="51356.810677966103"/>
  </r>
  <r>
    <s v="008"/>
    <s v="ALMACEN  GENERAL                                         "/>
    <x v="5"/>
    <x v="5"/>
    <s v="AP000080"/>
    <s v="ARCHIVADOR AZ CARTA"/>
    <s v=""/>
    <s v=""/>
    <s v="006"/>
    <s v="Unidad"/>
    <s v=""/>
    <n v="13"/>
    <n v="4787.208461538462"/>
    <n v="62233.71"/>
  </r>
  <r>
    <s v="002"/>
    <s v="FARMACIA DE CIRUGIA                               "/>
    <x v="2"/>
    <x v="2"/>
    <s v="XG000023"/>
    <s v="AGUJA ESPINAL SPINOCAN  G-26 X 3-1/2 X88MM X25U"/>
    <s v=""/>
    <s v=""/>
    <s v="006"/>
    <s v="Unidad"/>
    <s v=""/>
    <n v="13"/>
    <n v="5565.0769863013702"/>
    <n v="72346.000821917813"/>
  </r>
  <r>
    <s v="002"/>
    <s v="FARMACIA DE CIRUGIA                               "/>
    <x v="0"/>
    <x v="0"/>
    <s v="38995-04"/>
    <s v="BUPIVACAINA + DEXTROSA 0.02 g / 4 ml Solución inyectable"/>
    <s v=""/>
    <s v=""/>
    <s v=""/>
    <s v=""/>
    <s v="0.02 g / 4 ml"/>
    <n v="13"/>
    <n v="5714.86"/>
    <n v="74293.179999999993"/>
  </r>
  <r>
    <s v="002"/>
    <s v="FARMACIA DE CIRUGIA                               "/>
    <x v="2"/>
    <x v="2"/>
    <s v="XS000074"/>
    <s v="SUTURA DE COLAGENO CROMADO CROMADO 1 925T CT-1 X2 DOCENAS"/>
    <s v=""/>
    <s v=""/>
    <s v="006"/>
    <s v="Unidad"/>
    <s v=""/>
    <n v="13"/>
    <n v="6398.5135135135142"/>
    <n v="83180.67567567568"/>
  </r>
  <r>
    <s v="001"/>
    <s v="FARMACIA CENTRAL                                  "/>
    <x v="0"/>
    <x v="0"/>
    <s v="19966575-03"/>
    <s v="POTASIO FOSFATO 38 mEqK + 26 mmol de Fosfato /10 ml Solución Inyectable"/>
    <s v=""/>
    <s v=""/>
    <s v=""/>
    <s v=""/>
    <s v=" 38 mEqK + 26 - 10 ML"/>
    <n v="13"/>
    <n v="8076.2247572815531"/>
    <n v="104990.9218446602"/>
  </r>
  <r>
    <s v="008"/>
    <s v="ALMACEN  GENERAL                                         "/>
    <x v="5"/>
    <x v="5"/>
    <s v="AP000038"/>
    <s v="CUADERNO ANILLADO CUADRICULADO GRAN"/>
    <s v=""/>
    <s v=""/>
    <s v="006"/>
    <s v="Unidad"/>
    <s v=""/>
    <n v="13"/>
    <n v="10035.4"/>
    <n v="130460.2"/>
  </r>
  <r>
    <s v="005"/>
    <s v="ALMACEN MEDICAMENTOS"/>
    <x v="0"/>
    <x v="0"/>
    <s v="29514-02"/>
    <s v="MANITOL 20 % Solución inyectable bolsa 500ml"/>
    <s v=""/>
    <s v=""/>
    <s v=""/>
    <s v=""/>
    <s v="20 % - 500 ml"/>
    <n v="13"/>
    <n v="15909.861052631579"/>
    <n v="206828.19368421051"/>
  </r>
  <r>
    <s v="001"/>
    <s v="FARMACIA CENTRAL                                  "/>
    <x v="0"/>
    <x v="0"/>
    <s v="20058380-01"/>
    <s v="ADENOSINA 6 mg/2 ml Solución Inyectable"/>
    <s v=""/>
    <s v=""/>
    <s v=""/>
    <s v=""/>
    <s v="6 mg / 2 ml"/>
    <n v="13"/>
    <n v="17324.682926829268"/>
    <n v="225220.87804878049"/>
  </r>
  <r>
    <s v="002"/>
    <s v="FARMACIA DE CIRUGIA                               "/>
    <x v="2"/>
    <x v="2"/>
    <s v="XS000109"/>
    <s v="SUTURA QUIRURGICA DE GLICONATO MONOFILAMENTO ABSORBIBLE MONOSYN 4/0 DS 19X70CM REF.23404"/>
    <s v=""/>
    <s v=""/>
    <s v="006"/>
    <s v="Unidad"/>
    <s v=""/>
    <n v="13"/>
    <n v="25738.623076923075"/>
    <n v="334602.09999999998"/>
  </r>
  <r>
    <s v="002"/>
    <s v="FARMACIA DE CIRUGIA                               "/>
    <x v="2"/>
    <x v="2"/>
    <s v="XS000039"/>
    <s v="POLIDIOXANONA SUTURA (CON/SIN AGUJA) PDS II 3/0 REF. Z316 SH X 3 DOCENAS"/>
    <s v=""/>
    <s v=""/>
    <s v="006"/>
    <s v="Unidad"/>
    <s v=""/>
    <n v="13"/>
    <n v="42941.869189189187"/>
    <n v="558244.29945945949"/>
  </r>
  <r>
    <s v="002"/>
    <s v="FARMACIA DE CIRUGIA                               "/>
    <x v="2"/>
    <x v="2"/>
    <s v="XA000025"/>
    <s v="COTONOIDE RADIOPACO REF.801401 *10 XRAY"/>
    <s v=""/>
    <s v=""/>
    <s v="006"/>
    <s v="Unidad"/>
    <s v=""/>
    <n v="13"/>
    <n v="46979.333333333328"/>
    <n v="610731.33333333337"/>
  </r>
  <r>
    <s v="008"/>
    <s v="ALMACEN  GENERAL                                         "/>
    <x v="1"/>
    <x v="1"/>
    <s v="AM000119"/>
    <s v="BOMBILLO LARINGOSCOPIO WELCHALLYN REF 06000"/>
    <s v=""/>
    <s v=""/>
    <s v="006"/>
    <s v="Unidad"/>
    <s v=""/>
    <n v="13"/>
    <n v="178075"/>
    <n v="2314975"/>
  </r>
  <r>
    <s v="001"/>
    <s v="FARMACIA CENTRAL                                  "/>
    <x v="0"/>
    <x v="0"/>
    <s v="44405-03"/>
    <s v="CEFALEXINA 500 mg Cápsula"/>
    <s v=""/>
    <s v=""/>
    <s v=""/>
    <s v=""/>
    <s v="500 mg"/>
    <n v="14"/>
    <n v="297.78571428571428"/>
    <n v="4169"/>
  </r>
  <r>
    <s v="001"/>
    <s v="FARMACIA CENTRAL                                  "/>
    <x v="0"/>
    <x v="0"/>
    <s v="20103181-05"/>
    <s v="ACETAMINOFEN + HIDROCODONA 325 mg + 5 mg Tableta"/>
    <s v=""/>
    <s v=""/>
    <s v=""/>
    <s v=""/>
    <s v="325 MG + 5 MG"/>
    <n v="14"/>
    <n v="548.71465968586392"/>
    <n v="7682.0052356020897"/>
  </r>
  <r>
    <s v="008"/>
    <s v="ALMACEN  GENERAL                                         "/>
    <x v="5"/>
    <x v="5"/>
    <s v="AP000103"/>
    <s v="REGLAS 30CM"/>
    <s v=""/>
    <s v=""/>
    <s v="006"/>
    <s v="Unidad"/>
    <s v=""/>
    <n v="14"/>
    <n v="1350.1892857142859"/>
    <n v="18902.650000000001"/>
  </r>
  <r>
    <s v="006"/>
    <s v="ALMACEN MEDICOQUIRURGICOS   "/>
    <x v="2"/>
    <x v="2"/>
    <s v="XT000002"/>
    <s v="CANULA DE GUEDEL (MAYO) N. 3 X 1"/>
    <s v=""/>
    <s v=""/>
    <s v="006"/>
    <s v="Unidad"/>
    <s v=""/>
    <n v="14"/>
    <n v="1874.4585185185185"/>
    <n v="26242.419259259259"/>
  </r>
  <r>
    <s v="005"/>
    <s v="ALMACEN MEDICAMENTOS"/>
    <x v="3"/>
    <x v="3"/>
    <s v="19980678-01"/>
    <s v="IVERMECTINA 0.6 % Suspensión Oral 5 ML"/>
    <s v=""/>
    <s v=""/>
    <s v=""/>
    <s v=""/>
    <s v="0.6 % - 5 ml"/>
    <n v="14"/>
    <n v="2409.8421052631579"/>
    <n v="33737.789473684214"/>
  </r>
  <r>
    <s v="002"/>
    <s v="FARMACIA DE CIRUGIA                               "/>
    <x v="2"/>
    <x v="2"/>
    <s v="XS000126"/>
    <s v="SUTURA QUIRURGICA MONOFILAMENTE ESTERIL SINTETICO NO ABSORBIBLE4/0(1382T E19)P8682TPS2 X2 DOCENAS"/>
    <s v=""/>
    <s v=""/>
    <s v="006"/>
    <s v="Unidad"/>
    <s v=""/>
    <n v="14"/>
    <n v="3711.88375"/>
    <n v="51966.372499999998"/>
  </r>
  <r>
    <s v="002"/>
    <s v="FARMACIA DE CIRUGIA                               "/>
    <x v="2"/>
    <x v="2"/>
    <s v="XS000081"/>
    <s v="SUTURA DE COLAGENO CROMADO CROMADO 4/0 U203T RB-1 X2 DOCENAS"/>
    <s v=""/>
    <s v=""/>
    <s v="006"/>
    <s v="Unidad"/>
    <s v=""/>
    <n v="14"/>
    <n v="7181.8571428571431"/>
    <n v="100546"/>
  </r>
  <r>
    <s v="002"/>
    <s v="FARMACIA DE CIRUGIA                               "/>
    <x v="2"/>
    <x v="2"/>
    <s v="XS000073"/>
    <s v="SUTURA DE COLAGENO CROMADO 0 924T CT-1 X2 DOCENAS-CG924 GS21"/>
    <s v=""/>
    <s v=""/>
    <s v="006"/>
    <s v="Unidad"/>
    <s v=""/>
    <n v="14"/>
    <n v="9238.2857142857156"/>
    <n v="129336"/>
  </r>
  <r>
    <s v="005"/>
    <s v="ALMACEN MEDICAMENTOS"/>
    <x v="14"/>
    <x v="14"/>
    <s v="150408"/>
    <s v="OSMOLITE HN 1.2 LIQUIDO LATA 237 ML"/>
    <s v=""/>
    <s v=""/>
    <s v=""/>
    <s v=""/>
    <s v="1,2 KCAL"/>
    <n v="14"/>
    <n v="9246.2649999999994"/>
    <n v="129447.71"/>
  </r>
  <r>
    <s v="008"/>
    <s v="ALMACEN  GENERAL                                         "/>
    <x v="1"/>
    <x v="1"/>
    <s v="AM000387"/>
    <s v="CINTA METRICA RETRACTIL"/>
    <s v=""/>
    <s v=""/>
    <s v="006"/>
    <s v="Unidad"/>
    <s v=""/>
    <n v="14"/>
    <n v="9520"/>
    <n v="133280"/>
  </r>
  <r>
    <s v="002"/>
    <s v="FARMACIA DE CIRUGIA                               "/>
    <x v="2"/>
    <x v="2"/>
    <s v="XS000103"/>
    <s v="SUTURA QUIRURGICA ABSORBIBLE VICRYL 5/0-J303-RB-1CAJA X1 DOCENA"/>
    <s v=""/>
    <s v=""/>
    <s v="006"/>
    <s v="Unidad"/>
    <s v=""/>
    <n v="14"/>
    <n v="12420.510985915495"/>
    <n v="173887.1538028169"/>
  </r>
  <r>
    <s v="002"/>
    <s v="FARMACIA DE CIRUGIA                               "/>
    <x v="2"/>
    <x v="2"/>
    <s v="XD000103"/>
    <s v="PLACA PACIENTE.ELECTROBISTURI 9130 UNIVERSAL X1"/>
    <s v=""/>
    <s v=""/>
    <s v="006"/>
    <s v="Unidad"/>
    <s v=""/>
    <n v="14"/>
    <n v="12613.713373493978"/>
    <n v="176591.98722891565"/>
  </r>
  <r>
    <s v="001"/>
    <s v="FARMACIA CENTRAL                                  "/>
    <x v="14"/>
    <x v="14"/>
    <s v="141008"/>
    <s v="FRESUBIN RENAL LIQUIDO BOTELLA  200 ML"/>
    <s v=""/>
    <s v=""/>
    <s v=""/>
    <s v=""/>
    <s v="200 ML"/>
    <n v="14"/>
    <n v="13569.95090909091"/>
    <n v="189979.31272727271"/>
  </r>
  <r>
    <s v="001"/>
    <s v="FARMACIA CENTRAL                                  "/>
    <x v="0"/>
    <x v="0"/>
    <s v="20087310-02"/>
    <s v="NITROGLICERINA / DEXTROSA 0.2 mg / ml + 5% Solución inyectable 250 ml "/>
    <s v=""/>
    <s v=""/>
    <s v=""/>
    <s v=""/>
    <s v="50MG"/>
    <n v="14"/>
    <n v="19420.206499999997"/>
    <n v="271882.891"/>
  </r>
  <r>
    <s v="008"/>
    <s v="ALMACEN  GENERAL                                         "/>
    <x v="9"/>
    <x v="9"/>
    <s v="AM000292"/>
    <s v="VALVULA DE BIOPSIA CX"/>
    <s v=""/>
    <s v=""/>
    <s v="006"/>
    <s v="Unidad"/>
    <s v=""/>
    <n v="14"/>
    <n v="20121.371428571427"/>
    <n v="281699.20000000001"/>
  </r>
  <r>
    <s v="001"/>
    <s v="FARMACIA CENTRAL                                  "/>
    <x v="2"/>
    <x v="2"/>
    <s v="XE000011"/>
    <s v="EQUIPO FREEGO PUNZON REFS790  ENTERAL *30"/>
    <s v=""/>
    <s v=""/>
    <s v="006"/>
    <s v="Unidad"/>
    <s v=""/>
    <n v="14"/>
    <n v="21070.163559322034"/>
    <n v="294982.28983050847"/>
  </r>
  <r>
    <s v="001"/>
    <s v="FARMACIA CENTRAL                                  "/>
    <x v="4"/>
    <x v="4"/>
    <s v="19972118-08"/>
    <s v="INSULINA DETEMIR 100 UI / ml Solución inyectable Pluma 3 ml"/>
    <s v=""/>
    <s v=""/>
    <s v=""/>
    <s v=""/>
    <s v="100 UI / ml - 3 ml"/>
    <n v="14"/>
    <n v="37579.975000000006"/>
    <n v="526119.65"/>
  </r>
  <r>
    <s v="006"/>
    <s v="ALMACEN MEDICOQUIRURGICOS   "/>
    <x v="2"/>
    <x v="2"/>
    <s v="XD000167"/>
    <s v="CINTURON PARA EQUIPO DE OSTOMIA REF 1755-07"/>
    <s v=""/>
    <s v=""/>
    <s v="006"/>
    <s v="Unidad"/>
    <s v=""/>
    <n v="14"/>
    <n v="40421.470588235294"/>
    <n v="565900.5882352941"/>
  </r>
  <r>
    <s v="007"/>
    <s v="CONSIGNACIÓN CROSSWELL                         "/>
    <x v="2"/>
    <x v="2"/>
    <s v="XA000110"/>
    <s v="APOSITO DE FIJACION MEPITEL ONE 10X18CM REF 289500"/>
    <s v=""/>
    <s v=""/>
    <s v="006"/>
    <s v="Unidad"/>
    <s v=""/>
    <n v="14"/>
    <n v="65514.193548387098"/>
    <n v="917198.70967741939"/>
  </r>
  <r>
    <s v="006"/>
    <s v="ALMACEN MEDICOQUIRURGICOS   "/>
    <x v="2"/>
    <x v="2"/>
    <s v="XA000002"/>
    <s v="APOSITO CON FORMULA DE GEL CONTROLADA DUO DERM  20X20CM CAJA X5 "/>
    <s v=""/>
    <s v=""/>
    <s v="006"/>
    <s v="Unidad"/>
    <s v=""/>
    <n v="14"/>
    <n v="82157.708333333328"/>
    <n v="1150207.9166666667"/>
  </r>
  <r>
    <s v="005"/>
    <s v="ALMACEN MEDICAMENTOS"/>
    <x v="0"/>
    <x v="0"/>
    <s v="40260-02"/>
    <s v="CIANOCOBALAMINA 1mg/ml Solución inyectable"/>
    <s v=""/>
    <s v=""/>
    <s v=""/>
    <s v=""/>
    <s v="1MG"/>
    <n v="15"/>
    <n v="812.87333333333333"/>
    <n v="12193.1"/>
  </r>
  <r>
    <s v="001"/>
    <s v="FARMACIA CENTRAL                                  "/>
    <x v="0"/>
    <x v="0"/>
    <s v="226859-10"/>
    <s v="LANSOPRAZOL 30mg Cápsula de liberaciòn prolongada"/>
    <s v=""/>
    <s v=""/>
    <s v=""/>
    <s v=""/>
    <s v="30 mg"/>
    <n v="15"/>
    <n v="833.8506666666666"/>
    <n v="12507.76"/>
  </r>
  <r>
    <s v="006"/>
    <s v="ALMACEN MEDICOQUIRURGICOS   "/>
    <x v="2"/>
    <x v="2"/>
    <s v="XD000256"/>
    <s v="SONDA LEVIN-TUBO VENTROL 16 FR NASOGASTRICA120"/>
    <s v=""/>
    <s v=""/>
    <s v="006"/>
    <s v="Unidad"/>
    <s v=""/>
    <n v="15"/>
    <n v="841.07974358974366"/>
    <n v="12616.196153846149"/>
  </r>
  <r>
    <s v="006"/>
    <s v="ALMACEN MEDICOQUIRURGICOS   "/>
    <x v="2"/>
    <x v="2"/>
    <s v="XT000073"/>
    <s v="CANULA DE GUEDEL (MAYO) X N.4"/>
    <s v=""/>
    <s v=""/>
    <s v="006"/>
    <s v="Unidad"/>
    <s v=""/>
    <n v="15"/>
    <n v="1537.0346428571427"/>
    <n v="23055.51964285714"/>
  </r>
  <r>
    <s v="002"/>
    <s v="FARMACIA DE CIRUGIA                               "/>
    <x v="2"/>
    <x v="2"/>
    <s v="XD000058"/>
    <s v="GUANTE QUIRURGICO ESTERIL T-6.0 *1 PAR "/>
    <s v=""/>
    <s v=""/>
    <s v="006"/>
    <s v="Unidad"/>
    <s v=""/>
    <n v="15"/>
    <n v="1813.293306451613"/>
    <n v="27199.39959677419"/>
  </r>
  <r>
    <s v="008"/>
    <s v="ALMACEN  GENERAL                                         "/>
    <x v="1"/>
    <x v="1"/>
    <s v="AM000171"/>
    <s v="HOJA REPUESTO BISTURI"/>
    <s v=""/>
    <s v=""/>
    <s v="006"/>
    <s v="Unidad"/>
    <s v=""/>
    <n v="15"/>
    <n v="2281.5973333333332"/>
    <n v="34223.96"/>
  </r>
  <r>
    <s v="002"/>
    <s v="FARMACIA DE CIRUGIA                               "/>
    <x v="0"/>
    <x v="0"/>
    <s v="29523-04"/>
    <s v="SODIO CLORURO 0.9 % Solución Inyectable Bolsa 250 ml"/>
    <s v=""/>
    <s v=""/>
    <s v=""/>
    <s v=""/>
    <s v="0.9 % - 250 ML"/>
    <n v="15"/>
    <n v="2733.4718861209963"/>
    <n v="41002.078291814949"/>
  </r>
  <r>
    <s v="008"/>
    <s v="ALMACEN  GENERAL                                         "/>
    <x v="1"/>
    <x v="1"/>
    <s v="AM000175"/>
    <s v="TAPAOIDOS X PQT"/>
    <s v=""/>
    <s v=""/>
    <s v="006"/>
    <s v="Unidad"/>
    <s v=""/>
    <n v="15"/>
    <n v="2780.0966666666664"/>
    <n v="41701.449999999997"/>
  </r>
  <r>
    <s v="002"/>
    <s v="FARMACIA DE CIRUGIA                               "/>
    <x v="2"/>
    <x v="2"/>
    <s v="XG000024"/>
    <s v="AGUJA ESPINAL SPINOCAN  G-27 X 3-1/2 X88MM X25U"/>
    <s v=""/>
    <s v=""/>
    <s v="006"/>
    <s v="Unidad"/>
    <s v=""/>
    <n v="15"/>
    <n v="2800.4413461538461"/>
    <n v="42006.620192307688"/>
  </r>
  <r>
    <s v="006"/>
    <s v="ALMACEN MEDICOQUIRURGICOS   "/>
    <x v="2"/>
    <x v="2"/>
    <s v="XT000049"/>
    <s v="TUBO ENDOTRAQUEAL # 8.0-C/B X1"/>
    <s v=""/>
    <s v=""/>
    <s v="006"/>
    <s v="Unidad"/>
    <s v=""/>
    <n v="15"/>
    <n v="3250.4286666666667"/>
    <n v="48756.43"/>
  </r>
  <r>
    <s v="002"/>
    <s v="FARMACIA DE CIRUGIA                               "/>
    <x v="2"/>
    <x v="2"/>
    <s v="XT000047"/>
    <s v="TUBO ENDOTRAQUEAL # 7.0-C/B X1"/>
    <s v=""/>
    <s v=""/>
    <s v="006"/>
    <s v="Unidad"/>
    <s v=""/>
    <n v="15"/>
    <n v="3269.9845714285716"/>
    <n v="49049.768571428569"/>
  </r>
  <r>
    <s v="002"/>
    <s v="FARMACIA DE CIRUGIA                               "/>
    <x v="2"/>
    <x v="2"/>
    <s v="XT000048"/>
    <s v="TUBO ENDOTRAQUEAL # 7.5-C/B X1"/>
    <s v=""/>
    <s v=""/>
    <s v="006"/>
    <s v="Unidad"/>
    <s v=""/>
    <n v="15"/>
    <n v="3280.1967213114754"/>
    <n v="49202.950819672129"/>
  </r>
  <r>
    <s v="002"/>
    <s v="FARMACIA DE CIRUGIA                               "/>
    <x v="2"/>
    <x v="2"/>
    <s v="XV000013"/>
    <s v="VENDA DE YESO 6P.X 5Y-II RAPIDA *1"/>
    <s v=""/>
    <s v=""/>
    <s v="006"/>
    <s v="Unidad"/>
    <s v=""/>
    <n v="15"/>
    <n v="4557.2305263157896"/>
    <n v="68358.457894736843"/>
  </r>
  <r>
    <s v="001"/>
    <s v="FARMACIA CENTRAL                                  "/>
    <x v="3"/>
    <x v="3"/>
    <s v="20026118-2"/>
    <s v="FLUCONAZOL 200 mg / 100 ml Solución Inyectable"/>
    <s v=""/>
    <s v=""/>
    <s v=""/>
    <s v=""/>
    <s v="200 mg / 100 ml"/>
    <n v="15"/>
    <n v="4610.7261428571428"/>
    <n v="69160.892142857134"/>
  </r>
  <r>
    <s v="001"/>
    <s v="FARMACIA CENTRAL                                  "/>
    <x v="0"/>
    <x v="0"/>
    <s v="20011983-01"/>
    <s v="SALBUTAMOL 100 mcg / Puff Solución para Inhalación 200 Dosis"/>
    <s v=""/>
    <s v=""/>
    <s v=""/>
    <s v=""/>
    <s v="200 puff"/>
    <n v="15"/>
    <n v="4708.1851851851852"/>
    <n v="70622.777777777781"/>
  </r>
  <r>
    <s v="001"/>
    <s v="FARMACIA CENTRAL                                  "/>
    <x v="2"/>
    <x v="2"/>
    <s v="XT000020"/>
    <s v="INHALOCAMARAADULTO (AEROCHAMBER) -MASKBLUE *1"/>
    <s v=""/>
    <s v=""/>
    <s v="006"/>
    <s v="Unidad"/>
    <s v=""/>
    <n v="15"/>
    <n v="4942.9965822784807"/>
    <n v="74144.948734177218"/>
  </r>
  <r>
    <s v="006"/>
    <s v="ALMACEN MEDICOQUIRURGICOS   "/>
    <x v="2"/>
    <x v="2"/>
    <s v="XD000129"/>
    <s v="SONDA FOLEY 20 X30ML-3 VIAS *1"/>
    <s v=""/>
    <s v=""/>
    <s v="006"/>
    <s v="Unidad"/>
    <s v=""/>
    <n v="15"/>
    <n v="5011.5231578947369"/>
    <n v="75172.847368421048"/>
  </r>
  <r>
    <s v="002"/>
    <s v="FARMACIA DE CIRUGIA                               "/>
    <x v="2"/>
    <x v="2"/>
    <s v="XD000092"/>
    <s v="PIN DE FIJACION EXTERNA  CLAVO DE KIRSCHNER 1,0"/>
    <s v=""/>
    <s v=""/>
    <s v="006"/>
    <s v="Unidad"/>
    <s v=""/>
    <n v="15"/>
    <n v="9283.9847619047632"/>
    <n v="139259.77142857143"/>
  </r>
  <r>
    <s v="005"/>
    <s v="ALMACEN MEDICAMENTOS"/>
    <x v="0"/>
    <x v="0"/>
    <s v="19980849-01"/>
    <s v="LIDOCAINA CLORHIDRATO 2 % Jalea 30 ML"/>
    <s v=""/>
    <s v=""/>
    <s v=""/>
    <s v=""/>
    <s v="2 % - 30 ml"/>
    <n v="15"/>
    <n v="10942.6564"/>
    <n v="164139.84599999999"/>
  </r>
  <r>
    <s v="002"/>
    <s v="FARMACIA DE CIRUGIA                               "/>
    <x v="0"/>
    <x v="0"/>
    <s v="19995241-02"/>
    <s v="ROCURONIO BROMURO 50 mg / 5 ml Solución inyectable"/>
    <s v=""/>
    <s v=""/>
    <s v=""/>
    <s v=""/>
    <s v="50 mg"/>
    <n v="15"/>
    <n v="12940"/>
    <n v="194100"/>
  </r>
  <r>
    <s v="046"/>
    <s v="BODEGA HEMODINAMIA CONSIGNACION"/>
    <x v="2"/>
    <x v="2"/>
    <s v="AD18T71W"/>
    <s v="AGUJA ANGIGRAFICA MERIT ADVANCE 18G X 7CM GUIA 0.038"/>
    <s v=""/>
    <s v=""/>
    <s v="006"/>
    <s v="Unidad"/>
    <s v=""/>
    <n v="15"/>
    <n v="13861.523999999999"/>
    <n v="207922.86"/>
  </r>
  <r>
    <s v="002"/>
    <s v="FARMACIA DE CIRUGIA                               "/>
    <x v="2"/>
    <x v="2"/>
    <s v="XS000163"/>
    <s v="SIERRA DE GIGLI X 50  CM-OLIVECROMA X 1"/>
    <s v=""/>
    <s v=""/>
    <s v="006"/>
    <s v="Unidad"/>
    <s v=""/>
    <n v="15"/>
    <n v="15735.493333333334"/>
    <n v="236032.4"/>
  </r>
  <r>
    <s v="008"/>
    <s v="ALMACEN  GENERAL                                         "/>
    <x v="5"/>
    <x v="5"/>
    <s v="AP000138"/>
    <s v="PAPEL BOND IMPRESORA MATACHANA REFB 15 X 41602.3"/>
    <s v=""/>
    <s v=""/>
    <s v="006"/>
    <s v="Unidad"/>
    <s v=""/>
    <n v="15"/>
    <n v="16905.788"/>
    <n v="253586.82"/>
  </r>
  <r>
    <s v="006"/>
    <s v="ALMACEN MEDICOQUIRURGICOS   "/>
    <x v="2"/>
    <x v="2"/>
    <s v="XD000293"/>
    <s v="BOLSA PARA CADAVER "/>
    <s v=""/>
    <s v=""/>
    <s v="006"/>
    <s v="Unidad"/>
    <s v=""/>
    <n v="15"/>
    <n v="20807.692631578946"/>
    <n v="312115.38947368419"/>
  </r>
  <r>
    <s v="006"/>
    <s v="ALMACEN MEDICOQUIRURGICOS   "/>
    <x v="2"/>
    <x v="2"/>
    <s v="XT000054"/>
    <s v="TUBO ENDOTRAQUEAL #7.0 REFORZADO X5"/>
    <s v=""/>
    <s v=""/>
    <s v="006"/>
    <s v="Unidad"/>
    <s v=""/>
    <n v="15"/>
    <n v="22157.21"/>
    <n v="332358.15000000002"/>
  </r>
  <r>
    <s v="002"/>
    <s v="FARMACIA DE CIRUGIA                               "/>
    <x v="2"/>
    <x v="2"/>
    <s v="XS000036"/>
    <s v="HEMOCLIP PLUS SMALL AMARILLO T125 CX12 CARTUCHOS"/>
    <s v=""/>
    <s v=""/>
    <s v="006"/>
    <s v="Unidad"/>
    <s v=""/>
    <n v="15"/>
    <n v="22891.034782608695"/>
    <n v="343365.52173913043"/>
  </r>
  <r>
    <s v="008"/>
    <s v="ALMACEN  GENERAL                                         "/>
    <x v="7"/>
    <x v="7"/>
    <s v="AA000004"/>
    <s v="BACTILOTION BG JABON ANTIBACTERIAL PARA MANOS"/>
    <s v=""/>
    <s v=""/>
    <s v="006"/>
    <s v="Unidad"/>
    <s v=""/>
    <n v="15"/>
    <n v="24157"/>
    <n v="362355"/>
  </r>
  <r>
    <s v="002"/>
    <s v="FARMACIA DE CIRUGIA                               "/>
    <x v="0"/>
    <x v="0"/>
    <s v="19999765-01"/>
    <s v="LEVETIRACETAM 100 mg / ml Solución Inyectable x 5 ml"/>
    <s v=""/>
    <s v=""/>
    <s v=""/>
    <s v=""/>
    <s v="500 mg / ml 5 ml"/>
    <n v="15"/>
    <n v="25320.789896907219"/>
    <n v="379811.84845360823"/>
  </r>
  <r>
    <s v="006"/>
    <s v="ALMACEN MEDICOQUIRURGICOS   "/>
    <x v="2"/>
    <x v="2"/>
    <s v="XD000262"/>
    <s v="ASA DE SILICONA SURG-I-LOOP"/>
    <s v=""/>
    <s v=""/>
    <s v="006"/>
    <s v="Unidad"/>
    <s v=""/>
    <n v="15"/>
    <n v="35848.57894736842"/>
    <n v="537728.68421052629"/>
  </r>
  <r>
    <s v="001"/>
    <s v="FARMACIA CENTRAL                                  "/>
    <x v="4"/>
    <x v="4"/>
    <s v="20099144-02"/>
    <s v="TIGECICLINA 50 mg Polvo para reconstituir a solución inyectable"/>
    <s v=""/>
    <s v=""/>
    <s v=""/>
    <s v=""/>
    <s v="50 mg"/>
    <n v="15"/>
    <n v="48102"/>
    <n v="721530"/>
  </r>
  <r>
    <s v="001"/>
    <s v="FARMACIA CENTRAL                                  "/>
    <x v="0"/>
    <x v="0"/>
    <s v="215439-01"/>
    <s v="MULTIVITAMINAS 5 mL polvo liofilizado"/>
    <s v=""/>
    <s v=""/>
    <s v=""/>
    <s v=""/>
    <s v="5 mL polvo"/>
    <n v="15"/>
    <n v="56343.01155555556"/>
    <n v="845145.17333333322"/>
  </r>
  <r>
    <s v="006"/>
    <s v="ALMACEN MEDICOQUIRURGICOS   "/>
    <x v="2"/>
    <x v="2"/>
    <s v="XA000018"/>
    <s v="CAMPO INCISION ANTIMICROBIAL IOBAN 6640-60 X 35 *10"/>
    <s v=""/>
    <s v=""/>
    <s v="006"/>
    <s v="Unidad"/>
    <s v=""/>
    <n v="15"/>
    <n v="70804.524705882359"/>
    <n v="1062067.8705882353"/>
  </r>
  <r>
    <s v="008"/>
    <s v="ALMACEN  GENERAL                                         "/>
    <x v="1"/>
    <x v="1"/>
    <s v="AM000279"/>
    <s v="SENSOR SPO2 ADULTO  MINDRAY LARGO"/>
    <s v=""/>
    <s v=""/>
    <s v="006"/>
    <s v="Unidad"/>
    <s v=""/>
    <n v="15"/>
    <n v="195678.06666666665"/>
    <n v="2935171"/>
  </r>
  <r>
    <s v="001"/>
    <s v="FARMACIA CENTRAL                                  "/>
    <x v="4"/>
    <x v="4"/>
    <s v="20157002-01"/>
    <s v="CEFTAZIDIMA-AVIBACTAM 2g/0.5g polvo para solucion para infusion"/>
    <s v=""/>
    <s v=""/>
    <s v=""/>
    <s v=""/>
    <s v="2g/0.5g"/>
    <n v="15"/>
    <n v="353256.23466666671"/>
    <n v="5298843.5199999996"/>
  </r>
  <r>
    <s v="002"/>
    <s v="FARMACIA DE CIRUGIA                               "/>
    <x v="2"/>
    <x v="2"/>
    <s v="XD000287"/>
    <s v="FRESA SHAVER ARTROSCOPIA X 1 FRESA 3.5/4.2MM"/>
    <s v=""/>
    <s v=""/>
    <s v="006"/>
    <s v="Unidad"/>
    <s v=""/>
    <n v="15"/>
    <n v="455610.89733333333"/>
    <n v="6834163.46"/>
  </r>
  <r>
    <s v="001"/>
    <s v="FARMACIA CENTRAL                                  "/>
    <x v="0"/>
    <x v="0"/>
    <s v="20199943-1"/>
    <s v="RISPERIDONA 1mg Tableta"/>
    <s v=""/>
    <s v=""/>
    <s v=""/>
    <s v=""/>
    <s v="1 mg"/>
    <n v="16"/>
    <n v="179"/>
    <n v="2864"/>
  </r>
  <r>
    <s v="001"/>
    <s v="FARMACIA CENTRAL                                  "/>
    <x v="0"/>
    <x v="0"/>
    <s v="20014721-01"/>
    <s v="ESCITALOPRAM 10 mg Tableta"/>
    <s v=""/>
    <s v=""/>
    <s v=""/>
    <s v=""/>
    <s v="10 mg"/>
    <n v="16"/>
    <n v="254.95909090909092"/>
    <n v="4079.3454545454501"/>
  </r>
  <r>
    <s v="001"/>
    <s v="FARMACIA CENTRAL                                  "/>
    <x v="0"/>
    <x v="0"/>
    <s v="20106115-02"/>
    <s v="VITAMINA D3 2000 UI CÁPSULAS BLANDAS"/>
    <s v=""/>
    <s v=""/>
    <s v=""/>
    <s v=""/>
    <s v="2000 UI"/>
    <n v="16"/>
    <n v="482.42697368421051"/>
    <n v="7718.83157894737"/>
  </r>
  <r>
    <s v="002"/>
    <s v="FARMACIA DE CIRUGIA                               "/>
    <x v="0"/>
    <x v="0"/>
    <s v="19930287-01"/>
    <s v="ATROPINA SULFATO 1mg / ml Solución inyectable"/>
    <s v=""/>
    <s v=""/>
    <s v=""/>
    <s v=""/>
    <s v="1mg / ml"/>
    <n v="16"/>
    <n v="958.57"/>
    <n v="15337.12"/>
  </r>
  <r>
    <s v="008"/>
    <s v="ALMACEN  GENERAL                                         "/>
    <x v="7"/>
    <x v="7"/>
    <s v="AA000130"/>
    <s v="ATOMIZADOR PARA FRASCO X UND"/>
    <s v=""/>
    <s v=""/>
    <s v="006"/>
    <s v="Unidad"/>
    <s v=""/>
    <n v="16"/>
    <n v="1447.5274999999999"/>
    <n v="23160.44"/>
  </r>
  <r>
    <s v="057"/>
    <s v="CARRO DE PARO UCI 2"/>
    <x v="0"/>
    <x v="0"/>
    <s v="32250-01"/>
    <s v="SODIO BICARBONATO 10 meq / 10 ml Solución inyectable"/>
    <s v=""/>
    <s v=""/>
    <s v=""/>
    <s v=""/>
    <s v="10 meq / 10 ml"/>
    <n v="16"/>
    <n v="1849.2706606606607"/>
    <n v="29588.330570570572"/>
  </r>
  <r>
    <s v="001"/>
    <s v="FARMACIA CENTRAL                                  "/>
    <x v="2"/>
    <x v="2"/>
    <s v="XV000017"/>
    <s v="VENDA ELASTICA 5 X 5 *1 UNIDAD"/>
    <s v=""/>
    <s v=""/>
    <s v="006"/>
    <s v="Unidad"/>
    <s v=""/>
    <n v="16"/>
    <n v="2172.9377586206897"/>
    <n v="34767.004137931028"/>
  </r>
  <r>
    <s v="001"/>
    <s v="FARMACIA CENTRAL                                  "/>
    <x v="0"/>
    <x v="0"/>
    <s v="20066793-16"/>
    <s v="POLIETILENGLICOL SIN ELECTROLITOS 3350 SOBRE 17 g Polvo para reconstituir a solución oral"/>
    <s v=""/>
    <s v=""/>
    <s v=""/>
    <s v=""/>
    <s v="17 g"/>
    <n v="16"/>
    <n v="2351.5508088235297"/>
    <n v="37624.812941176468"/>
  </r>
  <r>
    <s v="002"/>
    <s v="FARMACIA DE CIRUGIA                               "/>
    <x v="6"/>
    <x v="6"/>
    <s v="20008612-01"/>
    <s v="HIDROMORFONA CLORHIDRATO 2 mg / ml Solución Inyectable"/>
    <s v=""/>
    <s v=""/>
    <s v=""/>
    <s v=""/>
    <s v="2 mg / ml"/>
    <n v="16"/>
    <n v="4812.416766370251"/>
    <n v="76998.668261924016"/>
  </r>
  <r>
    <s v="008"/>
    <s v="ALMACEN  GENERAL                                         "/>
    <x v="5"/>
    <x v="5"/>
    <s v="AP000075"/>
    <s v="PEGASTICK 40 GR"/>
    <s v=""/>
    <s v=""/>
    <s v="006"/>
    <s v="Unidad"/>
    <s v=""/>
    <n v="16"/>
    <n v="4971.0675000000001"/>
    <n v="79537.08"/>
  </r>
  <r>
    <s v="001"/>
    <s v="FARMACIA CENTRAL                                  "/>
    <x v="2"/>
    <x v="2"/>
    <s v="XA000034"/>
    <s v="GASA ADESHIVA  FIXOMULL-10CM X1M STRETCH"/>
    <s v=""/>
    <s v=""/>
    <s v="006"/>
    <s v="Unidad"/>
    <s v=""/>
    <n v="16"/>
    <n v="5041.3560273972607"/>
    <n v="80661.696438356157"/>
  </r>
  <r>
    <s v="006"/>
    <s v="ALMACEN MEDICOQUIRURGICOS   "/>
    <x v="2"/>
    <x v="2"/>
    <s v="XS000136"/>
    <s v="SUTURA QUIRURGICA NO ABSORBIBLE SEDA PERMAHAND 3/0 K832H SH X3 DOCENAS"/>
    <s v=""/>
    <s v=""/>
    <s v="006"/>
    <s v="Unidad"/>
    <s v=""/>
    <n v="16"/>
    <n v="6049.8867924528304"/>
    <n v="96798.188679245286"/>
  </r>
  <r>
    <s v="001"/>
    <s v="FARMACIA CENTRAL                                  "/>
    <x v="3"/>
    <x v="3"/>
    <s v="206166-03"/>
    <s v="HIDROXICLOROQUINA 200 mg Tableta"/>
    <s v=""/>
    <s v=""/>
    <s v=""/>
    <s v=""/>
    <s v="200mg"/>
    <n v="16"/>
    <n v="6788.2124999999996"/>
    <n v="108611.4"/>
  </r>
  <r>
    <s v="006"/>
    <s v="ALMACEN MEDICOQUIRURGICOS   "/>
    <x v="2"/>
    <x v="2"/>
    <s v="XS000121"/>
    <s v="SUTURA QUIRURGICA MONOFILAMENTE ESTERIL SINTETICO NO ABSORBIBLE 5/0(1386T E19)P8686TPS2 X2 DOCENAS"/>
    <s v=""/>
    <s v=""/>
    <s v="006"/>
    <s v="Unidad"/>
    <s v=""/>
    <n v="16"/>
    <n v="7309.142045454546"/>
    <n v="116946.27272727272"/>
  </r>
  <r>
    <s v="002"/>
    <s v="FARMACIA DE CIRUGIA                               "/>
    <x v="2"/>
    <x v="2"/>
    <s v="XS000137"/>
    <s v="SUTURA QUIRURGICA NO ABSORBIBLE SEDA PERMAHAND 3/0-184TSC(684) X2 DOCENAS"/>
    <s v=""/>
    <s v=""/>
    <s v="006"/>
    <s v="Unidad"/>
    <s v=""/>
    <n v="16"/>
    <n v="7606.7601136363637"/>
    <n v="121708.16181818182"/>
  </r>
  <r>
    <s v="002"/>
    <s v="FARMACIA DE CIRUGIA                               "/>
    <x v="2"/>
    <x v="2"/>
    <s v="XS000130"/>
    <s v="SUTURA QUIRURGICA NO ABSORBIBLE SEDA PERMAHAND 0 SSP55TS/A(SA86T) X2 DOCENAS"/>
    <s v=""/>
    <s v=""/>
    <s v="006"/>
    <s v="Unidad"/>
    <s v=""/>
    <n v="16"/>
    <n v="9329.769038461538"/>
    <n v="149276.30461538461"/>
  </r>
  <r>
    <s v="002"/>
    <s v="FARMACIA DE CIRUGIA                               "/>
    <x v="0"/>
    <x v="0"/>
    <s v="19980849-01"/>
    <s v="LIDOCAINA CLORHIDRATO 2 % Jalea 30 ML"/>
    <s v=""/>
    <s v=""/>
    <s v=""/>
    <s v=""/>
    <s v="2 % - 30 ml"/>
    <n v="16"/>
    <n v="10942.6564"/>
    <n v="175082.5024"/>
  </r>
  <r>
    <s v="001"/>
    <s v="FARMACIA CENTRAL                                  "/>
    <x v="0"/>
    <x v="0"/>
    <s v="20149724-1"/>
    <s v="METOPROLOL 5 mg / 5ml Solución Inyectable"/>
    <s v=""/>
    <s v=""/>
    <s v=""/>
    <s v=""/>
    <s v="5 mg / 5ml"/>
    <n v="16"/>
    <n v="12500"/>
    <n v="200000"/>
  </r>
  <r>
    <s v="002"/>
    <s v="FARMACIA DE CIRUGIA                               "/>
    <x v="2"/>
    <x v="2"/>
    <s v="XS000117"/>
    <s v="SUTURA QUIRURGICA MONOFILAMENTE ESTERIL SINTETICO NO ABSORBIBLE 3/0 8522T SH X2 DOCENAS C.V."/>
    <s v=""/>
    <s v=""/>
    <s v="006"/>
    <s v="Unidad"/>
    <s v=""/>
    <n v="16"/>
    <n v="14024.245185185186"/>
    <n v="224387.92296296297"/>
  </r>
  <r>
    <s v="006"/>
    <s v="ALMACEN MEDICOQUIRURGICOS   "/>
    <x v="2"/>
    <x v="2"/>
    <s v="XS000083"/>
    <s v="SUTURA DE POLIESTER 0 ETHIBOND B412H CT-2 X3 DOCENAS"/>
    <s v=""/>
    <s v=""/>
    <s v="006"/>
    <s v="Unidad"/>
    <s v=""/>
    <n v="16"/>
    <n v="15750"/>
    <n v="252000"/>
  </r>
  <r>
    <s v="006"/>
    <s v="ALMACEN MEDICOQUIRURGICOS   "/>
    <x v="2"/>
    <x v="2"/>
    <s v="XO000012"/>
    <s v="COLLAR CERVICAL TALLA L  BLANDO"/>
    <s v=""/>
    <s v=""/>
    <s v="006"/>
    <s v="Unidad"/>
    <s v=""/>
    <n v="16"/>
    <n v="17629.722222222223"/>
    <n v="282075.55555555556"/>
  </r>
  <r>
    <s v="006"/>
    <s v="ALMACEN MEDICOQUIRURGICOS   "/>
    <x v="2"/>
    <x v="2"/>
    <s v="XO000013"/>
    <s v="COLLAR CERVICAL TALLA M BLANDO"/>
    <s v=""/>
    <s v=""/>
    <s v="006"/>
    <s v="Unidad"/>
    <s v=""/>
    <n v="16"/>
    <n v="18363.222222222223"/>
    <n v="293811.55555555556"/>
  </r>
  <r>
    <s v="005"/>
    <s v="ALMACEN MEDICAMENTOS"/>
    <x v="0"/>
    <x v="0"/>
    <s v="20263958-3"/>
    <s v="LIDOCAINA HCL CON EPINEFRINA 2% Solución Inyectable Vial 20mL"/>
    <s v=""/>
    <s v=""/>
    <s v=""/>
    <s v=""/>
    <s v="2 % - 20 ml"/>
    <n v="16"/>
    <n v="29000"/>
    <n v="464000"/>
  </r>
  <r>
    <s v="001"/>
    <s v="FARMACIA CENTRAL                                  "/>
    <x v="2"/>
    <x v="2"/>
    <s v="XE000033"/>
    <s v="EQUIPO DE BOMBA ENTERAL PRIMARIO NUTRICION REF 14257"/>
    <s v=""/>
    <s v=""/>
    <s v="006"/>
    <s v="Unidad"/>
    <s v=""/>
    <n v="16"/>
    <n v="33100"/>
    <n v="529600"/>
  </r>
  <r>
    <s v="008"/>
    <s v="ALMACEN  GENERAL                                         "/>
    <x v="1"/>
    <x v="1"/>
    <s v="AM000007"/>
    <s v="BRAZALETE PNI ADULT.40401C 1 VIA UCI"/>
    <s v=""/>
    <s v=""/>
    <s v="006"/>
    <s v="Unidad"/>
    <s v=""/>
    <n v="16"/>
    <n v="36974"/>
    <n v="591584"/>
  </r>
  <r>
    <s v="005"/>
    <s v="ALMACEN MEDICAMENTOS"/>
    <x v="14"/>
    <x v="14"/>
    <s v="150420"/>
    <s v="OSMOLITE HN 1.2  LIQUIDO LPC 1500 ML"/>
    <s v=""/>
    <s v=""/>
    <s v=""/>
    <s v=""/>
    <s v="1.2 KCAL/ML"/>
    <n v="16"/>
    <n v="58397.996842105269"/>
    <n v="934367.94947368419"/>
  </r>
  <r>
    <s v="001"/>
    <s v="FARMACIA CENTRAL                                  "/>
    <x v="4"/>
    <x v="4"/>
    <s v="20068002-01"/>
    <s v="POLIMIXINA B 500.000 UI Polvo para reconstituir a solución inyectable"/>
    <s v=""/>
    <s v=""/>
    <s v=""/>
    <s v=""/>
    <s v="500.000 UI"/>
    <n v="16"/>
    <n v="67304.609375"/>
    <n v="1076873.75"/>
  </r>
  <r>
    <s v="001"/>
    <s v="FARMACIA CENTRAL                                  "/>
    <x v="0"/>
    <x v="0"/>
    <s v="19955212-21"/>
    <s v="HIOSCINA BUTIL BROMURO 10 mg tableta"/>
    <s v=""/>
    <s v=""/>
    <s v=""/>
    <s v=""/>
    <s v="10 mg"/>
    <n v="17"/>
    <n v="148.70588235294119"/>
    <n v="2528"/>
  </r>
  <r>
    <s v="001"/>
    <s v="FARMACIA CENTRAL                                  "/>
    <x v="0"/>
    <x v="0"/>
    <s v="19976553-06"/>
    <s v="NEOSTIGMINA METILSULFATO 0.5 mg/1 ml Solución Inyectable"/>
    <s v=""/>
    <s v=""/>
    <s v=""/>
    <s v=""/>
    <s v="0.5 mg/1 ml"/>
    <n v="17"/>
    <n v="808.82349206349204"/>
    <n v="13749.999365079369"/>
  </r>
  <r>
    <s v="001"/>
    <s v="FARMACIA CENTRAL                                  "/>
    <x v="0"/>
    <x v="0"/>
    <s v="19987947-8"/>
    <s v="LEVOTIROXINA SODICA 88MCG"/>
    <s v=""/>
    <s v=""/>
    <s v=""/>
    <s v=""/>
    <s v="88MCG"/>
    <n v="17"/>
    <n v="1224"/>
    <n v="20808"/>
  </r>
  <r>
    <s v="008"/>
    <s v="ALMACEN  GENERAL                                         "/>
    <x v="5"/>
    <x v="5"/>
    <s v="AP000146"/>
    <s v="CORRECTOR LIQUIDO LAPIZ"/>
    <s v=""/>
    <s v=""/>
    <s v="006"/>
    <s v="Unidad"/>
    <s v=""/>
    <n v="17"/>
    <n v="1338.9182352941177"/>
    <n v="22761.61"/>
  </r>
  <r>
    <s v="001"/>
    <s v="FARMACIA CENTRAL                                  "/>
    <x v="3"/>
    <x v="3"/>
    <s v="20046873-01"/>
    <s v="PENICILINA G SODICA 1.000.000 UI Polvo para reconsituir a solución inyectable"/>
    <s v=""/>
    <s v=""/>
    <s v=""/>
    <s v=""/>
    <s v="1.000.000 UI"/>
    <n v="17"/>
    <n v="1649.4257391304347"/>
    <n v="28040.237565217391"/>
  </r>
  <r>
    <s v="001"/>
    <s v="FARMACIA CENTRAL                                  "/>
    <x v="0"/>
    <x v="0"/>
    <s v="227601-02"/>
    <s v="COLESTIRAMINA 4 g Granulado Oral"/>
    <s v=""/>
    <s v=""/>
    <s v=""/>
    <s v=""/>
    <s v="4 g"/>
    <n v="17"/>
    <n v="2295.8730927835049"/>
    <n v="39029.842577319592"/>
  </r>
  <r>
    <s v="002"/>
    <s v="FARMACIA DE CIRUGIA                               "/>
    <x v="2"/>
    <x v="2"/>
    <s v="XT000049"/>
    <s v="TUBO ENDOTRAQUEAL # 8.0-C/B X1"/>
    <s v=""/>
    <s v=""/>
    <s v="006"/>
    <s v="Unidad"/>
    <s v=""/>
    <n v="17"/>
    <n v="3250.4286666666667"/>
    <n v="55257.287333333326"/>
  </r>
  <r>
    <s v="001"/>
    <s v="FARMACIA CENTRAL                                  "/>
    <x v="0"/>
    <x v="0"/>
    <s v="19968954-01"/>
    <s v="ONDANSETRON 8MG TABLETA"/>
    <s v=""/>
    <s v=""/>
    <s v=""/>
    <s v=""/>
    <s v="8MG"/>
    <n v="17"/>
    <n v="3332.4376470588236"/>
    <n v="56651.44"/>
  </r>
  <r>
    <s v="008"/>
    <s v="ALMACEN  GENERAL                                         "/>
    <x v="13"/>
    <x v="13"/>
    <s v="AC000025"/>
    <s v="VASO DE CARTON 9 ONZAS X 20 UND"/>
    <s v=""/>
    <s v=""/>
    <s v="006"/>
    <s v="Unidad"/>
    <s v=""/>
    <n v="17"/>
    <n v="4702.3929411764702"/>
    <n v="79940.679999999993"/>
  </r>
  <r>
    <s v="002"/>
    <s v="FARMACIA DE CIRUGIA                               "/>
    <x v="2"/>
    <x v="2"/>
    <s v="XS000124"/>
    <s v="SUTURA QUIRURGICA MONOFILAMENTE ESTERIL SINTETICO NO ABSORBIBLE1 CT-1 8425"/>
    <s v=""/>
    <s v=""/>
    <s v="006"/>
    <s v="Unidad"/>
    <s v=""/>
    <n v="17"/>
    <n v="7423.5372413793102"/>
    <n v="126200.13310344829"/>
  </r>
  <r>
    <s v="006"/>
    <s v="ALMACEN MEDICOQUIRURGICOS   "/>
    <x v="2"/>
    <x v="2"/>
    <s v="XS000135"/>
    <s v="SUTURA QUIRURGICA NO ABSORBIBLE SEDA PERMAHAND 3/0 622H KS X3 DOCENAS"/>
    <s v=""/>
    <s v=""/>
    <s v="006"/>
    <s v="Unidad"/>
    <s v=""/>
    <n v="17"/>
    <n v="8908.5088372093014"/>
    <n v="151444.65023255814"/>
  </r>
  <r>
    <s v="001"/>
    <s v="FARMACIA CENTRAL                                  "/>
    <x v="0"/>
    <x v="0"/>
    <s v="19980849-01"/>
    <s v="LIDOCAINA CLORHIDRATO 2 % Jalea 30 ML"/>
    <s v=""/>
    <s v=""/>
    <s v=""/>
    <s v=""/>
    <s v="2 % - 30 ml"/>
    <n v="17"/>
    <n v="10942.6564"/>
    <n v="186025.1588"/>
  </r>
  <r>
    <s v="002"/>
    <s v="FARMACIA DE CIRUGIA                               "/>
    <x v="2"/>
    <x v="2"/>
    <s v="XS000102"/>
    <s v="SUTURA QUIRURGICA ABSORBIBLE VICRYL 5/0(J113G-E13)JP493G-P3 X1DOCENA"/>
    <s v=""/>
    <s v=""/>
    <s v="006"/>
    <s v="Unidad"/>
    <s v=""/>
    <n v="17"/>
    <n v="13757.371714285715"/>
    <n v="233875.31914285713"/>
  </r>
  <r>
    <s v="002"/>
    <s v="FARMACIA DE CIRUGIA                               "/>
    <x v="2"/>
    <x v="2"/>
    <s v="XS000115"/>
    <s v="SUTURA QUIRURGICA MONOFILAMENTE ESTERIL SINTETICO NO ABSORBIBLE 2/0 8623H KS X3 DOCENAS"/>
    <s v=""/>
    <s v=""/>
    <s v="006"/>
    <s v="Unidad"/>
    <s v=""/>
    <n v="17"/>
    <n v="14371.732413793105"/>
    <n v="244319.45103448277"/>
  </r>
  <r>
    <s v="001"/>
    <s v="FARMACIA CENTRAL                                  "/>
    <x v="4"/>
    <x v="4"/>
    <s v="20002059-06"/>
    <s v="CLARITROMICINA 500 mg Polvo para reconstituir a solución inyectable"/>
    <s v=""/>
    <s v=""/>
    <s v=""/>
    <s v=""/>
    <s v="500 mg"/>
    <n v="17"/>
    <n v="15216.537037037038"/>
    <n v="258681.12962962964"/>
  </r>
  <r>
    <s v="043"/>
    <s v="BODEGA DE CENTRAL DE MEZCLAS"/>
    <x v="8"/>
    <x v="8"/>
    <s v="19995297-01"/>
    <s v="HEPARINA SODICA 5.000 UI/ ML Solución Inyectable"/>
    <s v=""/>
    <s v=""/>
    <s v=""/>
    <s v=""/>
    <s v="5.000 UI/ ML"/>
    <n v="17"/>
    <n v="18540.913461538461"/>
    <n v="315195.52884615381"/>
  </r>
  <r>
    <s v="006"/>
    <s v="ALMACEN MEDICOQUIRURGICOS   "/>
    <x v="2"/>
    <x v="2"/>
    <s v="XT000055"/>
    <s v="TUBO ENDOTRAQUEAL #7.5 REFORZADO X5"/>
    <s v=""/>
    <s v=""/>
    <s v="006"/>
    <s v="Unidad"/>
    <s v=""/>
    <n v="17"/>
    <n v="24478.484782608695"/>
    <n v="416134.24130434782"/>
  </r>
  <r>
    <s v="001"/>
    <s v="FARMACIA CENTRAL                                  "/>
    <x v="2"/>
    <x v="2"/>
    <s v="XE000003"/>
    <s v="EQUIPO DE BOMBA PRIMARIO SANGUINEO REF 14211 "/>
    <s v=""/>
    <s v=""/>
    <s v="006"/>
    <s v="Unidad"/>
    <s v=""/>
    <n v="17"/>
    <n v="26677.178571428569"/>
    <n v="453512.03571428568"/>
  </r>
  <r>
    <s v="006"/>
    <s v="ALMACEN MEDICOQUIRURGICOS   "/>
    <x v="2"/>
    <x v="2"/>
    <s v="XD000057"/>
    <s v="GUANTE QUIRURGICO CON REVESTIMIENTO EN BIOGEL ANTICORTE"/>
    <s v=""/>
    <s v=""/>
    <s v="006"/>
    <s v="Unidad"/>
    <s v=""/>
    <n v="17"/>
    <n v="35363.481200000002"/>
    <n v="601179.18039999995"/>
  </r>
  <r>
    <s v="006"/>
    <s v="ALMACEN MEDICOQUIRURGICOS   "/>
    <x v="2"/>
    <x v="2"/>
    <s v="XT000069"/>
    <s v="CIRCUITO DE VENTILACION DOBLE RAMA"/>
    <s v=""/>
    <s v=""/>
    <s v="006"/>
    <s v="Unidad"/>
    <s v=""/>
    <n v="17"/>
    <n v="37188.424999999996"/>
    <n v="632203.22499999998"/>
  </r>
  <r>
    <s v="005"/>
    <s v="ALMACEN MEDICAMENTOS"/>
    <x v="0"/>
    <x v="0"/>
    <s v="41528-04"/>
    <s v="SUCRALFATO 200 ml Suspensión Oral Frasco 200ml"/>
    <s v=""/>
    <s v=""/>
    <s v=""/>
    <s v=""/>
    <s v="20 g"/>
    <n v="17"/>
    <n v="38481.096521739135"/>
    <n v="654178.64086956519"/>
  </r>
  <r>
    <s v="001"/>
    <s v="FARMACIA CENTRAL                                  "/>
    <x v="2"/>
    <x v="2"/>
    <s v="XA000102"/>
    <s v="APOSITO PARA HERIDAS MEPILEX BORDER SACRUM 16 X 20 CM REF 282055"/>
    <s v=""/>
    <s v=""/>
    <s v="006"/>
    <s v="Unidad"/>
    <s v=""/>
    <n v="17"/>
    <n v="95230.947368421053"/>
    <n v="1618926.1052631577"/>
  </r>
  <r>
    <s v="001"/>
    <s v="FARMACIA CENTRAL                                  "/>
    <x v="2"/>
    <x v="2"/>
    <s v="XA000100"/>
    <s v="APOSITO PARA HERIDAS MEPILEX BORDER SACRUM 22 X 25 CM REF 282455"/>
    <s v=""/>
    <s v=""/>
    <s v="006"/>
    <s v="Unidad"/>
    <s v=""/>
    <n v="17"/>
    <n v="131177.4588372093"/>
    <n v="2230016.800232558"/>
  </r>
  <r>
    <s v="007"/>
    <s v="CONSIGNACIÓN CROSSWELL                         "/>
    <x v="2"/>
    <x v="2"/>
    <s v="XA000088"/>
    <s v="APOSITO  MEPILEX  MOLNLYCKE AG 15 X 15 REF 287300"/>
    <s v=""/>
    <s v=""/>
    <s v="006"/>
    <s v="Unidad"/>
    <s v=""/>
    <n v="17"/>
    <n v="140199.87282051283"/>
    <n v="2383397.8379487181"/>
  </r>
  <r>
    <s v="001"/>
    <s v="FARMACIA CENTRAL                                  "/>
    <x v="4"/>
    <x v="4"/>
    <s v="20071230-01"/>
    <s v="FOSFOMICINA DISODICA 4 g Polvo para reconstituir a solución inyectable"/>
    <s v=""/>
    <s v=""/>
    <s v=""/>
    <s v=""/>
    <s v="4 g"/>
    <n v="17"/>
    <n v="309095.68122807017"/>
    <n v="5254626.5808771932"/>
  </r>
  <r>
    <s v="001"/>
    <s v="FARMACIA CENTRAL                                  "/>
    <x v="3"/>
    <x v="3"/>
    <s v="20006411-4"/>
    <s v="FLUCONAZOL 200 mg Cápsula"/>
    <s v=""/>
    <s v=""/>
    <s v=""/>
    <s v=""/>
    <s v="200 mg"/>
    <n v="18"/>
    <n v="349"/>
    <n v="6282"/>
  </r>
  <r>
    <s v="001"/>
    <s v="FARMACIA CENTRAL                                  "/>
    <x v="2"/>
    <x v="2"/>
    <s v="XJ000007"/>
    <s v="CATETERES PERIFERICOS INTRAVENOSOS INSYTE #24*50"/>
    <s v=""/>
    <s v=""/>
    <s v="006"/>
    <s v="Unidad"/>
    <s v=""/>
    <n v="18"/>
    <n v="2022.0220430107527"/>
    <n v="36396.396774193548"/>
  </r>
  <r>
    <s v="002"/>
    <s v="FARMACIA DE CIRUGIA                               "/>
    <x v="4"/>
    <x v="4"/>
    <s v="20160166-3"/>
    <s v="CEFAZOLINA 1 g Polvo para reconstituir a solución inyectable"/>
    <s v=""/>
    <s v=""/>
    <s v=""/>
    <s v=""/>
    <s v="1 g"/>
    <n v="18"/>
    <n v="2061"/>
    <n v="37098"/>
  </r>
  <r>
    <s v="002"/>
    <s v="FARMACIA DE CIRUGIA                               "/>
    <x v="0"/>
    <x v="0"/>
    <s v="52033-04"/>
    <s v="BUPIVACAINA CLORHIDRATO 0.5 % Solución inyectable 10 ML"/>
    <s v=""/>
    <s v=""/>
    <s v=""/>
    <s v=""/>
    <s v="0.5% - 10 ml"/>
    <n v="18"/>
    <n v="6012.7747826086952"/>
    <n v="108229.94608695652"/>
  </r>
  <r>
    <s v="001"/>
    <s v="FARMACIA CENTRAL                                  "/>
    <x v="2"/>
    <x v="2"/>
    <s v="XT000019"/>
    <s v="INCENTIVO RESPIRATORIO R.1750 X 1 SET"/>
    <s v=""/>
    <s v=""/>
    <s v="006"/>
    <s v="Unidad"/>
    <s v=""/>
    <n v="18"/>
    <n v="6438.768"/>
    <n v="115897.82399999999"/>
  </r>
  <r>
    <s v="008"/>
    <s v="ALMACEN  GENERAL                                         "/>
    <x v="1"/>
    <x v="1"/>
    <s v="AM000389"/>
    <s v="SOPORTE DE PARED PARA CANISTER "/>
    <s v=""/>
    <s v=""/>
    <s v="006"/>
    <s v="Unidad"/>
    <s v=""/>
    <n v="18"/>
    <n v="6604.4444444444443"/>
    <n v="118880"/>
  </r>
  <r>
    <s v="006"/>
    <s v="ALMACEN MEDICOQUIRURGICOS   "/>
    <x v="2"/>
    <x v="2"/>
    <s v="XS000129"/>
    <s v="SUTURA QUIRURGICA NO ABSORBIBLE SEDA PERMAHAND 0 K834H SH X3 DOCENAS"/>
    <s v=""/>
    <s v=""/>
    <s v="006"/>
    <s v="Unidad"/>
    <s v=""/>
    <n v="18"/>
    <n v="6786.375"/>
    <n v="122154.75"/>
  </r>
  <r>
    <s v="001"/>
    <s v="FARMACIA CENTRAL                                  "/>
    <x v="0"/>
    <x v="0"/>
    <s v="20022446-02"/>
    <s v="MIDODRINA 5 MG TAB"/>
    <s v=""/>
    <s v=""/>
    <s v=""/>
    <s v=""/>
    <s v="5 mg"/>
    <n v="18"/>
    <n v="7500"/>
    <n v="135000"/>
  </r>
  <r>
    <s v="002"/>
    <s v="FARMACIA DE CIRUGIA                               "/>
    <x v="2"/>
    <x v="2"/>
    <s v="XS000122"/>
    <s v="SUTURA QUIRURGICA MONOFILAMENTE ESTERIL SINTETICO NO ABSORBIBLE 5/0(1398T E13)P8698TP3 X2 DOCENAS"/>
    <s v=""/>
    <s v=""/>
    <s v="006"/>
    <s v="Unidad"/>
    <s v=""/>
    <n v="18"/>
    <n v="8377.6663636363628"/>
    <n v="150797.99454545457"/>
  </r>
  <r>
    <s v="001"/>
    <s v="FARMACIA CENTRAL                                  "/>
    <x v="14"/>
    <x v="14"/>
    <s v="160152"/>
    <s v="AISLADO DE PROTEINA (PROWHEY PLUS) SOBRES 32 GR"/>
    <s v=""/>
    <s v=""/>
    <s v=""/>
    <s v=""/>
    <s v="32"/>
    <n v="18"/>
    <n v="8497.0020338983049"/>
    <n v="152946.03661016948"/>
  </r>
  <r>
    <s v="008"/>
    <s v="ALMACEN  GENERAL                                         "/>
    <x v="5"/>
    <x v="5"/>
    <s v="AP000083"/>
    <s v="FORMULARIO ORDEN MEDICA  MEDICAMENTOS DE CONTROL"/>
    <s v=""/>
    <s v=""/>
    <s v="006"/>
    <s v="Unidad"/>
    <s v=""/>
    <n v="18"/>
    <n v="9424.6005555555548"/>
    <n v="169642.81"/>
  </r>
  <r>
    <s v="002"/>
    <s v="FARMACIA DE CIRUGIA                               "/>
    <x v="2"/>
    <x v="2"/>
    <s v="XS000099"/>
    <s v="SUTURA QUIRURGICA ABSORBIBLE VICRYL 2/0 J345H CT-1 X3 DOCENAS"/>
    <s v=""/>
    <s v=""/>
    <s v="006"/>
    <s v="Unidad"/>
    <s v=""/>
    <n v="18"/>
    <n v="9973.8160465116289"/>
    <n v="179528.68883720931"/>
  </r>
  <r>
    <s v="002"/>
    <s v="FARMACIA DE CIRUGIA                               "/>
    <x v="2"/>
    <x v="2"/>
    <s v="XE000013"/>
    <s v="EQUIPO PARA DRENAJE URINARIO CYSTOFLO  MRD2926"/>
    <s v=""/>
    <s v=""/>
    <s v="006"/>
    <s v="Unidad"/>
    <s v=""/>
    <n v="18"/>
    <n v="10302.013482142856"/>
    <n v="185436.24267857143"/>
  </r>
  <r>
    <s v="005"/>
    <s v="ALMACEN MEDICAMENTOS"/>
    <x v="0"/>
    <x v="0"/>
    <s v="29517-01"/>
    <s v="DEXTROSA EN AGUA DESTILADA 50%  Solución Inyectable 500 ml"/>
    <s v=""/>
    <s v=""/>
    <s v=""/>
    <s v=""/>
    <s v="50 % - 500 ml"/>
    <n v="18"/>
    <n v="10404.861842105262"/>
    <n v="187287.51315789472"/>
  </r>
  <r>
    <s v="001"/>
    <s v="FARMACIA CENTRAL                                  "/>
    <x v="2"/>
    <x v="2"/>
    <s v="XS000132"/>
    <s v="SUTURA QUIRURGICA NO ABSORBIBLE SEDA PERMAHAND 2/0 623H KS X3 DOCENAS"/>
    <s v=""/>
    <s v=""/>
    <s v="006"/>
    <s v="Unidad"/>
    <s v=""/>
    <n v="18"/>
    <n v="10464.536519337018"/>
    <n v="188361.65734806631"/>
  </r>
  <r>
    <s v="001"/>
    <s v="FARMACIA CENTRAL                                  "/>
    <x v="8"/>
    <x v="8"/>
    <s v="20084687-6"/>
    <s v="HEPARINA DE BAJO PESO MOLECULAR 60 mg /0.6 ml Solución inyactable"/>
    <s v=""/>
    <s v=""/>
    <s v=""/>
    <s v=""/>
    <s v="60 mg /0.6 ml"/>
    <n v="18"/>
    <n v="11499.597701149425"/>
    <n v="206992.75862068968"/>
  </r>
  <r>
    <s v="002"/>
    <s v="FARMACIA DE CIRUGIA                               "/>
    <x v="2"/>
    <x v="2"/>
    <s v="XS000093"/>
    <s v="SUTURA QUIRURGICA ABSORBIBLE  VICRYL 0 J318H SH -REF 812"/>
    <s v=""/>
    <s v=""/>
    <s v="006"/>
    <s v="Unidad"/>
    <s v=""/>
    <n v="18"/>
    <n v="12324.101428571428"/>
    <n v="221833.82571428572"/>
  </r>
  <r>
    <s v="006"/>
    <s v="ALMACEN MEDICOQUIRURGICOS   "/>
    <x v="2"/>
    <x v="2"/>
    <s v="XS000100"/>
    <s v="SUTURA QUIRURGICA ABSORBIBLE VICRYL 3/0 J311H SH-1 X3 DOCENAS X70CM"/>
    <s v=""/>
    <s v=""/>
    <s v="006"/>
    <s v="Unidad"/>
    <s v=""/>
    <n v="18"/>
    <n v="12353.265681818182"/>
    <n v="222358.78227272729"/>
  </r>
  <r>
    <s v="001"/>
    <s v="FARMACIA CENTRAL                                  "/>
    <x v="0"/>
    <x v="0"/>
    <s v="50476-13"/>
    <s v="POLIETILENGLICOL + ELECTROLITOS 110.1 g Polvo para reconstituir a solución oral"/>
    <s v=""/>
    <s v=""/>
    <s v=""/>
    <s v=""/>
    <s v="110-1 g"/>
    <n v="18"/>
    <n v="13745.000454545452"/>
    <n v="247410.00818181815"/>
  </r>
  <r>
    <s v="007"/>
    <s v="CONSIGNACIÓN CROSSWELL                         "/>
    <x v="2"/>
    <x v="2"/>
    <s v="XA000109"/>
    <s v="VENDAJE PARA CICATRIZACION POST OP MEPILEX 10X15CM REF 496300"/>
    <s v=""/>
    <s v=""/>
    <s v="006"/>
    <s v="Unidad"/>
    <s v=""/>
    <n v="18"/>
    <n v="64308.11538461539"/>
    <n v="1157546.076923077"/>
  </r>
  <r>
    <s v="008"/>
    <s v="ALMACEN  GENERAL                                         "/>
    <x v="10"/>
    <x v="10"/>
    <s v="AD000020"/>
    <s v="UNIFORME COCINA CONBINADO 148"/>
    <s v=""/>
    <s v=""/>
    <s v="006"/>
    <s v="Unidad"/>
    <s v=""/>
    <n v="18"/>
    <n v="64405.166666666664"/>
    <n v="1159293"/>
  </r>
  <r>
    <s v="006"/>
    <s v="ALMACEN MEDICOQUIRURGICOS   "/>
    <x v="2"/>
    <x v="2"/>
    <s v="XS000159"/>
    <s v="DISPOSITIVO DE CIERRE DE HERIDAS V-LOC 90 2-0 CV-21 REF. VLOCM0315"/>
    <s v=""/>
    <s v=""/>
    <s v="006"/>
    <s v="Unidad"/>
    <s v=""/>
    <n v="18"/>
    <n v="110400"/>
    <n v="1987200"/>
  </r>
  <r>
    <s v="001"/>
    <s v="FARMACIA CENTRAL                                  "/>
    <x v="0"/>
    <x v="0"/>
    <s v="19976365-11"/>
    <s v="LEVOTIROXINA SODICA 50 mcg Tableta"/>
    <s v=""/>
    <s v=""/>
    <s v=""/>
    <s v=""/>
    <s v="50 MCG"/>
    <n v="19"/>
    <n v="134.04"/>
    <n v="2546.7600000000002"/>
  </r>
  <r>
    <s v="032"/>
    <s v="CLINICA DE HERIDAS                                "/>
    <x v="2"/>
    <x v="2"/>
    <s v="XA000035"/>
    <s v="GASAS PAQUETE ESTERIL X5"/>
    <s v=""/>
    <s v=""/>
    <s v="006"/>
    <s v="Unidad"/>
    <s v=""/>
    <n v="19"/>
    <n v="303.54016676418956"/>
    <n v="5767.2631685196002"/>
  </r>
  <r>
    <s v="001"/>
    <s v="FARMACIA CENTRAL                                  "/>
    <x v="0"/>
    <x v="0"/>
    <s v="19975169-04"/>
    <s v="DOXAZOSINA 2 mg Tableta"/>
    <s v=""/>
    <s v=""/>
    <s v=""/>
    <s v=""/>
    <s v="2mg"/>
    <n v="19"/>
    <n v="313"/>
    <n v="5947"/>
  </r>
  <r>
    <s v="002"/>
    <s v="FARMACIA DE CIRUGIA                               "/>
    <x v="2"/>
    <x v="2"/>
    <s v="XT000032"/>
    <s v="SONDA PARA SUCCION(OJO DE PESCADO)-14FR FR 60CM*1"/>
    <s v=""/>
    <s v=""/>
    <s v="006"/>
    <s v="Unidad"/>
    <s v=""/>
    <n v="19"/>
    <n v="1015.8373846153846"/>
    <n v="19300.910307692309"/>
  </r>
  <r>
    <s v="001"/>
    <s v="FARMACIA CENTRAL                                  "/>
    <x v="0"/>
    <x v="0"/>
    <s v="19999057-01"/>
    <s v="PIRIDOSTIGMINA 60 mg Tableta"/>
    <s v=""/>
    <s v=""/>
    <s v=""/>
    <s v=""/>
    <s v="60 mg"/>
    <n v="19"/>
    <n v="1117.5525423728814"/>
    <n v="21233.498305084751"/>
  </r>
  <r>
    <s v="001"/>
    <s v="FARMACIA CENTRAL                                  "/>
    <x v="0"/>
    <x v="0"/>
    <s v="226031-01"/>
    <s v="TOLTERODINA L 2 mg TABLETA"/>
    <s v=""/>
    <s v=""/>
    <s v=""/>
    <s v=""/>
    <s v="2 mg"/>
    <n v="19"/>
    <n v="1704.9263157894738"/>
    <n v="32393.599999999999"/>
  </r>
  <r>
    <s v="002"/>
    <s v="FARMACIA DE CIRUGIA                               "/>
    <x v="2"/>
    <x v="2"/>
    <s v="XA000014"/>
    <s v="APOSITO TRANSPARENTE TEGADERM -10X12 REF 1626 REF 7238102"/>
    <s v=""/>
    <s v=""/>
    <s v="006"/>
    <s v="Unidad"/>
    <s v=""/>
    <n v="19"/>
    <n v="3098.8842028985509"/>
    <n v="58878.799855072459"/>
  </r>
  <r>
    <s v="001"/>
    <s v="FARMACIA CENTRAL                                  "/>
    <x v="0"/>
    <x v="0"/>
    <s v="22501-10"/>
    <s v="AGUA ESTERIL PARA INYECCIONN 500 ml"/>
    <s v=""/>
    <s v=""/>
    <s v=""/>
    <s v=""/>
    <s v="500 ml"/>
    <n v="19"/>
    <n v="3243.3902499999999"/>
    <n v="61624.414750000004"/>
  </r>
  <r>
    <s v="008"/>
    <s v="ALMACEN  GENERAL                                         "/>
    <x v="5"/>
    <x v="5"/>
    <s v="AP000164"/>
    <s v="PAPEL 80X20 PARA ELECTROCARDIOGRAFO MINDRAY MODELO R3"/>
    <s v=""/>
    <s v=""/>
    <s v="006"/>
    <s v="Unidad"/>
    <s v=""/>
    <n v="19"/>
    <n v="5349.9973684210527"/>
    <n v="101649.95"/>
  </r>
  <r>
    <s v="001"/>
    <s v="FARMACIA CENTRAL                                  "/>
    <x v="0"/>
    <x v="0"/>
    <s v="20066836-01"/>
    <s v="BROMURO DE IPRATROPIO 20 mcg / Dosis- Aerosol 200 Dosis"/>
    <s v=""/>
    <s v=""/>
    <s v=""/>
    <s v=""/>
    <s v="200 Puff"/>
    <n v="19"/>
    <n v="8973.6524000000009"/>
    <n v="170499.39559999999"/>
  </r>
  <r>
    <s v="002"/>
    <s v="FARMACIA DE CIRUGIA                               "/>
    <x v="2"/>
    <x v="2"/>
    <s v="XE000009"/>
    <s v="EQUIPO EN.Y.TUR PARA IRRIGACION-CAJA X60"/>
    <s v=""/>
    <s v=""/>
    <s v="006"/>
    <s v="Unidad"/>
    <s v=""/>
    <n v="19"/>
    <n v="20132.750175438599"/>
    <n v="382522.25333333336"/>
  </r>
  <r>
    <s v="008"/>
    <s v="ALMACEN  GENERAL                                         "/>
    <x v="1"/>
    <x v="1"/>
    <s v="AM000181"/>
    <s v="SOPORTE PARA CONTEN.CORTO(GUARDIAN)"/>
    <s v=""/>
    <s v=""/>
    <s v="006"/>
    <s v="Unidad"/>
    <s v=""/>
    <n v="19"/>
    <n v="21717.8"/>
    <n v="412638.2"/>
  </r>
  <r>
    <s v="002"/>
    <s v="FARMACIA DE CIRUGIA                               "/>
    <x v="2"/>
    <x v="2"/>
    <s v="XS000123"/>
    <s v="SUTURA QUIRURGICA MONOFILAMENTE ESTERIL SINTETICO NO ABSORBIBLE 7/0 M8702T BV-1 X2 DOCENAS"/>
    <s v=""/>
    <s v=""/>
    <s v="006"/>
    <s v="Unidad"/>
    <s v=""/>
    <n v="19"/>
    <n v="22391"/>
    <n v="425429"/>
  </r>
  <r>
    <s v="007"/>
    <s v="CONSIGNACIÓN CROSSWELL                         "/>
    <x v="2"/>
    <x v="2"/>
    <s v="XA000112"/>
    <s v="APOSITO PARA HERIDAS MEPILEX BORDER FLEX 10X10 CM REF 595300"/>
    <s v=""/>
    <s v=""/>
    <s v="006"/>
    <s v="Unidad"/>
    <s v=""/>
    <n v="19"/>
    <n v="26442.580645161292"/>
    <n v="502409.03225806449"/>
  </r>
  <r>
    <s v="008"/>
    <s v="ALMACEN  GENERAL                                         "/>
    <x v="10"/>
    <x v="10"/>
    <s v="AD000045"/>
    <s v="CAMISA JEAN MANTENIMIENTO"/>
    <s v=""/>
    <s v=""/>
    <s v="006"/>
    <s v="Unidad"/>
    <s v=""/>
    <n v="19"/>
    <n v="40649.473684210527"/>
    <n v="772340"/>
  </r>
  <r>
    <s v="006"/>
    <s v="ALMACEN MEDICOQUIRURGICOS   "/>
    <x v="2"/>
    <x v="2"/>
    <s v="XJ000009"/>
    <s v="JERINGA DESECHABLE 100ML 3P S/A INYECTOR RX NEMO"/>
    <s v=""/>
    <s v=""/>
    <s v="006"/>
    <s v="Unidad"/>
    <s v=""/>
    <n v="19"/>
    <n v="50605.866129032256"/>
    <n v="961511.45645161299"/>
  </r>
  <r>
    <s v="002"/>
    <s v="FARMACIA DE CIRUGIA                               "/>
    <x v="2"/>
    <x v="2"/>
    <s v="XS000104"/>
    <s v="SUTURA QUIRURGICA ABSORBIBLE VICRYL 6/0 J570G S-14 X1 DOCENA"/>
    <s v=""/>
    <s v=""/>
    <s v="006"/>
    <s v="Unidad"/>
    <s v=""/>
    <n v="19"/>
    <n v="54795.059701492537"/>
    <n v="1041106.1343283582"/>
  </r>
  <r>
    <s v="008"/>
    <s v="ALMACEN  GENERAL                                         "/>
    <x v="1"/>
    <x v="1"/>
    <s v="AM000207"/>
    <s v="MASCARA LARINGEA  REUSABLE  No. 4 y 5"/>
    <s v=""/>
    <s v=""/>
    <s v="006"/>
    <s v="Unidad"/>
    <s v=""/>
    <n v="19"/>
    <n v="76942.326774193556"/>
    <n v="1461904.2087096774"/>
  </r>
  <r>
    <s v="007"/>
    <s v="CONSIGNACIÓN CROSSWELL                         "/>
    <x v="2"/>
    <x v="2"/>
    <s v="XA000102"/>
    <s v="APOSITO PARA HERIDAS MEPILEX BORDER SACRUM 16 X 20 CM REF 282055"/>
    <s v=""/>
    <s v=""/>
    <s v="006"/>
    <s v="Unidad"/>
    <s v=""/>
    <n v="19"/>
    <n v="95230.947368421053"/>
    <n v="1809388"/>
  </r>
  <r>
    <s v="008"/>
    <s v="ALMACEN  GENERAL                                         "/>
    <x v="1"/>
    <x v="1"/>
    <s v="AM000384"/>
    <s v="APOYA BRAZOS PARA SILLA DE RUEDAS X PAR"/>
    <s v=""/>
    <s v=""/>
    <s v="006"/>
    <s v="Unidad"/>
    <s v=""/>
    <n v="19"/>
    <n v="101150"/>
    <n v="1921850"/>
  </r>
  <r>
    <s v="001"/>
    <s v="FARMACIA CENTRAL                                  "/>
    <x v="0"/>
    <x v="0"/>
    <s v="19941418-04"/>
    <s v="METOCLOPRAMIDA CLORHIDRATO 10 mg Tableta"/>
    <s v=""/>
    <s v=""/>
    <s v=""/>
    <s v=""/>
    <s v="10 mg"/>
    <n v="20"/>
    <n v="63.133333333333333"/>
    <n v="1262.6666666666699"/>
  </r>
  <r>
    <s v="005"/>
    <s v="ALMACEN MEDICAMENTOS"/>
    <x v="0"/>
    <x v="0"/>
    <s v="19993835-02"/>
    <s v="SILDENAFIL 50MG TABLETAS"/>
    <s v=""/>
    <s v=""/>
    <s v=""/>
    <s v=""/>
    <s v="50MG"/>
    <n v="20"/>
    <n v="196.57063829787236"/>
    <n v="3931.4127659574501"/>
  </r>
  <r>
    <s v="001"/>
    <s v="FARMACIA CENTRAL                                  "/>
    <x v="3"/>
    <x v="3"/>
    <s v="19948731-5"/>
    <s v="DICLOXACILINA 500 mg Cápsula"/>
    <s v=""/>
    <s v=""/>
    <s v=""/>
    <s v=""/>
    <s v="500 mg"/>
    <n v="20"/>
    <n v="214"/>
    <n v="4280"/>
  </r>
  <r>
    <s v="001"/>
    <s v="FARMACIA CENTRAL                                  "/>
    <x v="0"/>
    <x v="0"/>
    <s v="19942429-02"/>
    <s v="ESPIRONOLACTONA 100 mg Tableta"/>
    <s v=""/>
    <s v=""/>
    <s v=""/>
    <s v=""/>
    <s v="100 mg"/>
    <n v="20"/>
    <n v="365.56"/>
    <n v="7311.2"/>
  </r>
  <r>
    <s v="008"/>
    <s v="ALMACEN  GENERAL                                         "/>
    <x v="5"/>
    <x v="5"/>
    <s v="AP000013"/>
    <s v="BORRADOR NATA"/>
    <s v=""/>
    <s v=""/>
    <s v="006"/>
    <s v="Unidad"/>
    <s v=""/>
    <n v="20"/>
    <n v="412.02"/>
    <n v="8240.4"/>
  </r>
  <r>
    <s v="006"/>
    <s v="ALMACEN MEDICOQUIRURGICOS   "/>
    <x v="2"/>
    <x v="2"/>
    <s v="XD000139"/>
    <s v="SONDA NELATON # 10 (UREATRAL)"/>
    <s v=""/>
    <s v=""/>
    <s v="006"/>
    <s v="Unidad"/>
    <s v=""/>
    <n v="20"/>
    <n v="426.17857142857144"/>
    <n v="8523.5714285714294"/>
  </r>
  <r>
    <s v="005"/>
    <s v="ALMACEN MEDICAMENTOS"/>
    <x v="0"/>
    <x v="0"/>
    <s v="51715-01"/>
    <s v="ACICLOVIR 800 mg Tableta"/>
    <s v=""/>
    <s v=""/>
    <s v=""/>
    <s v=""/>
    <s v="800 mg"/>
    <n v="20"/>
    <n v="536.02531645569616"/>
    <n v="10720.506329113919"/>
  </r>
  <r>
    <s v="001"/>
    <s v="FARMACIA CENTRAL                                  "/>
    <x v="0"/>
    <x v="0"/>
    <s v="19980015-9"/>
    <s v="LEVOTIROXINA SODICA 25 mcg Tableta"/>
    <s v=""/>
    <s v=""/>
    <s v=""/>
    <s v=""/>
    <s v="25 mcg"/>
    <n v="20"/>
    <n v="600"/>
    <n v="12000"/>
  </r>
  <r>
    <s v="005"/>
    <s v="ALMACEN MEDICAMENTOS"/>
    <x v="0"/>
    <x v="0"/>
    <s v="30168-01"/>
    <s v="RIFAMPICINA 300 mg Cápsula"/>
    <s v=""/>
    <s v=""/>
    <s v=""/>
    <s v=""/>
    <s v="300 mg"/>
    <n v="20"/>
    <n v="602.40909090909099"/>
    <n v="12048.18181818182"/>
  </r>
  <r>
    <s v="001"/>
    <s v="FARMACIA CENTRAL                                  "/>
    <x v="0"/>
    <x v="0"/>
    <s v="20005911-02"/>
    <s v="LITIO CARBONATO 300 mg Tableta o Cápsula"/>
    <s v=""/>
    <s v=""/>
    <s v=""/>
    <s v=""/>
    <s v="300 mg"/>
    <n v="20"/>
    <n v="625"/>
    <n v="12500"/>
  </r>
  <r>
    <s v="001"/>
    <s v="FARMACIA CENTRAL                                  "/>
    <x v="0"/>
    <x v="0"/>
    <s v="19961676-01"/>
    <s v="ACETAZOLAMIDA 250mg tableta"/>
    <s v=""/>
    <s v=""/>
    <s v=""/>
    <s v=""/>
    <s v="250 mg"/>
    <n v="20"/>
    <n v="696"/>
    <n v="13920"/>
  </r>
  <r>
    <s v="006"/>
    <s v="ALMACEN MEDICOQUIRURGICOS   "/>
    <x v="2"/>
    <x v="2"/>
    <s v="XD000408"/>
    <s v="TAMPON O.B"/>
    <s v=""/>
    <s v=""/>
    <s v="006"/>
    <s v="Unidad"/>
    <s v=""/>
    <n v="20"/>
    <n v="782.11310344827587"/>
    <n v="15642.26206896552"/>
  </r>
  <r>
    <s v="005"/>
    <s v="ALMACEN MEDICAMENTOS"/>
    <x v="0"/>
    <x v="0"/>
    <s v="19966222-1"/>
    <s v="AZATIOPRINA 50 mg Tableta"/>
    <s v=""/>
    <s v=""/>
    <s v=""/>
    <s v=""/>
    <s v="50 mg"/>
    <n v="20"/>
    <n v="865"/>
    <n v="17300"/>
  </r>
  <r>
    <s v="008"/>
    <s v="ALMACEN  GENERAL                                         "/>
    <x v="5"/>
    <x v="5"/>
    <s v="AP000028"/>
    <s v="CINTA TRANSPARENTE"/>
    <s v=""/>
    <s v=""/>
    <s v="006"/>
    <s v="Unidad"/>
    <s v=""/>
    <n v="20"/>
    <n v="1071.8834999999999"/>
    <n v="21437.67"/>
  </r>
  <r>
    <s v="005"/>
    <s v="ALMACEN MEDICAMENTOS"/>
    <x v="0"/>
    <x v="0"/>
    <s v="19940343-02"/>
    <s v="MESALAZINA 500 mg Tableta de liberación retardada"/>
    <s v=""/>
    <s v=""/>
    <s v=""/>
    <s v=""/>
    <s v="500 mg"/>
    <n v="20"/>
    <n v="1240.4666666666667"/>
    <n v="24809.333333333328"/>
  </r>
  <r>
    <s v="001"/>
    <s v="FARMACIA CENTRAL                                  "/>
    <x v="0"/>
    <x v="0"/>
    <s v="36269-02"/>
    <s v="GEMFIBROZILO 600 mg Tableta"/>
    <s v=""/>
    <s v=""/>
    <s v=""/>
    <s v=""/>
    <s v="600 mg"/>
    <n v="20"/>
    <n v="1300"/>
    <n v="26000"/>
  </r>
  <r>
    <s v="005"/>
    <s v="ALMACEN MEDICAMENTOS"/>
    <x v="0"/>
    <x v="0"/>
    <s v="20061284-01"/>
    <s v="HALOPERIDOL 5 mg / ml Solución Inyectable"/>
    <s v=""/>
    <s v=""/>
    <s v=""/>
    <s v=""/>
    <s v="5 mg"/>
    <n v="20"/>
    <n v="1616.088181818182"/>
    <n v="32321.763636363641"/>
  </r>
  <r>
    <s v="005"/>
    <s v="ALMACEN MEDICAMENTOS"/>
    <x v="3"/>
    <x v="3"/>
    <s v="20145221-2"/>
    <s v="PENICILINA G BENZATINICA 1.200.000 UI Polvo para reconstituir a suspensión inyectable"/>
    <s v=""/>
    <s v=""/>
    <s v=""/>
    <s v=""/>
    <s v="1.200.000 UI"/>
    <n v="20"/>
    <n v="1802"/>
    <n v="36040"/>
  </r>
  <r>
    <s v="058"/>
    <s v="BODEGA SEDE QUIROIGA"/>
    <x v="2"/>
    <x v="2"/>
    <s v="XJ000002"/>
    <s v="CATETERES PERIFERICOS INTRAVENOSOS  INSYTE #20*50"/>
    <s v=""/>
    <s v=""/>
    <s v="006"/>
    <s v="Unidad"/>
    <s v=""/>
    <n v="20"/>
    <n v="2428.3562711864406"/>
    <n v="48567.125423728809"/>
  </r>
  <r>
    <s v="005"/>
    <s v="ALMACEN MEDICAMENTOS"/>
    <x v="0"/>
    <x v="0"/>
    <s v="19978379-1"/>
    <s v="MESALAZINA GRANULOS DE LIBERACION PROLONGADA 1 GR Sobres"/>
    <s v=""/>
    <s v=""/>
    <s v=""/>
    <s v=""/>
    <s v="1 gramo"/>
    <n v="20"/>
    <n v="2550"/>
    <n v="51000"/>
  </r>
  <r>
    <s v="005"/>
    <s v="ALMACEN MEDICAMENTOS"/>
    <x v="0"/>
    <x v="0"/>
    <s v="207347-03"/>
    <s v="MESALAZINA 500 mg Supositorio"/>
    <s v=""/>
    <s v=""/>
    <s v=""/>
    <s v=""/>
    <s v="500 mg"/>
    <n v="20"/>
    <n v="2875"/>
    <n v="57500"/>
  </r>
  <r>
    <s v="005"/>
    <s v="ALMACEN MEDICAMENTOS"/>
    <x v="0"/>
    <x v="0"/>
    <s v="20203819-1"/>
    <s v="TRANEXAMICO ACIDO 500 mg/5 ml Solución Inyectable"/>
    <s v=""/>
    <s v=""/>
    <s v=""/>
    <s v=""/>
    <s v="500 mg / 5 ml"/>
    <n v="20"/>
    <n v="3007"/>
    <n v="60140"/>
  </r>
  <r>
    <s v="005"/>
    <s v="ALMACEN MEDICAMENTOS"/>
    <x v="0"/>
    <x v="0"/>
    <s v="22501-10"/>
    <s v="AGUA ESTERIL PARA INYECCIONN 500 ml"/>
    <s v=""/>
    <s v=""/>
    <s v=""/>
    <s v=""/>
    <s v="500 ml"/>
    <n v="20"/>
    <n v="3243.3902499999999"/>
    <n v="64867.805"/>
  </r>
  <r>
    <s v="006"/>
    <s v="ALMACEN MEDICOQUIRURGICOS   "/>
    <x v="2"/>
    <x v="2"/>
    <s v="XT000041"/>
    <s v="TUBO ENDOTRAQUEAL # 4.0-C/B X1"/>
    <s v=""/>
    <s v=""/>
    <s v="006"/>
    <s v="Unidad"/>
    <s v=""/>
    <n v="20"/>
    <n v="3411.1904761904761"/>
    <n v="68223.809523809527"/>
  </r>
  <r>
    <s v="005"/>
    <s v="ALMACEN MEDICAMENTOS"/>
    <x v="0"/>
    <x v="0"/>
    <s v="1982542-01"/>
    <s v="DICLOFENACO SODICO 1% Gel Tópico "/>
    <s v=""/>
    <s v=""/>
    <s v=""/>
    <s v=""/>
    <s v="1 %"/>
    <n v="20"/>
    <n v="3889.1462962962964"/>
    <n v="77782.925925925927"/>
  </r>
  <r>
    <s v="001"/>
    <s v="FARMACIA CENTRAL                                  "/>
    <x v="0"/>
    <x v="0"/>
    <s v="29523-06"/>
    <s v="SODIO CLORURO 0.9 % Solución Inyectable x 1000 ml"/>
    <s v=""/>
    <s v=""/>
    <s v=""/>
    <s v=""/>
    <s v="0.9 % - 1000 ML"/>
    <n v="20"/>
    <n v="4195.1464687500002"/>
    <n v="83902.929375000007"/>
  </r>
  <r>
    <s v="002"/>
    <s v="FARMACIA DE CIRUGIA                               "/>
    <x v="0"/>
    <x v="0"/>
    <s v="29523-06"/>
    <s v="SODIO CLORURO 0.9 % Solución Inyectable x 1000 ml"/>
    <s v=""/>
    <s v=""/>
    <s v=""/>
    <s v=""/>
    <s v="0.9 % - 1000 ML"/>
    <n v="20"/>
    <n v="4195.1464687500002"/>
    <n v="83902.929375000007"/>
  </r>
  <r>
    <s v="006"/>
    <s v="ALMACEN MEDICOQUIRURGICOS   "/>
    <x v="2"/>
    <x v="2"/>
    <s v="XT000037"/>
    <s v="TUBO DE TORAX # 32 *1 CATETER"/>
    <s v=""/>
    <s v=""/>
    <s v="006"/>
    <s v="Unidad"/>
    <s v=""/>
    <n v="20"/>
    <n v="4259.3705405405408"/>
    <n v="85187.410810810805"/>
  </r>
  <r>
    <s v="002"/>
    <s v="FARMACIA DE CIRUGIA                               "/>
    <x v="2"/>
    <x v="2"/>
    <s v="XT000064"/>
    <s v="TUBO SUCCION DAVOL 3 M.X1/4 D.I.DAVOL(36290)*1"/>
    <s v=""/>
    <s v=""/>
    <s v="006"/>
    <s v="Unidad"/>
    <s v=""/>
    <n v="20"/>
    <n v="4436.8685029940125"/>
    <n v="88737.370059880239"/>
  </r>
  <r>
    <s v="008"/>
    <s v="ALMACEN  GENERAL                                         "/>
    <x v="2"/>
    <x v="2"/>
    <s v="XA000034"/>
    <s v="GASA ADESHIVA  FIXOMULL-10CM X1M STRETCH"/>
    <s v=""/>
    <s v=""/>
    <s v="006"/>
    <s v="Unidad"/>
    <s v=""/>
    <n v="20"/>
    <n v="5041.3560273972607"/>
    <n v="100827.1205479452"/>
  </r>
  <r>
    <s v="001"/>
    <s v="FARMACIA CENTRAL                                  "/>
    <x v="2"/>
    <x v="2"/>
    <s v="XV000011"/>
    <s v="VENDA DE YESO 4P X 5Y-II RAPIDA *1"/>
    <s v=""/>
    <s v=""/>
    <s v="006"/>
    <s v="Unidad"/>
    <s v=""/>
    <n v="20"/>
    <n v="5266.5013636363628"/>
    <n v="105330.02727272728"/>
  </r>
  <r>
    <s v="058"/>
    <s v="BODEGA SEDE QUIROIGA"/>
    <x v="2"/>
    <x v="2"/>
    <s v="XJ000006"/>
    <s v="CATETERES PERIFERICOS INTRAVENOSOS INSYTE #18*50"/>
    <s v=""/>
    <s v=""/>
    <s v="006"/>
    <s v="Unidad"/>
    <s v=""/>
    <n v="20"/>
    <n v="5822.2279354838711"/>
    <n v="116444.55870967743"/>
  </r>
  <r>
    <s v="043"/>
    <s v="BODEGA DE CENTRAL DE MEZCLAS"/>
    <x v="3"/>
    <x v="3"/>
    <s v="20120229-1"/>
    <s v="VANCOMICINA CLORHIDRATO 500 mg Polvo para reconstituir a solución inyectable"/>
    <s v=""/>
    <s v=""/>
    <s v=""/>
    <s v=""/>
    <s v="500 mg"/>
    <n v="20"/>
    <n v="5874.1665745856362"/>
    <n v="117483.33149171271"/>
  </r>
  <r>
    <s v="005"/>
    <s v="ALMACEN MEDICAMENTOS"/>
    <x v="0"/>
    <x v="0"/>
    <s v="20019908-04"/>
    <s v="SACCHAROMYCES BOULARDII 250 mg Càpsula"/>
    <s v=""/>
    <s v=""/>
    <s v=""/>
    <s v=""/>
    <s v="250 mg"/>
    <n v="20"/>
    <n v="6138.7555000000002"/>
    <n v="122775.11"/>
  </r>
  <r>
    <s v="002"/>
    <s v="FARMACIA DE CIRUGIA                               "/>
    <x v="2"/>
    <x v="2"/>
    <s v="XS000114"/>
    <s v="SUTURA QUIRURGICA MONOFILAMENTE ESTERIL SINTETICO NO ABSORBIBLE 2/0 8423T CT-1 X2 DOCENAS"/>
    <s v=""/>
    <s v=""/>
    <s v="006"/>
    <s v="Unidad"/>
    <s v=""/>
    <n v="20"/>
    <n v="8151.5147058823522"/>
    <n v="163030.29411764705"/>
  </r>
  <r>
    <s v="006"/>
    <s v="ALMACEN MEDICOQUIRURGICOS   "/>
    <x v="2"/>
    <x v="2"/>
    <s v="XD000164"/>
    <s v="SONDA FOLEY 18FRX5ML 2VIAS SILICONA 100%"/>
    <s v=""/>
    <s v=""/>
    <s v="006"/>
    <s v="Unidad"/>
    <s v=""/>
    <n v="20"/>
    <n v="8365.636363636364"/>
    <n v="167312.72727272729"/>
  </r>
  <r>
    <s v="008"/>
    <s v="ALMACEN  GENERAL                                         "/>
    <x v="1"/>
    <x v="1"/>
    <s v="AM000352"/>
    <s v="RECIPIENTE 2000 ML  CANISTER"/>
    <s v=""/>
    <s v=""/>
    <s v="006"/>
    <s v="Unidad"/>
    <s v=""/>
    <n v="20"/>
    <n v="10055"/>
    <n v="201100"/>
  </r>
  <r>
    <s v="005"/>
    <s v="ALMACEN MEDICAMENTOS"/>
    <x v="0"/>
    <x v="0"/>
    <s v="20150258-1"/>
    <s v="CLEMASTINA 1 mg / ml Solución inyectable x 2 ml"/>
    <s v=""/>
    <s v=""/>
    <s v=""/>
    <s v=""/>
    <s v="2 mg"/>
    <n v="20"/>
    <n v="10622.596"/>
    <n v="212451.92"/>
  </r>
  <r>
    <s v="005"/>
    <s v="ALMACEN MEDICAMENTOS"/>
    <x v="3"/>
    <x v="3"/>
    <s v="20085484-1"/>
    <s v="MEROPENEM 1 G VIAL POLVO PARA RECONSTITUIR"/>
    <s v=""/>
    <s v=""/>
    <s v=""/>
    <s v=""/>
    <s v="1 g"/>
    <n v="20"/>
    <n v="12681.622916666667"/>
    <n v="253632.45833333331"/>
  </r>
  <r>
    <s v="005"/>
    <s v="ALMACEN MEDICAMENTOS"/>
    <x v="14"/>
    <x v="14"/>
    <s v="140601"/>
    <s v="FRESUBIN HEPA DRINK LIQUIDO BOTELLA 200 ML"/>
    <s v=""/>
    <s v=""/>
    <s v=""/>
    <s v=""/>
    <s v="200 ML"/>
    <n v="20"/>
    <n v="15352.716923076923"/>
    <n v="307054.33846153849"/>
  </r>
  <r>
    <s v="008"/>
    <s v="ALMACEN  GENERAL                                         "/>
    <x v="1"/>
    <x v="1"/>
    <s v="AM000383"/>
    <s v="MANGO DE EMPUJE  PARA SILLA DE RUEDAS"/>
    <s v=""/>
    <s v=""/>
    <s v="006"/>
    <s v="Unidad"/>
    <s v=""/>
    <n v="20"/>
    <n v="16660"/>
    <n v="333200"/>
  </r>
  <r>
    <s v="001"/>
    <s v="FARMACIA CENTRAL                                  "/>
    <x v="4"/>
    <x v="4"/>
    <s v="19914312-12"/>
    <s v="INSULINA GLARGINA 300 UI/ml Solucion Inyectable vialx 3 ml"/>
    <s v=""/>
    <s v=""/>
    <s v=""/>
    <s v=""/>
    <s v="100 UI / ml - 10 ml vial"/>
    <n v="20"/>
    <n v="18429"/>
    <n v="368580"/>
  </r>
  <r>
    <s v="005"/>
    <s v="ALMACEN MEDICAMENTOS"/>
    <x v="0"/>
    <x v="0"/>
    <s v="19960975-01"/>
    <s v="NALOXONA CLORHIDRATO 0.4 mg / 1 ml Solución Inyectable"/>
    <s v=""/>
    <s v=""/>
    <s v=""/>
    <s v=""/>
    <s v="0.4 mg /1 ml"/>
    <n v="20"/>
    <n v="21111.7"/>
    <n v="422234"/>
  </r>
  <r>
    <s v="002"/>
    <s v="FARMACIA DE CIRUGIA                               "/>
    <x v="2"/>
    <x v="2"/>
    <s v="XA000024"/>
    <s v="COTONOIDE RADIOPACO REF.801400 *10 XRAY"/>
    <s v=""/>
    <s v=""/>
    <s v="006"/>
    <s v="Unidad"/>
    <s v=""/>
    <n v="20"/>
    <n v="24672.913978494624"/>
    <n v="493458.2795698925"/>
  </r>
  <r>
    <s v="005"/>
    <s v="ALMACEN MEDICAMENTOS"/>
    <x v="0"/>
    <x v="0"/>
    <s v="20189657-1"/>
    <s v="AZUL DE METILENO 10 mg / ml Solución Inyectable  "/>
    <s v=""/>
    <s v=""/>
    <s v=""/>
    <s v=""/>
    <s v="10 mg"/>
    <n v="20"/>
    <n v="26826.743333333332"/>
    <n v="536534.8666666667"/>
  </r>
  <r>
    <s v="006"/>
    <s v="ALMACEN MEDICOQUIRURGICOS   "/>
    <x v="2"/>
    <x v="2"/>
    <s v="XG000010"/>
    <s v="AGUJA PARA ESTIMULACION NERVIOSA PERIFERICA STIMUPLEX CANULA G-21X100MM REF 4894260"/>
    <s v=""/>
    <s v=""/>
    <s v="006"/>
    <s v="Unidad"/>
    <s v=""/>
    <n v="20"/>
    <n v="35776.850892857146"/>
    <n v="715537.01785714284"/>
  </r>
  <r>
    <s v="005"/>
    <s v="ALMACEN MEDICAMENTOS"/>
    <x v="4"/>
    <x v="4"/>
    <s v="20255064-1"/>
    <s v="POLIMIXINA B 500000 UI"/>
    <s v=""/>
    <s v=""/>
    <s v=""/>
    <s v=""/>
    <s v="500.000 UI"/>
    <n v="20"/>
    <n v="40000"/>
    <n v="800000"/>
  </r>
  <r>
    <s v="002"/>
    <s v="FARMACIA DE CIRUGIA                               "/>
    <x v="2"/>
    <x v="2"/>
    <s v="XD000054"/>
    <s v="FUNDA PARA MICROSCOPIO                  "/>
    <s v=""/>
    <s v=""/>
    <s v="006"/>
    <s v="Unidad"/>
    <s v=""/>
    <n v="20"/>
    <n v="44058.254000000001"/>
    <n v="881165.08"/>
  </r>
  <r>
    <s v="005"/>
    <s v="ALMACEN MEDICAMENTOS"/>
    <x v="4"/>
    <x v="4"/>
    <s v="20099144-02"/>
    <s v="TIGECICLINA 50 mg Polvo para reconstituir a solución inyectable"/>
    <s v=""/>
    <s v=""/>
    <s v=""/>
    <s v=""/>
    <s v="50 mg"/>
    <n v="20"/>
    <n v="48102"/>
    <n v="962040"/>
  </r>
  <r>
    <s v="001"/>
    <s v="FARMACIA CENTRAL                                  "/>
    <x v="2"/>
    <x v="2"/>
    <s v="XA000103"/>
    <s v="APOSITO  MEPILEX  MOLNLYCKE AG 10 X 10 REF 287100"/>
    <s v=""/>
    <s v=""/>
    <s v="006"/>
    <s v="Unidad"/>
    <s v=""/>
    <n v="20"/>
    <n v="53723.454545454544"/>
    <n v="1074469.0909090908"/>
  </r>
  <r>
    <s v="002"/>
    <s v="FARMACIA DE CIRUGIA                               "/>
    <x v="2"/>
    <x v="2"/>
    <s v="XS000092"/>
    <s v="SUTURA NO ABSORBIBLEETHILON 9/0-2813-BV 130-4 (2808) X1 DOCENA"/>
    <s v=""/>
    <s v=""/>
    <s v="006"/>
    <s v="Unidad"/>
    <s v=""/>
    <n v="20"/>
    <n v="62044.190476190473"/>
    <n v="1240883.8095238097"/>
  </r>
  <r>
    <s v="006"/>
    <s v="ALMACEN MEDICOQUIRURGICOS   "/>
    <x v="2"/>
    <x v="2"/>
    <s v="XC000022"/>
    <s v="CATETER VENOSO CENTRAL MONO LUMEN  *5 (04301)"/>
    <s v=""/>
    <s v=""/>
    <s v="006"/>
    <s v="Unidad"/>
    <s v=""/>
    <n v="20"/>
    <n v="78712.004761904755"/>
    <n v="1574240.0952380954"/>
  </r>
  <r>
    <s v="008"/>
    <s v="ALMACEN  GENERAL                                         "/>
    <x v="1"/>
    <x v="1"/>
    <s v="AM000187"/>
    <s v="TRAMPA DE  AGUA PARA MODULOS E-SCAIO DATEX OHMEDA REF M1182629"/>
    <s v=""/>
    <s v=""/>
    <s v="006"/>
    <s v="Unidad"/>
    <s v=""/>
    <n v="20"/>
    <n v="213486.85"/>
    <n v="4269737"/>
  </r>
  <r>
    <s v="052"/>
    <s v="CONSIGNACION LM INSTRUMENS S.A"/>
    <x v="2"/>
    <x v="2"/>
    <s v="XE000018"/>
    <s v="SISTEMA DE DRENAJE TORAXICO TORA SEAL-III "/>
    <s v=""/>
    <s v=""/>
    <s v="006"/>
    <s v="Unidad"/>
    <s v=""/>
    <n v="20"/>
    <n v="298569.47162162163"/>
    <n v="5971389.4324324327"/>
  </r>
  <r>
    <s v="001"/>
    <s v="FARMACIA CENTRAL                                  "/>
    <x v="2"/>
    <x v="2"/>
    <s v="XT000015"/>
    <s v="FILTRO ANTIBACTERIANO NARIZ CAMELLO HYGROBAC ADULTO REF 63-804"/>
    <s v=""/>
    <s v=""/>
    <s v="006"/>
    <s v="Unidad"/>
    <s v=""/>
    <n v="21"/>
    <n v="-7674.6067999999996"/>
    <n v="-161166.74280000001"/>
  </r>
  <r>
    <s v="001"/>
    <s v="FARMACIA CENTRAL                                  "/>
    <x v="3"/>
    <x v="3"/>
    <s v="37619-02"/>
    <s v="ALBENDAZOL 200 mg Tableta"/>
    <s v=""/>
    <s v=""/>
    <s v=""/>
    <s v=""/>
    <s v="200 mg"/>
    <n v="21"/>
    <n v="268.56938775510207"/>
    <n v="5639.9571428571398"/>
  </r>
  <r>
    <s v="001"/>
    <s v="FARMACIA CENTRAL                                  "/>
    <x v="0"/>
    <x v="0"/>
    <s v="225390-05"/>
    <s v="TOPIRAMATO 25 mg Tableta"/>
    <s v=""/>
    <s v=""/>
    <s v=""/>
    <s v=""/>
    <s v="25 mg"/>
    <n v="21"/>
    <n v="453.66857142857145"/>
    <n v="9527.0400000000009"/>
  </r>
  <r>
    <s v="008"/>
    <s v="ALMACEN  GENERAL                                         "/>
    <x v="5"/>
    <x v="5"/>
    <s v="AP000031"/>
    <s v="CLIP WINGO*100(CAJA)"/>
    <s v=""/>
    <s v=""/>
    <s v="006"/>
    <s v="Unidad"/>
    <s v=""/>
    <n v="21"/>
    <n v="879.92619047619041"/>
    <n v="18478.45"/>
  </r>
  <r>
    <s v="006"/>
    <s v="ALMACEN MEDICOQUIRURGICOS   "/>
    <x v="2"/>
    <x v="2"/>
    <s v="XT000074"/>
    <s v="CANULA DE GUEDEL (MAYO) X N.5"/>
    <s v=""/>
    <s v=""/>
    <s v="006"/>
    <s v="Unidad"/>
    <s v=""/>
    <n v="21"/>
    <n v="1061.3860465116279"/>
    <n v="22289.106976744191"/>
  </r>
  <r>
    <s v="002"/>
    <s v="FARMACIA DE CIRUGIA                               "/>
    <x v="2"/>
    <x v="2"/>
    <s v="XV000003"/>
    <s v="VENDA DE ALGODON 5 X 5 *1 LAMINADO"/>
    <s v=""/>
    <s v=""/>
    <s v="006"/>
    <s v="Unidad"/>
    <s v=""/>
    <n v="21"/>
    <n v="1692.1930827067667"/>
    <n v="35536.05473684211"/>
  </r>
  <r>
    <s v="001"/>
    <s v="FARMACIA CENTRAL                                  "/>
    <x v="2"/>
    <x v="2"/>
    <s v="XV000002"/>
    <s v="VENDA DE ALGODON 4 X 5 *1 LAMINADO"/>
    <s v=""/>
    <s v=""/>
    <s v="006"/>
    <s v="Unidad"/>
    <s v=""/>
    <n v="21"/>
    <n v="1697.6609375"/>
    <n v="35650.879687499997"/>
  </r>
  <r>
    <s v="008"/>
    <s v="ALMACEN  GENERAL                                         "/>
    <x v="5"/>
    <x v="5"/>
    <s v="AP000055"/>
    <s v="SEPARADORES PARA FOLDER"/>
    <s v=""/>
    <s v=""/>
    <s v="006"/>
    <s v="Unidad"/>
    <s v=""/>
    <n v="21"/>
    <n v="1929.3933333333332"/>
    <n v="40517.26"/>
  </r>
  <r>
    <s v="001"/>
    <s v="FARMACIA CENTRAL                                  "/>
    <x v="0"/>
    <x v="0"/>
    <s v="19957711-4"/>
    <s v="PANCREATINA+SIMETICONA 170MG/80MG"/>
    <s v=""/>
    <s v=""/>
    <s v=""/>
    <s v=""/>
    <s v="170 MG/80 MG"/>
    <n v="21"/>
    <n v="2588.9595238095235"/>
    <n v="54368.15"/>
  </r>
  <r>
    <s v="001"/>
    <s v="FARMACIA CENTRAL                                  "/>
    <x v="2"/>
    <x v="2"/>
    <s v="XD000107"/>
    <s v="SABANA PARA AMORTAJAR KAMBRAL BLANCO 50G-1.50M X 2.00M X 1"/>
    <s v=""/>
    <s v=""/>
    <s v="006"/>
    <s v="Unidad"/>
    <s v=""/>
    <n v="21"/>
    <n v="3639.3177049180331"/>
    <n v="76425.671803278688"/>
  </r>
  <r>
    <s v="001"/>
    <s v="FARMACIA CENTRAL                                  "/>
    <x v="8"/>
    <x v="8"/>
    <s v="20067147-2"/>
    <s v="RIVAROXABAN 2.5 MG COMPRIMIDOS RECUBIERTOS"/>
    <s v=""/>
    <s v=""/>
    <s v=""/>
    <s v=""/>
    <s v="2.5 mg"/>
    <n v="21"/>
    <n v="4269.5200000000004"/>
    <n v="89659.92"/>
  </r>
  <r>
    <s v="002"/>
    <s v="FARMACIA DE CIRUGIA                               "/>
    <x v="0"/>
    <x v="0"/>
    <s v="20037305-01"/>
    <s v="SUCCINILCOLINA 10 ml Solución inyectable"/>
    <s v=""/>
    <s v=""/>
    <s v=""/>
    <s v=""/>
    <s v="10 ml"/>
    <n v="21"/>
    <n v="7714.5542857142855"/>
    <n v="162005.64000000001"/>
  </r>
  <r>
    <s v="006"/>
    <s v="ALMACEN MEDICOQUIRURGICOS   "/>
    <x v="2"/>
    <x v="2"/>
    <s v="XO000007"/>
    <s v="CABESTRILLO ADULTO (3080) X1 BOLSA 3005"/>
    <s v=""/>
    <s v=""/>
    <s v="006"/>
    <s v="Unidad"/>
    <s v=""/>
    <n v="21"/>
    <n v="9463.0059259259251"/>
    <n v="198723.12444444443"/>
  </r>
  <r>
    <s v="001"/>
    <s v="FARMACIA CENTRAL                                  "/>
    <x v="2"/>
    <x v="2"/>
    <s v="XA000039"/>
    <s v="PELICULA TRANSPARENTE  FIXOMULL 10X15"/>
    <s v=""/>
    <s v=""/>
    <s v="006"/>
    <s v="Unidad"/>
    <s v=""/>
    <n v="21"/>
    <n v="10692.271420345489"/>
    <n v="224537.69982725527"/>
  </r>
  <r>
    <s v="001"/>
    <s v="FARMACIA CENTRAL                                  "/>
    <x v="14"/>
    <x v="14"/>
    <s v="150101"/>
    <s v="ENSURE CLINICAL LIQUIDO BOTELLA 220 ML"/>
    <s v=""/>
    <s v=""/>
    <s v=""/>
    <s v=""/>
    <s v="220 ML"/>
    <n v="21"/>
    <n v="12324.562702702702"/>
    <n v="258815.81675675677"/>
  </r>
  <r>
    <s v="008"/>
    <s v="ALMACEN  GENERAL                                         "/>
    <x v="7"/>
    <x v="7"/>
    <s v="AA000159"/>
    <s v="INSECTICIDA RAID"/>
    <s v=""/>
    <s v=""/>
    <s v="006"/>
    <s v="Unidad"/>
    <s v=""/>
    <n v="21"/>
    <n v="13300"/>
    <n v="279300"/>
  </r>
  <r>
    <s v="001"/>
    <s v="FARMACIA CENTRAL                                  "/>
    <x v="4"/>
    <x v="4"/>
    <s v="22542-09"/>
    <s v="IOHEXOL 300 mg de Iodo Solución inyectable x 100 ml- OMNIPAQUE 300"/>
    <s v=""/>
    <s v=""/>
    <s v=""/>
    <s v=""/>
    <s v="300MG-100ML"/>
    <n v="21"/>
    <n v="92812.845025641014"/>
    <n v="1949069.7455384615"/>
  </r>
  <r>
    <s v="006"/>
    <s v="ALMACEN MEDICOQUIRURGICOS   "/>
    <x v="2"/>
    <x v="2"/>
    <s v="XT000031"/>
    <s v="SISTEMA VENTILACIÓN BITRAC FULLFACE REF:3139010"/>
    <s v=""/>
    <s v=""/>
    <s v="006"/>
    <s v="Unidad"/>
    <s v=""/>
    <n v="21"/>
    <n v="147133.30192307694"/>
    <n v="3089799.3403846156"/>
  </r>
  <r>
    <s v="001"/>
    <s v="FARMACIA CENTRAL                                  "/>
    <x v="0"/>
    <x v="0"/>
    <s v="44569-25"/>
    <s v="ENALAPRIL MALEATO 20 mg Tableta"/>
    <s v=""/>
    <s v=""/>
    <s v=""/>
    <s v=""/>
    <s v="20 mg"/>
    <n v="22"/>
    <n v="33.910454545454542"/>
    <n v="746.03"/>
  </r>
  <r>
    <s v="002"/>
    <s v="FARMACIA DE CIRUGIA                               "/>
    <x v="0"/>
    <x v="0"/>
    <s v="19922562-10"/>
    <s v="DIPIRONA 1 g / 2 ml Solución inyectable"/>
    <s v=""/>
    <s v=""/>
    <s v=""/>
    <s v=""/>
    <s v="1 g "/>
    <n v="22"/>
    <n v="709.34430088495583"/>
    <n v="15605.574619469029"/>
  </r>
  <r>
    <s v="001"/>
    <s v="FARMACIA CENTRAL                                  "/>
    <x v="2"/>
    <x v="2"/>
    <s v="XJ000014"/>
    <s v="JERINGA DESECHABLE 50ML-C/A-3 PARTES X 100"/>
    <s v=""/>
    <s v=""/>
    <s v="006"/>
    <s v="Unidad"/>
    <s v=""/>
    <n v="22"/>
    <n v="1323.9450549450551"/>
    <n v="29126.791208791208"/>
  </r>
  <r>
    <s v="002"/>
    <s v="FARMACIA DE CIRUGIA                               "/>
    <x v="2"/>
    <x v="2"/>
    <s v="XV000017"/>
    <s v="VENDA ELASTICA 5 X 5 *1 UNIDAD"/>
    <s v=""/>
    <s v=""/>
    <s v="006"/>
    <s v="Unidad"/>
    <s v=""/>
    <n v="22"/>
    <n v="2172.9377586206897"/>
    <n v="47804.630689655169"/>
  </r>
  <r>
    <s v="001"/>
    <s v="FARMACIA CENTRAL                                  "/>
    <x v="4"/>
    <x v="4"/>
    <s v="20073367-3"/>
    <s v="EMPAGLIFLOZINA 10 MG TABLETA"/>
    <s v=""/>
    <s v=""/>
    <s v=""/>
    <s v=""/>
    <s v="10 MG"/>
    <n v="22"/>
    <n v="3685.6808928571427"/>
    <n v="81084.979642857143"/>
  </r>
  <r>
    <s v="001"/>
    <s v="FARMACIA CENTRAL                                  "/>
    <x v="4"/>
    <x v="4"/>
    <s v="20023511-03"/>
    <s v="LINAGLIPTINA 5MG TABLETAS RECUBIERTOS"/>
    <s v=""/>
    <s v=""/>
    <s v=""/>
    <s v=""/>
    <s v="5MG"/>
    <n v="22"/>
    <n v="4385.3731707317074"/>
    <n v="96478.209756097567"/>
  </r>
  <r>
    <s v="006"/>
    <s v="ALMACEN MEDICOQUIRURGICOS   "/>
    <x v="2"/>
    <x v="2"/>
    <s v="XT000018"/>
    <s v="HUMIDIFICADOR PARA OXIGENO  DESECHABLE(3230)BURBUJA X1 HUDSON"/>
    <s v=""/>
    <s v=""/>
    <s v="006"/>
    <s v="Unidad"/>
    <s v=""/>
    <n v="22"/>
    <n v="5686.5397999999996"/>
    <n v="125103.8756"/>
  </r>
  <r>
    <s v="001"/>
    <s v="FARMACIA CENTRAL                                  "/>
    <x v="0"/>
    <x v="0"/>
    <s v="20052492-02"/>
    <s v="POLIESTIRENO SULFONATO DE CALCIO 15 g Polvo para suspensión oral"/>
    <s v=""/>
    <s v=""/>
    <s v=""/>
    <s v=""/>
    <s v="15 g"/>
    <n v="22"/>
    <n v="5985.3670588235291"/>
    <n v="131678.07529411765"/>
  </r>
  <r>
    <s v="008"/>
    <s v="ALMACEN  GENERAL                                         "/>
    <x v="1"/>
    <x v="1"/>
    <s v="AM000312"/>
    <s v="COJIN INFLABLE PARA PACIENTE"/>
    <s v=""/>
    <s v=""/>
    <s v="006"/>
    <s v="Unidad"/>
    <s v=""/>
    <n v="22"/>
    <n v="6803.7681818181818"/>
    <n v="149682.9"/>
  </r>
  <r>
    <s v="006"/>
    <s v="ALMACEN MEDICOQUIRURGICOS   "/>
    <x v="2"/>
    <x v="2"/>
    <s v="XS000087"/>
    <s v="SUTURA DE POLIESTERETHIBOND 2/0(B411H-CT1)B411H X3 DOCENAS"/>
    <s v=""/>
    <s v=""/>
    <s v="006"/>
    <s v="Unidad"/>
    <s v=""/>
    <n v="22"/>
    <n v="7002"/>
    <n v="154044"/>
  </r>
  <r>
    <s v="001"/>
    <s v="FARMACIA CENTRAL                                  "/>
    <x v="2"/>
    <x v="2"/>
    <s v="XE000031"/>
    <s v="SET CONECTOR DE EXTENCION MICROCLAVE"/>
    <s v=""/>
    <s v=""/>
    <s v="006"/>
    <s v="Unidad"/>
    <s v=""/>
    <n v="22"/>
    <n v="9295.0561538461534"/>
    <n v="204491.23538461537"/>
  </r>
  <r>
    <s v="002"/>
    <s v="FARMACIA DE CIRUGIA                               "/>
    <x v="2"/>
    <x v="2"/>
    <s v="XS000132"/>
    <s v="SUTURA QUIRURGICA NO ABSORBIBLE SEDA PERMAHAND 2/0 623H KS X3 DOCENAS"/>
    <s v=""/>
    <s v=""/>
    <s v="006"/>
    <s v="Unidad"/>
    <s v=""/>
    <n v="22"/>
    <n v="10464.536519337018"/>
    <n v="230219.80342541437"/>
  </r>
  <r>
    <s v="002"/>
    <s v="FARMACIA DE CIRUGIA                               "/>
    <x v="2"/>
    <x v="2"/>
    <s v="XS000100"/>
    <s v="SUTURA QUIRURGICA ABSORBIBLE VICRYL 3/0 J311H SH-1 X3 DOCENAS X70CM"/>
    <s v=""/>
    <s v=""/>
    <s v="006"/>
    <s v="Unidad"/>
    <s v=""/>
    <n v="22"/>
    <n v="12353.265681818182"/>
    <n v="271771.84499999997"/>
  </r>
  <r>
    <s v="002"/>
    <s v="FARMACIA DE CIRUGIA                               "/>
    <x v="2"/>
    <x v="2"/>
    <s v="XS000096"/>
    <s v="SUTURA QUIRURGICA ABSORBIBLE VICRYL 1 J335H CT-2 X3 DOCENAS"/>
    <s v=""/>
    <s v=""/>
    <s v="006"/>
    <s v="Unidad"/>
    <s v=""/>
    <n v="22"/>
    <n v="12691.384705882354"/>
    <n v="279210.46352941176"/>
  </r>
  <r>
    <s v="008"/>
    <s v="ALMACEN  GENERAL                                         "/>
    <x v="7"/>
    <x v="7"/>
    <s v="AA000121"/>
    <s v="QUIRUGER PLUS X 1000 CC REF QP1000"/>
    <s v=""/>
    <s v=""/>
    <s v="006"/>
    <s v="Unidad"/>
    <s v=""/>
    <n v="22"/>
    <n v="15518.727272727274"/>
    <n v="341412"/>
  </r>
  <r>
    <s v="002"/>
    <s v="FARMACIA DE CIRUGIA                               "/>
    <x v="2"/>
    <x v="2"/>
    <s v="XS000128"/>
    <s v="SUTURA QUIRURGICA MONOFILAMENTE ESTERIL SINTETICO NO ABSORBIBLE6/0(1397T E11)P8697TP1 X2 DOCENAS"/>
    <s v=""/>
    <s v=""/>
    <s v="006"/>
    <s v="Unidad"/>
    <s v=""/>
    <n v="22"/>
    <n v="16054.317027027026"/>
    <n v="353194.97459459462"/>
  </r>
  <r>
    <s v="008"/>
    <s v="ALMACEN  GENERAL                                         "/>
    <x v="5"/>
    <x v="5"/>
    <s v="AP000087"/>
    <s v="RESMA PAPEL TAMA¤O OFICIO"/>
    <s v=""/>
    <s v=""/>
    <s v="006"/>
    <s v="Unidad"/>
    <s v=""/>
    <n v="22"/>
    <n v="22189.966818181816"/>
    <n v="488179.27"/>
  </r>
  <r>
    <s v="001"/>
    <s v="FARMACIA CENTRAL                                  "/>
    <x v="2"/>
    <x v="2"/>
    <s v="XE000005"/>
    <s v="EQUIPO BOMBA FOTOSENSIBLE REF. 14007"/>
    <s v=""/>
    <s v=""/>
    <s v="006"/>
    <s v="Unidad"/>
    <s v=""/>
    <n v="22"/>
    <n v="26231.993161764709"/>
    <n v="577103.84955882351"/>
  </r>
  <r>
    <s v="005"/>
    <s v="ALMACEN MEDICAMENTOS"/>
    <x v="0"/>
    <x v="0"/>
    <s v="20032988-01"/>
    <s v="NITROPRUSIATO DE SODIO 50 mg/2ml Solución Inyectable"/>
    <s v=""/>
    <s v=""/>
    <s v=""/>
    <s v=""/>
    <s v="50 MG / 2 ML"/>
    <n v="22"/>
    <n v="35252.121212121208"/>
    <n v="775546.66666666674"/>
  </r>
  <r>
    <s v="006"/>
    <s v="ALMACEN MEDICOQUIRURGICOS   "/>
    <x v="2"/>
    <x v="2"/>
    <s v="XT000094"/>
    <s v="CIRCUITO PARA VENTILADOR ZOLL REF 820-0106-00"/>
    <s v=""/>
    <s v=""/>
    <s v="006"/>
    <s v="Unidad"/>
    <s v=""/>
    <n v="22"/>
    <n v="133108.87142857144"/>
    <n v="2928395.1714285715"/>
  </r>
  <r>
    <s v="002"/>
    <s v="FARMACIA DE CIRUGIA                               "/>
    <x v="2"/>
    <x v="2"/>
    <s v="XD000288"/>
    <s v="CUCHILLA OSEA SHAVER 3.5-5.5 07205305-07"/>
    <s v=""/>
    <s v=""/>
    <s v="006"/>
    <s v="Unidad"/>
    <s v=""/>
    <n v="22"/>
    <n v="418415.25090909092"/>
    <n v="9205135.5199999996"/>
  </r>
  <r>
    <s v="001"/>
    <s v="FARMACIA CENTRAL                                  "/>
    <x v="0"/>
    <x v="0"/>
    <s v="19979472-6"/>
    <s v="OLANZAPINA 5 mg Tableta"/>
    <s v=""/>
    <s v=""/>
    <s v=""/>
    <s v=""/>
    <s v="5 mg"/>
    <n v="23"/>
    <n v="175"/>
    <n v="4025"/>
  </r>
  <r>
    <s v="001"/>
    <s v="FARMACIA CENTRAL                                  "/>
    <x v="0"/>
    <x v="0"/>
    <s v="20038991-2"/>
    <s v="DULOXETINA 30 mg Cápsula"/>
    <s v=""/>
    <s v=""/>
    <s v=""/>
    <s v=""/>
    <s v="30 mg"/>
    <n v="23"/>
    <n v="1072.5608695652174"/>
    <n v="24668.9"/>
  </r>
  <r>
    <s v="008"/>
    <s v="ALMACEN  GENERAL                                         "/>
    <x v="5"/>
    <x v="5"/>
    <s v="AP000017"/>
    <s v="CARPETAS COLGANTES PLASTIFICADAS"/>
    <s v=""/>
    <s v=""/>
    <s v="006"/>
    <s v="Unidad"/>
    <s v=""/>
    <n v="23"/>
    <n v="3451.7826086956525"/>
    <n v="79391"/>
  </r>
  <r>
    <s v="002"/>
    <s v="FARMACIA DE CIRUGIA                               "/>
    <x v="2"/>
    <x v="2"/>
    <s v="XS000112"/>
    <s v="SUTURA QUIRURGICA MONOFILAMENTE ESTERIL SINTETICO NO ABSORBIBLE 0 75CM 8412T X 2 DOCENAS"/>
    <s v=""/>
    <s v=""/>
    <s v="006"/>
    <s v="Unidad"/>
    <s v=""/>
    <n v="23"/>
    <n v="4788.1826086956526"/>
    <n v="110128.2"/>
  </r>
  <r>
    <s v="008"/>
    <s v="ALMACEN  GENERAL                                         "/>
    <x v="1"/>
    <x v="1"/>
    <s v="AM000235"/>
    <s v="PAPEL PARA IMPRIMR STERIS V REF 93914-204"/>
    <s v=""/>
    <s v=""/>
    <s v="006"/>
    <s v="Unidad"/>
    <s v=""/>
    <n v="23"/>
    <n v="29258.117391304349"/>
    <n v="672936.7"/>
  </r>
  <r>
    <s v="006"/>
    <s v="ALMACEN MEDICOQUIRURGICOS   "/>
    <x v="2"/>
    <x v="2"/>
    <s v="XA000078"/>
    <s v="EXTRACTO ACUOSO DE TRITICUM VULGARE 15 %  FITOSTIMOLINE CREMA X 32 GRAMOS"/>
    <s v=""/>
    <s v=""/>
    <s v="006"/>
    <s v="Unidad"/>
    <s v=""/>
    <n v="23"/>
    <n v="31856.218620689655"/>
    <n v="732693.0282758621"/>
  </r>
  <r>
    <s v="002"/>
    <s v="FARMACIA DE CIRUGIA                               "/>
    <x v="2"/>
    <x v="2"/>
    <s v="XS000118"/>
    <s v="SUTURA QUIRURGICA MONOFILAMENTE ESTERIL SINTETICO NO ABSORBIBLE 3/0(1363T E24)P8663TPS X2 DOCENAS SP5663"/>
    <s v=""/>
    <s v=""/>
    <s v="006"/>
    <s v="Unidad"/>
    <s v=""/>
    <n v="23"/>
    <n v="52417.890967741943"/>
    <n v="1205611.4922580644"/>
  </r>
  <r>
    <s v="001"/>
    <s v="FARMACIA CENTRAL                                  "/>
    <x v="0"/>
    <x v="0"/>
    <s v="30168-01"/>
    <s v="RIFAMPICINA 300 mg Cápsula"/>
    <s v=""/>
    <s v=""/>
    <s v=""/>
    <s v=""/>
    <s v="300 mg"/>
    <n v="24"/>
    <n v="602.40909090909099"/>
    <n v="14457.81818181818"/>
  </r>
  <r>
    <s v="002"/>
    <s v="FARMACIA DE CIRUGIA                               "/>
    <x v="2"/>
    <x v="2"/>
    <s v="XT000002"/>
    <s v="CANULA DE GUEDEL (MAYO) N. 3 X 1"/>
    <s v=""/>
    <s v=""/>
    <s v="006"/>
    <s v="Unidad"/>
    <s v=""/>
    <n v="24"/>
    <n v="1874.4585185185185"/>
    <n v="44987.004444444443"/>
  </r>
  <r>
    <s v="001"/>
    <s v="FARMACIA CENTRAL                                  "/>
    <x v="0"/>
    <x v="0"/>
    <s v="19969143-01"/>
    <s v="PROPAFENONA CLORHIDRATO 150mg"/>
    <s v=""/>
    <s v=""/>
    <s v=""/>
    <s v=""/>
    <s v="150 mg"/>
    <n v="24"/>
    <n v="1955"/>
    <n v="46920"/>
  </r>
  <r>
    <s v="002"/>
    <s v="FARMACIA DE CIRUGIA                               "/>
    <x v="3"/>
    <x v="3"/>
    <s v="20036512-02"/>
    <s v="AMPICILINA + SULBACTAM Polvo para reconstituir a solución inyectable  1.5 g"/>
    <s v=""/>
    <s v=""/>
    <s v=""/>
    <s v=""/>
    <s v="1,5 g"/>
    <n v="24"/>
    <n v="2155.6857786885244"/>
    <n v="51736.458688524588"/>
  </r>
  <r>
    <s v="006"/>
    <s v="ALMACEN MEDICOQUIRURGICOS   "/>
    <x v="2"/>
    <x v="2"/>
    <s v="XD000132"/>
    <s v="SONDA FOLEY 22 X30ML-3 VIAS *1"/>
    <s v=""/>
    <s v=""/>
    <s v="006"/>
    <s v="Unidad"/>
    <s v=""/>
    <n v="24"/>
    <n v="3045.0532142857146"/>
    <n v="73081.277142857143"/>
  </r>
  <r>
    <s v="001"/>
    <s v="FARMACIA CENTRAL                                  "/>
    <x v="2"/>
    <x v="2"/>
    <s v="XD000090"/>
    <s v="PANAL DESECHABLE INDIVIDUAL ADULTO "/>
    <s v=""/>
    <s v=""/>
    <s v="006"/>
    <s v="Unidad"/>
    <s v=""/>
    <n v="24"/>
    <n v="3504.0364035087719"/>
    <n v="84096.873684210528"/>
  </r>
  <r>
    <s v="006"/>
    <s v="ALMACEN MEDICOQUIRURGICOS   "/>
    <x v="2"/>
    <x v="2"/>
    <s v="XS000126"/>
    <s v="SUTURA QUIRURGICA MONOFILAMENTE ESTERIL SINTETICO NO ABSORBIBLE4/0(1382T E19)P8682TPS2 X2 DOCENAS"/>
    <s v=""/>
    <s v=""/>
    <s v="006"/>
    <s v="Unidad"/>
    <s v=""/>
    <n v="24"/>
    <n v="3711.88375"/>
    <n v="89085.21"/>
  </r>
  <r>
    <s v="006"/>
    <s v="ALMACEN MEDICOQUIRURGICOS   "/>
    <x v="2"/>
    <x v="2"/>
    <s v="XT000039"/>
    <s v="TUBO DE TORAX # 36 *1 CATETER"/>
    <s v=""/>
    <s v=""/>
    <s v="006"/>
    <s v="Unidad"/>
    <s v=""/>
    <n v="24"/>
    <n v="4398.5443333333333"/>
    <n v="105565.064"/>
  </r>
  <r>
    <s v="006"/>
    <s v="ALMACEN MEDICOQUIRURGICOS   "/>
    <x v="2"/>
    <x v="2"/>
    <s v="XS000111"/>
    <s v="SUTURA QUIRURGICA MONOFILAMENTE ESTERIL SINTETICO NO ABSORBIBLE REF O CT-1 8424"/>
    <s v=""/>
    <s v=""/>
    <s v="006"/>
    <s v="Unidad"/>
    <s v=""/>
    <n v="24"/>
    <n v="4553.4851515151513"/>
    <n v="109283.64363636365"/>
  </r>
  <r>
    <s v="002"/>
    <s v="FARMACIA DE CIRUGIA                               "/>
    <x v="2"/>
    <x v="2"/>
    <s v="XV000011"/>
    <s v="VENDA DE YESO 4P X 5Y-II RAPIDA *1"/>
    <s v=""/>
    <s v=""/>
    <s v="006"/>
    <s v="Unidad"/>
    <s v=""/>
    <n v="24"/>
    <n v="5266.5013636363628"/>
    <n v="126396.03272727272"/>
  </r>
  <r>
    <s v="006"/>
    <s v="ALMACEN MEDICOQUIRURGICOS   "/>
    <x v="2"/>
    <x v="2"/>
    <s v="XS000133"/>
    <s v="SUTURA QUIRURGICA NO ABSORBIBLE SEDA PERMAHAND 2/0 K833H SH X3 DOCENAS"/>
    <s v=""/>
    <s v=""/>
    <s v="006"/>
    <s v="Unidad"/>
    <s v=""/>
    <n v="24"/>
    <n v="5912"/>
    <n v="141888"/>
  </r>
  <r>
    <s v="006"/>
    <s v="ALMACEN MEDICOQUIRURGICOS   "/>
    <x v="2"/>
    <x v="2"/>
    <s v="XS000074"/>
    <s v="SUTURA DE COLAGENO CROMADO CROMADO 1 925T CT-1 X2 DOCENAS"/>
    <s v=""/>
    <s v=""/>
    <s v="006"/>
    <s v="Unidad"/>
    <s v=""/>
    <n v="24"/>
    <n v="6398.5135135135142"/>
    <n v="153564.32432432432"/>
  </r>
  <r>
    <s v="006"/>
    <s v="ALMACEN MEDICOQUIRURGICOS   "/>
    <x v="2"/>
    <x v="2"/>
    <s v="XS000116"/>
    <s v="SUTURA QUIRURGICA MONOFILAMENTE ESTERIL SINTETICO NO ABSORBIBLE 2/0-CT2 (8411T) X2 DOCENAS"/>
    <s v=""/>
    <s v=""/>
    <s v="006"/>
    <s v="Unidad"/>
    <s v=""/>
    <n v="24"/>
    <n v="7053.9473684210525"/>
    <n v="169294.73684210525"/>
  </r>
  <r>
    <s v="006"/>
    <s v="ALMACEN MEDICOQUIRURGICOS   "/>
    <x v="2"/>
    <x v="2"/>
    <s v="XS000138"/>
    <s v="SUTURA QUIRURGICA NO ABSORBIBLE SEDA PERMAHAND 3/0SSP53TS/A(SA84T) X3 DOCENAS"/>
    <s v=""/>
    <s v=""/>
    <s v="006"/>
    <s v="Unidad"/>
    <s v=""/>
    <n v="24"/>
    <n v="7120.3655555555551"/>
    <n v="170888.77333333332"/>
  </r>
  <r>
    <s v="002"/>
    <s v="FARMACIA DE CIRUGIA                               "/>
    <x v="0"/>
    <x v="0"/>
    <s v="20007502-5"/>
    <s v="PROPOFOL 1% Emulsión inyectable 20 ml"/>
    <s v=""/>
    <s v=""/>
    <s v=""/>
    <s v=""/>
    <s v="200mg/20ml"/>
    <n v="24"/>
    <n v="7500.3418181818188"/>
    <n v="180008.20363636364"/>
  </r>
  <r>
    <s v="006"/>
    <s v="ALMACEN MEDICOQUIRURGICOS   "/>
    <x v="2"/>
    <x v="2"/>
    <s v="XD000441"/>
    <s v="MANTA TERMICA DE EMERGENCIA DESECHABLE"/>
    <s v=""/>
    <s v=""/>
    <s v="006"/>
    <s v="Unidad"/>
    <s v=""/>
    <n v="24"/>
    <n v="8010.6979411764705"/>
    <n v="192256.75058823527"/>
  </r>
  <r>
    <s v="002"/>
    <s v="FARMACIA DE CIRUGIA                               "/>
    <x v="2"/>
    <x v="2"/>
    <s v="XS000135"/>
    <s v="SUTURA QUIRURGICA NO ABSORBIBLE SEDA PERMAHAND 3/0 622H KS X3 DOCENAS"/>
    <s v=""/>
    <s v=""/>
    <s v="006"/>
    <s v="Unidad"/>
    <s v=""/>
    <n v="24"/>
    <n v="8908.5088372093014"/>
    <n v="213804.21209302329"/>
  </r>
  <r>
    <s v="006"/>
    <s v="ALMACEN MEDICOQUIRURGICOS   "/>
    <x v="2"/>
    <x v="2"/>
    <s v="XS000095"/>
    <s v="SUTURA QUIRURGICA ABSORBIBLE VICRYL 0 J346H CT-1 -REF 924"/>
    <s v=""/>
    <s v=""/>
    <s v="006"/>
    <s v="Unidad"/>
    <s v=""/>
    <n v="24"/>
    <n v="8998.1188888888901"/>
    <n v="215954.85333333333"/>
  </r>
  <r>
    <s v="006"/>
    <s v="ALMACEN MEDICOQUIRURGICOS   "/>
    <x v="2"/>
    <x v="2"/>
    <s v="XS000099"/>
    <s v="SUTURA QUIRURGICA ABSORBIBLE VICRYL 2/0 J345H CT-1 X3 DOCENAS"/>
    <s v=""/>
    <s v=""/>
    <s v="006"/>
    <s v="Unidad"/>
    <s v=""/>
    <n v="24"/>
    <n v="9973.8160465116289"/>
    <n v="239371.58511627908"/>
  </r>
  <r>
    <s v="048"/>
    <s v="CONSIGNACION FRIDEN"/>
    <x v="2"/>
    <x v="2"/>
    <s v="XS000006"/>
    <s v="CINTA UMBILICAL ALGODON U10T X2 DOCENAS"/>
    <s v=""/>
    <s v=""/>
    <s v="006"/>
    <s v="Unidad"/>
    <s v=""/>
    <n v="24"/>
    <n v="10030.552222222221"/>
    <n v="240733.25333333333"/>
  </r>
  <r>
    <s v="002"/>
    <s v="FARMACIA DE CIRUGIA                               "/>
    <x v="2"/>
    <x v="2"/>
    <s v="XD000094"/>
    <s v="PIN DE FIJACION EXTERNA CLAVO DE KIRSCHNER 0,8"/>
    <s v=""/>
    <s v=""/>
    <s v="006"/>
    <s v="Unidad"/>
    <s v=""/>
    <n v="24"/>
    <n v="11246.598666666669"/>
    <n v="269918.36800000002"/>
  </r>
  <r>
    <s v="048"/>
    <s v="CONSIGNACION FRIDEN"/>
    <x v="2"/>
    <x v="2"/>
    <s v="XS000093"/>
    <s v="SUTURA QUIRURGICA ABSORBIBLE  VICRYL 0 J318H SH -REF 812"/>
    <s v=""/>
    <s v=""/>
    <s v="006"/>
    <s v="Unidad"/>
    <s v=""/>
    <n v="24"/>
    <n v="12324.101428571428"/>
    <n v="295778.43428571429"/>
  </r>
  <r>
    <s v="005"/>
    <s v="ALMACEN MEDICAMENTOS"/>
    <x v="14"/>
    <x v="14"/>
    <s v="130106"/>
    <s v="ALIMENTO OLIGOMERICO HIPERCALORICO VITAL 1.5 KCAL 220 ML"/>
    <s v=""/>
    <s v=""/>
    <s v=""/>
    <s v=""/>
    <s v="220 ML"/>
    <n v="24"/>
    <n v="14169.398064516128"/>
    <n v="340065.55354838714"/>
  </r>
  <r>
    <s v="001"/>
    <s v="FARMACIA CENTRAL                                  "/>
    <x v="8"/>
    <x v="8"/>
    <s v="19960641-01"/>
    <s v="HEPARINA DE BAJO PESO MOLECULAR 60 mg /0.6 ml Solución inyactable"/>
    <s v=""/>
    <s v=""/>
    <s v=""/>
    <s v=""/>
    <s v="60 mg /0.6 ml"/>
    <n v="24"/>
    <n v="14382.528333333334"/>
    <n v="345180.68"/>
  </r>
  <r>
    <s v="005"/>
    <s v="ALMACEN MEDICAMENTOS"/>
    <x v="0"/>
    <x v="0"/>
    <s v="20055559-02"/>
    <s v="LACTATO DE RINGER Solucion de  Irrigacion Bolsa 3000 mL"/>
    <s v=""/>
    <s v=""/>
    <s v=""/>
    <s v=""/>
    <s v="3000 ml"/>
    <n v="24"/>
    <n v="20000.333333333332"/>
    <n v="480008"/>
  </r>
  <r>
    <s v="008"/>
    <s v="ALMACEN  GENERAL                                         "/>
    <x v="10"/>
    <x v="10"/>
    <s v="AD000044"/>
    <s v="PANTALON JEAN MANTENIMIENTO"/>
    <s v=""/>
    <s v=""/>
    <s v="006"/>
    <s v="Unidad"/>
    <s v=""/>
    <n v="24"/>
    <n v="42181.124999999993"/>
    <n v="1012347"/>
  </r>
  <r>
    <s v="006"/>
    <s v="ALMACEN MEDICOQUIRURGICOS   "/>
    <x v="2"/>
    <x v="2"/>
    <s v="XS000039"/>
    <s v="POLIDIOXANONA SUTURA (CON/SIN AGUJA) PDS II 3/0 REF. Z316 SH X 3 DOCENAS"/>
    <s v=""/>
    <s v=""/>
    <s v="006"/>
    <s v="Unidad"/>
    <s v=""/>
    <n v="24"/>
    <n v="42941.869189189187"/>
    <n v="1030604.8605405404"/>
  </r>
  <r>
    <s v="008"/>
    <s v="ALMACEN  GENERAL                                         "/>
    <x v="1"/>
    <x v="1"/>
    <s v="AM000295"/>
    <s v="PRUEBAS SUPER  RAPIDO  VAPOR 3M REF 41482VF CAJA X 24"/>
    <s v=""/>
    <s v=""/>
    <s v="006"/>
    <s v="Unidad"/>
    <s v=""/>
    <n v="24"/>
    <n v="72631.75"/>
    <n v="1743162"/>
  </r>
  <r>
    <s v="008"/>
    <s v="ALMACEN  GENERAL                                         "/>
    <x v="1"/>
    <x v="1"/>
    <s v="AM000215"/>
    <s v="OXIDO DE ETILENO CAPSULA REF. 4-100"/>
    <s v=""/>
    <s v=""/>
    <s v="006"/>
    <s v="Unidad"/>
    <s v=""/>
    <n v="24"/>
    <n v="128299.16666666667"/>
    <n v="3079180"/>
  </r>
  <r>
    <s v="007"/>
    <s v="CONSIGNACIÓN CROSSWELL                         "/>
    <x v="2"/>
    <x v="2"/>
    <s v="XA000100"/>
    <s v="APOSITO PARA HERIDAS MEPILEX BORDER SACRUM 22 X 25 CM REF 282455"/>
    <s v=""/>
    <s v=""/>
    <s v="006"/>
    <s v="Unidad"/>
    <s v=""/>
    <n v="24"/>
    <n v="131177.4588372093"/>
    <n v="3148259.0120930234"/>
  </r>
  <r>
    <s v="058"/>
    <s v="BODEGA SEDE QUIROIGA"/>
    <x v="2"/>
    <x v="2"/>
    <s v="XE000014"/>
    <s v="EXTENSION DE ANESTESIA-ARCO473P CAJA X100 EA"/>
    <s v=""/>
    <s v=""/>
    <s v="006"/>
    <s v="Unidad"/>
    <s v=""/>
    <n v="25"/>
    <n v="789.38775295663606"/>
    <n v="19734.693823915899"/>
  </r>
  <r>
    <s v="006"/>
    <s v="ALMACEN MEDICOQUIRURGICOS   "/>
    <x v="2"/>
    <x v="2"/>
    <s v="XD000146"/>
    <s v="SONDA NELATON # 8 (UREATRAL)*1"/>
    <s v=""/>
    <s v=""/>
    <s v="006"/>
    <s v="Unidad"/>
    <s v=""/>
    <n v="25"/>
    <n v="923.2431578947369"/>
    <n v="23081.07894736842"/>
  </r>
  <r>
    <s v="001"/>
    <s v="FARMACIA CENTRAL                                  "/>
    <x v="0"/>
    <x v="0"/>
    <s v="19901852-2"/>
    <s v="TELMISARTAN 80MG TABLETAS"/>
    <s v=""/>
    <s v=""/>
    <s v=""/>
    <s v=""/>
    <s v="80MG"/>
    <n v="25"/>
    <n v="964"/>
    <n v="24100"/>
  </r>
  <r>
    <s v="001"/>
    <s v="FARMACIA CENTRAL                                  "/>
    <x v="2"/>
    <x v="2"/>
    <s v="XT000003"/>
    <s v="CANULA NASAL OXIGENO+ADAPTADOR+EXTENSION"/>
    <s v=""/>
    <s v=""/>
    <s v="006"/>
    <s v="Unidad"/>
    <s v=""/>
    <n v="25"/>
    <n v="1195.9290592334494"/>
    <n v="29898.226480836242"/>
  </r>
  <r>
    <s v="001"/>
    <s v="FARMACIA CENTRAL                                  "/>
    <x v="3"/>
    <x v="3"/>
    <s v="19938260-02"/>
    <s v="METRONIDAZOL u ORNIDAZOL 500 mg / 100 ml Solución Inyectable"/>
    <s v=""/>
    <s v=""/>
    <s v=""/>
    <s v=""/>
    <s v="500 mg / 100 ml"/>
    <n v="25"/>
    <n v="2625.7853225806452"/>
    <n v="65644.633064516136"/>
  </r>
  <r>
    <s v="002"/>
    <s v="FARMACIA DE CIRUGIA                               "/>
    <x v="0"/>
    <x v="0"/>
    <s v="29523-05"/>
    <s v="SODIO CLORURO 0.9 % Solución Inyectable Bolsa 500 ml"/>
    <s v=""/>
    <s v=""/>
    <s v=""/>
    <s v=""/>
    <s v="0.9 % - 500 ML"/>
    <n v="25"/>
    <n v="2635.2512459283389"/>
    <n v="65881.281148208465"/>
  </r>
  <r>
    <s v="001"/>
    <s v="FARMACIA CENTRAL                                  "/>
    <x v="2"/>
    <x v="2"/>
    <s v="XV000016"/>
    <s v="VENDA ELASTICA 4 X 5 *1 UNIDAD"/>
    <s v=""/>
    <s v=""/>
    <s v="006"/>
    <s v="Unidad"/>
    <s v=""/>
    <n v="25"/>
    <n v="2641.6159235668792"/>
    <n v="66040.398089171969"/>
  </r>
  <r>
    <s v="001"/>
    <s v="FARMACIA CENTRAL                                  "/>
    <x v="8"/>
    <x v="8"/>
    <s v="20158642-2"/>
    <s v="RIVAROXABAN 20 mg Comprimidos Recubiertos"/>
    <s v=""/>
    <s v=""/>
    <s v=""/>
    <s v=""/>
    <s v="20 mg"/>
    <n v="25"/>
    <n v="3137.4807272727271"/>
    <n v="78437.018181818174"/>
  </r>
  <r>
    <s v="006"/>
    <s v="ALMACEN MEDICOQUIRURGICOS   "/>
    <x v="2"/>
    <x v="2"/>
    <s v="XV000009"/>
    <s v="VENDA DE GASA 6 X 5 *1 UNIDAD"/>
    <s v=""/>
    <s v=""/>
    <s v="006"/>
    <s v="Unidad"/>
    <s v=""/>
    <n v="25"/>
    <n v="4369.3103448275861"/>
    <n v="109232.75862068967"/>
  </r>
  <r>
    <s v="005"/>
    <s v="ALMACEN MEDICAMENTOS"/>
    <x v="0"/>
    <x v="0"/>
    <s v="19940454-01"/>
    <s v="ACETILCISTEINA 300 mg / 3 ml Solución inyectable"/>
    <s v=""/>
    <s v=""/>
    <s v=""/>
    <s v=""/>
    <s v="300 mg / 3ml"/>
    <n v="25"/>
    <n v="5391.8858064516126"/>
    <n v="134797.14516129033"/>
  </r>
  <r>
    <s v="052"/>
    <s v="CONSIGNACION LM INSTRUMENS S.A"/>
    <x v="2"/>
    <x v="2"/>
    <s v="XG000023"/>
    <s v="AGUJA ESPINAL SPINOCAN  G-26 X 3-1/2 X88MM X25U"/>
    <s v=""/>
    <s v=""/>
    <s v="006"/>
    <s v="Unidad"/>
    <s v=""/>
    <n v="25"/>
    <n v="5565.0769863013702"/>
    <n v="139126.92465753423"/>
  </r>
  <r>
    <s v="006"/>
    <s v="ALMACEN MEDICOQUIRURGICOS   "/>
    <x v="2"/>
    <x v="2"/>
    <s v="XG000022"/>
    <s v="AGUJA ESPINAL SPINOCAN  G-25 X 3-1/2 X88MM X25U"/>
    <s v=""/>
    <s v=""/>
    <s v="006"/>
    <s v="Unidad"/>
    <s v=""/>
    <n v="25"/>
    <n v="6317.9467326732674"/>
    <n v="157948.66831683167"/>
  </r>
  <r>
    <s v="006"/>
    <s v="ALMACEN MEDICOQUIRURGICOS   "/>
    <x v="2"/>
    <x v="2"/>
    <s v="XT000019"/>
    <s v="INCENTIVO RESPIRATORIO R.1750 X 1 SET"/>
    <s v=""/>
    <s v=""/>
    <s v="006"/>
    <s v="Unidad"/>
    <s v=""/>
    <n v="25"/>
    <n v="6438.768"/>
    <n v="160969.20000000001"/>
  </r>
  <r>
    <s v="002"/>
    <s v="FARMACIA DE CIRUGIA                               "/>
    <x v="2"/>
    <x v="2"/>
    <s v="XS000121"/>
    <s v="SUTURA QUIRURGICA MONOFILAMENTE ESTERIL SINTETICO NO ABSORBIBLE 5/0(1386T E19)P8686TPS2 X2 DOCENAS"/>
    <s v=""/>
    <s v=""/>
    <s v="006"/>
    <s v="Unidad"/>
    <s v=""/>
    <n v="25"/>
    <n v="7309.142045454546"/>
    <n v="182728.55113636365"/>
  </r>
  <r>
    <s v="005"/>
    <s v="ALMACEN MEDICAMENTOS"/>
    <x v="0"/>
    <x v="0"/>
    <s v="20121570-2"/>
    <s v="HIERRO PARENTERAL 100 mg / 5 ml Solución Inyectable"/>
    <s v=""/>
    <s v=""/>
    <s v=""/>
    <s v=""/>
    <s v="100 mg / 5 ml"/>
    <n v="25"/>
    <n v="8215"/>
    <n v="205375"/>
  </r>
  <r>
    <s v="002"/>
    <s v="FARMACIA DE CIRUGIA                               "/>
    <x v="2"/>
    <x v="2"/>
    <s v="XS000078"/>
    <s v="SUTURA DE COLAGENO CROMADO CROMADO 3/0 G122T SH X2 DOCENAS"/>
    <s v=""/>
    <s v=""/>
    <s v="006"/>
    <s v="Unidad"/>
    <s v=""/>
    <n v="25"/>
    <n v="8536.0252"/>
    <n v="213400.63"/>
  </r>
  <r>
    <s v="052"/>
    <s v="CONSIGNACION LM INSTRUMENS S.A"/>
    <x v="2"/>
    <x v="2"/>
    <s v="XG000010"/>
    <s v="AGUJA PARA ESTIMULACION NERVIOSA PERIFERICA STIMUPLEX CANULA G-21X100MM REF 4894260"/>
    <s v=""/>
    <s v=""/>
    <s v="006"/>
    <s v="Unidad"/>
    <s v=""/>
    <n v="25"/>
    <n v="35776.850892857146"/>
    <n v="894421.27232142864"/>
  </r>
  <r>
    <s v="002"/>
    <s v="FARMACIA DE CIRUGIA                               "/>
    <x v="2"/>
    <x v="2"/>
    <s v="XT000017"/>
    <s v="GUIA PARA INTUBACION X1 ESTILETE TUBO ENDOTRAQUE"/>
    <s v=""/>
    <s v=""/>
    <s v="006"/>
    <s v="Unidad"/>
    <s v=""/>
    <n v="26"/>
    <n v="-58082.704199999993"/>
    <n v="-1510150.3092"/>
  </r>
  <r>
    <s v="001"/>
    <s v="FARMACIA CENTRAL                                  "/>
    <x v="0"/>
    <x v="0"/>
    <s v="20044615-01"/>
    <s v="CALCIO CARBONATO+ VITAMINA D3 600mg + 200 UI Tableta"/>
    <s v=""/>
    <s v=""/>
    <s v=""/>
    <s v=""/>
    <s v="600mg+200UI"/>
    <n v="26"/>
    <n v="199.90476190476193"/>
    <n v="5197.5238095238101"/>
  </r>
  <r>
    <s v="002"/>
    <s v="FARMACIA DE CIRUGIA                               "/>
    <x v="2"/>
    <x v="2"/>
    <s v="XS000076"/>
    <s v="SUTURA DE COLAGENO CROMADO CROMADO 2/0 G123T SH X2 DOCENAS"/>
    <s v=""/>
    <s v=""/>
    <s v="006"/>
    <s v="Unidad"/>
    <s v=""/>
    <n v="26"/>
    <n v="9360.9473684210516"/>
    <n v="243384.63157894736"/>
  </r>
  <r>
    <s v="002"/>
    <s v="FARMACIA DE CIRUGIA                               "/>
    <x v="2"/>
    <x v="2"/>
    <s v="XS000113"/>
    <s v="SUTURA QUIRURGICA MONOFILAMENTE ESTERIL SINTETICO NO ABSORBIBLE 2/0 8185T SC-26 45CM X 2 DOCENAS"/>
    <s v=""/>
    <s v=""/>
    <s v="006"/>
    <s v="Unidad"/>
    <s v=""/>
    <n v="26"/>
    <n v="11583.361842105262"/>
    <n v="301167.40789473685"/>
  </r>
  <r>
    <s v="005"/>
    <s v="ALMACEN MEDICAMENTOS"/>
    <x v="0"/>
    <x v="0"/>
    <s v="50476-13"/>
    <s v="POLIETILENGLICOL + ELECTROLITOS 110.1 g Polvo para reconstituir a solución oral"/>
    <s v=""/>
    <s v=""/>
    <s v=""/>
    <s v=""/>
    <s v="110-1 g"/>
    <n v="26"/>
    <n v="13745.000454545452"/>
    <n v="357370.01181818184"/>
  </r>
  <r>
    <s v="006"/>
    <s v="ALMACEN MEDICOQUIRURGICOS   "/>
    <x v="2"/>
    <x v="2"/>
    <s v="XD000039"/>
    <s v="DRENES DE PENROSE UNIDAD-TODO TAMANO *12"/>
    <s v=""/>
    <s v=""/>
    <s v="006"/>
    <s v="Unidad"/>
    <s v=""/>
    <n v="26"/>
    <n v="17528.672285714285"/>
    <n v="455745.47942857142"/>
  </r>
  <r>
    <s v="002"/>
    <s v="FARMACIA DE CIRUGIA                               "/>
    <x v="2"/>
    <x v="2"/>
    <s v="XG000021"/>
    <s v="AGUJA ESPINAL SPINOCAN  G-22 X 3-1/2 X88MM X25U"/>
    <s v=""/>
    <s v=""/>
    <s v="006"/>
    <s v="Unidad"/>
    <s v=""/>
    <n v="26"/>
    <n v="20041.854637681161"/>
    <n v="521088.22057971015"/>
  </r>
  <r>
    <s v="002"/>
    <s v="FARMACIA DE CIRUGIA                               "/>
    <x v="2"/>
    <x v="2"/>
    <s v="XS000127"/>
    <s v="SUTURA QUIRURGICA MONOFILAMENTE ESTERIL SINTETICO NO ABSORBIBLE6/0 8726T C-1 X2 DOCENAS"/>
    <s v=""/>
    <s v=""/>
    <s v="006"/>
    <s v="Unidad"/>
    <s v=""/>
    <n v="26"/>
    <n v="23344.931034482757"/>
    <n v="606968.20689655165"/>
  </r>
  <r>
    <s v="006"/>
    <s v="ALMACEN MEDICOQUIRURGICOS   "/>
    <x v="2"/>
    <x v="2"/>
    <s v="XS000127"/>
    <s v="SUTURA QUIRURGICA MONOFILAMENTE ESTERIL SINTETICO NO ABSORBIBLE6/0 8726T C-1 X2 DOCENAS"/>
    <s v=""/>
    <s v=""/>
    <s v="006"/>
    <s v="Unidad"/>
    <s v=""/>
    <n v="26"/>
    <n v="23344.931034482757"/>
    <n v="606968.20689655165"/>
  </r>
  <r>
    <s v="058"/>
    <s v="BODEGA SEDE QUIROIGA"/>
    <x v="0"/>
    <x v="0"/>
    <s v="49611-01"/>
    <s v="BARIO SULFATO 4.97440 G/100 ML SUSPENSION ORAL BOTELLA X 225"/>
    <s v=""/>
    <s v=""/>
    <s v=""/>
    <s v=""/>
    <s v="225 ML"/>
    <n v="26"/>
    <n v="60455.142857142855"/>
    <n v="1571833.7142857143"/>
  </r>
  <r>
    <s v="008"/>
    <s v="ALMACEN  GENERAL                                         "/>
    <x v="10"/>
    <x v="10"/>
    <s v="AD000027"/>
    <s v="BOTA DIELECTRICA CON PUNTERA NEGRA"/>
    <s v=""/>
    <s v=""/>
    <s v="006"/>
    <s v="Unidad"/>
    <s v=""/>
    <n v="26"/>
    <n v="63021.538461538461"/>
    <n v="1638560"/>
  </r>
  <r>
    <s v="006"/>
    <s v="ALMACEN MEDICOQUIRURGICOS   "/>
    <x v="2"/>
    <x v="2"/>
    <s v="XD000336"/>
    <s v="BOLSA DE DRENAJE PARA NEFROSTOMIA REF MDD600"/>
    <s v=""/>
    <s v=""/>
    <s v="006"/>
    <s v="Unidad"/>
    <s v=""/>
    <n v="26"/>
    <n v="76377.713793103452"/>
    <n v="1985820.5586206897"/>
  </r>
  <r>
    <s v="008"/>
    <s v="ALMACEN  GENERAL                                         "/>
    <x v="12"/>
    <x v="12"/>
    <s v="AR000044"/>
    <s v="CORTINA ANTIFLUIDO EN TEXTILIA"/>
    <s v=""/>
    <s v=""/>
    <s v="006"/>
    <s v="Unidad"/>
    <s v=""/>
    <n v="26"/>
    <n v="184744.53538461539"/>
    <n v="4803357.92"/>
  </r>
  <r>
    <s v="001"/>
    <s v="FARMACIA CENTRAL                                  "/>
    <x v="0"/>
    <x v="0"/>
    <s v="19993835-02"/>
    <s v="SILDENAFIL 50MG TABLETAS"/>
    <s v=""/>
    <s v=""/>
    <s v=""/>
    <s v=""/>
    <s v="50MG"/>
    <n v="27"/>
    <n v="196.57063829787236"/>
    <n v="5307.40723404255"/>
  </r>
  <r>
    <s v="001"/>
    <s v="FARMACIA CENTRAL                                  "/>
    <x v="3"/>
    <x v="3"/>
    <s v="56152-02"/>
    <s v="TRIMETOPRIM SULFAMETOXAZOL 160 + 800 mg Tableta"/>
    <s v=""/>
    <s v=""/>
    <s v=""/>
    <s v=""/>
    <s v="160 mg + 800 mg"/>
    <n v="27"/>
    <n v="500.56888888888892"/>
    <n v="13515.36"/>
  </r>
  <r>
    <s v="002"/>
    <s v="FARMACIA DE CIRUGIA                               "/>
    <x v="0"/>
    <x v="0"/>
    <s v="19997625-07"/>
    <s v="DEXAMETASONA 8 mg /2 ml solucion inyectable"/>
    <s v=""/>
    <s v=""/>
    <s v=""/>
    <s v=""/>
    <s v="8 mg "/>
    <n v="27"/>
    <n v="542.98709677419356"/>
    <n v="14660.65161290323"/>
  </r>
  <r>
    <s v="059"/>
    <s v="BODEGA CUARENTENA"/>
    <x v="6"/>
    <x v="6"/>
    <s v="13874-02"/>
    <s v="ALPRAZOLAM 0.25 mg Tableta"/>
    <s v=""/>
    <s v=""/>
    <s v=""/>
    <s v=""/>
    <s v="0,25 mg"/>
    <n v="27"/>
    <n v="1482.4945652173913"/>
    <n v="40027.353260869568"/>
  </r>
  <r>
    <s v="005"/>
    <s v="ALMACEN MEDICAMENTOS"/>
    <x v="0"/>
    <x v="0"/>
    <s v="35578-02"/>
    <s v="AGUA OXIGENADA 4% Solución Tópica 120 ML"/>
    <s v=""/>
    <s v=""/>
    <s v=""/>
    <s v=""/>
    <s v="4% - 120 ML"/>
    <n v="27"/>
    <n v="3469.0848148148148"/>
    <n v="93665.29"/>
  </r>
  <r>
    <s v="001"/>
    <s v="FARMACIA CENTRAL                                  "/>
    <x v="2"/>
    <x v="2"/>
    <s v="XV000013"/>
    <s v="VENDA DE YESO 6P.X 5Y-II RAPIDA *1"/>
    <s v=""/>
    <s v=""/>
    <s v="006"/>
    <s v="Unidad"/>
    <s v=""/>
    <n v="27"/>
    <n v="4557.2305263157896"/>
    <n v="123045.22421052631"/>
  </r>
  <r>
    <s v="002"/>
    <s v="FARMACIA DE CIRUGIA                               "/>
    <x v="2"/>
    <x v="2"/>
    <s v="XD000097"/>
    <s v="PIN DE FIJACION EXTERNA CLAVO KIRSCHNER 1,8"/>
    <s v=""/>
    <s v=""/>
    <s v="006"/>
    <s v="Unidad"/>
    <s v=""/>
    <n v="27"/>
    <n v="11945.122727272726"/>
    <n v="322518.31363636366"/>
  </r>
  <r>
    <s v="001"/>
    <s v="FARMACIA CENTRAL                                  "/>
    <x v="0"/>
    <x v="0"/>
    <s v="38292-01"/>
    <s v="INSULINA CRISTALINA 100 UI / ml Solución Inyectable vial 10 ml"/>
    <s v=""/>
    <s v=""/>
    <s v=""/>
    <s v=""/>
    <s v="100 UI / ml - 10 ml"/>
    <n v="27"/>
    <n v="12907.139259259258"/>
    <n v="348492.76"/>
  </r>
  <r>
    <s v="001"/>
    <s v="FARMACIA CENTRAL                                  "/>
    <x v="4"/>
    <x v="4"/>
    <s v="224030-06"/>
    <s v="INSULINA LISPRO 100 UI /ml Solucin Inyectable Pen 3ml"/>
    <s v=""/>
    <s v=""/>
    <s v=""/>
    <s v=""/>
    <s v="100 UI/mL"/>
    <n v="27"/>
    <n v="21585.304074074076"/>
    <n v="582803.21"/>
  </r>
  <r>
    <s v="002"/>
    <s v="FARMACIA DE CIRUGIA                               "/>
    <x v="0"/>
    <x v="0"/>
    <s v="39007-02"/>
    <s v="BUPIVACAINA+ EPINEFRINA 0.05 g / 10ml Solución Inyectable"/>
    <s v=""/>
    <s v=""/>
    <s v=""/>
    <s v=""/>
    <s v="0.05 g / 10 ml"/>
    <n v="27"/>
    <n v="23075.342133333332"/>
    <n v="623034.23759999999"/>
  </r>
  <r>
    <s v="001"/>
    <s v="FARMACIA CENTRAL                                  "/>
    <x v="0"/>
    <x v="0"/>
    <s v="37892-04"/>
    <s v="VERAPAMILO CLORHIDRATO 80 mg Tableta "/>
    <s v=""/>
    <s v=""/>
    <s v=""/>
    <s v=""/>
    <s v="80 mg"/>
    <n v="28"/>
    <n v="85.42285714285714"/>
    <n v="2391.84"/>
  </r>
  <r>
    <s v="001"/>
    <s v="FARMACIA CENTRAL                                  "/>
    <x v="0"/>
    <x v="0"/>
    <s v="19996536-1"/>
    <s v="HIOSCINA BUTIL BROMURO 10 mg tableta"/>
    <s v=""/>
    <s v=""/>
    <s v=""/>
    <s v=""/>
    <s v="10 mg"/>
    <n v="28"/>
    <n v="123"/>
    <n v="3444"/>
  </r>
  <r>
    <s v="008"/>
    <s v="ALMACEN  GENERAL                                         "/>
    <x v="5"/>
    <x v="5"/>
    <s v="AP000058"/>
    <s v="LAPICES NEGROS"/>
    <s v=""/>
    <s v=""/>
    <s v="006"/>
    <s v="Unidad"/>
    <s v=""/>
    <n v="28"/>
    <n v="219.89857142857142"/>
    <n v="6157.16"/>
  </r>
  <r>
    <s v="005"/>
    <s v="ALMACEN MEDICAMENTOS"/>
    <x v="0"/>
    <x v="0"/>
    <s v="19965195-03"/>
    <s v="VALSARTAN 80 mg Tableta"/>
    <s v=""/>
    <s v=""/>
    <s v=""/>
    <s v=""/>
    <s v="80 mg"/>
    <n v="28"/>
    <n v="243.40824074074072"/>
    <n v="6815.4307407407396"/>
  </r>
  <r>
    <s v="005"/>
    <s v="ALMACEN MEDICAMENTOS"/>
    <x v="0"/>
    <x v="0"/>
    <s v="20014721-01"/>
    <s v="ESCITALOPRAM 10 mg Tableta"/>
    <s v=""/>
    <s v=""/>
    <s v=""/>
    <s v=""/>
    <s v="10 mg"/>
    <n v="28"/>
    <n v="254.95909090909092"/>
    <n v="7138.8545454545501"/>
  </r>
  <r>
    <s v="005"/>
    <s v="ALMACEN MEDICAMENTOS"/>
    <x v="3"/>
    <x v="3"/>
    <s v="37619-02"/>
    <s v="ALBENDAZOL 200 mg Tableta"/>
    <s v=""/>
    <s v=""/>
    <s v=""/>
    <s v=""/>
    <s v="200 mg"/>
    <n v="28"/>
    <n v="268.56938775510207"/>
    <n v="7519.9428571428598"/>
  </r>
  <r>
    <s v="001"/>
    <s v="FARMACIA CENTRAL                                  "/>
    <x v="0"/>
    <x v="0"/>
    <s v="1980397-01"/>
    <s v="LEVODOPA + CARBIDOPA 250 mg + 25 mg Tableta"/>
    <s v=""/>
    <s v=""/>
    <s v=""/>
    <s v=""/>
    <s v="250 mg + 25 mg"/>
    <n v="28"/>
    <n v="322.72741379310344"/>
    <n v="9036.3675862068994"/>
  </r>
  <r>
    <s v="005"/>
    <s v="ALMACEN MEDICAMENTOS"/>
    <x v="0"/>
    <x v="0"/>
    <s v="225390-05"/>
    <s v="TOPIRAMATO 25 mg Tableta"/>
    <s v=""/>
    <s v=""/>
    <s v=""/>
    <s v=""/>
    <s v="25 mg"/>
    <n v="28"/>
    <n v="453.66857142857145"/>
    <n v="12702.72"/>
  </r>
  <r>
    <s v="001"/>
    <s v="FARMACIA CENTRAL                                  "/>
    <x v="0"/>
    <x v="0"/>
    <s v="19970681-01"/>
    <s v="CLINDAMICINA 300 mg Cápsula "/>
    <s v=""/>
    <s v=""/>
    <s v=""/>
    <s v=""/>
    <s v="300 mg"/>
    <n v="28"/>
    <n v="632.06947368421061"/>
    <n v="17697.94526315789"/>
  </r>
  <r>
    <s v="002"/>
    <s v="FARMACIA DE CIRUGIA                               "/>
    <x v="2"/>
    <x v="2"/>
    <s v="XA000016"/>
    <s v="APOSITOS PEQUEÑOS ESTERILES *5"/>
    <s v=""/>
    <s v=""/>
    <s v="006"/>
    <s v="Unidad"/>
    <s v=""/>
    <n v="28"/>
    <n v="1096.6616541353383"/>
    <n v="30706.52631578947"/>
  </r>
  <r>
    <s v="002"/>
    <s v="FARMACIA DE CIRUGIA                               "/>
    <x v="2"/>
    <x v="2"/>
    <s v="XD000063"/>
    <s v="GUANTE QUIRURGICO ESTERIL T-8.5 *1 PAR "/>
    <s v=""/>
    <s v=""/>
    <s v="006"/>
    <s v="Unidad"/>
    <s v=""/>
    <n v="28"/>
    <n v="1959.4821739130434"/>
    <n v="54865.500869565221"/>
  </r>
  <r>
    <s v="005"/>
    <s v="ALMACEN MEDICAMENTOS"/>
    <x v="0"/>
    <x v="0"/>
    <s v="19975048-01"/>
    <s v="SITAGLIPTINA 100MG TABLETAS"/>
    <s v=""/>
    <s v=""/>
    <s v=""/>
    <s v=""/>
    <s v="100MG"/>
    <n v="28"/>
    <n v="3398.8602777777778"/>
    <n v="95168.087777777779"/>
  </r>
  <r>
    <s v="001"/>
    <s v="FARMACIA CENTRAL                                  "/>
    <x v="0"/>
    <x v="0"/>
    <s v="20055559-9"/>
    <s v="LACTATO RINGER Solucion Inyectable frasco 500 mL"/>
    <s v=""/>
    <s v=""/>
    <s v=""/>
    <s v=""/>
    <s v="500 ml"/>
    <n v="28"/>
    <n v="3509.6314285714284"/>
    <n v="98269.68"/>
  </r>
  <r>
    <s v="001"/>
    <s v="FARMACIA CENTRAL                                  "/>
    <x v="2"/>
    <x v="2"/>
    <s v="XT000018"/>
    <s v="HUMIDIFICADOR PARA OXIGENO  DESECHABLE(3230)BURBUJA X1 HUDSON"/>
    <s v=""/>
    <s v=""/>
    <s v="006"/>
    <s v="Unidad"/>
    <s v=""/>
    <n v="28"/>
    <n v="5686.5397999999996"/>
    <n v="159223.11439999999"/>
  </r>
  <r>
    <s v="005"/>
    <s v="ALMACEN MEDICAMENTOS"/>
    <x v="0"/>
    <x v="0"/>
    <s v="20149724-1"/>
    <s v="METOPROLOL 5 mg / 5ml Solución Inyectable"/>
    <s v=""/>
    <s v=""/>
    <s v=""/>
    <s v=""/>
    <s v="5 mg / 5ml"/>
    <n v="28"/>
    <n v="12500"/>
    <n v="350000"/>
  </r>
  <r>
    <s v="006"/>
    <s v="ALMACEN MEDICOQUIRURGICOS   "/>
    <x v="2"/>
    <x v="2"/>
    <s v="XT000013"/>
    <s v="CIRCUITO ADULTO VENTILADOR X1 SET COMPLETO 1617"/>
    <s v=""/>
    <s v=""/>
    <s v="006"/>
    <s v="Unidad"/>
    <s v=""/>
    <n v="28"/>
    <n v="19967.312499999996"/>
    <n v="559084.75"/>
  </r>
  <r>
    <s v="008"/>
    <s v="ALMACEN  GENERAL                                         "/>
    <x v="10"/>
    <x v="10"/>
    <s v="AD000026"/>
    <s v="OVEROL DOTACION "/>
    <s v=""/>
    <s v=""/>
    <s v="006"/>
    <s v="Unidad"/>
    <s v=""/>
    <n v="28"/>
    <n v="73903.53571428571"/>
    <n v="2069299"/>
  </r>
  <r>
    <s v="058"/>
    <s v="BODEGA SEDE QUIROIGA"/>
    <x v="4"/>
    <x v="4"/>
    <s v="22542-09"/>
    <s v="IOHEXOL 300 mg de Iodo Solución inyectable x 100 ml- OMNIPAQUE 300"/>
    <s v=""/>
    <s v=""/>
    <s v=""/>
    <s v=""/>
    <s v="300MG-100ML"/>
    <n v="28"/>
    <n v="92812.845025641014"/>
    <n v="2598759.6607179488"/>
  </r>
  <r>
    <s v="006"/>
    <s v="ALMACEN MEDICOQUIRURGICOS   "/>
    <x v="2"/>
    <x v="2"/>
    <s v="XD000279"/>
    <s v="STENT URETERAL  FR 22-32 CM(DOBLE J) REF POLARIS ULTRA REF 192132"/>
    <s v=""/>
    <s v=""/>
    <s v="006"/>
    <s v="Unidad"/>
    <s v=""/>
    <n v="28"/>
    <n v="162485.03093749998"/>
    <n v="4549580.86625"/>
  </r>
  <r>
    <s v="001"/>
    <s v="FARMACIA CENTRAL                                  "/>
    <x v="0"/>
    <x v="0"/>
    <s v="19992435-7"/>
    <s v="CETIRIZINA 10 mg Tableta"/>
    <s v=""/>
    <s v=""/>
    <s v=""/>
    <s v=""/>
    <s v="10 mg"/>
    <n v="29"/>
    <n v="43"/>
    <n v="1247"/>
  </r>
  <r>
    <s v="001"/>
    <s v="FARMACIA CENTRAL                                  "/>
    <x v="0"/>
    <x v="0"/>
    <s v="19941742-05"/>
    <s v="TRAZODONA CLORHIDRATO 50 mg Tableta"/>
    <s v=""/>
    <s v=""/>
    <s v=""/>
    <s v=""/>
    <s v="50 mg"/>
    <n v="29"/>
    <n v="109"/>
    <n v="3161"/>
  </r>
  <r>
    <s v="001"/>
    <s v="FARMACIA CENTRAL                                  "/>
    <x v="0"/>
    <x v="0"/>
    <s v="35662-05"/>
    <s v="ACIDO FOLICO 1 mg Tableta"/>
    <s v=""/>
    <s v=""/>
    <s v=""/>
    <s v=""/>
    <s v="1 mg"/>
    <n v="29"/>
    <n v="120.24711425206125"/>
    <n v="3487.16631330978"/>
  </r>
  <r>
    <s v="001"/>
    <s v="FARMACIA CENTRAL                                  "/>
    <x v="0"/>
    <x v="0"/>
    <s v="37897-04"/>
    <s v="VERAPAMILO CLORHIDRATO 120 mg Tableta"/>
    <s v=""/>
    <s v=""/>
    <s v=""/>
    <s v=""/>
    <s v="120 mg"/>
    <n v="29"/>
    <n v="195.17241379310346"/>
    <n v="5660"/>
  </r>
  <r>
    <s v="008"/>
    <s v="ALMACEN  GENERAL                                         "/>
    <x v="1"/>
    <x v="1"/>
    <s v="AM000076"/>
    <s v="SILICONA BARRA  5/16&quot;X10&quot;"/>
    <s v=""/>
    <s v=""/>
    <s v="006"/>
    <s v="Unidad"/>
    <s v=""/>
    <n v="29"/>
    <n v="1346.6379310344828"/>
    <n v="39052.5"/>
  </r>
  <r>
    <s v="005"/>
    <s v="ALMACEN MEDICAMENTOS"/>
    <x v="0"/>
    <x v="0"/>
    <s v="19924520-04"/>
    <s v="TRAMADOL CLORHIDRATO 100 mg/ml Solución Oral 10 ML"/>
    <s v=""/>
    <s v=""/>
    <s v=""/>
    <s v=""/>
    <s v="100 mg/ml - 10 ML"/>
    <n v="29"/>
    <n v="2158.6129032258063"/>
    <n v="62599.774193548386"/>
  </r>
  <r>
    <s v="002"/>
    <s v="FARMACIA DE CIRUGIA                               "/>
    <x v="2"/>
    <x v="2"/>
    <s v="XV000012"/>
    <s v="VENDA DE YESO 5P.X 5Y-II RAPIDA *1"/>
    <s v=""/>
    <s v=""/>
    <s v="006"/>
    <s v="Unidad"/>
    <s v=""/>
    <n v="29"/>
    <n v="8382.7697931034472"/>
    <n v="243100.32399999999"/>
  </r>
  <r>
    <s v="002"/>
    <s v="FARMACIA DE CIRUGIA                               "/>
    <x v="2"/>
    <x v="2"/>
    <s v="XS000134"/>
    <s v="SUTURA QUIRURGICA NO ABSORBIBLE SEDA PERMAHAND 2/0 SSP54TS/A 85  SP420E"/>
    <s v=""/>
    <s v=""/>
    <s v="006"/>
    <s v="Unidad"/>
    <s v=""/>
    <n v="29"/>
    <n v="15629.144307692306"/>
    <n v="453245.18492307694"/>
  </r>
  <r>
    <s v="002"/>
    <s v="FARMACIA DE CIRUGIA                               "/>
    <x v="2"/>
    <x v="2"/>
    <s v="XS000108"/>
    <s v="SUTURA QUIRURGICA DE GLICONATO MONOFILAMENTO ABSORBIBLE MONOSYN 3/0 DS19 X 70CM REF. 23405"/>
    <s v=""/>
    <s v=""/>
    <s v="006"/>
    <s v="Unidad"/>
    <s v=""/>
    <n v="29"/>
    <n v="18564.290571428573"/>
    <n v="538364.42657142854"/>
  </r>
  <r>
    <s v="005"/>
    <s v="ALMACEN MEDICAMENTOS"/>
    <x v="4"/>
    <x v="4"/>
    <s v="19947668-01"/>
    <s v="ALBUMINA HUMANA NORMAL 20 % Solución inyectable 50 ML"/>
    <s v=""/>
    <s v=""/>
    <s v=""/>
    <s v=""/>
    <s v="20 % 50 ml"/>
    <n v="29"/>
    <n v="122088.93482758621"/>
    <n v="3540579.11"/>
  </r>
  <r>
    <s v="005"/>
    <s v="ALMACEN MEDICAMENTOS"/>
    <x v="0"/>
    <x v="0"/>
    <s v="17144-09"/>
    <s v="AMITRIPTILINA CLORHIDRATO 25 mg Tableta"/>
    <s v=""/>
    <s v=""/>
    <s v=""/>
    <s v=""/>
    <s v="25 mg"/>
    <n v="30"/>
    <n v="38.44803278688525"/>
    <n v="1153.4409836065599"/>
  </r>
  <r>
    <s v="002"/>
    <s v="FARMACIA DE CIRUGIA                               "/>
    <x v="2"/>
    <x v="2"/>
    <s v="XG000004"/>
    <s v="AGUJA DESECHABLE # 21 G.X 1-1/2*100"/>
    <s v=""/>
    <s v=""/>
    <s v="006"/>
    <s v="Unidad"/>
    <s v=""/>
    <n v="30"/>
    <n v="78.775359433007083"/>
    <n v="2363.2607829902099"/>
  </r>
  <r>
    <s v="005"/>
    <s v="ALMACEN MEDICAMENTOS"/>
    <x v="0"/>
    <x v="0"/>
    <s v="20056052-13"/>
    <s v="CLOPIDOGREL 75 mg Tableta "/>
    <s v=""/>
    <s v=""/>
    <s v=""/>
    <s v=""/>
    <s v="75 mg"/>
    <n v="30"/>
    <n v="116.26838028169014"/>
    <n v="3488.0514084506999"/>
  </r>
  <r>
    <s v="005"/>
    <s v="ALMACEN MEDICAMENTOS"/>
    <x v="0"/>
    <x v="0"/>
    <s v="20216416-2"/>
    <s v="ESCITALOPRAM 10 mg Tableta"/>
    <s v=""/>
    <s v=""/>
    <s v=""/>
    <s v=""/>
    <s v="10 mg"/>
    <n v="30"/>
    <n v="152"/>
    <n v="4560"/>
  </r>
  <r>
    <s v="005"/>
    <s v="ALMACEN MEDICAMENTOS"/>
    <x v="0"/>
    <x v="0"/>
    <s v="19934690-01"/>
    <s v="CALCITRIOL 0.25 mcg Cápsula"/>
    <s v=""/>
    <s v=""/>
    <s v=""/>
    <s v=""/>
    <s v="0.25 mcg"/>
    <n v="30"/>
    <n v="154.09691176470588"/>
    <n v="4622.9073529411799"/>
  </r>
  <r>
    <s v="005"/>
    <s v="ALMACEN MEDICAMENTOS"/>
    <x v="0"/>
    <x v="0"/>
    <s v="19953252-04"/>
    <s v="MINOXIDIL 10 mg Tableta o Tableta Recubierta"/>
    <s v=""/>
    <s v=""/>
    <s v=""/>
    <s v=""/>
    <s v="10 mg"/>
    <n v="30"/>
    <n v="174.268"/>
    <n v="5228.04"/>
  </r>
  <r>
    <s v="005"/>
    <s v="ALMACEN MEDICAMENTOS"/>
    <x v="0"/>
    <x v="0"/>
    <s v="19979472-6"/>
    <s v="OLANZAPINA 5 mg Tableta"/>
    <s v=""/>
    <s v=""/>
    <s v=""/>
    <s v=""/>
    <s v="5 mg"/>
    <n v="30"/>
    <n v="175"/>
    <n v="5250"/>
  </r>
  <r>
    <s v="005"/>
    <s v="ALMACEN MEDICAMENTOS"/>
    <x v="0"/>
    <x v="0"/>
    <s v="38818-14"/>
    <s v="FLUOXETINA 20 mg Tableta o Cápsula"/>
    <s v=""/>
    <s v=""/>
    <s v=""/>
    <s v=""/>
    <s v="20 mg"/>
    <n v="30"/>
    <n v="185.44675862068965"/>
    <n v="5563.4027586206903"/>
  </r>
  <r>
    <s v="001"/>
    <s v="FARMACIA CENTRAL                                  "/>
    <x v="3"/>
    <x v="3"/>
    <s v="52239-03"/>
    <s v="AMOXICILINA 500 mg Cápsula"/>
    <s v=""/>
    <s v=""/>
    <s v=""/>
    <s v=""/>
    <s v="500 mg"/>
    <n v="30"/>
    <n v="225.56"/>
    <n v="6766.8"/>
  </r>
  <r>
    <s v="001"/>
    <s v="FARMACIA CENTRAL                                  "/>
    <x v="0"/>
    <x v="0"/>
    <s v="20044925-2"/>
    <s v="TIZANIDINA 2 mg Tableta "/>
    <s v=""/>
    <s v=""/>
    <s v=""/>
    <s v=""/>
    <s v="2 mg"/>
    <n v="30"/>
    <n v="259.5"/>
    <n v="7785"/>
  </r>
  <r>
    <s v="005"/>
    <s v="ALMACEN MEDICAMENTOS"/>
    <x v="8"/>
    <x v="8"/>
    <s v="20096037-06"/>
    <s v="WARFARINA SODICA 5 mg Tableta"/>
    <s v=""/>
    <s v=""/>
    <s v=""/>
    <s v=""/>
    <s v="5 mg"/>
    <n v="30"/>
    <n v="263"/>
    <n v="7890"/>
  </r>
  <r>
    <s v="005"/>
    <s v="ALMACEN MEDICAMENTOS"/>
    <x v="0"/>
    <x v="0"/>
    <s v="19946412-16"/>
    <s v="OLANZAPINA 10 mg Tableta"/>
    <s v=""/>
    <s v=""/>
    <s v=""/>
    <s v=""/>
    <s v="10 mg"/>
    <n v="30"/>
    <n v="282.38400000000001"/>
    <n v="8471.52"/>
  </r>
  <r>
    <s v="005"/>
    <s v="ALMACEN MEDICAMENTOS"/>
    <x v="0"/>
    <x v="0"/>
    <s v="19975169-04"/>
    <s v="DOXAZOSINA 2 mg Tableta"/>
    <s v=""/>
    <s v=""/>
    <s v=""/>
    <s v=""/>
    <s v="2mg"/>
    <n v="30"/>
    <n v="313"/>
    <n v="9390"/>
  </r>
  <r>
    <s v="005"/>
    <s v="ALMACEN MEDICAMENTOS"/>
    <x v="0"/>
    <x v="0"/>
    <s v="1980397-01"/>
    <s v="LEVODOPA + CARBIDOPA 250 mg + 25 mg Tableta"/>
    <s v=""/>
    <s v=""/>
    <s v=""/>
    <s v=""/>
    <s v="250 mg + 25 mg"/>
    <n v="30"/>
    <n v="322.72741379310344"/>
    <n v="9681.8224137930993"/>
  </r>
  <r>
    <s v="006"/>
    <s v="ALMACEN MEDICOQUIRURGICOS   "/>
    <x v="2"/>
    <x v="2"/>
    <s v="XD000145"/>
    <s v="SONDA NELATON # 6 (UREATRAL)*1"/>
    <s v=""/>
    <s v=""/>
    <s v="006"/>
    <s v="Unidad"/>
    <s v=""/>
    <n v="30"/>
    <n v="446.59574468085106"/>
    <n v="13397.872340425531"/>
  </r>
  <r>
    <s v="001"/>
    <s v="FARMACIA CENTRAL                                  "/>
    <x v="0"/>
    <x v="0"/>
    <s v="20132549-19"/>
    <s v="TELMISARTAN 80MG TABLETAS"/>
    <s v=""/>
    <s v=""/>
    <s v=""/>
    <s v=""/>
    <s v="80MG"/>
    <n v="30"/>
    <n v="459"/>
    <n v="13770"/>
  </r>
  <r>
    <s v="005"/>
    <s v="ALMACEN MEDICAMENTOS"/>
    <x v="0"/>
    <x v="0"/>
    <s v="20132549-19"/>
    <s v="TELMISARTAN 80MG TABLETAS"/>
    <s v=""/>
    <s v=""/>
    <s v=""/>
    <s v=""/>
    <s v="80MG"/>
    <n v="30"/>
    <n v="459"/>
    <n v="13770"/>
  </r>
  <r>
    <s v="001"/>
    <s v="FARMACIA CENTRAL                                  "/>
    <x v="0"/>
    <x v="0"/>
    <s v="20096371-25"/>
    <s v="BISOPROLOL FUMARATO 5 mg Tableta"/>
    <s v=""/>
    <s v=""/>
    <s v=""/>
    <s v=""/>
    <s v="5 mg"/>
    <n v="30"/>
    <n v="654.66"/>
    <n v="19639.8"/>
  </r>
  <r>
    <s v="043"/>
    <s v="BODEGA DE CENTRAL DE MEZCLAS"/>
    <x v="0"/>
    <x v="0"/>
    <s v="19939225-01"/>
    <s v="POTASIO CLORURO 20 mEq/10 ml Solución inyectable"/>
    <s v=""/>
    <s v=""/>
    <s v=""/>
    <s v=""/>
    <s v="20 mEq/10 ml"/>
    <n v="30"/>
    <n v="995.27191919191921"/>
    <n v="29858.157575757581"/>
  </r>
  <r>
    <s v="002"/>
    <s v="FARMACIA DE CIRUGIA                               "/>
    <x v="2"/>
    <x v="2"/>
    <s v="XT000003"/>
    <s v="CANULA NASAL OXIGENO+ADAPTADOR+EXTENSION"/>
    <s v=""/>
    <s v=""/>
    <s v="006"/>
    <s v="Unidad"/>
    <s v=""/>
    <n v="30"/>
    <n v="1195.9290592334494"/>
    <n v="35877.871777003478"/>
  </r>
  <r>
    <s v="006"/>
    <s v="ALMACEN MEDICOQUIRURGICOS   "/>
    <x v="2"/>
    <x v="2"/>
    <s v="XD000257"/>
    <s v="SONDA LEVIN-TUBO VENTROL 18FR NASOGASTRICA120"/>
    <s v=""/>
    <s v=""/>
    <s v="006"/>
    <s v="Unidad"/>
    <s v=""/>
    <n v="30"/>
    <n v="1199.452380952381"/>
    <n v="35983.571428571428"/>
  </r>
  <r>
    <s v="005"/>
    <s v="ALMACEN MEDICAMENTOS"/>
    <x v="0"/>
    <x v="0"/>
    <s v="20140868-1"/>
    <s v="TENOFOVIR/EMTRICITABINA 300/200MG"/>
    <s v=""/>
    <s v=""/>
    <s v=""/>
    <s v=""/>
    <s v="200 + 300  mg"/>
    <n v="30"/>
    <n v="1225"/>
    <n v="36750"/>
  </r>
  <r>
    <s v="001"/>
    <s v="FARMACIA CENTRAL                                  "/>
    <x v="8"/>
    <x v="8"/>
    <s v="20129727-1"/>
    <s v="RIVAROXABAN 15 mg Tableta"/>
    <s v=""/>
    <s v=""/>
    <s v=""/>
    <s v=""/>
    <s v="15 mg"/>
    <n v="30"/>
    <n v="1495"/>
    <n v="44850"/>
  </r>
  <r>
    <s v="005"/>
    <s v="ALMACEN MEDICAMENTOS"/>
    <x v="0"/>
    <x v="0"/>
    <s v="19998377-01"/>
    <s v="HALOPERIDOL 5 mg / ml Solución Inyectable"/>
    <s v=""/>
    <s v=""/>
    <s v=""/>
    <s v=""/>
    <s v="5 mg"/>
    <n v="30"/>
    <n v="1650"/>
    <n v="49500"/>
  </r>
  <r>
    <s v="001"/>
    <s v="FARMACIA CENTRAL                                  "/>
    <x v="0"/>
    <x v="0"/>
    <s v="224929-03"/>
    <s v="SULTAMICILINA 375 MG TABLETA"/>
    <s v=""/>
    <s v=""/>
    <s v=""/>
    <s v=""/>
    <s v="375 MG"/>
    <n v="30"/>
    <n v="1919.2013333333332"/>
    <n v="57576.04"/>
  </r>
  <r>
    <s v="005"/>
    <s v="ALMACEN MEDICAMENTOS"/>
    <x v="0"/>
    <x v="0"/>
    <s v="224929-03"/>
    <s v="SULTAMICILINA 375 MG TABLETA"/>
    <s v=""/>
    <s v=""/>
    <s v=""/>
    <s v=""/>
    <s v="375 MG"/>
    <n v="30"/>
    <n v="1919.2013333333332"/>
    <n v="57576.04"/>
  </r>
  <r>
    <s v="005"/>
    <s v="ALMACEN MEDICAMENTOS"/>
    <x v="0"/>
    <x v="0"/>
    <s v="19990588-06"/>
    <s v="FENITOINA SODICA 50 mg/ ml Solución Inyectable"/>
    <s v=""/>
    <s v=""/>
    <s v=""/>
    <s v=""/>
    <s v="250 mg/ 5ml"/>
    <n v="30"/>
    <n v="2218.1857500000001"/>
    <n v="66545.572499999995"/>
  </r>
  <r>
    <s v="005"/>
    <s v="ALMACEN MEDICAMENTOS"/>
    <x v="0"/>
    <x v="0"/>
    <s v="20105871-01"/>
    <s v="TRANEXAMICO ACIDO 500 mg/5 ml Solución Inyectable"/>
    <s v=""/>
    <s v=""/>
    <s v=""/>
    <s v=""/>
    <s v="500 mg / 5 ml"/>
    <n v="30"/>
    <n v="2462.1689999999999"/>
    <n v="73865.070000000007"/>
  </r>
  <r>
    <s v="005"/>
    <s v="ALMACEN MEDICAMENTOS"/>
    <x v="0"/>
    <x v="0"/>
    <s v="1982214-01"/>
    <s v="DEXTROSA EN AGUA DESTILADA  AL 10% bolsa  250"/>
    <s v=""/>
    <s v=""/>
    <s v=""/>
    <s v=""/>
    <s v="250ML"/>
    <n v="30"/>
    <n v="2612.5223999999998"/>
    <n v="78375.672000000006"/>
  </r>
  <r>
    <s v="005"/>
    <s v="ALMACEN MEDICAMENTOS"/>
    <x v="8"/>
    <x v="8"/>
    <s v="20139305-4"/>
    <s v="APIXABAN 2.5 mg Tabletas Recubiertas"/>
    <s v=""/>
    <s v=""/>
    <s v=""/>
    <s v=""/>
    <s v="2,5 mg"/>
    <n v="30"/>
    <n v="2862.134705882353"/>
    <n v="85864.041176470593"/>
  </r>
  <r>
    <s v="005"/>
    <s v="ALMACEN MEDICAMENTOS"/>
    <x v="0"/>
    <x v="0"/>
    <s v="218006-03"/>
    <s v="PENICILINA G BENZATINICA 2.400.000 UI polvo Estéril para Inyección"/>
    <s v=""/>
    <s v=""/>
    <s v=""/>
    <s v=""/>
    <s v="2.400.000 UI"/>
    <n v="30"/>
    <n v="3124.7857142857142"/>
    <n v="93743.571428571435"/>
  </r>
  <r>
    <s v="005"/>
    <s v="ALMACEN MEDICAMENTOS"/>
    <x v="8"/>
    <x v="8"/>
    <s v="20158642-2"/>
    <s v="RIVAROXABAN 20 mg Comprimidos Recubiertos"/>
    <s v=""/>
    <s v=""/>
    <s v=""/>
    <s v=""/>
    <s v="20 mg"/>
    <n v="30"/>
    <n v="3137.4807272727271"/>
    <n v="94124.421818181814"/>
  </r>
  <r>
    <s v="006"/>
    <s v="ALMACEN MEDICOQUIRURGICOS   "/>
    <x v="2"/>
    <x v="2"/>
    <s v="XT000048"/>
    <s v="TUBO ENDOTRAQUEAL # 7.5-C/B X1"/>
    <s v=""/>
    <s v=""/>
    <s v="006"/>
    <s v="Unidad"/>
    <s v=""/>
    <n v="30"/>
    <n v="3280.1967213114754"/>
    <n v="98405.901639344258"/>
  </r>
  <r>
    <s v="005"/>
    <s v="ALMACEN MEDICAMENTOS"/>
    <x v="0"/>
    <x v="0"/>
    <s v="19992832-03"/>
    <s v="AMIODARONA 150 mg / 3ml Solución Inyectable "/>
    <s v=""/>
    <s v=""/>
    <s v=""/>
    <s v=""/>
    <s v="150 mg / 3ml"/>
    <n v="30"/>
    <n v="3894.9839393939396"/>
    <n v="116849.51818181817"/>
  </r>
  <r>
    <s v="005"/>
    <s v="ALMACEN MEDICAMENTOS"/>
    <x v="0"/>
    <x v="0"/>
    <s v="20088574-01"/>
    <s v="SACUBITRIL VALSARTAN 24.3MG +25.7MG TABLETAS"/>
    <s v=""/>
    <s v=""/>
    <s v=""/>
    <s v=""/>
    <s v="50MG"/>
    <n v="30"/>
    <n v="3950"/>
    <n v="118500"/>
  </r>
  <r>
    <s v="001"/>
    <s v="FARMACIA CENTRAL                                  "/>
    <x v="0"/>
    <x v="0"/>
    <s v="20179253-2"/>
    <s v="ACETAMINOFEN 1000 mg / 6.7 ml Sol Inyectable"/>
    <s v=""/>
    <s v=""/>
    <s v=""/>
    <s v=""/>
    <s v="1000mg/100ml"/>
    <n v="30"/>
    <n v="7201.4065725806449"/>
    <n v="216042.19717741935"/>
  </r>
  <r>
    <s v="005"/>
    <s v="ALMACEN MEDICAMENTOS"/>
    <x v="0"/>
    <x v="0"/>
    <s v="20067505-03"/>
    <s v="HIDROXICINA 100 mg / 2 ml Solución inyectable"/>
    <s v=""/>
    <s v=""/>
    <s v=""/>
    <s v=""/>
    <s v="100 mg / 2 ml"/>
    <n v="30"/>
    <n v="7724.9152631578954"/>
    <n v="231747.45789473684"/>
  </r>
  <r>
    <s v="006"/>
    <s v="ALMACEN MEDICOQUIRURGICOS   "/>
    <x v="2"/>
    <x v="2"/>
    <s v="XS000122"/>
    <s v="SUTURA QUIRURGICA MONOFILAMENTE ESTERIL SINTETICO NO ABSORBIBLE 5/0(1398T E13)P8698TP3 X2 DOCENAS"/>
    <s v=""/>
    <s v=""/>
    <s v="006"/>
    <s v="Unidad"/>
    <s v=""/>
    <n v="30"/>
    <n v="8377.6663636363628"/>
    <n v="251329.99090909091"/>
  </r>
  <r>
    <s v="001"/>
    <s v="FARMACIA CENTRAL                                  "/>
    <x v="4"/>
    <x v="4"/>
    <s v="19982562-01"/>
    <s v="LIDOCAINA  700MG PARCHES TRASDERMICOS"/>
    <s v=""/>
    <s v=""/>
    <s v=""/>
    <s v=""/>
    <s v="700MG"/>
    <n v="30"/>
    <n v="9258.1666666666679"/>
    <n v="277745"/>
  </r>
  <r>
    <s v="006"/>
    <s v="ALMACEN MEDICOQUIRURGICOS   "/>
    <x v="2"/>
    <x v="2"/>
    <s v="XE000031"/>
    <s v="SET CONECTOR DE EXTENCION MICROCLAVE"/>
    <s v=""/>
    <s v=""/>
    <s v="006"/>
    <s v="Unidad"/>
    <s v=""/>
    <n v="30"/>
    <n v="9295.0561538461534"/>
    <n v="278851.68461538461"/>
  </r>
  <r>
    <s v="052"/>
    <s v="CONSIGNACION LM INSTRUMENS S.A"/>
    <x v="2"/>
    <x v="2"/>
    <s v="XT000016"/>
    <s v="FRASCOS RECOLECTORES DE MUESTRAS TRAMPAS DE LUKENS (RECOLECTOR DE SECRECIONES)"/>
    <s v=""/>
    <s v=""/>
    <s v="006"/>
    <s v="Unidad"/>
    <s v=""/>
    <n v="30"/>
    <n v="10583.331578947367"/>
    <n v="317499.94736842107"/>
  </r>
  <r>
    <s v="005"/>
    <s v="ALMACEN MEDICAMENTOS"/>
    <x v="0"/>
    <x v="0"/>
    <s v="19945134-05"/>
    <s v="ACICLOVIR 250 mg Polvo para Inyección"/>
    <s v=""/>
    <s v=""/>
    <s v=""/>
    <s v=""/>
    <s v="250 mg"/>
    <n v="30"/>
    <n v="12094.82865671642"/>
    <n v="362844.85970149253"/>
  </r>
  <r>
    <s v="005"/>
    <s v="ALMACEN MEDICAMENTOS"/>
    <x v="4"/>
    <x v="4"/>
    <s v="20059630-2"/>
    <s v="CLARITROMICINA 500 mg Polvo para reconstituir a solución inyectable"/>
    <s v=""/>
    <s v=""/>
    <s v=""/>
    <s v=""/>
    <s v="500 mg"/>
    <n v="30"/>
    <n v="12235"/>
    <n v="367050"/>
  </r>
  <r>
    <s v="059"/>
    <s v="BODEGA CUARENTENA"/>
    <x v="6"/>
    <x v="6"/>
    <s v="11878-04"/>
    <s v="TIOPENTAL 1 g Polvo para reconsituir a solución inyectable"/>
    <s v=""/>
    <s v=""/>
    <s v=""/>
    <s v=""/>
    <s v="1g"/>
    <n v="30"/>
    <n v="13683.53"/>
    <n v="410505.9"/>
  </r>
  <r>
    <s v="006"/>
    <s v="ALMACEN MEDICOQUIRURGICOS   "/>
    <x v="2"/>
    <x v="2"/>
    <s v="XD000447"/>
    <s v="BOLSA DE COLOSTOMIA NATURA 57MM REF 416420-411804"/>
    <s v=""/>
    <s v=""/>
    <s v="006"/>
    <s v="Unidad"/>
    <s v=""/>
    <n v="30"/>
    <n v="15864.732647058823"/>
    <n v="475941.97941176471"/>
  </r>
  <r>
    <s v="006"/>
    <s v="ALMACEN MEDICOQUIRURGICOS   "/>
    <x v="2"/>
    <x v="2"/>
    <s v="XD000452"/>
    <s v="KIT EN T AUTOSELLADO NEBULIZADOR REF 2609000"/>
    <s v=""/>
    <s v=""/>
    <s v="006"/>
    <s v="Unidad"/>
    <s v=""/>
    <n v="30"/>
    <n v="17307.370588235295"/>
    <n v="519221.1176470588"/>
  </r>
  <r>
    <s v="005"/>
    <s v="ALMACEN MEDICAMENTOS"/>
    <x v="0"/>
    <x v="0"/>
    <s v="20004699-01"/>
    <s v="LABETALOL 100 mg / 20 ml Solución Inyectable"/>
    <s v=""/>
    <s v=""/>
    <s v=""/>
    <s v=""/>
    <s v="100 mg / 20 ml"/>
    <n v="30"/>
    <n v="18361.839391304347"/>
    <n v="550855.18173913041"/>
  </r>
  <r>
    <s v="006"/>
    <s v="ALMACEN MEDICOQUIRURGICOS   "/>
    <x v="2"/>
    <x v="2"/>
    <s v="XD000010"/>
    <s v="BARRERA DE COLOSTOMIA  MOLDEABLE CONVEXA  DE 45 MM REF 404593-401544"/>
    <s v=""/>
    <s v=""/>
    <s v="006"/>
    <s v="Unidad"/>
    <s v=""/>
    <n v="30"/>
    <n v="22541.057142857142"/>
    <n v="676231.71428571432"/>
  </r>
  <r>
    <s v="006"/>
    <s v="ALMACEN MEDICOQUIRURGICOS   "/>
    <x v="2"/>
    <x v="2"/>
    <s v="XD000018"/>
    <s v="BOLSA Y  BARRERA DE COLOSTOMIA  POSOPERATORIA ACTIVE LIFE REF 227711"/>
    <s v=""/>
    <s v=""/>
    <s v="006"/>
    <s v="Unidad"/>
    <s v=""/>
    <n v="30"/>
    <n v="26190.521951219511"/>
    <n v="785715.6585365854"/>
  </r>
  <r>
    <s v="006"/>
    <s v="ALMACEN MEDICOQUIRURGICOS   "/>
    <x v="2"/>
    <x v="2"/>
    <s v="XA000026"/>
    <s v="COTONOIDE RADIOPACO REF.801407 *10 XRAY 1/2 X  1407-0435"/>
    <s v=""/>
    <s v=""/>
    <s v="006"/>
    <s v="Unidad"/>
    <s v=""/>
    <n v="30"/>
    <n v="34951.095714285715"/>
    <n v="1048532.8714285714"/>
  </r>
  <r>
    <s v="005"/>
    <s v="ALMACEN MEDICAMENTOS"/>
    <x v="0"/>
    <x v="0"/>
    <s v="215439-01"/>
    <s v="MULTIVITAMINAS 5 mL polvo liofilizado"/>
    <s v=""/>
    <s v=""/>
    <s v=""/>
    <s v=""/>
    <s v="5 mL polvo"/>
    <n v="30"/>
    <n v="56343.01155555556"/>
    <n v="1690290.3466666664"/>
  </r>
  <r>
    <s v="007"/>
    <s v="CONSIGNACIÓN CROSSWELL                         "/>
    <x v="2"/>
    <x v="2"/>
    <s v="XA000111"/>
    <s v="APOSITO PARA HERIDAS MEPILEX BORDER FLEX 15X15 CM REF 595400"/>
    <s v=""/>
    <s v=""/>
    <s v="006"/>
    <s v="Unidad"/>
    <s v=""/>
    <n v="31"/>
    <n v="-296.27659574468083"/>
    <n v="-9184.5744680851094"/>
  </r>
  <r>
    <s v="001"/>
    <s v="FARMACIA CENTRAL                                  "/>
    <x v="0"/>
    <x v="0"/>
    <s v="19973061-05"/>
    <s v="ESPIRONOLACTONA 25 mg Tableta"/>
    <s v=""/>
    <s v=""/>
    <s v=""/>
    <s v=""/>
    <s v="25 mg"/>
    <n v="31"/>
    <n v="105.85548387096775"/>
    <n v="3281.52"/>
  </r>
  <r>
    <s v="002"/>
    <s v="FARMACIA DE CIRUGIA                               "/>
    <x v="0"/>
    <x v="0"/>
    <s v="20045072-04"/>
    <s v="TRAMADOL CLORHIDRATO 100 mg/2 mL Solucion Inyectable"/>
    <s v=""/>
    <s v=""/>
    <s v=""/>
    <s v=""/>
    <s v="100 MG/2 ML"/>
    <n v="31"/>
    <n v="755.54084507042251"/>
    <n v="23421.7661971831"/>
  </r>
  <r>
    <s v="001"/>
    <s v="FARMACIA CENTRAL                                  "/>
    <x v="3"/>
    <x v="3"/>
    <s v="20104186-01"/>
    <s v="CIPROFLOXACINA 100 mg / 10 ml Solución inyectable"/>
    <s v=""/>
    <s v=""/>
    <s v=""/>
    <s v=""/>
    <s v="100 mg / 10 ml"/>
    <n v="31"/>
    <n v="1499.9680110497236"/>
    <n v="46499.008342541441"/>
  </r>
  <r>
    <s v="001"/>
    <s v="FARMACIA CENTRAL                                  "/>
    <x v="0"/>
    <x v="0"/>
    <s v="19949079-5"/>
    <s v="FENAZOPIRIDINA HCL 200 mg  tableta cubierta"/>
    <s v=""/>
    <s v=""/>
    <s v=""/>
    <s v=""/>
    <s v="200 mg"/>
    <n v="31"/>
    <n v="3060"/>
    <n v="94860"/>
  </r>
  <r>
    <s v="002"/>
    <s v="FARMACIA DE CIRUGIA                               "/>
    <x v="2"/>
    <x v="2"/>
    <s v="XS000136"/>
    <s v="SUTURA QUIRURGICA NO ABSORBIBLE SEDA PERMAHAND 3/0 K832H SH X3 DOCENAS"/>
    <s v=""/>
    <s v=""/>
    <s v="006"/>
    <s v="Unidad"/>
    <s v=""/>
    <n v="31"/>
    <n v="6049.8867924528304"/>
    <n v="187546.49056603777"/>
  </r>
  <r>
    <s v="008"/>
    <s v="ALMACEN  GENERAL                                         "/>
    <x v="1"/>
    <x v="1"/>
    <s v="AM000297"/>
    <s v="BANDA ELASTICA THERABAND VERDE/AZUL/ROJO  X METRO"/>
    <s v=""/>
    <s v=""/>
    <s v="006"/>
    <s v="Unidad"/>
    <s v=""/>
    <n v="31"/>
    <n v="6902.6748387096768"/>
    <n v="213982.92"/>
  </r>
  <r>
    <s v="002"/>
    <s v="FARMACIA DE CIRUGIA                               "/>
    <x v="2"/>
    <x v="2"/>
    <s v="XS000101"/>
    <s v="SUTURA QUIRURGICA ABSORBIBLE VICRYL 4/0 J304H RB-1 X3 DOCENAS"/>
    <s v=""/>
    <s v=""/>
    <s v="006"/>
    <s v="Unidad"/>
    <s v=""/>
    <n v="31"/>
    <n v="9188.3127499999991"/>
    <n v="284837.69524999999"/>
  </r>
  <r>
    <s v="008"/>
    <s v="ALMACEN  GENERAL                                         "/>
    <x v="1"/>
    <x v="1"/>
    <s v="AM000376"/>
    <s v="TUBO ELASTICO VERDE/ROJO/AMARILLO X MT"/>
    <s v=""/>
    <s v=""/>
    <s v="006"/>
    <s v="Unidad"/>
    <s v=""/>
    <n v="31"/>
    <n v="9514.7067741935498"/>
    <n v="294955.90999999997"/>
  </r>
  <r>
    <s v="002"/>
    <s v="FARMACIA DE CIRUGIA                               "/>
    <x v="2"/>
    <x v="2"/>
    <s v="XD000068"/>
    <s v="HOJA LARGA CORTE PUNTA P.ELECTROBISTURI REF E1552"/>
    <s v=""/>
    <s v=""/>
    <s v="006"/>
    <s v="Unidad"/>
    <s v=""/>
    <n v="31"/>
    <n v="17679.717400000001"/>
    <n v="548071.23939999996"/>
  </r>
  <r>
    <s v="006"/>
    <s v="ALMACEN MEDICOQUIRURGICOS   "/>
    <x v="2"/>
    <x v="2"/>
    <s v="XS000036"/>
    <s v="HEMOCLIP PLUS SMALL AMARILLO T125 CX12 CARTUCHOS"/>
    <s v=""/>
    <s v=""/>
    <s v="006"/>
    <s v="Unidad"/>
    <s v=""/>
    <n v="31"/>
    <n v="22891.034782608695"/>
    <n v="709622.0782608696"/>
  </r>
  <r>
    <s v="008"/>
    <s v="ALMACEN  GENERAL                                         "/>
    <x v="1"/>
    <x v="1"/>
    <s v="AM000365"/>
    <s v="CINTA KINESIOLOGICA TAPING 5CM X 5 MTS"/>
    <s v=""/>
    <s v=""/>
    <s v="006"/>
    <s v="Unidad"/>
    <s v=""/>
    <n v="31"/>
    <n v="27520"/>
    <n v="853120"/>
  </r>
  <r>
    <s v="001"/>
    <s v="FARMACIA CENTRAL                                  "/>
    <x v="0"/>
    <x v="0"/>
    <s v="20010760-04"/>
    <s v="COLCHICINA 0.5 mg Tableta"/>
    <s v=""/>
    <s v=""/>
    <s v=""/>
    <s v=""/>
    <s v="0.5 mg"/>
    <n v="32"/>
    <n v="69.977477477477478"/>
    <n v="2239.2792792792802"/>
  </r>
  <r>
    <s v="002"/>
    <s v="FARMACIA DE CIRUGIA                               "/>
    <x v="2"/>
    <x v="2"/>
    <s v="XG000005"/>
    <s v="AGUJA DESECHABLE # 22 G.X 1-1/2*100"/>
    <s v=""/>
    <s v=""/>
    <s v="006"/>
    <s v="Unidad"/>
    <s v=""/>
    <n v="32"/>
    <n v="127.0005303030303"/>
    <n v="4064.0169696969701"/>
  </r>
  <r>
    <s v="001"/>
    <s v="FARMACIA CENTRAL                                  "/>
    <x v="2"/>
    <x v="2"/>
    <s v="XG000037"/>
    <s v="AGUJA DESECHABLE # 20 G.X 1-1/2X100                                                                 "/>
    <s v=""/>
    <s v=""/>
    <s v="006"/>
    <s v="Unidad"/>
    <s v=""/>
    <n v="32"/>
    <n v="169.99619047619046"/>
    <n v="5439.8780952381003"/>
  </r>
  <r>
    <s v="001"/>
    <s v="FARMACIA CENTRAL                                  "/>
    <x v="0"/>
    <x v="0"/>
    <s v="20052424-06"/>
    <s v="MIRTAZAPINA 30 mg Tableta "/>
    <s v=""/>
    <s v=""/>
    <s v=""/>
    <s v=""/>
    <s v="30mg"/>
    <n v="32"/>
    <n v="427.78156250000001"/>
    <n v="13689.01"/>
  </r>
  <r>
    <s v="002"/>
    <s v="FARMACIA DE CIRUGIA                               "/>
    <x v="0"/>
    <x v="0"/>
    <s v="19934768-18"/>
    <s v="DICLOFENACO SODICO 75 mg / 3 ml Solución inyectable"/>
    <s v=""/>
    <s v=""/>
    <s v=""/>
    <s v=""/>
    <s v="75 MG / 3 ML"/>
    <n v="32"/>
    <n v="451.1221875"/>
    <n v="14435.91"/>
  </r>
  <r>
    <s v="006"/>
    <s v="ALMACEN MEDICOQUIRURGICOS   "/>
    <x v="2"/>
    <x v="2"/>
    <s v="XD000128"/>
    <s v="SONDA FOLEY 20 X30ML-2 VIAS *1"/>
    <s v=""/>
    <s v=""/>
    <s v="006"/>
    <s v="Unidad"/>
    <s v=""/>
    <n v="32"/>
    <n v="2842.03125"/>
    <n v="90945"/>
  </r>
  <r>
    <s v="052"/>
    <s v="CONSIGNACION LM INSTRUMENS S.A"/>
    <x v="2"/>
    <x v="2"/>
    <s v="XD000037"/>
    <s v="DREN PLANO SILICONADO-JACKSON PRATT-SIN TROCAR "/>
    <s v=""/>
    <s v=""/>
    <s v="006"/>
    <s v="Unidad"/>
    <s v=""/>
    <n v="32"/>
    <n v="4384.0202857142858"/>
    <n v="140288.64914285715"/>
  </r>
  <r>
    <s v="001"/>
    <s v="FARMACIA CENTRAL                                  "/>
    <x v="0"/>
    <x v="0"/>
    <s v="19943753-02"/>
    <s v="SODIO CLORURO 3% Solución inyectable bolsa 500 mL"/>
    <s v=""/>
    <s v=""/>
    <s v=""/>
    <s v=""/>
    <s v="3% - 500 ml"/>
    <n v="32"/>
    <n v="4750.867631578948"/>
    <n v="152027.76421052631"/>
  </r>
  <r>
    <s v="002"/>
    <s v="FARMACIA DE CIRUGIA                               "/>
    <x v="2"/>
    <x v="2"/>
    <s v="XE000004"/>
    <s v="EQUIPO BOMBA 5000 PRIMARIO XL HOSPIRA REF 1401"/>
    <s v=""/>
    <s v=""/>
    <s v="006"/>
    <s v="Unidad"/>
    <s v=""/>
    <n v="32"/>
    <n v="24641.383614744351"/>
    <n v="788524.27567181922"/>
  </r>
  <r>
    <s v="008"/>
    <s v="ALMACEN  GENERAL                                         "/>
    <x v="1"/>
    <x v="1"/>
    <s v="AM000277"/>
    <s v="TRAMPA DE AGUA DRAGER WATERLOCK2  REF 6872130"/>
    <s v=""/>
    <s v=""/>
    <s v="006"/>
    <s v="Unidad"/>
    <s v=""/>
    <n v="32"/>
    <n v="170690.74124999999"/>
    <n v="5462103.7199999997"/>
  </r>
  <r>
    <s v="001"/>
    <s v="FARMACIA CENTRAL                                  "/>
    <x v="2"/>
    <x v="2"/>
    <s v="XT000032"/>
    <s v="SONDA PARA SUCCION(OJO DE PESCADO)-14FR FR 60CM*1"/>
    <s v=""/>
    <s v=""/>
    <s v="006"/>
    <s v="Unidad"/>
    <s v=""/>
    <n v="33"/>
    <n v="1015.8373846153846"/>
    <n v="33522.633692307689"/>
  </r>
  <r>
    <s v="001"/>
    <s v="FARMACIA CENTRAL                                  "/>
    <x v="0"/>
    <x v="0"/>
    <s v="20058938-2"/>
    <s v="BUPROPION 150 MG TAB"/>
    <s v=""/>
    <s v=""/>
    <s v=""/>
    <s v=""/>
    <s v="150 MG"/>
    <n v="33"/>
    <n v="1305"/>
    <n v="43065"/>
  </r>
  <r>
    <s v="001"/>
    <s v="FARMACIA CENTRAL                                  "/>
    <x v="3"/>
    <x v="3"/>
    <s v="20131753-02"/>
    <s v="RIFAXIMINA 200 mg Tableta"/>
    <s v=""/>
    <s v=""/>
    <s v=""/>
    <s v=""/>
    <s v="200 mg"/>
    <n v="33"/>
    <n v="3579.6378787878789"/>
    <n v="118128.05"/>
  </r>
  <r>
    <s v="008"/>
    <s v="ALMACEN  GENERAL                                         "/>
    <x v="7"/>
    <x v="7"/>
    <s v="AA000119"/>
    <s v="ALCOHOL ANTISEPTICO AL 70 % FRASCO 700 ML"/>
    <s v=""/>
    <s v=""/>
    <s v="006"/>
    <s v="Unidad"/>
    <s v=""/>
    <n v="33"/>
    <n v="5825.7903030303023"/>
    <n v="192251.08"/>
  </r>
  <r>
    <s v="002"/>
    <s v="FARMACIA DE CIRUGIA                               "/>
    <x v="2"/>
    <x v="2"/>
    <s v="XS000116"/>
    <s v="SUTURA QUIRURGICA MONOFILAMENTE ESTERIL SINTETICO NO ABSORBIBLE 2/0-CT2 (8411T) X2 DOCENAS"/>
    <s v=""/>
    <s v=""/>
    <s v="006"/>
    <s v="Unidad"/>
    <s v=""/>
    <n v="33"/>
    <n v="7053.9473684210525"/>
    <n v="232780.26315789472"/>
  </r>
  <r>
    <s v="001"/>
    <s v="FARMACIA CENTRAL                                  "/>
    <x v="0"/>
    <x v="0"/>
    <s v="20096872-01"/>
    <s v="VALPROATO SODICO 500 mg / 5 ml Solución Inyectable "/>
    <s v=""/>
    <s v=""/>
    <s v=""/>
    <s v=""/>
    <s v="500 mg / 5 ml"/>
    <n v="33"/>
    <n v="10595.27"/>
    <n v="349643.91"/>
  </r>
  <r>
    <s v="007"/>
    <s v="CONSIGNACIÓN CROSSWELL                         "/>
    <x v="2"/>
    <x v="2"/>
    <s v="XA000089"/>
    <s v="VENDAJE PARA CICATRIZACION CON MEDICAMENTO EXUFIBER AG 10x12 REF 603422"/>
    <s v=""/>
    <s v=""/>
    <s v="006"/>
    <s v="Unidad"/>
    <s v=""/>
    <n v="33"/>
    <n v="61816.666666666664"/>
    <n v="2039950"/>
  </r>
  <r>
    <s v="008"/>
    <s v="ALMACEN  GENERAL                                         "/>
    <x v="5"/>
    <x v="5"/>
    <s v="AP000085"/>
    <s v="RESALTADORES"/>
    <s v=""/>
    <s v=""/>
    <s v="006"/>
    <s v="Unidad"/>
    <s v=""/>
    <n v="34"/>
    <n v="1297.7082352941177"/>
    <n v="44122.080000000002"/>
  </r>
  <r>
    <s v="008"/>
    <s v="ALMACEN  GENERAL                                         "/>
    <x v="13"/>
    <x v="13"/>
    <s v="AC000020"/>
    <s v="VASOS DESECHABLES X 7 ONZAS-UNIDAD"/>
    <s v=""/>
    <s v=""/>
    <s v="006"/>
    <s v="Unidad"/>
    <s v=""/>
    <n v="34"/>
    <n v="1481.3370588235296"/>
    <n v="50365.46"/>
  </r>
  <r>
    <s v="008"/>
    <s v="ALMACEN  GENERAL                                         "/>
    <x v="5"/>
    <x v="5"/>
    <s v="AP000149"/>
    <s v="MARCADOR BORRABLE"/>
    <s v=""/>
    <s v=""/>
    <s v="006"/>
    <s v="Unidad"/>
    <s v=""/>
    <n v="34"/>
    <n v="2235.6864705882354"/>
    <n v="76013.34"/>
  </r>
  <r>
    <s v="005"/>
    <s v="ALMACEN MEDICAMENTOS"/>
    <x v="0"/>
    <x v="0"/>
    <s v="19942695-02"/>
    <s v="SODIO CLORURO  0.45 % Solución inyectable x 500 ml"/>
    <s v=""/>
    <s v=""/>
    <s v=""/>
    <s v=""/>
    <s v="0.45% - 500 ML"/>
    <n v="34"/>
    <n v="3295.3123287671233"/>
    <n v="112040.6191780822"/>
  </r>
  <r>
    <s v="001"/>
    <s v="FARMACIA CENTRAL                                  "/>
    <x v="0"/>
    <x v="0"/>
    <s v="20047839-02"/>
    <s v="ERITROPOYETINA 2.000 UI solución inyectable"/>
    <s v=""/>
    <s v=""/>
    <s v=""/>
    <s v=""/>
    <s v="2.000 u.i"/>
    <n v="34"/>
    <n v="5144.176470588236"/>
    <n v="174902"/>
  </r>
  <r>
    <s v="002"/>
    <s v="FARMACIA DE CIRUGIA                               "/>
    <x v="2"/>
    <x v="2"/>
    <s v="XJ000006"/>
    <s v="CATETERES PERIFERICOS INTRAVENOSOS INSYTE #18*50"/>
    <s v=""/>
    <s v=""/>
    <s v="006"/>
    <s v="Unidad"/>
    <s v=""/>
    <n v="34"/>
    <n v="5822.2279354838711"/>
    <n v="197955.74980645161"/>
  </r>
  <r>
    <s v="001"/>
    <s v="FARMACIA CENTRAL                                  "/>
    <x v="2"/>
    <x v="2"/>
    <s v="XO000031"/>
    <s v="FERULA ORTOPEDICA DEDOS BASEBALL"/>
    <s v=""/>
    <s v=""/>
    <s v="006"/>
    <s v="Unidad"/>
    <s v=""/>
    <n v="34"/>
    <n v="7000"/>
    <n v="238000"/>
  </r>
  <r>
    <s v="006"/>
    <s v="ALMACEN MEDICOQUIRURGICOS   "/>
    <x v="2"/>
    <x v="2"/>
    <s v="XA000030"/>
    <s v="ESPONJA HEMOSTATICA DE COLAGENO GELFOAM ESPONJA ESTERIL SZ12 12CM "/>
    <s v=""/>
    <s v=""/>
    <s v="006"/>
    <s v="Unidad"/>
    <s v=""/>
    <n v="34"/>
    <n v="28080.865121951221"/>
    <n v="954749.41414634138"/>
  </r>
  <r>
    <s v="007"/>
    <s v="CONSIGNACIÓN CROSSWELL                         "/>
    <x v="2"/>
    <x v="2"/>
    <s v="XA000056"/>
    <s v="APOSITO DE TRANSFERENCIA DE EXHUDADO MEPILEX 15X20CM REF 294899"/>
    <s v=""/>
    <s v=""/>
    <s v="006"/>
    <s v="Unidad"/>
    <s v=""/>
    <n v="34"/>
    <n v="40459.713207547167"/>
    <n v="1375630.2490566038"/>
  </r>
  <r>
    <s v="008"/>
    <s v="ALMACEN  GENERAL                                         "/>
    <x v="1"/>
    <x v="1"/>
    <s v="AM000001"/>
    <s v="BRAZALETE TENSIOMETRO 2 VIAS"/>
    <s v=""/>
    <s v=""/>
    <s v="006"/>
    <s v="Unidad"/>
    <s v=""/>
    <n v="34"/>
    <n v="42507.5"/>
    <n v="1445255"/>
  </r>
  <r>
    <s v="006"/>
    <s v="ALMACEN MEDICOQUIRURGICOS   "/>
    <x v="2"/>
    <x v="2"/>
    <s v="XT000014"/>
    <s v="CIRCUITO DE UNA SOLA RAMA CON FILTRO REF 5805000"/>
    <s v=""/>
    <s v=""/>
    <s v="006"/>
    <s v="Unidad"/>
    <s v=""/>
    <n v="34"/>
    <n v="54900.858947368419"/>
    <n v="1866629.2042105263"/>
  </r>
  <r>
    <s v="052"/>
    <s v="CONSIGNACION LM INSTRUMENS S.A"/>
    <x v="2"/>
    <x v="2"/>
    <s v="XD000110"/>
    <s v="SISTEMA CERRADO DRENAJE HERIDAS"/>
    <s v=""/>
    <s v=""/>
    <s v="006"/>
    <s v="Unidad"/>
    <s v=""/>
    <n v="34"/>
    <n v="122762.89513513514"/>
    <n v="4173938.4345945944"/>
  </r>
  <r>
    <s v="006"/>
    <s v="ALMACEN MEDICOQUIRURGICOS   "/>
    <x v="2"/>
    <x v="2"/>
    <s v="XT000017"/>
    <s v="GUIA PARA INTUBACION X1 ESTILETE TUBO ENDOTRAQUE"/>
    <s v=""/>
    <s v=""/>
    <s v="006"/>
    <s v="Unidad"/>
    <s v=""/>
    <n v="35"/>
    <n v="-58082.704199999993"/>
    <n v="-2032894.6470000001"/>
  </r>
  <r>
    <s v="001"/>
    <s v="FARMACIA CENTRAL                                  "/>
    <x v="0"/>
    <x v="0"/>
    <s v="20142721-1"/>
    <s v="IRBESARTAN 150 MG"/>
    <s v=""/>
    <s v=""/>
    <s v=""/>
    <s v=""/>
    <s v="150 mg"/>
    <n v="35"/>
    <n v="204"/>
    <n v="7140"/>
  </r>
  <r>
    <s v="001"/>
    <s v="FARMACIA CENTRAL                                  "/>
    <x v="0"/>
    <x v="0"/>
    <s v="19974415-3"/>
    <s v="OLANZAPINA 10 mg Tableta"/>
    <s v=""/>
    <s v=""/>
    <s v=""/>
    <s v=""/>
    <s v="10 mg"/>
    <n v="35"/>
    <n v="229"/>
    <n v="8015"/>
  </r>
  <r>
    <s v="005"/>
    <s v="ALMACEN MEDICAMENTOS"/>
    <x v="3"/>
    <x v="3"/>
    <s v="20006411-4"/>
    <s v="FLUCONAZOL 200 mg Cápsula"/>
    <s v=""/>
    <s v=""/>
    <s v=""/>
    <s v=""/>
    <s v="200 mg"/>
    <n v="35"/>
    <n v="349"/>
    <n v="12215"/>
  </r>
  <r>
    <s v="008"/>
    <s v="ALMACEN  GENERAL                                         "/>
    <x v="5"/>
    <x v="5"/>
    <s v="AP000047"/>
    <s v="ESFEROS ROJOS"/>
    <s v=""/>
    <s v=""/>
    <s v="006"/>
    <s v="Unidad"/>
    <s v=""/>
    <n v="35"/>
    <n v="576.74171428571435"/>
    <n v="20185.96"/>
  </r>
  <r>
    <s v="002"/>
    <s v="FARMACIA DE CIRUGIA                               "/>
    <x v="2"/>
    <x v="2"/>
    <s v="XJ000002"/>
    <s v="CATETERES PERIFERICOS INTRAVENOSOS  INSYTE #20*50"/>
    <s v=""/>
    <s v=""/>
    <s v="006"/>
    <s v="Unidad"/>
    <s v=""/>
    <n v="35"/>
    <n v="2428.3562711864406"/>
    <n v="84992.469491525422"/>
  </r>
  <r>
    <s v="005"/>
    <s v="ALMACEN MEDICAMENTOS"/>
    <x v="3"/>
    <x v="3"/>
    <s v="19938260-02"/>
    <s v="METRONIDAZOL u ORNIDAZOL 500 mg / 100 ml Solución Inyectable"/>
    <s v=""/>
    <s v=""/>
    <s v=""/>
    <s v=""/>
    <s v="500 mg / 100 ml"/>
    <n v="35"/>
    <n v="2625.7853225806452"/>
    <n v="91902.486290322573"/>
  </r>
  <r>
    <s v="006"/>
    <s v="ALMACEN MEDICOQUIRURGICOS   "/>
    <x v="2"/>
    <x v="2"/>
    <s v="XG000024"/>
    <s v="AGUJA ESPINAL SPINOCAN  G-27 X 3-1/2 X88MM X25U"/>
    <s v=""/>
    <s v=""/>
    <s v="006"/>
    <s v="Unidad"/>
    <s v=""/>
    <n v="35"/>
    <n v="2800.4413461538461"/>
    <n v="98015.447115384624"/>
  </r>
  <r>
    <s v="001"/>
    <s v="FARMACIA CENTRAL                                  "/>
    <x v="3"/>
    <x v="3"/>
    <s v="20046872-01"/>
    <s v="PENICILINA G SODICA 5.000.000 UI Polvo para reconsituir a solución inyectable"/>
    <s v=""/>
    <s v=""/>
    <s v=""/>
    <s v=""/>
    <s v="5.000.000 UI"/>
    <n v="35"/>
    <n v="3119.0335238095236"/>
    <n v="109166.17333333332"/>
  </r>
  <r>
    <s v="006"/>
    <s v="ALMACEN MEDICOQUIRURGICOS   "/>
    <x v="2"/>
    <x v="2"/>
    <s v="XG000023"/>
    <s v="AGUJA ESPINAL SPINOCAN  G-26 X 3-1/2 X88MM X25U"/>
    <s v=""/>
    <s v=""/>
    <s v="006"/>
    <s v="Unidad"/>
    <s v=""/>
    <n v="35"/>
    <n v="5565.0769863013702"/>
    <n v="194777.69452054796"/>
  </r>
  <r>
    <s v="006"/>
    <s v="ALMACEN MEDICOQUIRURGICOS   "/>
    <x v="2"/>
    <x v="2"/>
    <s v="XE000009"/>
    <s v="EQUIPO EN.Y.TUR PARA IRRIGACION-CAJA X60"/>
    <s v=""/>
    <s v=""/>
    <s v="006"/>
    <s v="Unidad"/>
    <s v=""/>
    <n v="35"/>
    <n v="20132.750175438599"/>
    <n v="704646.25614035083"/>
  </r>
  <r>
    <s v="001"/>
    <s v="FARMACIA CENTRAL                                  "/>
    <x v="0"/>
    <x v="0"/>
    <s v="19940375-06"/>
    <s v="DICLOFENACO SODICO 50 mg Gragea"/>
    <s v=""/>
    <s v=""/>
    <s v=""/>
    <s v=""/>
    <s v="50 mg"/>
    <n v="36"/>
    <n v="36.426829268292678"/>
    <n v="1311.3658536585399"/>
  </r>
  <r>
    <s v="001"/>
    <s v="FARMACIA CENTRAL                                  "/>
    <x v="6"/>
    <x v="6"/>
    <s v="227600-01"/>
    <s v="ALPRAZOLAM 0.5 mg Tableta"/>
    <s v=""/>
    <s v=""/>
    <s v=""/>
    <s v=""/>
    <s v="0,5 mg"/>
    <n v="36"/>
    <n v="52.93055555555555"/>
    <n v="1905.5"/>
  </r>
  <r>
    <s v="001"/>
    <s v="FARMACIA CENTRAL                                  "/>
    <x v="3"/>
    <x v="3"/>
    <s v="19929856-13"/>
    <s v="CEFALEXINA 500 mg Cápsula"/>
    <s v=""/>
    <s v=""/>
    <s v=""/>
    <s v=""/>
    <s v="500 mg"/>
    <n v="36"/>
    <n v="330.70025188916878"/>
    <n v="11905.209068010079"/>
  </r>
  <r>
    <s v="002"/>
    <s v="FARMACIA DE CIRUGIA                               "/>
    <x v="2"/>
    <x v="2"/>
    <s v="XV000004"/>
    <s v="VENDA DE ALGODON 6 X 5 *1 LAMINADO"/>
    <s v=""/>
    <s v=""/>
    <s v="006"/>
    <s v="Unidad"/>
    <s v=""/>
    <n v="36"/>
    <n v="1936.3739855072463"/>
    <n v="69709.463478260863"/>
  </r>
  <r>
    <s v="006"/>
    <s v="ALMACEN MEDICOQUIRURGICOS   "/>
    <x v="2"/>
    <x v="2"/>
    <s v="XJ000005"/>
    <s v="CATETERES PERIFERICOS INTRAVENOSOS INSYTE #16*50"/>
    <s v=""/>
    <s v=""/>
    <s v="006"/>
    <s v="Unidad"/>
    <s v=""/>
    <n v="36"/>
    <n v="1999.3788311688313"/>
    <n v="71977.63792207792"/>
  </r>
  <r>
    <s v="001"/>
    <s v="FARMACIA CENTRAL                                  "/>
    <x v="0"/>
    <x v="0"/>
    <s v="19926707-01"/>
    <s v="HIDROCORTISONA 100 mg Polvo para reconstituir a solución inyectable"/>
    <s v=""/>
    <s v=""/>
    <s v=""/>
    <s v=""/>
    <s v="100 mg"/>
    <n v="36"/>
    <n v="2420.6186170212768"/>
    <n v="87142.270212765958"/>
  </r>
  <r>
    <s v="008"/>
    <s v="ALMACEN  GENERAL                                         "/>
    <x v="5"/>
    <x v="5"/>
    <s v="AP000053"/>
    <s v="GANCHO LEGAJADOR"/>
    <s v=""/>
    <s v=""/>
    <s v="006"/>
    <s v="Unidad"/>
    <s v=""/>
    <n v="36"/>
    <n v="2678.7102777777777"/>
    <n v="96433.57"/>
  </r>
  <r>
    <s v="006"/>
    <s v="ALMACEN MEDICOQUIRURGICOS   "/>
    <x v="2"/>
    <x v="2"/>
    <s v="XD000161"/>
    <s v="TUBO PRESION 48P.MACHO/HEMBRA ARTERIAL X1"/>
    <s v=""/>
    <s v=""/>
    <s v="006"/>
    <s v="Unidad"/>
    <s v=""/>
    <n v="36"/>
    <n v="3100"/>
    <n v="111600"/>
  </r>
  <r>
    <s v="006"/>
    <s v="ALMACEN MEDICOQUIRURGICOS   "/>
    <x v="2"/>
    <x v="2"/>
    <s v="XT000024"/>
    <s v="MASCARA VENTURY ADULTO (1088) X 1 HUDSON"/>
    <s v=""/>
    <s v=""/>
    <s v="006"/>
    <s v="Unidad"/>
    <s v=""/>
    <n v="36"/>
    <n v="3766.5286274509804"/>
    <n v="135595.03058823527"/>
  </r>
  <r>
    <s v="008"/>
    <s v="ALMACEN  GENERAL                                         "/>
    <x v="5"/>
    <x v="5"/>
    <s v="AP000011"/>
    <s v="MANUAL DE INFORMACION PARA PACIENTE Y ACOMPAÑANTE"/>
    <s v=""/>
    <s v=""/>
    <s v="006"/>
    <s v="Unidad"/>
    <s v=""/>
    <n v="36"/>
    <n v="6185.5555555555557"/>
    <n v="222680"/>
  </r>
  <r>
    <s v="008"/>
    <s v="ALMACEN  GENERAL                                         "/>
    <x v="10"/>
    <x v="10"/>
    <s v="AD000009"/>
    <s v="MALLAS  COCINA"/>
    <s v=""/>
    <s v=""/>
    <s v="006"/>
    <s v="Unidad"/>
    <s v=""/>
    <n v="36"/>
    <n v="8899.9722222222226"/>
    <n v="320399"/>
  </r>
  <r>
    <s v="006"/>
    <s v="ALMACEN MEDICOQUIRURGICOS   "/>
    <x v="2"/>
    <x v="2"/>
    <s v="XS000130"/>
    <s v="SUTURA QUIRURGICA NO ABSORBIBLE SEDA PERMAHAND 0 SSP55TS/A(SA86T) X2 DOCENAS"/>
    <s v=""/>
    <s v=""/>
    <s v="006"/>
    <s v="Unidad"/>
    <s v=""/>
    <n v="36"/>
    <n v="9329.769038461538"/>
    <n v="335871.68538461538"/>
  </r>
  <r>
    <s v="006"/>
    <s v="ALMACEN MEDICOQUIRURGICOS   "/>
    <x v="2"/>
    <x v="2"/>
    <s v="XS000173"/>
    <s v="SUTURA QUIRURGICA ABSORBIBLE VICRYL  4/0 PS-2  3/8 19MM REF JP496G"/>
    <s v=""/>
    <s v=""/>
    <s v="006"/>
    <s v="Unidad"/>
    <s v=""/>
    <n v="36"/>
    <n v="11865"/>
    <n v="427140"/>
  </r>
  <r>
    <s v="006"/>
    <s v="ALMACEN MEDICOQUIRURGICOS   "/>
    <x v="2"/>
    <x v="2"/>
    <s v="XS000005"/>
    <s v="CERA OSEA.1029754 CAJA X 2 DOCENAS CERA HUESOS"/>
    <s v=""/>
    <s v=""/>
    <s v="006"/>
    <s v="Unidad"/>
    <s v=""/>
    <n v="36"/>
    <n v="14976.094545454545"/>
    <n v="539139.40363636368"/>
  </r>
  <r>
    <s v="006"/>
    <s v="ALMACEN MEDICOQUIRURGICOS   "/>
    <x v="2"/>
    <x v="2"/>
    <s v="XS000134"/>
    <s v="SUTURA QUIRURGICA NO ABSORBIBLE SEDA PERMAHAND 2/0 SSP54TS/A 85  SP420E"/>
    <s v=""/>
    <s v=""/>
    <s v="006"/>
    <s v="Unidad"/>
    <s v=""/>
    <n v="36"/>
    <n v="15629.144307692306"/>
    <n v="562649.195076923"/>
  </r>
  <r>
    <s v="001"/>
    <s v="FARMACIA CENTRAL                                  "/>
    <x v="0"/>
    <x v="0"/>
    <s v="20108472-02"/>
    <s v="NEFOPAM 20 mg/2ml sol inyectable"/>
    <s v=""/>
    <s v=""/>
    <s v=""/>
    <s v=""/>
    <s v="20 mg/ 2 ml"/>
    <n v="36"/>
    <n v="15707.147521367522"/>
    <n v="565457.31076923083"/>
  </r>
  <r>
    <s v="005"/>
    <s v="ALMACEN MEDICAMENTOS"/>
    <x v="0"/>
    <x v="0"/>
    <s v="38991-02"/>
    <s v="TRIAMCINOLONA ACETONIDO 50 mg Suspensión Inyectable"/>
    <s v=""/>
    <s v=""/>
    <s v=""/>
    <s v=""/>
    <s v="50 mg"/>
    <n v="36"/>
    <n v="30602.212499999998"/>
    <n v="1101679.6499999999"/>
  </r>
  <r>
    <s v="006"/>
    <s v="ALMACEN MEDICOQUIRURGICOS   "/>
    <x v="2"/>
    <x v="2"/>
    <s v="XS000038"/>
    <s v="POLIDIOXANONA SUTURA (CON/SIN AGUJA) PDS II 1 XLH REF. Z881H"/>
    <s v=""/>
    <s v=""/>
    <s v="006"/>
    <s v="Unidad"/>
    <s v=""/>
    <n v="36"/>
    <n v="63360.271000000001"/>
    <n v="2280969.7560000001"/>
  </r>
  <r>
    <s v="006"/>
    <s v="ALMACEN MEDICOQUIRURGICOS   "/>
    <x v="2"/>
    <x v="2"/>
    <s v="XS000008"/>
    <s v="DISPOSITIVO DE CIERRE DE HERIDAS V-LOC 180 3-0 CV-23 REF. VLOCL0604 X 1"/>
    <s v=""/>
    <s v=""/>
    <s v="006"/>
    <s v="Unidad"/>
    <s v=""/>
    <n v="36"/>
    <n v="111979.02"/>
    <n v="4031244.72"/>
  </r>
  <r>
    <s v="005"/>
    <s v="ALMACEN MEDICAMENTOS"/>
    <x v="4"/>
    <x v="4"/>
    <s v="20061748-05"/>
    <s v="SOPORTE NUTRICIONAL PARENTERAL PERIFERICO + LIPIDOS BOLSA 1448mL"/>
    <s v=""/>
    <s v=""/>
    <s v=""/>
    <s v=""/>
    <s v="1448 ML"/>
    <n v="36"/>
    <n v="267904.11725000001"/>
    <n v="9644548.2210000008"/>
  </r>
  <r>
    <s v="001"/>
    <s v="FARMACIA CENTRAL                                  "/>
    <x v="0"/>
    <x v="0"/>
    <s v="19924285-34"/>
    <s v="TRAMADOL 50mg/mL SOLUCION INYECTABLE"/>
    <s v=""/>
    <s v=""/>
    <s v=""/>
    <s v=""/>
    <s v="50 mg/ml"/>
    <n v="37"/>
    <n v="680.01049531459171"/>
    <n v="25160.388326639892"/>
  </r>
  <r>
    <s v="001"/>
    <s v="FARMACIA CENTRAL                                  "/>
    <x v="0"/>
    <x v="0"/>
    <s v="20104687-1"/>
    <s v="CEFTRIAXONA 1 g Polvo para reconstituir a solución inyectable"/>
    <s v=""/>
    <s v=""/>
    <s v=""/>
    <s v=""/>
    <s v="1 g"/>
    <n v="37"/>
    <n v="1373.1057627118644"/>
    <n v="50804.913220338982"/>
  </r>
  <r>
    <s v="002"/>
    <s v="FARMACIA DE CIRUGIA                               "/>
    <x v="0"/>
    <x v="0"/>
    <s v="19979158-5"/>
    <s v="SODIO CLORURO 0.9% 1000ML FCO"/>
    <s v=""/>
    <s v=""/>
    <s v=""/>
    <s v=""/>
    <s v="0.9 % - 1000 ML"/>
    <n v="37"/>
    <n v="2217"/>
    <n v="82029"/>
  </r>
  <r>
    <s v="001"/>
    <s v="FARMACIA CENTRAL                                  "/>
    <x v="0"/>
    <x v="0"/>
    <s v="19942695-02"/>
    <s v="SODIO CLORURO  0.45 % Solución inyectable x 500 ml"/>
    <s v=""/>
    <s v=""/>
    <s v=""/>
    <s v=""/>
    <s v="0.45% - 500 ML"/>
    <n v="37"/>
    <n v="3295.3123287671233"/>
    <n v="121926.55616438355"/>
  </r>
  <r>
    <s v="001"/>
    <s v="FARMACIA CENTRAL                                  "/>
    <x v="0"/>
    <x v="0"/>
    <s v="19940454-01"/>
    <s v="ACETILCISTEINA 300 mg / 3 ml Solución inyectable"/>
    <s v=""/>
    <s v=""/>
    <s v=""/>
    <s v=""/>
    <s v="300 mg / 3ml"/>
    <n v="37"/>
    <n v="5391.8858064516126"/>
    <n v="199499.77483870968"/>
  </r>
  <r>
    <s v="001"/>
    <s v="FARMACIA CENTRAL                                  "/>
    <x v="0"/>
    <x v="0"/>
    <s v="19945134-05"/>
    <s v="ACICLOVIR 250 mg Polvo para Inyección"/>
    <s v=""/>
    <s v=""/>
    <s v=""/>
    <s v=""/>
    <s v="250 mg"/>
    <n v="37"/>
    <n v="12094.82865671642"/>
    <n v="447508.66029850743"/>
  </r>
  <r>
    <s v="001"/>
    <s v="FARMACIA CENTRAL                                  "/>
    <x v="8"/>
    <x v="8"/>
    <s v="19995297-01"/>
    <s v="HEPARINA SODICA 5.000 UI/ ML Solución Inyectable"/>
    <s v=""/>
    <s v=""/>
    <s v=""/>
    <s v=""/>
    <s v="5.000 UI/ ML"/>
    <n v="37"/>
    <n v="18540.913461538461"/>
    <n v="686013.79807692301"/>
  </r>
  <r>
    <s v="001"/>
    <s v="FARMACIA CENTRAL                                  "/>
    <x v="0"/>
    <x v="0"/>
    <s v="19934690-01"/>
    <s v="CALCITRIOL 0.25 mcg Cápsula"/>
    <s v=""/>
    <s v=""/>
    <s v=""/>
    <s v=""/>
    <s v="0.25 mcg"/>
    <n v="38"/>
    <n v="154.09691176470588"/>
    <n v="5855.6826470588203"/>
  </r>
  <r>
    <s v="002"/>
    <s v="FARMACIA DE CIRUGIA                               "/>
    <x v="2"/>
    <x v="2"/>
    <s v="XG000028"/>
    <s v="HOJA BISTURI # 15 *100"/>
    <s v=""/>
    <s v=""/>
    <s v="006"/>
    <s v="Unidad"/>
    <s v=""/>
    <n v="38"/>
    <n v="285.17608450704222"/>
    <n v="10836.691211267609"/>
  </r>
  <r>
    <s v="001"/>
    <s v="FARMACIA CENTRAL                                  "/>
    <x v="8"/>
    <x v="8"/>
    <s v="20139305-4"/>
    <s v="APIXABAN 2.5 mg Tabletas Recubiertas"/>
    <s v=""/>
    <s v=""/>
    <s v=""/>
    <s v=""/>
    <s v="2,5 mg"/>
    <n v="38"/>
    <n v="2862.134705882353"/>
    <n v="108761.1188235294"/>
  </r>
  <r>
    <s v="001"/>
    <s v="FARMACIA CENTRAL                                  "/>
    <x v="0"/>
    <x v="0"/>
    <s v="20025310-02"/>
    <s v="NIFEDIPINA 30 mg Cápsula"/>
    <s v=""/>
    <s v=""/>
    <s v=""/>
    <s v=""/>
    <s v="30 mg"/>
    <n v="39"/>
    <n v="154"/>
    <n v="6006"/>
  </r>
  <r>
    <s v="001"/>
    <s v="FARMACIA CENTRAL                                  "/>
    <x v="0"/>
    <x v="0"/>
    <s v="20001515-03"/>
    <s v="LAMOTRIGINA 100 mg Tableta"/>
    <s v=""/>
    <s v=""/>
    <s v=""/>
    <s v=""/>
    <s v="100 mg"/>
    <n v="39"/>
    <n v="207.41025641025641"/>
    <n v="8089"/>
  </r>
  <r>
    <s v="001"/>
    <s v="FARMACIA CENTRAL                                  "/>
    <x v="0"/>
    <x v="0"/>
    <s v="32606-03"/>
    <s v="LACTATO RINGER solución inyectable Bolsa  1000 mL"/>
    <s v=""/>
    <s v=""/>
    <s v=""/>
    <s v=""/>
    <s v="1000 ml"/>
    <n v="39"/>
    <n v="4725.6135897435897"/>
    <n v="184298.93"/>
  </r>
  <r>
    <s v="005"/>
    <s v="ALMACEN MEDICAMENTOS"/>
    <x v="0"/>
    <x v="0"/>
    <s v="20068276-03"/>
    <s v="DOBUTAMINA 250 mg / 20 ml Solución Inyectable"/>
    <s v=""/>
    <s v=""/>
    <s v=""/>
    <s v=""/>
    <s v="250 mg-20ml"/>
    <n v="39"/>
    <n v="7374.5791666666673"/>
    <n v="287608.58750000002"/>
  </r>
  <r>
    <s v="001"/>
    <s v="FARMACIA CENTRAL                                  "/>
    <x v="0"/>
    <x v="0"/>
    <s v="20046007-02"/>
    <s v="TOXOIDE TETANICO 0.5 ml Suspensión Inyectable"/>
    <s v=""/>
    <s v=""/>
    <s v=""/>
    <s v=""/>
    <s v="0.5 ml"/>
    <n v="39"/>
    <n v="10568.195128205127"/>
    <n v="412159.61"/>
  </r>
  <r>
    <s v="006"/>
    <s v="ALMACEN MEDICOQUIRURGICOS   "/>
    <x v="2"/>
    <x v="2"/>
    <s v="XD000017"/>
    <s v="BOLSA VACIA PARA ADMINISTRACION DE ENEMA 1500ML PARA ADMINISTRACION ENEMA-BRD0021"/>
    <s v=""/>
    <s v=""/>
    <s v="006"/>
    <s v="Unidad"/>
    <s v=""/>
    <n v="39"/>
    <n v="34900.803023255816"/>
    <n v="1361131.3179069769"/>
  </r>
  <r>
    <s v="005"/>
    <s v="ALMACEN MEDICAMENTOS"/>
    <x v="0"/>
    <x v="0"/>
    <s v="20138304-3"/>
    <s v="ACIDO GADOTERICO 279 mg/mL  Solución Inyectable Fco 15 mL"/>
    <s v=""/>
    <s v=""/>
    <s v=""/>
    <s v=""/>
    <s v="279 mg/mL"/>
    <n v="39"/>
    <n v="60000"/>
    <n v="2340000"/>
  </r>
  <r>
    <s v="005"/>
    <s v="ALMACEN MEDICAMENTOS"/>
    <x v="0"/>
    <x v="0"/>
    <s v="19931153-04"/>
    <s v="COLCHICINA 0.5 mg Tableta"/>
    <s v=""/>
    <s v=""/>
    <s v=""/>
    <s v=""/>
    <s v="0.5 mg"/>
    <n v="40"/>
    <n v="65"/>
    <n v="2600"/>
  </r>
  <r>
    <s v="001"/>
    <s v="FARMACIA CENTRAL                                  "/>
    <x v="0"/>
    <x v="0"/>
    <s v="19907962-4"/>
    <s v="HIDROXICINA 25 mg Tableta"/>
    <s v=""/>
    <s v=""/>
    <s v=""/>
    <s v=""/>
    <s v="25 mg"/>
    <n v="40"/>
    <n v="106"/>
    <n v="4240"/>
  </r>
  <r>
    <s v="001"/>
    <s v="FARMACIA CENTRAL                                  "/>
    <x v="2"/>
    <x v="2"/>
    <s v="XG000005"/>
    <s v="AGUJA DESECHABLE # 22 G.X 1-1/2*100"/>
    <s v=""/>
    <s v=""/>
    <s v="006"/>
    <s v="Unidad"/>
    <s v=""/>
    <n v="40"/>
    <n v="127.0005303030303"/>
    <n v="5080.0212121212098"/>
  </r>
  <r>
    <s v="005"/>
    <s v="ALMACEN MEDICAMENTOS"/>
    <x v="3"/>
    <x v="3"/>
    <s v="19973372-03"/>
    <s v="CLOROQUINA FOSFATO  250 mg  Tableta"/>
    <s v=""/>
    <s v=""/>
    <s v=""/>
    <s v=""/>
    <s v="250mg"/>
    <n v="40"/>
    <n v="156.63999999999999"/>
    <n v="6265.6"/>
  </r>
  <r>
    <s v="001"/>
    <s v="FARMACIA CENTRAL                                  "/>
    <x v="2"/>
    <x v="2"/>
    <s v="XG000029"/>
    <s v="HOJA BISTURI # 20 *100"/>
    <s v=""/>
    <s v=""/>
    <s v="006"/>
    <s v="Unidad"/>
    <s v=""/>
    <n v="40"/>
    <n v="364.64433544303796"/>
    <n v="14585.773417721521"/>
  </r>
  <r>
    <s v="005"/>
    <s v="ALMACEN MEDICAMENTOS"/>
    <x v="0"/>
    <x v="0"/>
    <s v="20003209-01"/>
    <s v="VENLAFAXINA 75 mg Tableta de Liberación prolongada"/>
    <s v=""/>
    <s v=""/>
    <s v=""/>
    <s v=""/>
    <s v="75 mg"/>
    <n v="40"/>
    <n v="692.7641509433962"/>
    <n v="27710.566037735851"/>
  </r>
  <r>
    <s v="005"/>
    <s v="ALMACEN MEDICAMENTOS"/>
    <x v="0"/>
    <x v="0"/>
    <s v="19961676-01"/>
    <s v="ACETAZOLAMIDA 250mg tableta"/>
    <s v=""/>
    <s v=""/>
    <s v=""/>
    <s v=""/>
    <s v="250 mg"/>
    <n v="40"/>
    <n v="696"/>
    <n v="27840"/>
  </r>
  <r>
    <s v="005"/>
    <s v="ALMACEN MEDICAMENTOS"/>
    <x v="0"/>
    <x v="0"/>
    <s v="19999057-01"/>
    <s v="PIRIDOSTIGMINA 60 mg Tableta"/>
    <s v=""/>
    <s v=""/>
    <s v=""/>
    <s v=""/>
    <s v="60 mg"/>
    <n v="40"/>
    <n v="1117.5525423728814"/>
    <n v="44702.101694915247"/>
  </r>
  <r>
    <s v="001"/>
    <s v="FARMACIA CENTRAL                                  "/>
    <x v="0"/>
    <x v="0"/>
    <s v="225064-07"/>
    <s v="HIOSCINA N BUTIL BROMURO 20 mg / ml Solución inyectable"/>
    <s v=""/>
    <s v=""/>
    <s v=""/>
    <s v=""/>
    <s v="20 mg / ml"/>
    <n v="40"/>
    <n v="1412.8823529411766"/>
    <n v="56515.294117647063"/>
  </r>
  <r>
    <s v="001"/>
    <s v="FARMACIA CENTRAL                                  "/>
    <x v="0"/>
    <x v="0"/>
    <s v="33519-01"/>
    <s v="MAGNESIO SULFATO 2 g / 10 ml Solución Inyectable"/>
    <s v=""/>
    <s v=""/>
    <s v=""/>
    <s v=""/>
    <s v="2 g / 10 ml"/>
    <n v="40"/>
    <n v="2250.2008641975308"/>
    <n v="90008.034567901224"/>
  </r>
  <r>
    <s v="005"/>
    <s v="ALMACEN MEDICAMENTOS"/>
    <x v="0"/>
    <x v="0"/>
    <s v="19980816-01"/>
    <s v="CLARITROMICINA 500 mg Tableta"/>
    <s v=""/>
    <s v=""/>
    <s v=""/>
    <s v=""/>
    <s v="500 mg"/>
    <n v="40"/>
    <n v="2395.7731958762884"/>
    <n v="95830.927835051567"/>
  </r>
  <r>
    <s v="001"/>
    <s v="FARMACIA CENTRAL                                  "/>
    <x v="0"/>
    <x v="0"/>
    <s v="1982214-02"/>
    <s v="DEXTROSA EN AGUA DESTILADA 10% Solución Inyectable 500 ml"/>
    <s v=""/>
    <s v=""/>
    <s v=""/>
    <s v=""/>
    <s v="10 % - 500 ml"/>
    <n v="40"/>
    <n v="2915.8510465116278"/>
    <n v="116634.04186046512"/>
  </r>
  <r>
    <s v="005"/>
    <s v="ALMACEN MEDICAMENTOS"/>
    <x v="0"/>
    <x v="0"/>
    <s v="1982214-02"/>
    <s v="DEXTROSA EN AGUA DESTILADA 10% Solución Inyectable 500 ml"/>
    <s v=""/>
    <s v=""/>
    <s v=""/>
    <s v=""/>
    <s v="10 % - 500 ml"/>
    <n v="40"/>
    <n v="2915.8510465116278"/>
    <n v="116634.04186046512"/>
  </r>
  <r>
    <s v="006"/>
    <s v="ALMACEN MEDICOQUIRURGICOS   "/>
    <x v="2"/>
    <x v="2"/>
    <s v="XD000107"/>
    <s v="SABANA PARA AMORTAJAR KAMBRAL BLANCO 50G-1.50M X 2.00M X 1"/>
    <s v=""/>
    <s v=""/>
    <s v="006"/>
    <s v="Unidad"/>
    <s v=""/>
    <n v="40"/>
    <n v="3639.3177049180331"/>
    <n v="145572.70819672133"/>
  </r>
  <r>
    <s v="006"/>
    <s v="ALMACEN MEDICOQUIRURGICOS   "/>
    <x v="2"/>
    <x v="2"/>
    <s v="XG000011"/>
    <s v="AGUJA PARA ESTIMULACION NERVIOSA PERIFERICA STIMUPLEX CANULA G-22 X50MM 4894502 G-50 X25"/>
    <s v=""/>
    <s v=""/>
    <s v="006"/>
    <s v="Unidad"/>
    <s v=""/>
    <n v="40"/>
    <n v="19231.611836734693"/>
    <n v="769264.47346938786"/>
  </r>
  <r>
    <s v="008"/>
    <s v="ALMACEN  GENERAL                                         "/>
    <x v="1"/>
    <x v="1"/>
    <s v="AM000368"/>
    <s v="HOJA VIDEO LARINGOSCOPIO VL3D DESECHABLE"/>
    <s v=""/>
    <s v=""/>
    <s v="006"/>
    <s v="Unidad"/>
    <s v=""/>
    <n v="40"/>
    <n v="35700"/>
    <n v="1428000"/>
  </r>
  <r>
    <s v="006"/>
    <s v="ALMACEN MEDICOQUIRURGICOS   "/>
    <x v="2"/>
    <x v="2"/>
    <s v="XG000025"/>
    <s v="AGUJA ESPINAL SPINOCAN G-22 X4 3/4-120MM *25 LARGO R."/>
    <s v=""/>
    <s v=""/>
    <s v="006"/>
    <s v="Unidad"/>
    <s v=""/>
    <n v="40"/>
    <n v="35743.714285714283"/>
    <n v="1429748.5714285714"/>
  </r>
  <r>
    <s v="001"/>
    <s v="FARMACIA CENTRAL                                  "/>
    <x v="4"/>
    <x v="4"/>
    <s v="19990851-01"/>
    <s v="ANFOTERICINA B 50 mg Polvo para reconstituir a solución inyectable 10 ML"/>
    <s v=""/>
    <s v=""/>
    <s v=""/>
    <s v=""/>
    <s v="50 mg "/>
    <n v="40"/>
    <n v="45925.820999999996"/>
    <n v="1837032.84"/>
  </r>
  <r>
    <s v="007"/>
    <s v="CONSIGNACIÓN CROSSWELL                         "/>
    <x v="2"/>
    <x v="2"/>
    <s v="XA000101"/>
    <s v="APOSITO PARA HERIDAS MEPILEX BORDER HEEL 22 X 23 CM REF 282790"/>
    <s v=""/>
    <s v=""/>
    <s v="006"/>
    <s v="Unidad"/>
    <s v=""/>
    <n v="40"/>
    <n v="124027.62773584906"/>
    <n v="4961105.109433962"/>
  </r>
  <r>
    <s v="005"/>
    <s v="ALMACEN MEDICAMENTOS"/>
    <x v="4"/>
    <x v="4"/>
    <s v="20071230-01"/>
    <s v="FOSFOMICINA DISODICA 4 g Polvo para reconstituir a solución inyectable"/>
    <s v=""/>
    <s v=""/>
    <s v=""/>
    <s v=""/>
    <s v="4 g"/>
    <n v="40"/>
    <n v="309095.68122807017"/>
    <n v="12363827.249122806"/>
  </r>
  <r>
    <s v="008"/>
    <s v="ALMACEN  GENERAL                                         "/>
    <x v="12"/>
    <x v="12"/>
    <s v="AR000030"/>
    <s v="PANTY DESECHABLE MUJER"/>
    <s v=""/>
    <s v=""/>
    <s v="006"/>
    <s v="Unidad"/>
    <s v=""/>
    <n v="41"/>
    <n v="-142.6829268292683"/>
    <n v="-5850"/>
  </r>
  <r>
    <s v="001"/>
    <s v="FARMACIA CENTRAL                                  "/>
    <x v="0"/>
    <x v="0"/>
    <s v="20093160-3"/>
    <s v="PREGABALINA 150MG CAPSULAS"/>
    <s v=""/>
    <s v=""/>
    <s v=""/>
    <s v=""/>
    <s v="150MG"/>
    <n v="41"/>
    <n v="325"/>
    <n v="13325"/>
  </r>
  <r>
    <s v="008"/>
    <s v="ALMACEN  GENERAL                                         "/>
    <x v="10"/>
    <x v="10"/>
    <s v="AD000002"/>
    <s v="UNIFORME  AZUL PETROLEO 147"/>
    <s v=""/>
    <s v=""/>
    <s v="006"/>
    <s v="Unidad"/>
    <s v=""/>
    <n v="41"/>
    <n v="54296.609756097561"/>
    <n v="2226161"/>
  </r>
  <r>
    <s v="001"/>
    <s v="FARMACIA CENTRAL                                  "/>
    <x v="0"/>
    <x v="0"/>
    <s v="20019446-03"/>
    <s v="DULOXETINA 60MG CAPSULA"/>
    <s v=""/>
    <s v=""/>
    <s v=""/>
    <s v=""/>
    <s v="60MG"/>
    <n v="42"/>
    <n v="2175"/>
    <n v="91350"/>
  </r>
  <r>
    <s v="006"/>
    <s v="ALMACEN MEDICOQUIRURGICOS   "/>
    <x v="2"/>
    <x v="2"/>
    <s v="XD000125"/>
    <s v="SONDA FOLEY 18 X 5ML-2 VIAS *1"/>
    <s v=""/>
    <s v=""/>
    <s v="006"/>
    <s v="Unidad"/>
    <s v=""/>
    <n v="42"/>
    <n v="2529.7741935483873"/>
    <n v="106250.51612903226"/>
  </r>
  <r>
    <s v="006"/>
    <s v="ALMACEN MEDICOQUIRURGICOS   "/>
    <x v="2"/>
    <x v="2"/>
    <s v="XO000041"/>
    <s v="FERULA PARA DEDOS STAX  INMOVILIZADOR  DE 1 A 5"/>
    <s v=""/>
    <s v=""/>
    <s v="006"/>
    <s v="Unidad"/>
    <s v=""/>
    <n v="42"/>
    <n v="7937.304347826087"/>
    <n v="333366.78260869562"/>
  </r>
  <r>
    <s v="002"/>
    <s v="FARMACIA DE CIRUGIA                               "/>
    <x v="0"/>
    <x v="0"/>
    <s v="43735-03"/>
    <s v="LIDOCAINA HCL SIN EPINEFRINA 1% Solución Inyectable 10mL"/>
    <s v=""/>
    <s v=""/>
    <s v=""/>
    <s v=""/>
    <s v="1% - 10 ml"/>
    <n v="42"/>
    <n v="12590.576039603962"/>
    <n v="528804.19366336637"/>
  </r>
  <r>
    <s v="001"/>
    <s v="FARMACIA CENTRAL                                  "/>
    <x v="8"/>
    <x v="8"/>
    <s v="56401-02"/>
    <s v="HEPARINA DE BAJO PESO MOLECULAR 80 mg / 0.8 ml Solución inyectable"/>
    <s v=""/>
    <s v=""/>
    <s v=""/>
    <s v=""/>
    <s v="80 mg / 0.8 ml"/>
    <n v="42"/>
    <n v="18000"/>
    <n v="756000"/>
  </r>
  <r>
    <s v="006"/>
    <s v="ALMACEN MEDICOQUIRURGICOS   "/>
    <x v="2"/>
    <x v="2"/>
    <s v="XE000003"/>
    <s v="EQUIPO DE BOMBA PRIMARIO SANGUINEO REF 14211 "/>
    <s v=""/>
    <s v=""/>
    <s v="006"/>
    <s v="Unidad"/>
    <s v=""/>
    <n v="42"/>
    <n v="26677.178571428569"/>
    <n v="1120441.5"/>
  </r>
  <r>
    <s v="006"/>
    <s v="ALMACEN MEDICOQUIRURGICOS   "/>
    <x v="2"/>
    <x v="2"/>
    <s v="XD000448"/>
    <s v="BARRERA COLOSTOMIA NUTURA MOLDEABLE FLEXIBLE 57MM REF 411804-416420"/>
    <s v=""/>
    <s v=""/>
    <s v="006"/>
    <s v="Unidad"/>
    <s v=""/>
    <n v="42"/>
    <n v="30601.716744186044"/>
    <n v="1285272.1032558139"/>
  </r>
  <r>
    <s v="001"/>
    <s v="FARMACIA CENTRAL                                  "/>
    <x v="0"/>
    <x v="0"/>
    <s v="20061284-01"/>
    <s v="HALOPERIDOL 5 mg / ml Solución Inyectable"/>
    <s v=""/>
    <s v=""/>
    <s v=""/>
    <s v=""/>
    <s v="5 mg"/>
    <n v="43"/>
    <n v="1616.088181818182"/>
    <n v="69491.791818181824"/>
  </r>
  <r>
    <s v="006"/>
    <s v="ALMACEN MEDICOQUIRURGICOS   "/>
    <x v="2"/>
    <x v="2"/>
    <s v="XD000131"/>
    <s v="SONDA FOLEY 22 X30ML-2 VIAS *1"/>
    <s v=""/>
    <s v=""/>
    <s v="006"/>
    <s v="Unidad"/>
    <s v=""/>
    <n v="43"/>
    <n v="2525.5744680851062"/>
    <n v="108599.70212765956"/>
  </r>
  <r>
    <s v="008"/>
    <s v="ALMACEN  GENERAL                                         "/>
    <x v="1"/>
    <x v="1"/>
    <s v="AM000202"/>
    <s v="RESERVORIO DESECHABLE PARA OXIGENO ADULTO-AMBU"/>
    <s v=""/>
    <s v=""/>
    <s v="006"/>
    <s v="Unidad"/>
    <s v=""/>
    <n v="43"/>
    <n v="13386.360465116279"/>
    <n v="575613.5"/>
  </r>
  <r>
    <s v="006"/>
    <s v="ALMACEN MEDICOQUIRURGICOS   "/>
    <x v="2"/>
    <x v="2"/>
    <s v="XG000021"/>
    <s v="AGUJA ESPINAL SPINOCAN  G-22 X 3-1/2 X88MM X25U"/>
    <s v=""/>
    <s v=""/>
    <s v="006"/>
    <s v="Unidad"/>
    <s v=""/>
    <n v="43"/>
    <n v="20041.854637681161"/>
    <n v="861799.74942028988"/>
  </r>
  <r>
    <s v="006"/>
    <s v="ALMACEN MEDICOQUIRURGICOS   "/>
    <x v="2"/>
    <x v="2"/>
    <s v="XE000010"/>
    <s v="EQUIPO FREEGO BOLSA(S810) 1.5LITRO *30"/>
    <s v=""/>
    <s v=""/>
    <s v="006"/>
    <s v="Unidad"/>
    <s v=""/>
    <n v="43"/>
    <n v="21103.222727272725"/>
    <n v="907438.57727272715"/>
  </r>
  <r>
    <s v="001"/>
    <s v="FARMACIA CENTRAL                                  "/>
    <x v="2"/>
    <x v="2"/>
    <s v="XA000013"/>
    <s v="APOSITO TRANSPARENTE I.V ADVANCE 8.5 X 11.5"/>
    <s v=""/>
    <s v=""/>
    <s v="006"/>
    <s v="Unidad"/>
    <s v=""/>
    <n v="44"/>
    <n v="-1276.1739304812834"/>
    <n v="-56151.652941176471"/>
  </r>
  <r>
    <s v="001"/>
    <s v="FARMACIA CENTRAL                                  "/>
    <x v="0"/>
    <x v="0"/>
    <s v="19999947-10"/>
    <s v="TRIMEBUTINA 200 mg Tableta"/>
    <s v=""/>
    <s v=""/>
    <s v=""/>
    <s v=""/>
    <s v="200 mg"/>
    <n v="44"/>
    <n v="286.69884615384615"/>
    <n v="12614.74923076923"/>
  </r>
  <r>
    <s v="001"/>
    <s v="FARMACIA CENTRAL                                  "/>
    <x v="0"/>
    <x v="0"/>
    <s v="20032463-03"/>
    <s v="ADRENALINA Solución inyectable 1 mg / ml"/>
    <s v=""/>
    <s v=""/>
    <s v=""/>
    <s v=""/>
    <s v="1 mg / ml"/>
    <n v="44"/>
    <n v="868.85911602209944"/>
    <n v="38229.801104972379"/>
  </r>
  <r>
    <s v="001"/>
    <s v="FARMACIA CENTRAL                                  "/>
    <x v="16"/>
    <x v="16"/>
    <s v="20092764-02"/>
    <s v="EMTRICITABINA + TENOFOVIR  200 + 300 mg Tabletas recubiertas "/>
    <s v=""/>
    <s v=""/>
    <s v=""/>
    <s v=""/>
    <s v="200 + 300  mg"/>
    <n v="44"/>
    <n v="1477.5263636363636"/>
    <n v="65011.16"/>
  </r>
  <r>
    <s v="001"/>
    <s v="FARMACIA CENTRAL                                  "/>
    <x v="0"/>
    <x v="0"/>
    <s v="19975048-01"/>
    <s v="SITAGLIPTINA 100MG TABLETAS"/>
    <s v=""/>
    <s v=""/>
    <s v=""/>
    <s v=""/>
    <s v="100MG"/>
    <n v="44"/>
    <n v="3398.8602777777778"/>
    <n v="149549.85222222222"/>
  </r>
  <r>
    <s v="006"/>
    <s v="ALMACEN MEDICOQUIRURGICOS   "/>
    <x v="2"/>
    <x v="2"/>
    <s v="XJ000016"/>
    <s v="JERINGA PARA  IRRIGACION DE BOLA X1 ASEPTO"/>
    <s v=""/>
    <s v=""/>
    <s v="006"/>
    <s v="Unidad"/>
    <s v=""/>
    <n v="44"/>
    <n v="6053.3708333333334"/>
    <n v="266348.31666666665"/>
  </r>
  <r>
    <s v="006"/>
    <s v="ALMACEN MEDICOQUIRURGICOS   "/>
    <x v="2"/>
    <x v="2"/>
    <s v="XD000453"/>
    <s v="MARCADOR QUIRURGICO ESTERIL VIOLETA"/>
    <s v=""/>
    <s v=""/>
    <s v="006"/>
    <s v="Unidad"/>
    <s v=""/>
    <n v="44"/>
    <n v="6664"/>
    <n v="293216"/>
  </r>
  <r>
    <s v="001"/>
    <s v="FARMACIA CENTRAL                                  "/>
    <x v="0"/>
    <x v="0"/>
    <s v="19990584-03"/>
    <s v="MOSAPRIDA CITRATO 5 mg Tableta"/>
    <s v=""/>
    <s v=""/>
    <s v=""/>
    <s v=""/>
    <s v="5 mg"/>
    <n v="45"/>
    <n v="406.32"/>
    <n v="18284.400000000001"/>
  </r>
  <r>
    <s v="002"/>
    <s v="FARMACIA DE CIRUGIA                               "/>
    <x v="0"/>
    <x v="0"/>
    <s v="20041806-01"/>
    <s v="AGUA ESTERIL PARA INYECCION 5ml Solución Inyectable"/>
    <s v=""/>
    <s v=""/>
    <s v=""/>
    <s v=""/>
    <s v="5 ML "/>
    <n v="45"/>
    <n v="549.51703673469387"/>
    <n v="24728.266653061219"/>
  </r>
  <r>
    <s v="001"/>
    <s v="FARMACIA CENTRAL                                  "/>
    <x v="0"/>
    <x v="0"/>
    <s v="19999459-02"/>
    <s v="QUETIAPINA 50MG LIBERACION SOSTENIDA"/>
    <s v=""/>
    <s v=""/>
    <s v=""/>
    <s v=""/>
    <s v="50"/>
    <n v="45"/>
    <n v="777.09568627450983"/>
    <n v="34969.305882352943"/>
  </r>
  <r>
    <s v="002"/>
    <s v="FARMACIA DE CIRUGIA                               "/>
    <x v="2"/>
    <x v="2"/>
    <s v="XE000014"/>
    <s v="EXTENSION DE ANESTESIA-ARCO473P CAJA X100 EA"/>
    <s v=""/>
    <s v=""/>
    <s v="006"/>
    <s v="Unidad"/>
    <s v=""/>
    <n v="45"/>
    <n v="789.38775295663606"/>
    <n v="35522.448883048623"/>
  </r>
  <r>
    <s v="001"/>
    <s v="FARMACIA CENTRAL                                  "/>
    <x v="3"/>
    <x v="3"/>
    <s v="20028350-03"/>
    <s v="NITAZOXANIDA 500 mg Tableta "/>
    <s v=""/>
    <s v=""/>
    <s v=""/>
    <s v=""/>
    <s v="500 mg"/>
    <n v="45"/>
    <n v="904.96875968992242"/>
    <n v="40723.59418604651"/>
  </r>
  <r>
    <s v="006"/>
    <s v="ALMACEN MEDICOQUIRURGICOS   "/>
    <x v="2"/>
    <x v="2"/>
    <s v="XJ000014"/>
    <s v="JERINGA DESECHABLE 50ML-C/A-3 PARTES X 100"/>
    <s v=""/>
    <s v=""/>
    <s v="006"/>
    <s v="Unidad"/>
    <s v=""/>
    <n v="45"/>
    <n v="1323.9450549450551"/>
    <n v="59577.527472527472"/>
  </r>
  <r>
    <s v="006"/>
    <s v="ALMACEN MEDICOQUIRURGICOS   "/>
    <x v="2"/>
    <x v="2"/>
    <s v="XJ000007"/>
    <s v="CATETERES PERIFERICOS INTRAVENOSOS INSYTE #24*50"/>
    <s v=""/>
    <s v=""/>
    <s v="006"/>
    <s v="Unidad"/>
    <s v=""/>
    <n v="45"/>
    <n v="2022.0220430107527"/>
    <n v="90990.991935483878"/>
  </r>
  <r>
    <s v="001"/>
    <s v="FARMACIA CENTRAL                                  "/>
    <x v="0"/>
    <x v="0"/>
    <s v="1982214-01"/>
    <s v="DEXTROSA EN AGUA DESTILADA  AL 10% bolsa  250"/>
    <s v=""/>
    <s v=""/>
    <s v=""/>
    <s v=""/>
    <s v="250ML"/>
    <n v="45"/>
    <n v="2612.5223999999998"/>
    <n v="117563.508"/>
  </r>
  <r>
    <s v="043"/>
    <s v="BODEGA DE CENTRAL DE MEZCLAS"/>
    <x v="0"/>
    <x v="0"/>
    <s v="29523-04"/>
    <s v="SODIO CLORURO 0.9 % Solución Inyectable Bolsa 250 ml"/>
    <s v=""/>
    <s v=""/>
    <s v=""/>
    <s v=""/>
    <s v="0.9 % - 250 ML"/>
    <n v="45"/>
    <n v="2733.4718861209963"/>
    <n v="123006.23487544485"/>
  </r>
  <r>
    <s v="001"/>
    <s v="FARMACIA CENTRAL                                  "/>
    <x v="2"/>
    <x v="2"/>
    <s v="XE000006"/>
    <s v="EQUIPO BURETROL 150ML (ARC2421) *40"/>
    <s v=""/>
    <s v=""/>
    <s v="006"/>
    <s v="Unidad"/>
    <s v=""/>
    <n v="45"/>
    <n v="2850.6473571428573"/>
    <n v="128279.13107142856"/>
  </r>
  <r>
    <s v="008"/>
    <s v="ALMACEN  GENERAL                                         "/>
    <x v="5"/>
    <x v="5"/>
    <s v="AP000023"/>
    <s v="CINTA DE ENMASCARAR 18MM X 40 M"/>
    <s v=""/>
    <s v=""/>
    <s v="006"/>
    <s v="Unidad"/>
    <s v=""/>
    <n v="45"/>
    <n v="2996.316888888889"/>
    <n v="134834.26"/>
  </r>
  <r>
    <s v="005"/>
    <s v="ALMACEN MEDICAMENTOS"/>
    <x v="0"/>
    <x v="0"/>
    <s v="19954947-10"/>
    <s v="AGUA ESTERIL PARA IRRIGACION 3000 ml"/>
    <s v=""/>
    <s v=""/>
    <s v=""/>
    <s v=""/>
    <s v="3000 ml"/>
    <n v="45"/>
    <n v="19312.63109090909"/>
    <n v="869068.39909090917"/>
  </r>
  <r>
    <s v="006"/>
    <s v="ALMACEN MEDICOQUIRURGICOS   "/>
    <x v="2"/>
    <x v="2"/>
    <s v="XE000011"/>
    <s v="EQUIPO FREEGO PUNZON REFS790  ENTERAL *30"/>
    <s v=""/>
    <s v=""/>
    <s v="006"/>
    <s v="Unidad"/>
    <s v=""/>
    <n v="45"/>
    <n v="21070.163559322034"/>
    <n v="948157.3601694915"/>
  </r>
  <r>
    <s v="006"/>
    <s v="ALMACEN MEDICOQUIRURGICOS   "/>
    <x v="2"/>
    <x v="2"/>
    <s v="XD000108"/>
    <s v="SET DE ANESTESIA EPIDURAL PERIFIX-301-401 G-18 L.O.R."/>
    <s v=""/>
    <s v=""/>
    <s v="006"/>
    <s v="Unidad"/>
    <s v=""/>
    <n v="45"/>
    <n v="41633.914042553188"/>
    <n v="1873526.1319148939"/>
  </r>
  <r>
    <s v="001"/>
    <s v="FARMACIA CENTRAL                                  "/>
    <x v="4"/>
    <x v="4"/>
    <s v="19917457-04"/>
    <s v="DESMOPRESINA ACETATO 15 mcg / 1 ml Solución inyectable"/>
    <s v=""/>
    <s v=""/>
    <s v=""/>
    <s v=""/>
    <s v="15 mcg"/>
    <n v="45"/>
    <n v="75478.449777777772"/>
    <n v="3396530.24"/>
  </r>
  <r>
    <s v="008"/>
    <s v="ALMACEN  GENERAL                                         "/>
    <x v="1"/>
    <x v="1"/>
    <s v="AM000257"/>
    <s v="TRAMPA DE AGUA D-FEND HEMBRA/NEGRA CO2 GE REF 876446-HEL"/>
    <s v=""/>
    <s v=""/>
    <s v="006"/>
    <s v="Unidad"/>
    <s v=""/>
    <n v="45"/>
    <n v="121814.95555555556"/>
    <n v="5481673"/>
  </r>
  <r>
    <s v="008"/>
    <s v="ALMACEN  GENERAL                                         "/>
    <x v="5"/>
    <x v="5"/>
    <s v="AP000136"/>
    <s v="GANCHOS NODRIZA X1 UNIDADES-EAGLE"/>
    <s v=""/>
    <s v=""/>
    <s v="006"/>
    <s v="Unidad"/>
    <s v=""/>
    <n v="46"/>
    <n v="-17.217391304347824"/>
    <n v="-792"/>
  </r>
  <r>
    <s v="001"/>
    <s v="FARMACIA CENTRAL                                  "/>
    <x v="0"/>
    <x v="0"/>
    <s v="20094213-01"/>
    <s v="BISOPROLOL FUMARATO 2.5 mg Tableta "/>
    <s v=""/>
    <s v=""/>
    <s v=""/>
    <s v=""/>
    <s v="2.5 mg"/>
    <n v="46"/>
    <n v="297.4304347826087"/>
    <n v="13681.8"/>
  </r>
  <r>
    <s v="001"/>
    <s v="FARMACIA CENTRAL                                  "/>
    <x v="0"/>
    <x v="0"/>
    <s v="225392-02"/>
    <s v="TOPIRAMATO 50 mg Tableta"/>
    <s v=""/>
    <s v=""/>
    <s v=""/>
    <s v=""/>
    <s v="50 MG"/>
    <n v="46"/>
    <n v="905.40782608695656"/>
    <n v="41648.76"/>
  </r>
  <r>
    <s v="001"/>
    <s v="FARMACIA CENTRAL                                  "/>
    <x v="2"/>
    <x v="2"/>
    <s v="XT000084"/>
    <s v="SONDA PARA SUCCION(OJO DE PESCADO)-16FR-60CM*1"/>
    <s v=""/>
    <s v=""/>
    <s v="006"/>
    <s v="Unidad"/>
    <s v=""/>
    <n v="46"/>
    <n v="997.91805460750845"/>
    <n v="45904.230511945389"/>
  </r>
  <r>
    <s v="002"/>
    <s v="FARMACIA DE CIRUGIA                               "/>
    <x v="0"/>
    <x v="0"/>
    <s v="29523-03"/>
    <s v="SODIO CLORURO 0.9 % Solución Inyectable x 100 ml"/>
    <s v=""/>
    <s v=""/>
    <s v=""/>
    <s v=""/>
    <s v="0.9 % - 100 ML"/>
    <n v="46"/>
    <n v="2206.7211700182816"/>
    <n v="101509.17382084097"/>
  </r>
  <r>
    <s v="002"/>
    <s v="FARMACIA DE CIRUGIA                               "/>
    <x v="2"/>
    <x v="2"/>
    <s v="XV000018"/>
    <s v="VENDA ELASTICA 6 X 5 *1 UNIDAD"/>
    <s v=""/>
    <s v=""/>
    <s v="006"/>
    <s v="Unidad"/>
    <s v=""/>
    <n v="46"/>
    <n v="2314.879117647059"/>
    <n v="106484.43941176472"/>
  </r>
  <r>
    <s v="052"/>
    <s v="CONSIGNACION LM INSTRUMENS S.A"/>
    <x v="2"/>
    <x v="2"/>
    <s v="XT000028"/>
    <s v="SISTEMA SUCCION ADAPTADOR #14 TRAQUEAL CERRADA LARGA"/>
    <s v=""/>
    <s v=""/>
    <s v="006"/>
    <s v="Unidad"/>
    <s v=""/>
    <n v="47"/>
    <n v="-123798.43206896551"/>
    <n v="-5818526.3072413802"/>
  </r>
  <r>
    <s v="001"/>
    <s v="FARMACIA CENTRAL                                  "/>
    <x v="0"/>
    <x v="0"/>
    <s v="212764-10"/>
    <s v="HIDROCLOROTIAZIDA 25 mg Tableta"/>
    <s v=""/>
    <s v=""/>
    <s v=""/>
    <s v=""/>
    <s v="25 mg"/>
    <n v="47"/>
    <n v="11.25531914893617"/>
    <n v="529"/>
  </r>
  <r>
    <s v="001"/>
    <s v="FARMACIA CENTRAL                                  "/>
    <x v="0"/>
    <x v="0"/>
    <s v="54972-03"/>
    <s v="CAPTOPRIL 25 mg Tableta"/>
    <s v=""/>
    <s v=""/>
    <s v=""/>
    <s v=""/>
    <s v="25 mg"/>
    <n v="47"/>
    <n v="56"/>
    <n v="2632"/>
  </r>
  <r>
    <s v="001"/>
    <s v="FARMACIA CENTRAL                                  "/>
    <x v="0"/>
    <x v="0"/>
    <s v="19914682-01"/>
    <s v="CELECOXIB 100 mg Cápsula"/>
    <s v=""/>
    <s v=""/>
    <s v=""/>
    <s v=""/>
    <s v="100 MG"/>
    <n v="47"/>
    <n v="1101.4140969162995"/>
    <n v="51766.462555066078"/>
  </r>
  <r>
    <s v="005"/>
    <s v="ALMACEN MEDICAMENTOS"/>
    <x v="0"/>
    <x v="0"/>
    <s v="19970681-01"/>
    <s v="CLINDAMICINA 300 mg Cápsula "/>
    <s v=""/>
    <s v=""/>
    <s v=""/>
    <s v=""/>
    <s v="300 mg"/>
    <n v="48"/>
    <n v="632.06947368421061"/>
    <n v="30339.334736842109"/>
  </r>
  <r>
    <s v="005"/>
    <s v="ALMACEN MEDICAMENTOS"/>
    <x v="0"/>
    <x v="0"/>
    <s v="19930287-01"/>
    <s v="ATROPINA SULFATO 1mg / ml Solución inyectable"/>
    <s v=""/>
    <s v=""/>
    <s v=""/>
    <s v=""/>
    <s v="1mg / ml"/>
    <n v="48"/>
    <n v="958.57"/>
    <n v="46011.360000000001"/>
  </r>
  <r>
    <s v="001"/>
    <s v="FARMACIA CENTRAL                                  "/>
    <x v="3"/>
    <x v="3"/>
    <s v="19965102-02"/>
    <s v="DOXICICLINA 100 mg Tableta o Cápsula"/>
    <s v=""/>
    <s v=""/>
    <s v=""/>
    <s v=""/>
    <s v="100 mg"/>
    <n v="48"/>
    <n v="1329.375"/>
    <n v="63810"/>
  </r>
  <r>
    <s v="002"/>
    <s v="FARMACIA DE CIRUGIA                               "/>
    <x v="2"/>
    <x v="2"/>
    <s v="XV000002"/>
    <s v="VENDA DE ALGODON 4 X 5 *1 LAMINADO"/>
    <s v=""/>
    <s v=""/>
    <s v="006"/>
    <s v="Unidad"/>
    <s v=""/>
    <n v="48"/>
    <n v="1697.6609375"/>
    <n v="81487.725000000006"/>
  </r>
  <r>
    <s v="006"/>
    <s v="ALMACEN MEDICOQUIRURGICOS   "/>
    <x v="2"/>
    <x v="2"/>
    <s v="XD000122"/>
    <s v="SONDA FOLEY 16 X 5ML-2 VIAS *1"/>
    <s v=""/>
    <s v=""/>
    <s v="006"/>
    <s v="Unidad"/>
    <s v=""/>
    <n v="48"/>
    <n v="2343.1153424657537"/>
    <n v="112469.53643835615"/>
  </r>
  <r>
    <s v="005"/>
    <s v="ALMACEN MEDICAMENTOS"/>
    <x v="0"/>
    <x v="0"/>
    <s v="52033-04"/>
    <s v="BUPIVACAINA CLORHIDRATO 0.5 % Solución inyectable 10 ML"/>
    <s v=""/>
    <s v=""/>
    <s v=""/>
    <s v=""/>
    <s v="0.5% - 10 ml"/>
    <n v="48"/>
    <n v="6012.7747826086952"/>
    <n v="288613.18956521741"/>
  </r>
  <r>
    <s v="006"/>
    <s v="ALMACEN MEDICOQUIRURGICOS   "/>
    <x v="2"/>
    <x v="2"/>
    <s v="XS000114"/>
    <s v="SUTURA QUIRURGICA MONOFILAMENTE ESTERIL SINTETICO NO ABSORBIBLE 2/0 8423T CT-1 X2 DOCENAS"/>
    <s v=""/>
    <s v=""/>
    <s v="006"/>
    <s v="Unidad"/>
    <s v=""/>
    <n v="48"/>
    <n v="8151.5147058823522"/>
    <n v="391272.70588235295"/>
  </r>
  <r>
    <s v="001"/>
    <s v="FARMACIA CENTRAL                                  "/>
    <x v="2"/>
    <x v="2"/>
    <s v="XV000012"/>
    <s v="VENDA DE YESO 5P.X 5Y-II RAPIDA *1"/>
    <s v=""/>
    <s v=""/>
    <s v="006"/>
    <s v="Unidad"/>
    <s v=""/>
    <n v="48"/>
    <n v="8382.7697931034472"/>
    <n v="402372.9500689655"/>
  </r>
  <r>
    <s v="005"/>
    <s v="ALMACEN MEDICAMENTOS"/>
    <x v="14"/>
    <x v="14"/>
    <s v="150305"/>
    <s v="FRESUBIN 2 KCAL DRINK LIQUIDO BOTELLA 200 ML"/>
    <s v=""/>
    <s v=""/>
    <s v=""/>
    <s v=""/>
    <s v="200 ML"/>
    <n v="48"/>
    <n v="11445.761964285715"/>
    <n v="549396.57428571431"/>
  </r>
  <r>
    <s v="005"/>
    <s v="ALMACEN MEDICAMENTOS"/>
    <x v="0"/>
    <x v="0"/>
    <s v="43735-03"/>
    <s v="LIDOCAINA HCL SIN EPINEFRINA 1% Solución Inyectable 10mL"/>
    <s v=""/>
    <s v=""/>
    <s v=""/>
    <s v=""/>
    <s v="1% - 10 ml"/>
    <n v="48"/>
    <n v="12590.576039603962"/>
    <n v="604347.64990099007"/>
  </r>
  <r>
    <s v="005"/>
    <s v="ALMACEN MEDICAMENTOS"/>
    <x v="0"/>
    <x v="0"/>
    <s v="39007-02"/>
    <s v="BUPIVACAINA+ EPINEFRINA 0.05 g / 10ml Solución Inyectable"/>
    <s v=""/>
    <s v=""/>
    <s v=""/>
    <s v=""/>
    <s v="0.05 g / 10 ml"/>
    <n v="48"/>
    <n v="23075.342133333332"/>
    <n v="1107616.4224"/>
  </r>
  <r>
    <s v="005"/>
    <s v="ALMACEN MEDICAMENTOS"/>
    <x v="0"/>
    <x v="0"/>
    <s v="20071108-01"/>
    <s v="GLICINA 1.5 % Solución para Irrigación Urológica 3000 ML"/>
    <s v=""/>
    <s v=""/>
    <s v=""/>
    <s v=""/>
    <s v="1.5 %"/>
    <n v="48"/>
    <n v="26687.623787878791"/>
    <n v="1281005.9418181817"/>
  </r>
  <r>
    <s v="006"/>
    <s v="ALMACEN MEDICOQUIRURGICOS   "/>
    <x v="2"/>
    <x v="2"/>
    <s v="XS000104"/>
    <s v="SUTURA QUIRURGICA ABSORBIBLE VICRYL 6/0 J570G S-14 X1 DOCENA"/>
    <s v=""/>
    <s v=""/>
    <s v="006"/>
    <s v="Unidad"/>
    <s v=""/>
    <n v="48"/>
    <n v="54795.059701492537"/>
    <n v="2630162.8656716421"/>
  </r>
  <r>
    <s v="006"/>
    <s v="ALMACEN MEDICOQUIRURGICOS   "/>
    <x v="2"/>
    <x v="2"/>
    <s v="XC000038"/>
    <s v="SISTEMA DE CATETER DE ACCESO ARTERIAL  SET  20gax8 REF SAC-00820"/>
    <s v=""/>
    <s v=""/>
    <s v="006"/>
    <s v="Unidad"/>
    <s v=""/>
    <n v="48"/>
    <n v="65871.580535714282"/>
    <n v="3161835.8657142855"/>
  </r>
  <r>
    <s v="008"/>
    <s v="ALMACEN  GENERAL                                         "/>
    <x v="5"/>
    <x v="5"/>
    <s v="AP000121"/>
    <s v="STIKER REF.1070 AZUL/VERDE/ROJO"/>
    <s v=""/>
    <s v=""/>
    <s v="006"/>
    <s v="Unidad"/>
    <s v=""/>
    <n v="49"/>
    <n v="7168.9865306122447"/>
    <n v="351280.34"/>
  </r>
  <r>
    <s v="001"/>
    <s v="FARMACIA CENTRAL                                  "/>
    <x v="4"/>
    <x v="4"/>
    <s v="20006437-1"/>
    <s v="PRASUGREL 10 MG"/>
    <s v=""/>
    <s v=""/>
    <s v=""/>
    <s v=""/>
    <s v="10 MG"/>
    <n v="49"/>
    <n v="8478.89"/>
    <n v="415465.61"/>
  </r>
  <r>
    <s v="006"/>
    <s v="ALMACEN MEDICOQUIRURGICOS   "/>
    <x v="2"/>
    <x v="2"/>
    <s v="XS000103"/>
    <s v="SUTURA QUIRURGICA ABSORBIBLE VICRYL 5/0-J303-RB-1CAJA X1 DOCENA"/>
    <s v=""/>
    <s v=""/>
    <s v="006"/>
    <s v="Unidad"/>
    <s v=""/>
    <n v="49"/>
    <n v="12420.510985915495"/>
    <n v="608605.03830985911"/>
  </r>
  <r>
    <s v="006"/>
    <s v="ALMACEN MEDICOQUIRURGICOS   "/>
    <x v="2"/>
    <x v="2"/>
    <s v="XD000449"/>
    <s v="BOLSA DE COLOSTOMIA NATURA 70MM REF 416422-416423/411806-421041"/>
    <s v=""/>
    <s v=""/>
    <s v="006"/>
    <s v="Unidad"/>
    <s v=""/>
    <n v="49"/>
    <n v="15370.884705882354"/>
    <n v="753173.35058823531"/>
  </r>
  <r>
    <s v="006"/>
    <s v="ALMACEN MEDICOQUIRURGICOS   "/>
    <x v="2"/>
    <x v="2"/>
    <s v="XD000446"/>
    <s v="BARRERA COLOSTOMIA NUTURA MOLDEABLE FLEXIBLE 70MM REF 411806-421041/416423-416422"/>
    <s v=""/>
    <s v=""/>
    <s v="006"/>
    <s v="Unidad"/>
    <s v=""/>
    <n v="49"/>
    <n v="27448.172352941179"/>
    <n v="1344960.4452941176"/>
  </r>
  <r>
    <s v="001"/>
    <s v="FARMACIA CENTRAL                                  "/>
    <x v="0"/>
    <x v="0"/>
    <s v="19999405-01"/>
    <s v="ENALAPRIL MALEATO 20 mg Tableta"/>
    <s v=""/>
    <s v=""/>
    <s v=""/>
    <s v=""/>
    <s v="20 mg"/>
    <n v="50"/>
    <n v="41"/>
    <n v="2050"/>
  </r>
  <r>
    <s v="005"/>
    <s v="ALMACEN MEDICAMENTOS"/>
    <x v="0"/>
    <x v="0"/>
    <s v="19999405-01"/>
    <s v="ENALAPRIL MALEATO 20 mg Tableta"/>
    <s v=""/>
    <s v=""/>
    <s v=""/>
    <s v=""/>
    <s v="20 mg"/>
    <n v="50"/>
    <n v="41"/>
    <n v="2050"/>
  </r>
  <r>
    <s v="001"/>
    <s v="FARMACIA CENTRAL                                  "/>
    <x v="0"/>
    <x v="0"/>
    <s v="19953252-04"/>
    <s v="MINOXIDIL 10 mg Tableta o Tableta Recubierta"/>
    <s v=""/>
    <s v=""/>
    <s v=""/>
    <s v=""/>
    <s v="10 mg"/>
    <n v="50"/>
    <n v="174.268"/>
    <n v="8713.4"/>
  </r>
  <r>
    <s v="005"/>
    <s v="ALMACEN MEDICAMENTOS"/>
    <x v="3"/>
    <x v="3"/>
    <s v="19988939-04"/>
    <s v="GENTAMICINA 80 mg / 2 ml Solución Inyectable"/>
    <s v=""/>
    <s v=""/>
    <s v=""/>
    <s v=""/>
    <s v="80 mg"/>
    <n v="50"/>
    <n v="756.85053571428568"/>
    <n v="37842.52678571429"/>
  </r>
  <r>
    <s v="005"/>
    <s v="ALMACEN MEDICAMENTOS"/>
    <x v="0"/>
    <x v="0"/>
    <s v="20032463-03"/>
    <s v="ADRENALINA Solución inyectable 1 mg / ml"/>
    <s v=""/>
    <s v=""/>
    <s v=""/>
    <s v=""/>
    <s v="1 mg / ml"/>
    <n v="50"/>
    <n v="868.85911602209944"/>
    <n v="43442.955801104967"/>
  </r>
  <r>
    <s v="008"/>
    <s v="ALMACEN  GENERAL                                         "/>
    <x v="5"/>
    <x v="5"/>
    <s v="AP000172"/>
    <s v="STICKERS MARCACION AMPOLLAS GRANDE X HOJA  REF 3510"/>
    <s v=""/>
    <s v=""/>
    <s v="006"/>
    <s v="Unidad"/>
    <s v=""/>
    <n v="50"/>
    <n v="1363.92"/>
    <n v="68196"/>
  </r>
  <r>
    <s v="001"/>
    <s v="FARMACIA CENTRAL                                  "/>
    <x v="3"/>
    <x v="3"/>
    <s v="20054696-2"/>
    <s v="AMPICILINA SODICA 1 g Polvo para reconstituir a solución inyectable"/>
    <s v=""/>
    <s v=""/>
    <s v=""/>
    <s v=""/>
    <s v="1 g"/>
    <n v="50"/>
    <n v="1496.0608609271524"/>
    <n v="74803.043046357619"/>
  </r>
  <r>
    <s v="001"/>
    <s v="FARMACIA CENTRAL                                  "/>
    <x v="0"/>
    <x v="0"/>
    <s v="32250-01"/>
    <s v="SODIO BICARBONATO 10 meq / 10 ml Solución inyectable"/>
    <s v=""/>
    <s v=""/>
    <s v=""/>
    <s v=""/>
    <s v="10 meq / 10 ml"/>
    <n v="50"/>
    <n v="1849.2706606606607"/>
    <n v="92463.533033033047"/>
  </r>
  <r>
    <s v="058"/>
    <s v="BODEGA SEDE QUIROIGA"/>
    <x v="0"/>
    <x v="0"/>
    <s v="29523-03"/>
    <s v="SODIO CLORURO 0.9 % Solución Inyectable x 100 ml"/>
    <s v=""/>
    <s v=""/>
    <s v=""/>
    <s v=""/>
    <s v="0.9 % - 100 ML"/>
    <n v="50"/>
    <n v="2206.7211700182816"/>
    <n v="110336.05850091408"/>
  </r>
  <r>
    <s v="005"/>
    <s v="ALMACEN MEDICAMENTOS"/>
    <x v="0"/>
    <x v="0"/>
    <s v="19940783-01"/>
    <s v="NOREPINEFRINA 4 mg / 4 ml Solución Inyectable"/>
    <s v=""/>
    <s v=""/>
    <s v=""/>
    <s v=""/>
    <s v="4 mg / 4 ml"/>
    <n v="50"/>
    <n v="2256.593404255319"/>
    <n v="112829.67021276597"/>
  </r>
  <r>
    <s v="001"/>
    <s v="FARMACIA CENTRAL                                  "/>
    <x v="0"/>
    <x v="0"/>
    <s v="19922566-09"/>
    <s v="OMEPRAZOL 40 mg Polvo para reconstituir a Solución inyectable"/>
    <s v=""/>
    <s v=""/>
    <s v=""/>
    <s v=""/>
    <s v="40 mg"/>
    <n v="50"/>
    <n v="2351.81"/>
    <n v="117590.5"/>
  </r>
  <r>
    <s v="006"/>
    <s v="ALMACEN MEDICOQUIRURGICOS   "/>
    <x v="2"/>
    <x v="2"/>
    <s v="XA000014"/>
    <s v="APOSITO TRANSPARENTE TEGADERM -10X12 REF 1626 REF 7238102"/>
    <s v=""/>
    <s v=""/>
    <s v="006"/>
    <s v="Unidad"/>
    <s v=""/>
    <n v="50"/>
    <n v="3098.8842028985509"/>
    <n v="154944.21014492755"/>
  </r>
  <r>
    <s v="001"/>
    <s v="FARMACIA CENTRAL                                  "/>
    <x v="3"/>
    <x v="3"/>
    <s v="20179998-2"/>
    <s v="CEFEPIME 1 g Polvo para reconstituir a solución inyectable"/>
    <s v=""/>
    <s v=""/>
    <s v=""/>
    <s v=""/>
    <s v="1 g"/>
    <n v="50"/>
    <n v="3545.7840999999999"/>
    <n v="177289.20499999999"/>
  </r>
  <r>
    <s v="008"/>
    <s v="ALMACEN  GENERAL                                         "/>
    <x v="1"/>
    <x v="1"/>
    <s v="AM000149"/>
    <s v="AMARRES PLASTICO CARRO DE PARO"/>
    <s v=""/>
    <s v=""/>
    <s v="006"/>
    <s v="Unidad"/>
    <s v=""/>
    <n v="50"/>
    <n v="5479.9471999999996"/>
    <n v="273997.36"/>
  </r>
  <r>
    <s v="005"/>
    <s v="ALMACEN MEDICAMENTOS"/>
    <x v="3"/>
    <x v="3"/>
    <s v="20120229-1"/>
    <s v="VANCOMICINA CLORHIDRATO 500 mg Polvo para reconstituir a solución inyectable"/>
    <s v=""/>
    <s v=""/>
    <s v=""/>
    <s v=""/>
    <s v="500 mg"/>
    <n v="50"/>
    <n v="5874.1665745856362"/>
    <n v="293708.32872928178"/>
  </r>
  <r>
    <s v="005"/>
    <s v="ALMACEN MEDICAMENTOS"/>
    <x v="0"/>
    <x v="0"/>
    <s v="19937565-3"/>
    <s v="AZTREONAM 1000 mg Polvo para reconstituir a solución inyectable"/>
    <s v=""/>
    <s v=""/>
    <s v=""/>
    <s v=""/>
    <s v="1000 mg"/>
    <n v="50"/>
    <n v="11221"/>
    <n v="561050"/>
  </r>
  <r>
    <s v="005"/>
    <s v="ALMACEN MEDICAMENTOS"/>
    <x v="0"/>
    <x v="0"/>
    <s v="19974253-02"/>
    <s v="METILPREDNISOLONA SUCCINATO 500 mg Polvo para reconstituir a solución inyectable"/>
    <s v=""/>
    <s v=""/>
    <s v=""/>
    <s v=""/>
    <s v="500 mg"/>
    <n v="50"/>
    <n v="13613.761176470589"/>
    <n v="680688.0588235294"/>
  </r>
  <r>
    <s v="005"/>
    <s v="ALMACEN MEDICAMENTOS"/>
    <x v="8"/>
    <x v="8"/>
    <s v="19995297-01"/>
    <s v="HEPARINA SODICA 5.000 UI/ ML Solución Inyectable"/>
    <s v=""/>
    <s v=""/>
    <s v=""/>
    <s v=""/>
    <s v="5.000 UI/ ML"/>
    <n v="50"/>
    <n v="18540.913461538461"/>
    <n v="927045.67307692301"/>
  </r>
  <r>
    <s v="001"/>
    <s v="FARMACIA CENTRAL                                  "/>
    <x v="0"/>
    <x v="0"/>
    <s v="19988137-11"/>
    <s v="MEMANTINA 10 mg Tableta"/>
    <s v=""/>
    <s v=""/>
    <s v=""/>
    <s v=""/>
    <s v="10 mg"/>
    <n v="51"/>
    <n v="346.33103448275858"/>
    <n v="17662.88275862069"/>
  </r>
  <r>
    <s v="005"/>
    <s v="ALMACEN MEDICAMENTOS"/>
    <x v="0"/>
    <x v="0"/>
    <s v="49611-01"/>
    <s v="BARIO SULFATO 4.97440 G/100 ML SUSPENSION ORAL BOTELLA X 225"/>
    <s v=""/>
    <s v=""/>
    <s v=""/>
    <s v=""/>
    <s v="225 ML"/>
    <n v="51"/>
    <n v="60455.142857142855"/>
    <n v="3083212.2857142854"/>
  </r>
  <r>
    <s v="059"/>
    <s v="BODEGA CUARENTENA"/>
    <x v="0"/>
    <x v="0"/>
    <s v="20014926-03"/>
    <s v="ARIPIPRAZOL 15mg Tableta"/>
    <s v=""/>
    <s v=""/>
    <s v=""/>
    <s v=""/>
    <s v="15 mg"/>
    <n v="52"/>
    <n v="650.00016129032258"/>
    <n v="33800.008387096772"/>
  </r>
  <r>
    <s v="001"/>
    <s v="FARMACIA CENTRAL                                  "/>
    <x v="0"/>
    <x v="0"/>
    <s v="20087761-02"/>
    <s v="LACTULOSA 66,7 % Solución Oral en Sobre x 15 ml"/>
    <s v=""/>
    <s v=""/>
    <s v=""/>
    <s v=""/>
    <s v="66,7 % - 15 ml"/>
    <n v="52"/>
    <n v="1750.2326724137931"/>
    <n v="91012.098965517245"/>
  </r>
  <r>
    <s v="005"/>
    <s v="ALMACEN MEDICAMENTOS"/>
    <x v="0"/>
    <x v="0"/>
    <s v="19926707-01"/>
    <s v="HIDROCORTISONA 100 mg Polvo para reconstituir a solución inyectable"/>
    <s v=""/>
    <s v=""/>
    <s v=""/>
    <s v=""/>
    <s v="100 mg"/>
    <n v="52"/>
    <n v="2420.6186170212768"/>
    <n v="125872.16808510639"/>
  </r>
  <r>
    <s v="005"/>
    <s v="ALMACEN MEDICAMENTOS"/>
    <x v="4"/>
    <x v="4"/>
    <s v="20029185-01"/>
    <s v="LINEZOLID 600 mg / 300 ml Solución Inyectable"/>
    <s v=""/>
    <s v=""/>
    <s v=""/>
    <s v=""/>
    <s v="600 mg / 300 ml"/>
    <n v="52"/>
    <n v="29979.841269841269"/>
    <n v="1558951.746031746"/>
  </r>
  <r>
    <s v="006"/>
    <s v="ALMACEN MEDICOQUIRURGICOS   "/>
    <x v="2"/>
    <x v="2"/>
    <s v="XJ000020"/>
    <s v="CUCHILLA CLIPPER CIRUGIA GENERAL  B.D X 1 REF 4406"/>
    <s v=""/>
    <s v=""/>
    <s v="006"/>
    <s v="Unidad"/>
    <s v=""/>
    <n v="52"/>
    <n v="33095.185624999998"/>
    <n v="1720949.6525000001"/>
  </r>
  <r>
    <s v="001"/>
    <s v="FARMACIA CENTRAL                                  "/>
    <x v="0"/>
    <x v="0"/>
    <s v="29523-04"/>
    <s v="SODIO CLORURO 0.9 % Solución Inyectable Bolsa 250 ml"/>
    <s v=""/>
    <s v=""/>
    <s v=""/>
    <s v=""/>
    <s v="0.9 % - 250 ML"/>
    <n v="53"/>
    <n v="2733.4718861209963"/>
    <n v="144874.00996441281"/>
  </r>
  <r>
    <s v="008"/>
    <s v="ALMACEN  GENERAL                                         "/>
    <x v="5"/>
    <x v="5"/>
    <s v="AP000061"/>
    <s v="MARCADOR SHARPIE PERMANENTE PUNTA FINA"/>
    <s v=""/>
    <s v=""/>
    <s v="006"/>
    <s v="Unidad"/>
    <s v=""/>
    <n v="53"/>
    <n v="2950.9301886792455"/>
    <n v="156399.29999999999"/>
  </r>
  <r>
    <s v="059"/>
    <s v="BODEGA CUARENTENA"/>
    <x v="6"/>
    <x v="6"/>
    <s v="20008611-01"/>
    <s v="FENOBARBITAL SODICO 40 mg / ml solucion inyectable"/>
    <s v=""/>
    <s v=""/>
    <s v=""/>
    <s v=""/>
    <s v="40 mg / ml"/>
    <n v="53"/>
    <n v="4294.8422641509433"/>
    <n v="227626.64"/>
  </r>
  <r>
    <s v="006"/>
    <s v="ALMACEN MEDICOQUIRURGICOS   "/>
    <x v="2"/>
    <x v="2"/>
    <s v="XV000013"/>
    <s v="VENDA DE YESO 6P.X 5Y-II RAPIDA *1"/>
    <s v=""/>
    <s v=""/>
    <s v="006"/>
    <s v="Unidad"/>
    <s v=""/>
    <n v="53"/>
    <n v="4557.2305263157896"/>
    <n v="241533.21789473685"/>
  </r>
  <r>
    <s v="001"/>
    <s v="FARMACIA CENTRAL                                  "/>
    <x v="0"/>
    <x v="0"/>
    <s v="20007502-5"/>
    <s v="PROPOFOL 1% Emulsión inyectable 20 ml"/>
    <s v=""/>
    <s v=""/>
    <s v=""/>
    <s v=""/>
    <s v="200mg/20ml"/>
    <n v="53"/>
    <n v="7500.3418181818188"/>
    <n v="397518.11636363633"/>
  </r>
  <r>
    <s v="008"/>
    <s v="ALMACEN  GENERAL                                         "/>
    <x v="7"/>
    <x v="7"/>
    <s v="AA000032"/>
    <s v="BOLSA PRECORTE 10'*16'TRANSP."/>
    <s v=""/>
    <s v=""/>
    <s v="006"/>
    <s v="Unidad"/>
    <s v=""/>
    <n v="53"/>
    <n v="7897.517358490566"/>
    <n v="418568.42"/>
  </r>
  <r>
    <s v="001"/>
    <s v="FARMACIA CENTRAL                                  "/>
    <x v="16"/>
    <x v="16"/>
    <s v="20071938-01"/>
    <s v="DOLUTEGRAVIR 50 mg tableta"/>
    <s v=""/>
    <s v=""/>
    <s v=""/>
    <s v=""/>
    <s v="50MG"/>
    <n v="53"/>
    <n v="14801.990943396228"/>
    <n v="784505.52"/>
  </r>
  <r>
    <s v="005"/>
    <s v="ALMACEN MEDICAMENTOS"/>
    <x v="14"/>
    <x v="14"/>
    <s v="150306"/>
    <s v="FRESUBIN 2 KCAL HP LIQUIDO EASYBAG 500 ML"/>
    <s v=""/>
    <s v=""/>
    <s v=""/>
    <s v=""/>
    <s v="500 ML"/>
    <n v="53"/>
    <n v="29499.503666666667"/>
    <n v="1563473.6943333335"/>
  </r>
  <r>
    <s v="001"/>
    <s v="FARMACIA CENTRAL                                  "/>
    <x v="0"/>
    <x v="0"/>
    <s v="20163351-1"/>
    <s v="TICAGRELOR 90MG TABLETAS"/>
    <s v=""/>
    <s v=""/>
    <s v=""/>
    <s v=""/>
    <s v="90MG"/>
    <n v="54"/>
    <n v="1537.0255263157896"/>
    <n v="82999.378421052636"/>
  </r>
  <r>
    <s v="005"/>
    <s v="ALMACEN MEDICAMENTOS"/>
    <x v="3"/>
    <x v="3"/>
    <s v="20026118-2"/>
    <s v="FLUCONAZOL 200 mg / 100 ml Solución Inyectable"/>
    <s v=""/>
    <s v=""/>
    <s v=""/>
    <s v=""/>
    <s v="200 mg / 100 ml"/>
    <n v="54"/>
    <n v="4610.7261428571428"/>
    <n v="248979.21171428572"/>
  </r>
  <r>
    <s v="001"/>
    <s v="FARMACIA CENTRAL                                  "/>
    <x v="3"/>
    <x v="3"/>
    <s v="20054318-03"/>
    <s v="CIPROFLOXACINA 500 mg Tableta"/>
    <s v=""/>
    <s v=""/>
    <s v=""/>
    <s v=""/>
    <s v="500 mg"/>
    <n v="55"/>
    <n v="210"/>
    <n v="11550"/>
  </r>
  <r>
    <s v="001"/>
    <s v="FARMACIA CENTRAL                                  "/>
    <x v="0"/>
    <x v="0"/>
    <s v="19900906-20"/>
    <s v="BIPERIDENO 2 MG TABLETA"/>
    <s v=""/>
    <s v=""/>
    <s v=""/>
    <s v=""/>
    <s v="2 MG"/>
    <n v="55"/>
    <n v="632.64"/>
    <n v="34795.199999999997"/>
  </r>
  <r>
    <s v="001"/>
    <s v="FARMACIA CENTRAL                                  "/>
    <x v="0"/>
    <x v="0"/>
    <s v="20128791-4"/>
    <s v="APIXABAN 5MG TABLETA"/>
    <s v=""/>
    <s v=""/>
    <s v=""/>
    <s v=""/>
    <s v="5MG"/>
    <n v="55"/>
    <n v="2770.1083478260871"/>
    <n v="152355.95913043479"/>
  </r>
  <r>
    <s v="001"/>
    <s v="FARMACIA CENTRAL                                  "/>
    <x v="0"/>
    <x v="0"/>
    <s v="29522-03"/>
    <s v="DEXTROSA EN AGUA DESTILADA 5%  Solución Inyectable 250 ml"/>
    <s v=""/>
    <s v=""/>
    <s v=""/>
    <s v=""/>
    <s v="5%"/>
    <n v="55"/>
    <n v="2878.8739788732396"/>
    <n v="158338.06883802815"/>
  </r>
  <r>
    <s v="008"/>
    <s v="ALMACEN  GENERAL                                         "/>
    <x v="5"/>
    <x v="5"/>
    <s v="AP000020"/>
    <s v="CINTA DE EMPAQUE"/>
    <s v=""/>
    <s v=""/>
    <s v="006"/>
    <s v="Unidad"/>
    <s v=""/>
    <n v="55"/>
    <n v="6379.8067272727276"/>
    <n v="350889.37"/>
  </r>
  <r>
    <s v="008"/>
    <s v="ALMACEN  GENERAL                                         "/>
    <x v="10"/>
    <x v="10"/>
    <s v="AD000016"/>
    <s v="GUANTE  VAQUETA TIPO INGENIERO"/>
    <s v=""/>
    <s v=""/>
    <s v="006"/>
    <s v="Unidad"/>
    <s v=""/>
    <n v="55"/>
    <n v="9535.1452727272736"/>
    <n v="524432.99"/>
  </r>
  <r>
    <s v="002"/>
    <s v="FARMACIA DE CIRUGIA                               "/>
    <x v="2"/>
    <x v="2"/>
    <s v="XG000029"/>
    <s v="HOJA BISTURI # 20 *100"/>
    <s v=""/>
    <s v=""/>
    <s v="006"/>
    <s v="Unidad"/>
    <s v=""/>
    <n v="56"/>
    <n v="364.64433544303796"/>
    <n v="20420.082784810129"/>
  </r>
  <r>
    <s v="001"/>
    <s v="FARMACIA CENTRAL                                  "/>
    <x v="3"/>
    <x v="3"/>
    <s v="20196204-2"/>
    <s v="CEFALOTINA 1 g  Polvo para reconstituir a solución inyectable"/>
    <s v=""/>
    <s v=""/>
    <s v=""/>
    <s v=""/>
    <s v="1 g"/>
    <n v="56"/>
    <n v="2319.0068493150684"/>
    <n v="129864.38356164384"/>
  </r>
  <r>
    <s v="001"/>
    <s v="FARMACIA CENTRAL                                  "/>
    <x v="0"/>
    <x v="0"/>
    <s v="20067414-11"/>
    <s v="ETORICOXIB 60MG TABLETA"/>
    <s v=""/>
    <s v=""/>
    <s v=""/>
    <s v=""/>
    <s v="60"/>
    <n v="56"/>
    <n v="4406.1625000000004"/>
    <n v="246745.1"/>
  </r>
  <r>
    <s v="005"/>
    <s v="ALMACEN MEDICAMENTOS"/>
    <x v="4"/>
    <x v="4"/>
    <s v="20067183-2"/>
    <s v="DAPAGLIFLOZINA 10 MG"/>
    <s v=""/>
    <s v=""/>
    <s v=""/>
    <s v=""/>
    <s v="10 MG"/>
    <n v="56"/>
    <n v="4715.0655462184877"/>
    <n v="264043.67058823525"/>
  </r>
  <r>
    <s v="008"/>
    <s v="ALMACEN  GENERAL                                         "/>
    <x v="5"/>
    <x v="5"/>
    <s v="AP000008"/>
    <s v="ARCHIVADOR-AZ OFICIO"/>
    <s v=""/>
    <s v=""/>
    <s v="006"/>
    <s v="Unidad"/>
    <s v=""/>
    <n v="56"/>
    <n v="5279.2330357142855"/>
    <n v="295637.05"/>
  </r>
  <r>
    <s v="001"/>
    <s v="FARMACIA CENTRAL                                  "/>
    <x v="0"/>
    <x v="0"/>
    <s v="20096205-01"/>
    <s v="VASOPRESINA 20 U.I Solución inyectable"/>
    <s v=""/>
    <s v=""/>
    <s v=""/>
    <s v=""/>
    <s v="20 UI"/>
    <n v="56"/>
    <n v="10080.152592592593"/>
    <n v="564488.54518518515"/>
  </r>
  <r>
    <s v="008"/>
    <s v="ALMACEN  GENERAL                                         "/>
    <x v="1"/>
    <x v="1"/>
    <s v="AM000185"/>
    <s v="GAFAS PROTECCION  PLASTICAS"/>
    <s v=""/>
    <s v=""/>
    <s v="006"/>
    <s v="Unidad"/>
    <s v=""/>
    <n v="56"/>
    <n v="12067.32767857143"/>
    <n v="675770.35"/>
  </r>
  <r>
    <s v="001"/>
    <s v="FARMACIA CENTRAL                                  "/>
    <x v="0"/>
    <x v="0"/>
    <s v="29653-03"/>
    <s v="METRONIDAZOL 500 mg Tableta"/>
    <s v=""/>
    <s v=""/>
    <s v=""/>
    <s v=""/>
    <s v="500 mg"/>
    <n v="57"/>
    <n v="124.23385964912281"/>
    <n v="7081.33"/>
  </r>
  <r>
    <s v="001"/>
    <s v="FARMACIA CENTRAL                                  "/>
    <x v="0"/>
    <x v="0"/>
    <s v="19980816-01"/>
    <s v="CLARITROMICINA 500 mg Tableta"/>
    <s v=""/>
    <s v=""/>
    <s v=""/>
    <s v=""/>
    <s v="500 mg"/>
    <n v="57"/>
    <n v="2395.7731958762884"/>
    <n v="136559.07216494845"/>
  </r>
  <r>
    <s v="006"/>
    <s v="ALMACEN MEDICOQUIRURGICOS   "/>
    <x v="2"/>
    <x v="2"/>
    <s v="XE000016"/>
    <s v="MICRONEBULIZADOR ADULTO SET-1885 MASC+MANG.HUDSO"/>
    <s v=""/>
    <s v=""/>
    <s v="006"/>
    <s v="Unidad"/>
    <s v=""/>
    <n v="57"/>
    <n v="3204.7664179104477"/>
    <n v="182671.68582089551"/>
  </r>
  <r>
    <s v="001"/>
    <s v="FARMACIA CENTRAL                                  "/>
    <x v="0"/>
    <x v="0"/>
    <s v="20012960-02"/>
    <s v="TRIMETOPRIM SULFAMETOXAZOL 80 mg + 400 mg /5 ml Solución inyectable"/>
    <s v=""/>
    <s v=""/>
    <s v=""/>
    <s v=""/>
    <s v="80 + 400 mg / 5 ML"/>
    <n v="57"/>
    <n v="3409.5070050761419"/>
    <n v="194341.89928934007"/>
  </r>
  <r>
    <s v="001"/>
    <s v="FARMACIA CENTRAL                                  "/>
    <x v="0"/>
    <x v="0"/>
    <s v="34016-02"/>
    <s v="BISOPROLOL FUMARATO 5 mg Tableta"/>
    <s v=""/>
    <s v=""/>
    <s v=""/>
    <s v=""/>
    <s v="5 mg"/>
    <n v="58"/>
    <n v="648.00093220338988"/>
    <n v="37584.054067796613"/>
  </r>
  <r>
    <s v="008"/>
    <s v="ALMACEN  GENERAL                                         "/>
    <x v="5"/>
    <x v="5"/>
    <s v="AP000054"/>
    <s v="GRAPAS COSEDORA STANDAR 26/6-GRAP23/08 PENMAX"/>
    <s v=""/>
    <s v=""/>
    <s v="006"/>
    <s v="Unidad"/>
    <s v=""/>
    <n v="58"/>
    <n v="4454.9077586206895"/>
    <n v="258384.65"/>
  </r>
  <r>
    <s v="001"/>
    <s v="FARMACIA CENTRAL                                  "/>
    <x v="0"/>
    <x v="0"/>
    <s v="57771-01"/>
    <s v="PROPRANOLOL CLORHIDRATO 40 mg Tableta"/>
    <s v=""/>
    <s v=""/>
    <s v=""/>
    <s v=""/>
    <s v="40 mg"/>
    <n v="59"/>
    <n v="210"/>
    <n v="12390"/>
  </r>
  <r>
    <s v="001"/>
    <s v="FARMACIA CENTRAL                                  "/>
    <x v="0"/>
    <x v="0"/>
    <s v="51715-01"/>
    <s v="ACICLOVIR 800 mg Tableta"/>
    <s v=""/>
    <s v=""/>
    <s v=""/>
    <s v=""/>
    <s v="800 mg"/>
    <n v="59"/>
    <n v="536.02531645569616"/>
    <n v="31625.493670886081"/>
  </r>
  <r>
    <s v="006"/>
    <s v="ALMACEN MEDICOQUIRURGICOS   "/>
    <x v="2"/>
    <x v="2"/>
    <s v="XJ000004"/>
    <s v="CATETERES PERIFERICOS INTRAVENOSOS INSYTE #14*50"/>
    <s v=""/>
    <s v=""/>
    <s v="006"/>
    <s v="Unidad"/>
    <s v=""/>
    <n v="59"/>
    <n v="1558.1416494845362"/>
    <n v="91930.357319587638"/>
  </r>
  <r>
    <s v="001"/>
    <s v="FARMACIA CENTRAL                                  "/>
    <x v="2"/>
    <x v="2"/>
    <s v="XD000063"/>
    <s v="GUANTE QUIRURGICO ESTERIL T-8.5 *1 PAR "/>
    <s v=""/>
    <s v=""/>
    <s v="006"/>
    <s v="Unidad"/>
    <s v=""/>
    <n v="59"/>
    <n v="1959.4821739130434"/>
    <n v="115609.44826086955"/>
  </r>
  <r>
    <s v="006"/>
    <s v="ALMACEN MEDICOQUIRURGICOS   "/>
    <x v="2"/>
    <x v="2"/>
    <s v="XV000016"/>
    <s v="VENDA ELASTICA 4 X 5 *1 UNIDAD"/>
    <s v=""/>
    <s v=""/>
    <s v="006"/>
    <s v="Unidad"/>
    <s v=""/>
    <n v="59"/>
    <n v="2641.6159235668792"/>
    <n v="155855.33949044585"/>
  </r>
  <r>
    <s v="001"/>
    <s v="FARMACIA CENTRAL                                  "/>
    <x v="8"/>
    <x v="8"/>
    <s v="56400-06"/>
    <s v="HEPARINA DE BAJO PESO MOLECULAR 60 mg / 0.6 ml Solución inyectable"/>
    <s v=""/>
    <s v=""/>
    <s v=""/>
    <s v=""/>
    <s v="60 mg /0.6 ml"/>
    <n v="59"/>
    <n v="11500"/>
    <n v="678500"/>
  </r>
  <r>
    <s v="002"/>
    <s v="FARMACIA DE CIRUGIA                               "/>
    <x v="2"/>
    <x v="2"/>
    <s v="XO000047"/>
    <s v="ALAMBRE PARA OSTEOSINTESIS X 1"/>
    <s v=""/>
    <s v=""/>
    <s v="006"/>
    <s v="Unidad"/>
    <s v=""/>
    <n v="59"/>
    <n v="43382.745762711864"/>
    <n v="2559582"/>
  </r>
  <r>
    <s v="005"/>
    <s v="ALMACEN MEDICAMENTOS"/>
    <x v="0"/>
    <x v="0"/>
    <s v="214251-07"/>
    <s v="LORATADINA 10 mg Tableta"/>
    <s v=""/>
    <s v=""/>
    <s v=""/>
    <s v=""/>
    <s v="10 mg"/>
    <n v="60"/>
    <n v="53.074179104477608"/>
    <n v="3184.4507462686602"/>
  </r>
  <r>
    <s v="005"/>
    <s v="ALMACEN MEDICAMENTOS"/>
    <x v="0"/>
    <x v="0"/>
    <s v="19907962-4"/>
    <s v="HIDROXICINA 25 mg Tableta"/>
    <s v=""/>
    <s v=""/>
    <s v=""/>
    <s v=""/>
    <s v="25 mg"/>
    <n v="60"/>
    <n v="106"/>
    <n v="6360"/>
  </r>
  <r>
    <s v="001"/>
    <s v="FARMACIA CENTRAL                                  "/>
    <x v="3"/>
    <x v="3"/>
    <s v="51063-03"/>
    <s v="TRIMETOPRIM SULFAMETOXAZOL 160 + 800 mg Tableta"/>
    <s v=""/>
    <s v=""/>
    <s v=""/>
    <s v=""/>
    <s v="160 mg + 800 mg"/>
    <n v="60"/>
    <n v="195.70400000000001"/>
    <n v="11742.24"/>
  </r>
  <r>
    <s v="005"/>
    <s v="ALMACEN MEDICAMENTOS"/>
    <x v="0"/>
    <x v="0"/>
    <s v="20025310-09"/>
    <s v="NIFEDIPINA 30 mg Cápsula"/>
    <s v=""/>
    <s v=""/>
    <s v=""/>
    <s v=""/>
    <s v="30 mg"/>
    <n v="60"/>
    <n v="201.17706666666666"/>
    <n v="12070.624"/>
  </r>
  <r>
    <s v="005"/>
    <s v="ALMACEN MEDICAMENTOS"/>
    <x v="0"/>
    <x v="0"/>
    <s v="20142721-1"/>
    <s v="IRBESARTAN 150 MG"/>
    <s v=""/>
    <s v=""/>
    <s v=""/>
    <s v=""/>
    <s v="150 mg"/>
    <n v="60"/>
    <n v="204"/>
    <n v="12240"/>
  </r>
  <r>
    <s v="005"/>
    <s v="ALMACEN MEDICAMENTOS"/>
    <x v="3"/>
    <x v="3"/>
    <s v="19948731-5"/>
    <s v="DICLOXACILINA 500 mg Cápsula"/>
    <s v=""/>
    <s v=""/>
    <s v=""/>
    <s v=""/>
    <s v="500 mg"/>
    <n v="60"/>
    <n v="214"/>
    <n v="12840"/>
  </r>
  <r>
    <s v="001"/>
    <s v="FARMACIA CENTRAL                                  "/>
    <x v="0"/>
    <x v="0"/>
    <s v="20059258-03"/>
    <s v="PREGABALINA 150MG CAPSULAS"/>
    <s v=""/>
    <s v=""/>
    <s v=""/>
    <s v=""/>
    <s v="150MG"/>
    <n v="60"/>
    <n v="235.2017222222222"/>
    <n v="14112.103333333331"/>
  </r>
  <r>
    <s v="005"/>
    <s v="ALMACEN MEDICAMENTOS"/>
    <x v="0"/>
    <x v="0"/>
    <s v="19999947-10"/>
    <s v="TRIMEBUTINA 200 mg Tableta"/>
    <s v=""/>
    <s v=""/>
    <s v=""/>
    <s v=""/>
    <s v="200 mg"/>
    <n v="60"/>
    <n v="286.69884615384615"/>
    <n v="17201.93076923077"/>
  </r>
  <r>
    <s v="005"/>
    <s v="ALMACEN MEDICAMENTOS"/>
    <x v="0"/>
    <x v="0"/>
    <s v="20106196-2"/>
    <s v="CELECOXIB 200 mg Tableta"/>
    <s v=""/>
    <s v=""/>
    <s v=""/>
    <s v=""/>
    <s v="200 mg"/>
    <n v="60"/>
    <n v="327"/>
    <n v="19620"/>
  </r>
  <r>
    <s v="005"/>
    <s v="ALMACEN MEDICAMENTOS"/>
    <x v="0"/>
    <x v="0"/>
    <s v="19914681-01"/>
    <s v="CELECOXIB 200 mg Cápsula"/>
    <s v=""/>
    <s v=""/>
    <s v=""/>
    <s v=""/>
    <s v="200 mg"/>
    <n v="60"/>
    <n v="355.7087378640777"/>
    <n v="21342.524271844661"/>
  </r>
  <r>
    <s v="005"/>
    <s v="ALMACEN MEDICAMENTOS"/>
    <x v="0"/>
    <x v="0"/>
    <s v="201145-01"/>
    <s v="SULFASALAZINA 500 mg Tableta"/>
    <s v=""/>
    <s v=""/>
    <s v=""/>
    <s v=""/>
    <s v="500mg"/>
    <n v="60"/>
    <n v="473.72245901639349"/>
    <n v="28423.34754098361"/>
  </r>
  <r>
    <s v="005"/>
    <s v="ALMACEN MEDICAMENTOS"/>
    <x v="0"/>
    <x v="0"/>
    <s v="20106115-02"/>
    <s v="VITAMINA D3 2000 UI CÁPSULAS BLANDAS"/>
    <s v=""/>
    <s v=""/>
    <s v=""/>
    <s v=""/>
    <s v="2000 UI"/>
    <n v="60"/>
    <n v="482.42697368421051"/>
    <n v="28945.61842105263"/>
  </r>
  <r>
    <s v="005"/>
    <s v="ALMACEN MEDICAMENTOS"/>
    <x v="0"/>
    <x v="0"/>
    <s v="20087008-08"/>
    <s v="ACETAMINOFEN + HIDROCODONA 325 mg + 5 mg Tableta"/>
    <s v=""/>
    <s v=""/>
    <s v=""/>
    <s v=""/>
    <s v="325 MG + 5 MG"/>
    <n v="60"/>
    <n v="483.56799999999998"/>
    <n v="29014.080000000002"/>
  </r>
  <r>
    <s v="005"/>
    <s v="ALMACEN MEDICAMENTOS"/>
    <x v="0"/>
    <x v="0"/>
    <s v="20004631-2"/>
    <s v="SUCRALFATO 1 g Tableta"/>
    <s v=""/>
    <s v=""/>
    <s v=""/>
    <s v=""/>
    <s v="1 g"/>
    <n v="60"/>
    <n v="515.75125000000003"/>
    <n v="30945.075000000001"/>
  </r>
  <r>
    <s v="001"/>
    <s v="FARMACIA CENTRAL                                  "/>
    <x v="0"/>
    <x v="0"/>
    <s v="11415-4"/>
    <s v="ALOPURINOL TABLETAS 300MG"/>
    <s v=""/>
    <s v=""/>
    <s v=""/>
    <s v=""/>
    <s v="300MG"/>
    <n v="60"/>
    <n v="566.9"/>
    <n v="34014"/>
  </r>
  <r>
    <s v="005"/>
    <s v="ALMACEN MEDICAMENTOS"/>
    <x v="0"/>
    <x v="0"/>
    <s v="19948385-03"/>
    <s v="MOSAPRIDA CITRATO 5 mg Tableta"/>
    <s v=""/>
    <s v=""/>
    <s v=""/>
    <s v=""/>
    <s v="5 mg"/>
    <n v="60"/>
    <n v="623.13099999999997"/>
    <n v="37387.86"/>
  </r>
  <r>
    <s v="005"/>
    <s v="ALMACEN MEDICAMENTOS"/>
    <x v="0"/>
    <x v="0"/>
    <s v="34016-02"/>
    <s v="BISOPROLOL FUMARATO 5 mg Tableta"/>
    <s v=""/>
    <s v=""/>
    <s v=""/>
    <s v=""/>
    <s v="5 mg"/>
    <n v="60"/>
    <n v="648.00093220338988"/>
    <n v="38880.055932203388"/>
  </r>
  <r>
    <s v="005"/>
    <s v="ALMACEN MEDICAMENTOS"/>
    <x v="0"/>
    <x v="0"/>
    <s v="19966576-03"/>
    <s v="LIDOCAINA CLORHIDRATO 2 % S.E. Solución inyectable 10 ml"/>
    <s v=""/>
    <s v=""/>
    <s v=""/>
    <s v=""/>
    <s v="2 % - 10 ml"/>
    <n v="60"/>
    <n v="1013.732700729927"/>
    <n v="60823.962043795618"/>
  </r>
  <r>
    <s v="008"/>
    <s v="ALMACEN  GENERAL                                         "/>
    <x v="5"/>
    <x v="5"/>
    <s v="AP000060"/>
    <s v="MARCADORE PERMANETE"/>
    <s v=""/>
    <s v=""/>
    <s v="006"/>
    <s v="Unidad"/>
    <s v=""/>
    <n v="60"/>
    <n v="1270.2558333333332"/>
    <n v="76215.350000000006"/>
  </r>
  <r>
    <s v="005"/>
    <s v="ALMACEN MEDICAMENTOS"/>
    <x v="0"/>
    <x v="0"/>
    <s v="20163351-1"/>
    <s v="TICAGRELOR 90MG TABLETAS"/>
    <s v=""/>
    <s v=""/>
    <s v=""/>
    <s v=""/>
    <s v="90MG"/>
    <n v="60"/>
    <n v="1537.0255263157896"/>
    <n v="92221.531578947353"/>
  </r>
  <r>
    <s v="002"/>
    <s v="FARMACIA DE CIRUGIA                               "/>
    <x v="2"/>
    <x v="2"/>
    <s v="XD000074"/>
    <s v="LLAVE DE TRES VIAS-DISCOFIX UNIDAD- FE100"/>
    <s v=""/>
    <s v=""/>
    <s v="006"/>
    <s v="Unidad"/>
    <s v=""/>
    <n v="60"/>
    <n v="1714.5099713467048"/>
    <n v="102870.59828080228"/>
  </r>
  <r>
    <s v="005"/>
    <s v="ALMACEN MEDICAMENTOS"/>
    <x v="16"/>
    <x v="16"/>
    <s v="20103720-2"/>
    <s v="ABACAVIR + LAMIVUDINA 600/300MG"/>
    <s v=""/>
    <s v=""/>
    <s v=""/>
    <s v=""/>
    <s v="600 MG / 300 MG"/>
    <n v="60"/>
    <n v="1740"/>
    <n v="104400"/>
  </r>
  <r>
    <s v="008"/>
    <s v="ALMACEN  GENERAL                                         "/>
    <x v="7"/>
    <x v="7"/>
    <s v="AA000037"/>
    <s v="CONTENEDOR RECOLECTOR DE CORTOPUNZANTES 0.3 LTS REF B405700"/>
    <s v=""/>
    <s v=""/>
    <s v="006"/>
    <s v="Unidad"/>
    <s v=""/>
    <n v="60"/>
    <n v="1955.1333333333332"/>
    <n v="117308"/>
  </r>
  <r>
    <s v="005"/>
    <s v="ALMACEN MEDICAMENTOS"/>
    <x v="0"/>
    <x v="0"/>
    <s v="20128791-4"/>
    <s v="APIXABAN 5MG TABLETA"/>
    <s v=""/>
    <s v=""/>
    <s v=""/>
    <s v=""/>
    <s v="5MG"/>
    <n v="60"/>
    <n v="2770.1083478260871"/>
    <n v="166206.50086956521"/>
  </r>
  <r>
    <s v="005"/>
    <s v="ALMACEN MEDICAMENTOS"/>
    <x v="4"/>
    <x v="4"/>
    <s v="20023511-03"/>
    <s v="LINAGLIPTINA 5MG TABLETAS RECUBIERTOS"/>
    <s v=""/>
    <s v=""/>
    <s v=""/>
    <s v=""/>
    <s v="5MG"/>
    <n v="60"/>
    <n v="4385.3731707317074"/>
    <n v="263122.39024390245"/>
  </r>
  <r>
    <s v="005"/>
    <s v="ALMACEN MEDICAMENTOS"/>
    <x v="0"/>
    <x v="0"/>
    <s v="20176947-1"/>
    <s v="N-ACETILCISTEINA 300 mg / 3 ml Solución inyectable"/>
    <s v=""/>
    <s v=""/>
    <s v=""/>
    <s v=""/>
    <s v="300 mg / 3ml"/>
    <n v="60"/>
    <n v="4387.9306666666662"/>
    <n v="263275.84000000003"/>
  </r>
  <r>
    <s v="008"/>
    <s v="ALMACEN  GENERAL                                         "/>
    <x v="7"/>
    <x v="7"/>
    <s v="AA000107"/>
    <s v="ISODINE SOLUCION FRASCO 60 CC"/>
    <s v=""/>
    <s v=""/>
    <s v="006"/>
    <s v="Unidad"/>
    <s v=""/>
    <n v="60"/>
    <n v="4774.7333333333327"/>
    <n v="286484"/>
  </r>
  <r>
    <s v="006"/>
    <s v="ALMACEN MEDICOQUIRURGICOS   "/>
    <x v="2"/>
    <x v="2"/>
    <s v="XT000020"/>
    <s v="INHALOCAMARAADULTO (AEROCHAMBER) -MASKBLUE *1"/>
    <s v=""/>
    <s v=""/>
    <s v="006"/>
    <s v="Unidad"/>
    <s v=""/>
    <n v="60"/>
    <n v="4942.9965822784807"/>
    <n v="296579.79493670887"/>
  </r>
  <r>
    <s v="005"/>
    <s v="ALMACEN MEDICAMENTOS"/>
    <x v="14"/>
    <x v="14"/>
    <s v="140111"/>
    <s v="DIBEN DRINK  LIQUIDO BOTELLA  200 ML"/>
    <s v=""/>
    <s v=""/>
    <s v=""/>
    <s v=""/>
    <s v="200 ML"/>
    <n v="60"/>
    <n v="12504.225915492958"/>
    <n v="750253.5549295774"/>
  </r>
  <r>
    <s v="005"/>
    <s v="ALMACEN MEDICAMENTOS"/>
    <x v="0"/>
    <x v="0"/>
    <s v="20068280-3"/>
    <s v="LABETALOL 100 mg / 20 ml Solución Inyectable"/>
    <s v=""/>
    <s v=""/>
    <s v=""/>
    <s v=""/>
    <s v="100 mg / 20 ml"/>
    <n v="60"/>
    <n v="13924"/>
    <n v="835440"/>
  </r>
  <r>
    <s v="005"/>
    <s v="ALMACEN MEDICAMENTOS"/>
    <x v="16"/>
    <x v="16"/>
    <s v="19988423-01"/>
    <s v="RALTEGRAVIR 400MG TABLETAS"/>
    <s v=""/>
    <s v=""/>
    <s v=""/>
    <s v=""/>
    <s v="400MG"/>
    <n v="60"/>
    <n v="21778.343333333331"/>
    <n v="1306700.6000000001"/>
  </r>
  <r>
    <s v="008"/>
    <s v="ALMACEN  GENERAL                                         "/>
    <x v="10"/>
    <x v="10"/>
    <s v="AD000013"/>
    <s v="UNIFORME    ANTIFLUIDO COLORES VARIOS"/>
    <s v=""/>
    <s v=""/>
    <s v="006"/>
    <s v="Unidad"/>
    <s v=""/>
    <n v="60"/>
    <n v="55024.775333333338"/>
    <n v="3301486.52"/>
  </r>
  <r>
    <s v="002"/>
    <s v="FARMACIA DE CIRUGIA                               "/>
    <x v="0"/>
    <x v="0"/>
    <s v="19966576-03"/>
    <s v="LIDOCAINA CLORHIDRATO 2 % S.E. Solución inyectable 10 ml"/>
    <s v=""/>
    <s v=""/>
    <s v=""/>
    <s v=""/>
    <s v="2 % - 10 ml"/>
    <n v="61"/>
    <n v="1013.732700729927"/>
    <n v="61837.69474452555"/>
  </r>
  <r>
    <s v="002"/>
    <s v="FARMACIA DE CIRUGIA                               "/>
    <x v="2"/>
    <x v="2"/>
    <s v="XD000321"/>
    <s v="PIN DE FIJACION EXTERNA CLAVO KIRSCHNER 2.0"/>
    <s v=""/>
    <s v=""/>
    <s v="006"/>
    <s v="Unidad"/>
    <s v=""/>
    <n v="61"/>
    <n v="11805.164179104477"/>
    <n v="720115.01492537314"/>
  </r>
  <r>
    <s v="001"/>
    <s v="FARMACIA CENTRAL                                  "/>
    <x v="0"/>
    <x v="0"/>
    <s v="43757-05"/>
    <s v="ENALAPRIL MALEATO 5 mg Tableta"/>
    <s v=""/>
    <s v=""/>
    <s v=""/>
    <s v=""/>
    <s v="5 mg"/>
    <n v="62"/>
    <n v="32"/>
    <n v="1984"/>
  </r>
  <r>
    <s v="001"/>
    <s v="FARMACIA CENTRAL                                  "/>
    <x v="2"/>
    <x v="2"/>
    <s v="XG000049"/>
    <s v="AGUJA HIPODERMICA DESECHABLE 25X5/8"/>
    <s v=""/>
    <s v=""/>
    <s v="006"/>
    <s v="Unidad"/>
    <s v=""/>
    <n v="62"/>
    <n v="102.53125"/>
    <n v="6356.9375"/>
  </r>
  <r>
    <s v="002"/>
    <s v="FARMACIA DE CIRUGIA                               "/>
    <x v="2"/>
    <x v="2"/>
    <s v="XJ000013"/>
    <s v="JERINGA DESECHABLE 5 ML-C/A-3 PARTES X 100"/>
    <s v=""/>
    <s v=""/>
    <s v="006"/>
    <s v="Unidad"/>
    <s v=""/>
    <n v="62"/>
    <n v="202.89964967048215"/>
    <n v="12579.778279569889"/>
  </r>
  <r>
    <s v="006"/>
    <s v="ALMACEN MEDICOQUIRURGICOS   "/>
    <x v="2"/>
    <x v="2"/>
    <s v="XD000137"/>
    <s v="SONDA LEVIN-TUBO VENTROL 14FR NASOGASTRICA120"/>
    <s v=""/>
    <s v=""/>
    <s v="006"/>
    <s v="Unidad"/>
    <s v=""/>
    <n v="62"/>
    <n v="1072.3889285714286"/>
    <n v="66488.113571428563"/>
  </r>
  <r>
    <s v="001"/>
    <s v="FARMACIA CENTRAL                                  "/>
    <x v="0"/>
    <x v="0"/>
    <s v="19900905-1"/>
    <s v="CALCIO GLUCONATO 10%  Solución Inyectable 10 ML"/>
    <s v=""/>
    <s v=""/>
    <s v=""/>
    <s v=""/>
    <s v="10% - 10 ML"/>
    <n v="62"/>
    <n v="2496.78125"/>
    <n v="154800.4375"/>
  </r>
  <r>
    <s v="001"/>
    <s v="FARMACIA CENTRAL                                  "/>
    <x v="0"/>
    <x v="0"/>
    <s v="20088574-01"/>
    <s v="SACUBITRIL VALSARTAN 24.3MG +25.7MG TABLETAS"/>
    <s v=""/>
    <s v=""/>
    <s v=""/>
    <s v=""/>
    <s v="50MG"/>
    <n v="62"/>
    <n v="3950"/>
    <n v="244900"/>
  </r>
  <r>
    <s v="001"/>
    <s v="FARMACIA CENTRAL                                  "/>
    <x v="0"/>
    <x v="0"/>
    <s v="20004699-01"/>
    <s v="LABETALOL 100 mg / 20 ml Solución Inyectable"/>
    <s v=""/>
    <s v=""/>
    <s v=""/>
    <s v=""/>
    <s v="100 mg / 20 ml"/>
    <n v="62"/>
    <n v="18361.839391304347"/>
    <n v="1138434.0422608696"/>
  </r>
  <r>
    <s v="001"/>
    <s v="FARMACIA CENTRAL                                  "/>
    <x v="0"/>
    <x v="0"/>
    <s v="20093311-1"/>
    <s v="QUETIAPINA 100 mg Tableta"/>
    <s v=""/>
    <s v=""/>
    <s v=""/>
    <s v=""/>
    <s v="100 mg"/>
    <n v="63"/>
    <n v="348.47619047619048"/>
    <n v="21954"/>
  </r>
  <r>
    <s v="001"/>
    <s v="FARMACIA CENTRAL                                  "/>
    <x v="0"/>
    <x v="0"/>
    <s v="19906237-05"/>
    <s v="PREDNISONA 50 mg Tableta"/>
    <s v=""/>
    <s v=""/>
    <s v=""/>
    <s v=""/>
    <s v="50 mg"/>
    <n v="63"/>
    <n v="896.96382252559727"/>
    <n v="56508.720819112626"/>
  </r>
  <r>
    <s v="002"/>
    <s v="FARMACIA DE CIRUGIA                               "/>
    <x v="2"/>
    <x v="2"/>
    <s v="XV000016"/>
    <s v="VENDA ELASTICA 4 X 5 *1 UNIDAD"/>
    <s v=""/>
    <s v=""/>
    <s v="006"/>
    <s v="Unidad"/>
    <s v=""/>
    <n v="63"/>
    <n v="2641.6159235668792"/>
    <n v="166421.80318471338"/>
  </r>
  <r>
    <s v="001"/>
    <s v="FARMACIA CENTRAL                                  "/>
    <x v="4"/>
    <x v="4"/>
    <s v="20067183-2"/>
    <s v="DAPAGLIFLOZINA 10 MG"/>
    <s v=""/>
    <s v=""/>
    <s v=""/>
    <s v=""/>
    <s v="10 MG"/>
    <n v="63"/>
    <n v="4715.0655462184877"/>
    <n v="297049.12941176473"/>
  </r>
  <r>
    <s v="001"/>
    <s v="FARMACIA CENTRAL                                  "/>
    <x v="2"/>
    <x v="2"/>
    <s v="XJ000008"/>
    <s v="JERINGA CON HEPARINA  PARA GASIMETRIA SANGUINEA X 1CC"/>
    <s v=""/>
    <s v=""/>
    <s v="006"/>
    <s v="Unidad"/>
    <s v=""/>
    <n v="63"/>
    <n v="5585.4120765027319"/>
    <n v="351880.96081967209"/>
  </r>
  <r>
    <s v="006"/>
    <s v="ALMACEN MEDICOQUIRURGICOS   "/>
    <x v="2"/>
    <x v="2"/>
    <s v="XE000032"/>
    <s v="SET EXTENCION MICROCLAVE DE DOS VIAS "/>
    <s v=""/>
    <s v=""/>
    <s v="006"/>
    <s v="Unidad"/>
    <s v=""/>
    <n v="63"/>
    <n v="7410.140845070423"/>
    <n v="466838.87323943665"/>
  </r>
  <r>
    <s v="006"/>
    <s v="ALMACEN MEDICOQUIRURGICOS   "/>
    <x v="2"/>
    <x v="2"/>
    <s v="XT000026"/>
    <s v="SISTEMA DE SUCCION Y RECOLECCION DE FLUIDOS LINER 1500 ML A 2000 ML"/>
    <s v=""/>
    <s v=""/>
    <s v="006"/>
    <s v="Unidad"/>
    <s v=""/>
    <n v="63"/>
    <n v="18832.731374999999"/>
    <n v="1186462.076625"/>
  </r>
  <r>
    <s v="002"/>
    <s v="FARMACIA DE CIRUGIA                               "/>
    <x v="2"/>
    <x v="2"/>
    <s v="XJ000011"/>
    <s v="JERINGA DESECHABLE 20ML-S/A-3 PARTES X 100"/>
    <s v=""/>
    <s v=""/>
    <s v="006"/>
    <s v="Unidad"/>
    <s v=""/>
    <n v="64"/>
    <n v="-18687.463351548267"/>
    <n v="-1195997.6544990893"/>
  </r>
  <r>
    <s v="001"/>
    <s v="FARMACIA CENTRAL                                  "/>
    <x v="0"/>
    <x v="0"/>
    <s v="30969-05"/>
    <s v="CARBONATO DE CALCIO Tableta 600 mg "/>
    <s v=""/>
    <s v=""/>
    <s v=""/>
    <s v=""/>
    <s v="600 mg"/>
    <n v="64"/>
    <n v="96"/>
    <n v="6144"/>
  </r>
  <r>
    <s v="001"/>
    <s v="FARMACIA CENTRAL                                  "/>
    <x v="0"/>
    <x v="0"/>
    <s v="23440-09"/>
    <s v="TIAMINA 300 mg Tableta"/>
    <s v=""/>
    <s v=""/>
    <s v=""/>
    <s v=""/>
    <s v="300 mg"/>
    <n v="64"/>
    <n v="134.27507075471698"/>
    <n v="8593.6045283018902"/>
  </r>
  <r>
    <s v="002"/>
    <s v="FARMACIA DE CIRUGIA                               "/>
    <x v="2"/>
    <x v="2"/>
    <s v="XG000038"/>
    <s v="AGUJA HIPODERMICA 30G X 1/2"/>
    <s v=""/>
    <s v=""/>
    <s v="006"/>
    <s v="Unidad"/>
    <s v=""/>
    <n v="64"/>
    <n v="577.20937500000002"/>
    <n v="36941.4"/>
  </r>
  <r>
    <s v="002"/>
    <s v="FARMACIA DE CIRUGIA                               "/>
    <x v="2"/>
    <x v="2"/>
    <s v="XA000013"/>
    <s v="APOSITO TRANSPARENTE I.V ADVANCE 8.5 X 11.5"/>
    <s v=""/>
    <s v=""/>
    <s v="006"/>
    <s v="Unidad"/>
    <s v=""/>
    <n v="65"/>
    <n v="-1276.1739304812834"/>
    <n v="-82951.305481283416"/>
  </r>
  <r>
    <s v="001"/>
    <s v="FARMACIA CENTRAL                                  "/>
    <x v="0"/>
    <x v="0"/>
    <s v="20078974-42"/>
    <s v="ROSUVASTATINA 20MG TABLETAS RECUBIERTAS"/>
    <s v=""/>
    <s v=""/>
    <s v=""/>
    <s v=""/>
    <s v="20MG"/>
    <n v="65"/>
    <n v="282.73235897435899"/>
    <n v="18377.603333333329"/>
  </r>
  <r>
    <s v="001"/>
    <s v="FARMACIA CENTRAL                                  "/>
    <x v="6"/>
    <x v="6"/>
    <s v="13874-02"/>
    <s v="ALPRAZOLAM 0.25 mg Tableta"/>
    <s v=""/>
    <s v=""/>
    <s v=""/>
    <s v=""/>
    <s v="0,25 mg"/>
    <n v="65"/>
    <n v="1482.4945652173913"/>
    <n v="96362.146739130447"/>
  </r>
  <r>
    <s v="005"/>
    <s v="ALMACEN MEDICAMENTOS"/>
    <x v="0"/>
    <x v="0"/>
    <s v="19961688-03"/>
    <s v="FITOMENADIONA 10 mg / ml Solución Inyectable"/>
    <s v=""/>
    <s v=""/>
    <s v=""/>
    <s v=""/>
    <s v="10 mg / ml"/>
    <n v="65"/>
    <n v="2200.9333333333334"/>
    <n v="143060.66666666669"/>
  </r>
  <r>
    <s v="052"/>
    <s v="CONSIGNACION LM INSTRUMENS S.A"/>
    <x v="2"/>
    <x v="2"/>
    <s v="XG000022"/>
    <s v="AGUJA ESPINAL SPINOCAN  G-25 X 3-1/2 X88MM X25U"/>
    <s v=""/>
    <s v=""/>
    <s v="006"/>
    <s v="Unidad"/>
    <s v=""/>
    <n v="65"/>
    <n v="6317.9467326732674"/>
    <n v="410666.53762376239"/>
  </r>
  <r>
    <s v="001"/>
    <s v="FARMACIA CENTRAL                                  "/>
    <x v="3"/>
    <x v="3"/>
    <s v="19978219-1"/>
    <s v="MEROPENEM 1 g  Polvo para reconstituir a solución inyectable"/>
    <s v=""/>
    <s v=""/>
    <s v=""/>
    <s v=""/>
    <s v="1 g"/>
    <n v="65"/>
    <n v="9482.0563265306137"/>
    <n v="616333.6612244898"/>
  </r>
  <r>
    <s v="001"/>
    <s v="FARMACIA CENTRAL                                  "/>
    <x v="0"/>
    <x v="0"/>
    <s v="20010105-02"/>
    <s v="LACOSAMIDA 200 mg  Comprimido recubierto"/>
    <s v=""/>
    <s v=""/>
    <s v=""/>
    <s v=""/>
    <s v="200 mg"/>
    <n v="65"/>
    <n v="10574.911076923077"/>
    <n v="687369.22"/>
  </r>
  <r>
    <s v="005"/>
    <s v="ALMACEN MEDICAMENTOS"/>
    <x v="0"/>
    <x v="0"/>
    <s v="20096872-01"/>
    <s v="VALPROATO SODICO 500 mg / 5 ml Solución Inyectable "/>
    <s v=""/>
    <s v=""/>
    <s v=""/>
    <s v=""/>
    <s v="500 mg / 5 ml"/>
    <n v="65"/>
    <n v="10595.27"/>
    <n v="688692.55"/>
  </r>
  <r>
    <s v="006"/>
    <s v="ALMACEN MEDICOQUIRURGICOS   "/>
    <x v="2"/>
    <x v="2"/>
    <s v="XD000103"/>
    <s v="PLACA PACIENTE.ELECTROBISTURI 9130 UNIVERSAL X1"/>
    <s v=""/>
    <s v=""/>
    <s v="006"/>
    <s v="Unidad"/>
    <s v=""/>
    <n v="65"/>
    <n v="12613.713373493978"/>
    <n v="819891.36927710846"/>
  </r>
  <r>
    <s v="001"/>
    <s v="FARMACIA CENTRAL                                  "/>
    <x v="0"/>
    <x v="0"/>
    <s v="20003209-01"/>
    <s v="VENLAFAXINA 75 mg Tableta de Liberación prolongada"/>
    <s v=""/>
    <s v=""/>
    <s v=""/>
    <s v=""/>
    <s v="75 mg"/>
    <n v="66"/>
    <n v="692.7641509433962"/>
    <n v="45722.433962264149"/>
  </r>
  <r>
    <s v="001"/>
    <s v="FARMACIA CENTRAL                                  "/>
    <x v="2"/>
    <x v="2"/>
    <s v="XD000270"/>
    <s v="CAMISA DESECHABLE ADULTO X  1"/>
    <s v=""/>
    <s v=""/>
    <s v="006"/>
    <s v="Unidad"/>
    <s v=""/>
    <n v="66"/>
    <n v="2132.3942065491183"/>
    <n v="140738.0176322418"/>
  </r>
  <r>
    <s v="001"/>
    <s v="FARMACIA CENTRAL                                  "/>
    <x v="0"/>
    <x v="0"/>
    <s v="20140779-02"/>
    <s v="TAMSULOSINA 0.4 mg Cápsula de Liberación Prolongada"/>
    <s v=""/>
    <s v=""/>
    <s v=""/>
    <s v=""/>
    <s v="0.4 mg"/>
    <n v="67"/>
    <n v="363.6540096618358"/>
    <n v="24364.818647343"/>
  </r>
  <r>
    <s v="001"/>
    <s v="FARMACIA CENTRAL                                  "/>
    <x v="0"/>
    <x v="0"/>
    <s v="19934265-03"/>
    <s v="SODIO CLORURO 20 mEq/10 ml Solución inyectable"/>
    <s v=""/>
    <s v=""/>
    <s v=""/>
    <s v=""/>
    <s v="20 mEq/10 ml"/>
    <n v="67"/>
    <n v="724.15287499999999"/>
    <n v="48518.242624999999"/>
  </r>
  <r>
    <s v="006"/>
    <s v="ALMACEN MEDICOQUIRURGICOS   "/>
    <x v="2"/>
    <x v="2"/>
    <s v="XT000023"/>
    <s v="MASCARA PARA TRAQUEOTOMIA ADULTO(1075)*1 AEROSOLTERAP"/>
    <s v=""/>
    <s v=""/>
    <s v="006"/>
    <s v="Unidad"/>
    <s v=""/>
    <n v="67"/>
    <n v="4540.2125333333333"/>
    <n v="304194.23973333329"/>
  </r>
  <r>
    <s v="006"/>
    <s v="ALMACEN MEDICOQUIRURGICOS   "/>
    <x v="2"/>
    <x v="2"/>
    <s v="XJ000017"/>
    <s v="JERINGA PUNTA CATETER X60ML S/A 3PARTES X40 X1"/>
    <s v=""/>
    <s v=""/>
    <s v="006"/>
    <s v="Unidad"/>
    <s v=""/>
    <n v="67"/>
    <n v="9752.0057333333316"/>
    <n v="653384.38413333334"/>
  </r>
  <r>
    <s v="002"/>
    <s v="FARMACIA DE CIRUGIA                               "/>
    <x v="2"/>
    <x v="2"/>
    <s v="XD000095"/>
    <s v="PIN DE FIJACION EXTERNA CLAVO KIRSCHNER  1,2"/>
    <s v=""/>
    <s v=""/>
    <s v="006"/>
    <s v="Unidad"/>
    <s v=""/>
    <n v="67"/>
    <n v="11048.720447761196"/>
    <n v="740264.27"/>
  </r>
  <r>
    <s v="006"/>
    <s v="ALMACEN MEDICOQUIRURGICOS   "/>
    <x v="2"/>
    <x v="2"/>
    <s v="XV000012"/>
    <s v="VENDA DE YESO 5P.X 5Y-II RAPIDA *1"/>
    <s v=""/>
    <s v=""/>
    <s v="006"/>
    <s v="Unidad"/>
    <s v=""/>
    <n v="68"/>
    <n v="8382.7697931034472"/>
    <n v="570028.34593103454"/>
  </r>
  <r>
    <s v="002"/>
    <s v="FARMACIA DE CIRUGIA                               "/>
    <x v="0"/>
    <x v="0"/>
    <s v="19995161-03"/>
    <s v="ROCURONIO BROMURO 50 mg / 5 ml Solución inyectable"/>
    <s v=""/>
    <s v=""/>
    <s v=""/>
    <s v=""/>
    <s v="50 mg"/>
    <n v="68"/>
    <n v="13500.487848101266"/>
    <n v="918033.17367088608"/>
  </r>
  <r>
    <s v="006"/>
    <s v="ALMACEN MEDICOQUIRURGICOS   "/>
    <x v="2"/>
    <x v="2"/>
    <s v="XV000017"/>
    <s v="VENDA ELASTICA 5 X 5 *1 UNIDAD"/>
    <s v=""/>
    <s v=""/>
    <s v="006"/>
    <s v="Unidad"/>
    <s v=""/>
    <n v="69"/>
    <n v="2172.9377586206897"/>
    <n v="149932.70534482761"/>
  </r>
  <r>
    <s v="001"/>
    <s v="FARMACIA CENTRAL                                  "/>
    <x v="0"/>
    <x v="0"/>
    <s v="19940783-01"/>
    <s v="NOREPINEFRINA 4 mg / 4 ml Solución Inyectable"/>
    <s v=""/>
    <s v=""/>
    <s v=""/>
    <s v=""/>
    <s v="4 mg / 4 ml"/>
    <n v="69"/>
    <n v="2256.593404255319"/>
    <n v="155704.94489361701"/>
  </r>
  <r>
    <s v="006"/>
    <s v="ALMACEN MEDICOQUIRURGICOS   "/>
    <x v="2"/>
    <x v="2"/>
    <s v="XT000022"/>
    <s v="MASCARA DE OXIGENO REF HS-MZ01XL"/>
    <s v=""/>
    <s v=""/>
    <s v="006"/>
    <s v="Unidad"/>
    <s v=""/>
    <n v="69"/>
    <n v="2345.8135802469137"/>
    <n v="161861.13703703703"/>
  </r>
  <r>
    <s v="005"/>
    <s v="ALMACEN MEDICAMENTOS"/>
    <x v="3"/>
    <x v="3"/>
    <s v="20046872-01"/>
    <s v="PENICILINA G SODICA 5.000.000 UI Polvo para reconsituir a solución inyectable"/>
    <s v=""/>
    <s v=""/>
    <s v=""/>
    <s v=""/>
    <s v="5.000.000 UI"/>
    <n v="69"/>
    <n v="3119.0335238095236"/>
    <n v="215213.31314285711"/>
  </r>
  <r>
    <s v="006"/>
    <s v="ALMACEN MEDICOQUIRURGICOS   "/>
    <x v="2"/>
    <x v="2"/>
    <s v="XD000068"/>
    <s v="HOJA LARGA CORTE PUNTA P.ELECTROBISTURI REF E1552"/>
    <s v=""/>
    <s v=""/>
    <s v="006"/>
    <s v="Unidad"/>
    <s v=""/>
    <n v="69"/>
    <n v="17679.717400000001"/>
    <n v="1219900.5005999999"/>
  </r>
  <r>
    <s v="001"/>
    <s v="FARMACIA CENTRAL                                  "/>
    <x v="6"/>
    <x v="6"/>
    <s v="19914657-03"/>
    <s v="LORAZEPAM 2 mg Tableta"/>
    <s v=""/>
    <s v=""/>
    <s v=""/>
    <s v=""/>
    <s v="2 mg"/>
    <n v="70"/>
    <n v="51"/>
    <n v="3570"/>
  </r>
  <r>
    <s v="005"/>
    <s v="ALMACEN MEDICAMENTOS"/>
    <x v="0"/>
    <x v="0"/>
    <s v="19996536-1"/>
    <s v="HIOSCINA BUTIL BROMURO 10 mg tableta"/>
    <s v=""/>
    <s v=""/>
    <s v=""/>
    <s v=""/>
    <s v="10 mg"/>
    <n v="70"/>
    <n v="123"/>
    <n v="8610"/>
  </r>
  <r>
    <s v="005"/>
    <s v="ALMACEN MEDICAMENTOS"/>
    <x v="3"/>
    <x v="3"/>
    <s v="52239-03"/>
    <s v="AMOXICILINA 500 mg Cápsula"/>
    <s v=""/>
    <s v=""/>
    <s v=""/>
    <s v=""/>
    <s v="500 mg"/>
    <n v="70"/>
    <n v="225.56"/>
    <n v="15789.2"/>
  </r>
  <r>
    <s v="001"/>
    <s v="FARMACIA CENTRAL                                  "/>
    <x v="0"/>
    <x v="0"/>
    <s v="20116782-01"/>
    <s v="HIOSCINA N BUTIL BROMURO 20 mg / ml Solución inyectable"/>
    <s v=""/>
    <s v=""/>
    <s v=""/>
    <s v=""/>
    <s v="20 mg / ml"/>
    <n v="70"/>
    <n v="887"/>
    <n v="62090"/>
  </r>
  <r>
    <s v="005"/>
    <s v="ALMACEN MEDICAMENTOS"/>
    <x v="0"/>
    <x v="0"/>
    <s v="20153572-1"/>
    <s v="ETORICOXIB 60MG TABLETA"/>
    <s v=""/>
    <s v=""/>
    <s v=""/>
    <s v=""/>
    <s v="60"/>
    <n v="70"/>
    <n v="962.82"/>
    <n v="67397.399999999994"/>
  </r>
  <r>
    <s v="002"/>
    <s v="FARMACIA DE CIRUGIA                               "/>
    <x v="2"/>
    <x v="2"/>
    <s v="XD000059"/>
    <s v="GUANTE QUIRURGICO ESTERIL T-6.5 *1 PAR "/>
    <s v=""/>
    <s v=""/>
    <s v="006"/>
    <s v="Unidad"/>
    <s v=""/>
    <n v="70"/>
    <n v="1018.0292795883362"/>
    <n v="71262.049571183525"/>
  </r>
  <r>
    <s v="005"/>
    <s v="ALMACEN MEDICAMENTOS"/>
    <x v="0"/>
    <x v="0"/>
    <s v="19922566-09"/>
    <s v="OMEPRAZOL 40 mg Polvo para reconstituir a Solución inyectable"/>
    <s v=""/>
    <s v=""/>
    <s v=""/>
    <s v=""/>
    <s v="40 mg"/>
    <n v="70"/>
    <n v="2351.81"/>
    <n v="164626.70000000001"/>
  </r>
  <r>
    <s v="006"/>
    <s v="ALMACEN MEDICOQUIRURGICOS   "/>
    <x v="2"/>
    <x v="2"/>
    <s v="XT000021"/>
    <s v="MASCARA DE  OXIGENO DE NO REINHALACION ADULTO"/>
    <s v=""/>
    <s v=""/>
    <s v="006"/>
    <s v="Unidad"/>
    <s v=""/>
    <n v="70"/>
    <n v="3147.4638144329897"/>
    <n v="220322.46701030928"/>
  </r>
  <r>
    <s v="006"/>
    <s v="ALMACEN MEDICOQUIRURGICOS   "/>
    <x v="2"/>
    <x v="2"/>
    <s v="XE000013"/>
    <s v="EQUIPO PARA DRENAJE URINARIO CYSTOFLO  MRD2926"/>
    <s v=""/>
    <s v=""/>
    <s v="006"/>
    <s v="Unidad"/>
    <s v=""/>
    <n v="70"/>
    <n v="10302.013482142856"/>
    <n v="721140.94374999998"/>
  </r>
  <r>
    <s v="008"/>
    <s v="ALMACEN  GENERAL                                         "/>
    <x v="2"/>
    <x v="2"/>
    <s v="XA000039"/>
    <s v="PELICULA TRANSPARENTE  FIXOMULL 10X15"/>
    <s v=""/>
    <s v=""/>
    <s v="006"/>
    <s v="Unidad"/>
    <s v=""/>
    <n v="70"/>
    <n v="10692.271420345489"/>
    <n v="748458.99942418432"/>
  </r>
  <r>
    <s v="005"/>
    <s v="ALMACEN MEDICAMENTOS"/>
    <x v="0"/>
    <x v="0"/>
    <s v="20108472-02"/>
    <s v="NEFOPAM 20 mg/2ml sol inyectable"/>
    <s v=""/>
    <s v=""/>
    <s v=""/>
    <s v=""/>
    <s v="20 mg/ 2 ml"/>
    <n v="70"/>
    <n v="15707.147521367522"/>
    <n v="1099500.3264957266"/>
  </r>
  <r>
    <s v="008"/>
    <s v="ALMACEN  GENERAL                                         "/>
    <x v="1"/>
    <x v="1"/>
    <s v="AM000195"/>
    <s v="CIRCUITO DE ANESTESIA X 2 LITROS"/>
    <s v=""/>
    <s v=""/>
    <s v="006"/>
    <s v="Unidad"/>
    <s v=""/>
    <n v="71"/>
    <n v="-25906.285352112678"/>
    <n v="-1839346.26"/>
  </r>
  <r>
    <s v="001"/>
    <s v="FARMACIA CENTRAL                                  "/>
    <x v="0"/>
    <x v="0"/>
    <s v="19948280-04"/>
    <s v="METOCARBAMOL 750 mg Tableta"/>
    <s v=""/>
    <s v=""/>
    <s v=""/>
    <s v=""/>
    <s v="750 mg"/>
    <n v="71"/>
    <n v="156.3866081871345"/>
    <n v="11103.449181286551"/>
  </r>
  <r>
    <s v="001"/>
    <s v="FARMACIA CENTRAL                                  "/>
    <x v="6"/>
    <x v="6"/>
    <s v="19905549-01"/>
    <s v="FENOBARBITAL 100 mg Tableta"/>
    <s v=""/>
    <s v=""/>
    <s v=""/>
    <s v=""/>
    <s v="100 mg"/>
    <n v="71"/>
    <n v="419.30408450704226"/>
    <n v="29770.59"/>
  </r>
  <r>
    <s v="008"/>
    <s v="ALMACEN  GENERAL                                         "/>
    <x v="5"/>
    <x v="5"/>
    <s v="AP000086"/>
    <s v="RESMA PAPEL TAMA¤O CARTA"/>
    <s v=""/>
    <s v=""/>
    <s v="006"/>
    <s v="Unidad"/>
    <s v=""/>
    <n v="71"/>
    <n v="45208.585211267608"/>
    <n v="3209809.55"/>
  </r>
  <r>
    <s v="001"/>
    <s v="FARMACIA CENTRAL                                  "/>
    <x v="0"/>
    <x v="0"/>
    <s v="43493-06"/>
    <s v="CLORFENIRAMINA MALEATO 4 mg Tableta"/>
    <s v=""/>
    <s v=""/>
    <s v=""/>
    <s v=""/>
    <s v="4 mg"/>
    <n v="72"/>
    <n v="28.335486111111113"/>
    <n v="2040.155"/>
  </r>
  <r>
    <s v="006"/>
    <s v="ALMACEN MEDICOQUIRURGICOS   "/>
    <x v="2"/>
    <x v="2"/>
    <s v="XS000098"/>
    <s v="SUTURA QUIRURGICA ABSORBIBLE VICRYL 2/0 J317H SH -GL123"/>
    <s v=""/>
    <s v=""/>
    <s v="006"/>
    <s v="Unidad"/>
    <s v=""/>
    <n v="72"/>
    <n v="2133.8888888888887"/>
    <n v="153640"/>
  </r>
  <r>
    <s v="001"/>
    <s v="FARMACIA CENTRAL                                  "/>
    <x v="3"/>
    <x v="3"/>
    <s v="20036512-02"/>
    <s v="AMPICILINA + SULBACTAM Polvo para reconstituir a solución inyectable  1.5 g"/>
    <s v=""/>
    <s v=""/>
    <s v=""/>
    <s v=""/>
    <s v="1,5 g"/>
    <n v="72"/>
    <n v="2155.6857786885244"/>
    <n v="155209.37606557377"/>
  </r>
  <r>
    <s v="048"/>
    <s v="CONSIGNACION FRIDEN"/>
    <x v="2"/>
    <x v="2"/>
    <s v="XS000137"/>
    <s v="SUTURA QUIRURGICA NO ABSORBIBLE SEDA PERMAHAND 3/0-184TSC(684) X2 DOCENAS"/>
    <s v=""/>
    <s v=""/>
    <s v="006"/>
    <s v="Unidad"/>
    <s v=""/>
    <n v="72"/>
    <n v="7606.7601136363637"/>
    <n v="547686.72818181815"/>
  </r>
  <r>
    <s v="002"/>
    <s v="FARMACIA DE CIRUGIA                               "/>
    <x v="2"/>
    <x v="2"/>
    <s v="XT000088"/>
    <s v="APLICADORES PQT X 2 UND"/>
    <s v=""/>
    <s v=""/>
    <s v="006"/>
    <s v="Unidad"/>
    <s v=""/>
    <n v="73"/>
    <n v="3443.6737588652481"/>
    <n v="251388.18439716313"/>
  </r>
  <r>
    <s v="002"/>
    <s v="FARMACIA DE CIRUGIA                               "/>
    <x v="2"/>
    <x v="2"/>
    <s v="XD000093"/>
    <s v="PIN DE FIJACION EXTERNA CLAVODE KIRSCHNER  1.5"/>
    <s v=""/>
    <s v=""/>
    <s v="006"/>
    <s v="Unidad"/>
    <s v=""/>
    <n v="73"/>
    <n v="11604.883417721519"/>
    <n v="847156.48949367087"/>
  </r>
  <r>
    <s v="006"/>
    <s v="ALMACEN MEDICOQUIRURGICOS   "/>
    <x v="2"/>
    <x v="2"/>
    <s v="XA000024"/>
    <s v="COTONOIDE RADIOPACO REF.801400 *10 XRAY"/>
    <s v=""/>
    <s v=""/>
    <s v="006"/>
    <s v="Unidad"/>
    <s v=""/>
    <n v="73"/>
    <n v="24672.913978494624"/>
    <n v="1801122.7204301076"/>
  </r>
  <r>
    <s v="008"/>
    <s v="ALMACEN  GENERAL                                         "/>
    <x v="7"/>
    <x v="7"/>
    <s v="AA000087"/>
    <s v="ESPARADRAPO 2-4PULGADAS .X 10M ROLLO HOSPITALARIO"/>
    <s v=""/>
    <s v=""/>
    <s v="006"/>
    <s v="Unidad"/>
    <s v=""/>
    <n v="73"/>
    <n v="37412.975342465754"/>
    <n v="2731147.2"/>
  </r>
  <r>
    <s v="001"/>
    <s v="FARMACIA CENTRAL                                  "/>
    <x v="0"/>
    <x v="0"/>
    <s v="20027702-29"/>
    <s v="LEVOTIROXINA SODICA 75 mcg Tableta"/>
    <s v=""/>
    <s v=""/>
    <s v=""/>
    <s v=""/>
    <s v="75 mcg"/>
    <n v="74"/>
    <n v="98.041532846715327"/>
    <n v="7255.0734306569302"/>
  </r>
  <r>
    <s v="006"/>
    <s v="ALMACEN MEDICOQUIRURGICOS   "/>
    <x v="2"/>
    <x v="2"/>
    <s v="XT000015"/>
    <s v="FILTRO ANTIBACTERIANO NARIZ CAMELLO HYGROBAC ADULTO REF 63-804"/>
    <s v=""/>
    <s v=""/>
    <s v="006"/>
    <s v="Unidad"/>
    <s v=""/>
    <n v="75"/>
    <n v="-7674.6067999999996"/>
    <n v="-575595.51"/>
  </r>
  <r>
    <s v="005"/>
    <s v="ALMACEN MEDICAMENTOS"/>
    <x v="0"/>
    <x v="0"/>
    <s v="19905554-12"/>
    <s v="METFORMINA 850 mg Tableta"/>
    <s v=""/>
    <s v=""/>
    <s v=""/>
    <s v=""/>
    <s v="850 mg"/>
    <n v="75"/>
    <n v="66"/>
    <n v="4950"/>
  </r>
  <r>
    <s v="002"/>
    <s v="FARMACIA DE CIRUGIA                               "/>
    <x v="2"/>
    <x v="2"/>
    <s v="XD000060"/>
    <s v="GUANTE QUIRURGICO ESTERIL T-7.0 *1 PAR "/>
    <s v=""/>
    <s v=""/>
    <s v="006"/>
    <s v="Unidad"/>
    <s v=""/>
    <n v="75"/>
    <n v="1017.2755338691159"/>
    <n v="76295.665040183696"/>
  </r>
  <r>
    <s v="001"/>
    <s v="FARMACIA CENTRAL                                  "/>
    <x v="0"/>
    <x v="0"/>
    <s v="19912966-07"/>
    <s v="CAFEINA ANHIDRA + ERGOTAMINA TARTRATO -100mg + 1mg -Tableta"/>
    <s v=""/>
    <s v=""/>
    <s v=""/>
    <s v=""/>
    <s v="1 mg "/>
    <n v="76"/>
    <n v="220"/>
    <n v="16720"/>
  </r>
  <r>
    <s v="001"/>
    <s v="FARMACIA CENTRAL                                  "/>
    <x v="2"/>
    <x v="2"/>
    <s v="XJ000006"/>
    <s v="CATETERES PERIFERICOS INTRAVENOSOS INSYTE #18*50"/>
    <s v=""/>
    <s v=""/>
    <s v="006"/>
    <s v="Unidad"/>
    <s v=""/>
    <n v="77"/>
    <n v="5822.2279354838711"/>
    <n v="448311.55103225808"/>
  </r>
  <r>
    <s v="008"/>
    <s v="ALMACEN  GENERAL                                         "/>
    <x v="5"/>
    <x v="5"/>
    <s v="AP000046"/>
    <s v="ESFEROS NEGROS"/>
    <s v=""/>
    <s v=""/>
    <s v="006"/>
    <s v="Unidad"/>
    <s v=""/>
    <n v="78"/>
    <n v="380.24794871794876"/>
    <n v="29659.34"/>
  </r>
  <r>
    <s v="002"/>
    <s v="FARMACIA DE CIRUGIA                               "/>
    <x v="2"/>
    <x v="2"/>
    <s v="XD000061"/>
    <s v="GUANTE QUIRURGICO ESTERIL T-7.5 *1 PAR "/>
    <s v=""/>
    <s v=""/>
    <s v="006"/>
    <s v="Unidad"/>
    <s v=""/>
    <n v="78"/>
    <n v="1204.1314579901152"/>
    <n v="93922.253723229005"/>
  </r>
  <r>
    <s v="002"/>
    <s v="FARMACIA DE CIRUGIA                               "/>
    <x v="2"/>
    <x v="2"/>
    <s v="XD000062"/>
    <s v="GUANTE QUIRURGICO ESTERIL T-8.0 *1 PAR "/>
    <s v=""/>
    <s v=""/>
    <s v="006"/>
    <s v="Unidad"/>
    <s v=""/>
    <n v="79"/>
    <n v="1014.9652030456853"/>
    <n v="80182.251040609146"/>
  </r>
  <r>
    <s v="005"/>
    <s v="ALMACEN MEDICAMENTOS"/>
    <x v="0"/>
    <x v="0"/>
    <s v="19943753-02"/>
    <s v="SODIO CLORURO 3% Solución inyectable bolsa 500 mL"/>
    <s v=""/>
    <s v=""/>
    <s v=""/>
    <s v=""/>
    <s v="3% - 500 ml"/>
    <n v="79"/>
    <n v="4750.867631578948"/>
    <n v="375318.54289473681"/>
  </r>
  <r>
    <s v="008"/>
    <s v="ALMACEN  GENERAL                                         "/>
    <x v="1"/>
    <x v="1"/>
    <s v="AM000282"/>
    <s v="FILTRO PARA CANISTER MAQUINA AESPIRE G.E REF 861407-3201-000 G.BARCO"/>
    <s v=""/>
    <s v=""/>
    <s v="006"/>
    <s v="Unidad"/>
    <s v=""/>
    <n v="79"/>
    <n v="11941.493670886077"/>
    <n v="943378"/>
  </r>
  <r>
    <s v="001"/>
    <s v="FARMACIA CENTRAL                                  "/>
    <x v="0"/>
    <x v="0"/>
    <s v="19960390-14"/>
    <s v="ESOMEPRAZOL 40 mg Tabletas entericas"/>
    <s v=""/>
    <s v=""/>
    <s v=""/>
    <s v=""/>
    <s v="40 mg"/>
    <n v="80"/>
    <n v="148.058875"/>
    <n v="11844.71"/>
  </r>
  <r>
    <s v="005"/>
    <s v="ALMACEN MEDICAMENTOS"/>
    <x v="3"/>
    <x v="3"/>
    <s v="51063-03"/>
    <s v="TRIMETOPRIM SULFAMETOXAZOL 160 + 800 mg Tableta"/>
    <s v=""/>
    <s v=""/>
    <s v=""/>
    <s v=""/>
    <s v="160 mg + 800 mg"/>
    <n v="80"/>
    <n v="195.70400000000001"/>
    <n v="15656.32"/>
  </r>
  <r>
    <s v="001"/>
    <s v="FARMACIA CENTRAL                                  "/>
    <x v="0"/>
    <x v="0"/>
    <s v="19965195-03"/>
    <s v="VALSARTAN 80 mg Tableta"/>
    <s v=""/>
    <s v=""/>
    <s v=""/>
    <s v=""/>
    <s v="80 mg"/>
    <n v="80"/>
    <n v="243.40824074074072"/>
    <n v="19472.659259259261"/>
  </r>
  <r>
    <s v="005"/>
    <s v="ALMACEN MEDICAMENTOS"/>
    <x v="0"/>
    <x v="0"/>
    <s v="19963165-2"/>
    <s v="Espironolactona 100 mg tabletas"/>
    <s v=""/>
    <s v=""/>
    <s v=""/>
    <s v=""/>
    <s v="100 mg"/>
    <n v="80"/>
    <n v="309.70238095238091"/>
    <n v="24776.190476190481"/>
  </r>
  <r>
    <s v="005"/>
    <s v="ALMACEN MEDICAMENTOS"/>
    <x v="0"/>
    <x v="0"/>
    <s v="19942429-02"/>
    <s v="ESPIRONOLACTONA 100 mg Tableta"/>
    <s v=""/>
    <s v=""/>
    <s v=""/>
    <s v=""/>
    <s v="100 mg"/>
    <n v="80"/>
    <n v="365.56"/>
    <n v="29244.799999999999"/>
  </r>
  <r>
    <s v="005"/>
    <s v="ALMACEN MEDICAMENTOS"/>
    <x v="0"/>
    <x v="0"/>
    <s v="20104687-1"/>
    <s v="CEFTRIAXONA 1 g Polvo para reconstituir a solución inyectable"/>
    <s v=""/>
    <s v=""/>
    <s v=""/>
    <s v=""/>
    <s v="1 g"/>
    <n v="80"/>
    <n v="1373.1057627118644"/>
    <n v="109848.46101694916"/>
  </r>
  <r>
    <s v="005"/>
    <s v="ALMACEN MEDICAMENTOS"/>
    <x v="0"/>
    <x v="0"/>
    <s v="227601-02"/>
    <s v="COLESTIRAMINA 4 g Granulado Oral"/>
    <s v=""/>
    <s v=""/>
    <s v=""/>
    <s v=""/>
    <s v="4 g"/>
    <n v="80"/>
    <n v="2295.8730927835049"/>
    <n v="183669.84742268041"/>
  </r>
  <r>
    <s v="005"/>
    <s v="ALMACEN MEDICAMENTOS"/>
    <x v="0"/>
    <x v="0"/>
    <s v="29522-04"/>
    <s v="DEXTROSA EN AGUA DESTILADA 5%  Solución Inyectable 500 ml"/>
    <s v=""/>
    <s v=""/>
    <s v=""/>
    <s v=""/>
    <s v="5 % - 500 ml"/>
    <n v="80"/>
    <n v="2833.9621649484534"/>
    <n v="226716.97319587629"/>
  </r>
  <r>
    <s v="001"/>
    <s v="FARMACIA CENTRAL                                  "/>
    <x v="0"/>
    <x v="0"/>
    <s v="20162259-4"/>
    <s v="METOCLOPRAMIDA 10 mg / 2 ml  Solución Inyectable"/>
    <s v=""/>
    <s v=""/>
    <s v=""/>
    <s v=""/>
    <s v="10 mg / 2 ml"/>
    <n v="81"/>
    <n v="524.74826989619385"/>
    <n v="42504.6098615917"/>
  </r>
  <r>
    <s v="002"/>
    <s v="FARMACIA DE CIRUGIA                               "/>
    <x v="0"/>
    <x v="0"/>
    <s v="19976553-06"/>
    <s v="NEOSTIGMINA METILSULFATO 0.5 mg/1 ml Solución Inyectable"/>
    <s v=""/>
    <s v=""/>
    <s v=""/>
    <s v=""/>
    <s v="0.5 mg/1 ml"/>
    <n v="82"/>
    <n v="808.82349206349204"/>
    <n v="66323.526349206353"/>
  </r>
  <r>
    <s v="001"/>
    <s v="FARMACIA CENTRAL                                  "/>
    <x v="0"/>
    <x v="0"/>
    <s v="19914806-06"/>
    <s v="SULFATO FERROSO 300 mg Gragea"/>
    <s v=""/>
    <s v=""/>
    <s v=""/>
    <s v=""/>
    <s v="300 mg"/>
    <n v="83"/>
    <n v="48.623318385650222"/>
    <n v="4035.7354260089701"/>
  </r>
  <r>
    <s v="005"/>
    <s v="ALMACEN MEDICAMENTOS"/>
    <x v="0"/>
    <x v="0"/>
    <s v="19934265-03"/>
    <s v="SODIO CLORURO 20 mEq/10 ml Solución inyectable"/>
    <s v=""/>
    <s v=""/>
    <s v=""/>
    <s v=""/>
    <s v="20 mEq/10 ml"/>
    <n v="83"/>
    <n v="724.15287499999999"/>
    <n v="60104.688625000003"/>
  </r>
  <r>
    <s v="005"/>
    <s v="ALMACEN MEDICAMENTOS"/>
    <x v="0"/>
    <x v="0"/>
    <s v="20055151-3"/>
    <s v="NITROFURAZONA 0.2% UNGUENTO TOPICO  Tubo 40g"/>
    <s v=""/>
    <s v=""/>
    <s v=""/>
    <s v=""/>
    <s v="40 GR"/>
    <n v="83"/>
    <n v="5183.5294117647063"/>
    <n v="430232.94117647054"/>
  </r>
  <r>
    <s v="001"/>
    <s v="FARMACIA CENTRAL                                  "/>
    <x v="0"/>
    <x v="0"/>
    <s v="19992190-03"/>
    <s v="DICLOFENACO SODICO 75 mg / 3 ml Solución inyectable"/>
    <s v=""/>
    <s v=""/>
    <s v=""/>
    <s v=""/>
    <s v="75 MG / 3 ML"/>
    <n v="84"/>
    <n v="505.97619047619048"/>
    <n v="42502"/>
  </r>
  <r>
    <s v="005"/>
    <s v="ALMACEN MEDICAMENTOS"/>
    <x v="3"/>
    <x v="3"/>
    <s v="20028350-03"/>
    <s v="NITAZOXANIDA 500 mg Tableta "/>
    <s v=""/>
    <s v=""/>
    <s v=""/>
    <s v=""/>
    <s v="500 mg"/>
    <n v="84"/>
    <n v="904.96875968992242"/>
    <n v="76017.375813953491"/>
  </r>
  <r>
    <s v="006"/>
    <s v="ALMACEN MEDICOQUIRURGICOS   "/>
    <x v="2"/>
    <x v="2"/>
    <s v="XV000002"/>
    <s v="VENDA DE ALGODON 4 X 5 *1 LAMINADO"/>
    <s v=""/>
    <s v=""/>
    <s v="006"/>
    <s v="Unidad"/>
    <s v=""/>
    <n v="84"/>
    <n v="1697.6609375"/>
    <n v="142603.51874999999"/>
  </r>
  <r>
    <s v="006"/>
    <s v="ALMACEN MEDICOQUIRURGICOS   "/>
    <x v="2"/>
    <x v="2"/>
    <s v="XD000085"/>
    <s v="MAQUINA AFEITAR DESECHABLE-DOBLE HOJA X 1"/>
    <s v=""/>
    <s v=""/>
    <s v="006"/>
    <s v="Unidad"/>
    <s v=""/>
    <n v="84"/>
    <n v="1722.221235955056"/>
    <n v="144666.58382022471"/>
  </r>
  <r>
    <s v="006"/>
    <s v="ALMACEN MEDICOQUIRURGICOS   "/>
    <x v="2"/>
    <x v="2"/>
    <s v="XV000004"/>
    <s v="VENDA DE ALGODON 6 X 5 *1 LAMINADO"/>
    <s v=""/>
    <s v=""/>
    <s v="006"/>
    <s v="Unidad"/>
    <s v=""/>
    <n v="84"/>
    <n v="1936.3739855072463"/>
    <n v="162655.41478260871"/>
  </r>
  <r>
    <s v="001"/>
    <s v="FARMACIA CENTRAL                                  "/>
    <x v="3"/>
    <x v="3"/>
    <s v="20114030-01"/>
    <s v="CLINDAMICINA 600 mg / 4 ml Solución inyectable"/>
    <s v=""/>
    <s v=""/>
    <s v=""/>
    <s v=""/>
    <s v="600 mg "/>
    <n v="84"/>
    <n v="2979"/>
    <n v="250236"/>
  </r>
  <r>
    <s v="002"/>
    <s v="FARMACIA DE CIRUGIA                               "/>
    <x v="0"/>
    <x v="0"/>
    <s v="20026310-10"/>
    <s v="CISATRACURIO AMPOLLA 10 mg / 5 ml Solución inyectable"/>
    <s v=""/>
    <s v=""/>
    <s v=""/>
    <s v=""/>
    <s v="10 mg"/>
    <n v="84"/>
    <n v="9136.7907865168545"/>
    <n v="767490.42606741562"/>
  </r>
  <r>
    <s v="008"/>
    <s v="ALMACEN  GENERAL                                         "/>
    <x v="10"/>
    <x v="10"/>
    <s v="AD000041"/>
    <s v="BATA MANGA LARGA EN TELA DONACION S.S."/>
    <s v=""/>
    <s v=""/>
    <s v="006"/>
    <s v="Unidad"/>
    <s v=""/>
    <n v="86"/>
    <n v="1"/>
    <n v="86"/>
  </r>
  <r>
    <s v="008"/>
    <s v="ALMACEN  GENERAL                                         "/>
    <x v="1"/>
    <x v="1"/>
    <s v="AM000019"/>
    <s v="LINEA DE MUESTRA PARA CAPNOGRAFIA  MACHO-MACHO"/>
    <s v=""/>
    <s v=""/>
    <s v="006"/>
    <s v="Unidad"/>
    <s v=""/>
    <n v="86"/>
    <n v="9077.7294186046511"/>
    <n v="780684.73"/>
  </r>
  <r>
    <s v="001"/>
    <s v="FARMACIA CENTRAL                                  "/>
    <x v="0"/>
    <x v="0"/>
    <s v="19999765-01"/>
    <s v="LEVETIRACETAM 100 mg / ml Solución Inyectable x 5 ml"/>
    <s v=""/>
    <s v=""/>
    <s v=""/>
    <s v=""/>
    <s v="500 mg / ml 5 ml"/>
    <n v="89"/>
    <n v="25320.789896907219"/>
    <n v="2253550.3008247423"/>
  </r>
  <r>
    <s v="001"/>
    <s v="FARMACIA CENTRAL                                  "/>
    <x v="0"/>
    <x v="0"/>
    <s v="19985876-02"/>
    <s v="NITROFURANTOINA 100 mg Tableta o Cápsula"/>
    <s v=""/>
    <s v=""/>
    <s v=""/>
    <s v=""/>
    <s v="100 mg"/>
    <n v="90"/>
    <n v="162.13333333333335"/>
    <n v="14592"/>
  </r>
  <r>
    <s v="001"/>
    <s v="FARMACIA CENTRAL                                  "/>
    <x v="0"/>
    <x v="0"/>
    <s v="47792-01"/>
    <s v="ACIDO VALPROICO 250 mg Cápsula"/>
    <s v=""/>
    <s v=""/>
    <s v=""/>
    <s v=""/>
    <s v="250 mg"/>
    <n v="90"/>
    <n v="199.88266666666667"/>
    <n v="17989.439999999999"/>
  </r>
  <r>
    <s v="001"/>
    <s v="FARMACIA CENTRAL                                  "/>
    <x v="0"/>
    <x v="0"/>
    <s v="20025310-09"/>
    <s v="NIFEDIPINA 30 mg Cápsula"/>
    <s v=""/>
    <s v=""/>
    <s v=""/>
    <s v=""/>
    <s v="30 mg"/>
    <n v="90"/>
    <n v="201.17706666666666"/>
    <n v="18105.936000000002"/>
  </r>
  <r>
    <s v="001"/>
    <s v="FARMACIA CENTRAL                                  "/>
    <x v="0"/>
    <x v="0"/>
    <s v="19990978-3"/>
    <s v="QUETIAPINA 100 mg Tableta"/>
    <s v=""/>
    <s v=""/>
    <s v=""/>
    <s v=""/>
    <s v="100 mg"/>
    <n v="90"/>
    <n v="447"/>
    <n v="40230"/>
  </r>
  <r>
    <s v="005"/>
    <s v="ALMACEN MEDICAMENTOS"/>
    <x v="0"/>
    <x v="0"/>
    <s v="200541-11"/>
    <s v="METOPROLOL SUCCINATO 50MG TABLETAS"/>
    <s v=""/>
    <s v=""/>
    <s v=""/>
    <s v=""/>
    <s v="50MG"/>
    <n v="90"/>
    <n v="617"/>
    <n v="55530"/>
  </r>
  <r>
    <s v="005"/>
    <s v="ALMACEN MEDICAMENTOS"/>
    <x v="0"/>
    <x v="0"/>
    <s v="20124854-4"/>
    <s v="ACIDO TRANEXAMICO 500 MG"/>
    <s v=""/>
    <s v=""/>
    <s v=""/>
    <s v=""/>
    <s v="500 mg"/>
    <n v="90"/>
    <n v="779.30612244897964"/>
    <n v="70137.551020408166"/>
  </r>
  <r>
    <s v="005"/>
    <s v="ALMACEN MEDICAMENTOS"/>
    <x v="0"/>
    <x v="0"/>
    <s v="19976553-06"/>
    <s v="NEOSTIGMINA METILSULFATO 0.5 mg/1 ml Solución Inyectable"/>
    <s v=""/>
    <s v=""/>
    <s v=""/>
    <s v=""/>
    <s v="0.5 mg/1 ml"/>
    <n v="90"/>
    <n v="808.82349206349204"/>
    <n v="72794.114285714284"/>
  </r>
  <r>
    <s v="001"/>
    <s v="FARMACIA CENTRAL                                  "/>
    <x v="2"/>
    <x v="2"/>
    <s v="XD000062"/>
    <s v="GUANTE QUIRURGICO ESTERIL T-8.0 *1 PAR "/>
    <s v=""/>
    <s v=""/>
    <s v="006"/>
    <s v="Unidad"/>
    <s v=""/>
    <n v="90"/>
    <n v="1014.9652030456853"/>
    <n v="91346.868274111679"/>
  </r>
  <r>
    <s v="005"/>
    <s v="ALMACEN MEDICAMENTOS"/>
    <x v="8"/>
    <x v="8"/>
    <s v="20129727-1"/>
    <s v="RIVAROXABAN 15 mg Tableta"/>
    <s v=""/>
    <s v=""/>
    <s v=""/>
    <s v=""/>
    <s v="15 mg"/>
    <n v="90"/>
    <n v="1495"/>
    <n v="134550"/>
  </r>
  <r>
    <s v="001"/>
    <s v="FARMACIA CENTRAL                                  "/>
    <x v="0"/>
    <x v="0"/>
    <s v="20065058-02"/>
    <s v="ONDANSETRON 8 mg / 4 ml Solución Inyectable"/>
    <s v=""/>
    <s v=""/>
    <s v=""/>
    <s v=""/>
    <s v="8 mg / 4 ml"/>
    <n v="90"/>
    <n v="1854.4881250000001"/>
    <n v="166903.93124999999"/>
  </r>
  <r>
    <s v="005"/>
    <s v="ALMACEN MEDICAMENTOS"/>
    <x v="0"/>
    <x v="0"/>
    <s v="20139041-2"/>
    <s v="LACOSAMIDA 200 mg  Comprimido recubierto"/>
    <s v=""/>
    <s v=""/>
    <s v=""/>
    <s v=""/>
    <s v="200 mg"/>
    <n v="90"/>
    <n v="1963"/>
    <n v="176670"/>
  </r>
  <r>
    <s v="005"/>
    <s v="ALMACEN MEDICAMENTOS"/>
    <x v="3"/>
    <x v="3"/>
    <s v="20196204-2"/>
    <s v="CEFALOTINA 1 g  Polvo para reconstituir a solución inyectable"/>
    <s v=""/>
    <s v=""/>
    <s v=""/>
    <s v=""/>
    <s v="1 g"/>
    <n v="90"/>
    <n v="2319.0068493150684"/>
    <n v="208710.61643835617"/>
  </r>
  <r>
    <s v="008"/>
    <s v="ALMACEN  GENERAL                                         "/>
    <x v="2"/>
    <x v="2"/>
    <s v="XD000153"/>
    <s v="TAPABOCAS DE ALTA EFICIENCIA N 95"/>
    <s v=""/>
    <s v=""/>
    <s v="006"/>
    <s v="Unidad"/>
    <s v=""/>
    <n v="90"/>
    <n v="2498.0486052631577"/>
    <n v="224824.37447368421"/>
  </r>
  <r>
    <s v="006"/>
    <s v="ALMACEN MEDICOQUIRURGICOS   "/>
    <x v="2"/>
    <x v="2"/>
    <s v="XE000006"/>
    <s v="EQUIPO BURETROL 150ML (ARC2421) *40"/>
    <s v=""/>
    <s v=""/>
    <s v="006"/>
    <s v="Unidad"/>
    <s v=""/>
    <n v="90"/>
    <n v="2850.6473571428573"/>
    <n v="256558.26214285713"/>
  </r>
  <r>
    <s v="006"/>
    <s v="ALMACEN MEDICOQUIRURGICOS   "/>
    <x v="2"/>
    <x v="2"/>
    <s v="XD000090"/>
    <s v="PANAL DESECHABLE INDIVIDUAL ADULTO "/>
    <s v=""/>
    <s v=""/>
    <s v="006"/>
    <s v="Unidad"/>
    <s v=""/>
    <n v="90"/>
    <n v="3504.0364035087719"/>
    <n v="315363.2763157895"/>
  </r>
  <r>
    <s v="005"/>
    <s v="ALMACEN MEDICAMENTOS"/>
    <x v="4"/>
    <x v="4"/>
    <s v="20073367-3"/>
    <s v="EMPAGLIFLOZINA 10 MG TABLETA"/>
    <s v=""/>
    <s v=""/>
    <s v=""/>
    <s v=""/>
    <s v="10 MG"/>
    <n v="90"/>
    <n v="3685.6808928571427"/>
    <n v="331711.28035714285"/>
  </r>
  <r>
    <s v="005"/>
    <s v="ALMACEN MEDICAMENTOS"/>
    <x v="0"/>
    <x v="0"/>
    <s v="19966575-03"/>
    <s v="POTASIO FOSFATO 38 mEqK + 26 mmol de Fosfato /10 ml Solución Inyectable"/>
    <s v=""/>
    <s v=""/>
    <s v=""/>
    <s v=""/>
    <s v=" 38 mEqK + 26 - 10 ML"/>
    <n v="90"/>
    <n v="8076.2247572815531"/>
    <n v="726860.22815533984"/>
  </r>
  <r>
    <s v="005"/>
    <s v="ALMACEN MEDICAMENTOS"/>
    <x v="14"/>
    <x v="14"/>
    <s v="150101"/>
    <s v="ENSURE CLINICAL LIQUIDO BOTELLA 220 ML"/>
    <s v=""/>
    <s v=""/>
    <s v=""/>
    <s v=""/>
    <s v="220 ML"/>
    <n v="90"/>
    <n v="12324.562702702702"/>
    <n v="1109210.6432432432"/>
  </r>
  <r>
    <s v="005"/>
    <s v="ALMACEN MEDICAMENTOS"/>
    <x v="0"/>
    <x v="0"/>
    <s v="19999765-01"/>
    <s v="LEVETIRACETAM 100 mg / ml Solución Inyectable x 5 ml"/>
    <s v=""/>
    <s v=""/>
    <s v=""/>
    <s v=""/>
    <s v="500 mg / ml 5 ml"/>
    <n v="90"/>
    <n v="25320.789896907219"/>
    <n v="2278871.0907216496"/>
  </r>
  <r>
    <s v="005"/>
    <s v="ALMACEN MEDICAMENTOS"/>
    <x v="4"/>
    <x v="4"/>
    <s v="22542-08"/>
    <s v="IOHEXOL 300 mg de Iodo Solución inyectable x 50 ml- OMNIPAQUE 300"/>
    <s v=""/>
    <s v=""/>
    <s v=""/>
    <s v=""/>
    <s v="350 mg - 50 ml"/>
    <n v="90"/>
    <n v="52782.251078431378"/>
    <n v="4750402.5970588233"/>
  </r>
  <r>
    <s v="001"/>
    <s v="FARMACIA CENTRAL                                  "/>
    <x v="6"/>
    <x v="6"/>
    <s v="20013906-01."/>
    <s v="MORFINA CLORHIDRATO 10 mg / 1ml Solución Inyectable"/>
    <s v=""/>
    <s v=""/>
    <s v=""/>
    <s v=""/>
    <s v="10 mg / 1ml"/>
    <n v="91"/>
    <n v="1844"/>
    <n v="167804"/>
  </r>
  <r>
    <s v="001"/>
    <s v="FARMACIA CENTRAL                                  "/>
    <x v="0"/>
    <x v="0"/>
    <s v="17144-09"/>
    <s v="AMITRIPTILINA CLORHIDRATO 25 mg Tableta"/>
    <s v=""/>
    <s v=""/>
    <s v=""/>
    <s v=""/>
    <s v="25 mg"/>
    <n v="92"/>
    <n v="38.44803278688525"/>
    <n v="3537.2190163934401"/>
  </r>
  <r>
    <s v="001"/>
    <s v="FARMACIA CENTRAL                                  "/>
    <x v="0"/>
    <x v="0"/>
    <s v="19913783-102"/>
    <s v="DIMENHIDRINATO 50 mg Tableta"/>
    <s v=""/>
    <s v=""/>
    <s v=""/>
    <s v=""/>
    <s v="50 mg"/>
    <n v="93"/>
    <n v="62"/>
    <n v="5766"/>
  </r>
  <r>
    <s v="001"/>
    <s v="FARMACIA CENTRAL                                  "/>
    <x v="0"/>
    <x v="0"/>
    <s v="20095530-02"/>
    <s v="PIRIDOXINA HCL 50 mg Cápsula"/>
    <s v=""/>
    <s v=""/>
    <s v=""/>
    <s v=""/>
    <s v="50 mg"/>
    <n v="93"/>
    <n v="75"/>
    <n v="6975"/>
  </r>
  <r>
    <s v="001"/>
    <s v="FARMACIA CENTRAL                                  "/>
    <x v="2"/>
    <x v="2"/>
    <s v="XG000004"/>
    <s v="AGUJA DESECHABLE # 21 G.X 1-1/2*100"/>
    <s v=""/>
    <s v=""/>
    <s v="006"/>
    <s v="Unidad"/>
    <s v=""/>
    <n v="93"/>
    <n v="78.775359433007083"/>
    <n v="7326.1084272696598"/>
  </r>
  <r>
    <s v="005"/>
    <s v="ALMACEN MEDICAMENTOS"/>
    <x v="0"/>
    <x v="0"/>
    <s v="39002-03"/>
    <s v="LIDOCAINA CLORHIDRATO 2 % Jalea 30 ML"/>
    <s v=""/>
    <s v=""/>
    <s v=""/>
    <s v=""/>
    <s v="2 % - 30 ml"/>
    <n v="94"/>
    <n v="9728.7152252252235"/>
    <n v="914499.23117117118"/>
  </r>
  <r>
    <s v="001"/>
    <s v="FARMACIA CENTRAL                                  "/>
    <x v="2"/>
    <x v="2"/>
    <s v="XD000074"/>
    <s v="LLAVE DE TRES VIAS-DISCOFIX UNIDAD- FE100"/>
    <s v=""/>
    <s v=""/>
    <s v="006"/>
    <s v="Unidad"/>
    <s v=""/>
    <n v="95"/>
    <n v="1714.5099713467048"/>
    <n v="162878.44727793697"/>
  </r>
  <r>
    <s v="008"/>
    <s v="ALMACEN  GENERAL                                         "/>
    <x v="7"/>
    <x v="7"/>
    <s v="AA000082"/>
    <s v="ISODINE ESPUMA-JABON   FRASCO 60 CC"/>
    <s v=""/>
    <s v=""/>
    <s v="006"/>
    <s v="Unidad"/>
    <s v=""/>
    <n v="95"/>
    <n v="4921.9473684210525"/>
    <n v="467585"/>
  </r>
  <r>
    <s v="001"/>
    <s v="FARMACIA CENTRAL                                  "/>
    <x v="0"/>
    <x v="0"/>
    <s v="20046741-04"/>
    <s v="ACETAMINOFEN + CODEINA 325 mg + 30 mg Tableta "/>
    <s v=""/>
    <s v=""/>
    <s v=""/>
    <s v=""/>
    <s v="325 mg + 30 mg"/>
    <n v="96"/>
    <n v="167.42583333333334"/>
    <n v="16072.88"/>
  </r>
  <r>
    <s v="006"/>
    <s v="ALMACEN MEDICOQUIRURGICOS   "/>
    <x v="2"/>
    <x v="2"/>
    <s v="XV000003"/>
    <s v="VENDA DE ALGODON 5 X 5 *1 LAMINADO"/>
    <s v=""/>
    <s v=""/>
    <s v="006"/>
    <s v="Unidad"/>
    <s v=""/>
    <n v="96"/>
    <n v="1692.1930827067667"/>
    <n v="162450.53593984962"/>
  </r>
  <r>
    <s v="001"/>
    <s v="FARMACIA CENTRAL                                  "/>
    <x v="0"/>
    <x v="0"/>
    <s v="20153572-1"/>
    <s v="ETORICOXIB 60MG TABLETA"/>
    <s v=""/>
    <s v=""/>
    <s v=""/>
    <s v=""/>
    <s v="60"/>
    <n v="98"/>
    <n v="962.82"/>
    <n v="94356.36"/>
  </r>
  <r>
    <s v="005"/>
    <s v="ALMACEN MEDICAMENTOS"/>
    <x v="3"/>
    <x v="3"/>
    <s v="20046873-01"/>
    <s v="PENICILINA G SODICA 1.000.000 UI Polvo para reconsituir a solución inyectable"/>
    <s v=""/>
    <s v=""/>
    <s v=""/>
    <s v=""/>
    <s v="1.000.000 UI"/>
    <n v="98"/>
    <n v="1649.4257391304347"/>
    <n v="161643.7224347826"/>
  </r>
  <r>
    <s v="008"/>
    <s v="ALMACEN  GENERAL                                         "/>
    <x v="12"/>
    <x v="12"/>
    <s v="AR000035"/>
    <s v="BATA DESECHABLE MANGA LARGA"/>
    <s v=""/>
    <s v=""/>
    <s v="006"/>
    <s v="Unidad"/>
    <s v=""/>
    <n v="100"/>
    <n v="-3138.9"/>
    <n v="-313890"/>
  </r>
  <r>
    <s v="005"/>
    <s v="ALMACEN MEDICAMENTOS"/>
    <x v="0"/>
    <x v="0"/>
    <s v="19953922-02"/>
    <s v="BISACODILO 5 mg Tableta"/>
    <s v=""/>
    <s v=""/>
    <s v=""/>
    <s v=""/>
    <s v="5 mg"/>
    <n v="100"/>
    <n v="35.8003"/>
    <n v="3580.03"/>
  </r>
  <r>
    <s v="005"/>
    <s v="ALMACEN MEDICAMENTOS"/>
    <x v="0"/>
    <x v="0"/>
    <s v="19941418-04"/>
    <s v="METOCLOPRAMIDA CLORHIDRATO 10 mg Tableta"/>
    <s v=""/>
    <s v=""/>
    <s v=""/>
    <s v=""/>
    <s v="10 mg"/>
    <n v="100"/>
    <n v="63.133333333333333"/>
    <n v="6313.3333333333303"/>
  </r>
  <r>
    <s v="005"/>
    <s v="ALMACEN MEDICAMENTOS"/>
    <x v="0"/>
    <x v="0"/>
    <s v="31190-01"/>
    <s v="NAPROXENO 500 mg Tableta"/>
    <s v=""/>
    <s v=""/>
    <s v=""/>
    <s v=""/>
    <s v="500 mg"/>
    <n v="100"/>
    <n v="80"/>
    <n v="8000"/>
  </r>
  <r>
    <s v="005"/>
    <s v="ALMACEN MEDICAMENTOS"/>
    <x v="3"/>
    <x v="3"/>
    <s v="19959772-01"/>
    <s v="METRONIDAZOL 500 mg Tableta"/>
    <s v=""/>
    <s v=""/>
    <s v=""/>
    <s v=""/>
    <s v="500 mg"/>
    <n v="100"/>
    <n v="114"/>
    <n v="11400"/>
  </r>
  <r>
    <s v="005"/>
    <s v="ALMACEN MEDICAMENTOS"/>
    <x v="0"/>
    <x v="0"/>
    <s v="19948280-04"/>
    <s v="METOCARBAMOL 750 mg Tableta"/>
    <s v=""/>
    <s v=""/>
    <s v=""/>
    <s v=""/>
    <s v="750 mg"/>
    <n v="100"/>
    <n v="156.3866081871345"/>
    <n v="15638.66081871345"/>
  </r>
  <r>
    <s v="005"/>
    <s v="ALMACEN MEDICAMENTOS"/>
    <x v="0"/>
    <x v="0"/>
    <s v="20044615-01"/>
    <s v="CALCIO CARBONATO+ VITAMINA D3 600mg + 200 UI Tableta"/>
    <s v=""/>
    <s v=""/>
    <s v=""/>
    <s v=""/>
    <s v="600mg+200UI"/>
    <n v="100"/>
    <n v="199.90476190476193"/>
    <n v="19990.476190476191"/>
  </r>
  <r>
    <s v="005"/>
    <s v="ALMACEN MEDICAMENTOS"/>
    <x v="3"/>
    <x v="3"/>
    <s v="19950177-01"/>
    <s v="DOXICICLINA 100 mg Tableta o Cápsula"/>
    <s v=""/>
    <s v=""/>
    <s v=""/>
    <s v=""/>
    <s v="100 mg"/>
    <n v="100"/>
    <n v="214.08702970297031"/>
    <n v="21408.702970297029"/>
  </r>
  <r>
    <s v="058"/>
    <s v="BODEGA SEDE QUIROIGA"/>
    <x v="2"/>
    <x v="2"/>
    <s v="XJ000010"/>
    <s v="JERINGA DESECHABLE 10ML-C/A-3 PARTES X 100"/>
    <s v=""/>
    <s v=""/>
    <s v="006"/>
    <s v="Unidad"/>
    <s v=""/>
    <n v="100"/>
    <n v="261.77091875138365"/>
    <n v="26177.091875138369"/>
  </r>
  <r>
    <s v="058"/>
    <s v="BODEGA SEDE QUIROIGA"/>
    <x v="2"/>
    <x v="2"/>
    <s v="XA000035"/>
    <s v="GASAS PAQUETE ESTERIL X5"/>
    <s v=""/>
    <s v=""/>
    <s v="006"/>
    <s v="Unidad"/>
    <s v=""/>
    <n v="100"/>
    <n v="303.54016676418956"/>
    <n v="30354.01667641896"/>
  </r>
  <r>
    <s v="006"/>
    <s v="ALMACEN MEDICOQUIRURGICOS   "/>
    <x v="2"/>
    <x v="2"/>
    <s v="XG000018"/>
    <s v="HOJA BISTURI # 11 *100"/>
    <s v=""/>
    <s v=""/>
    <s v="006"/>
    <s v="Unidad"/>
    <s v=""/>
    <n v="100"/>
    <n v="409.59333333333331"/>
    <n v="40959.333333333328"/>
  </r>
  <r>
    <s v="005"/>
    <s v="ALMACEN MEDICAMENTOS"/>
    <x v="0"/>
    <x v="0"/>
    <s v="20011388-13"/>
    <s v="FUROSEMIDA 20 mg / 2 ml Solución inyectable"/>
    <s v=""/>
    <s v=""/>
    <s v=""/>
    <s v=""/>
    <s v="20 mg / 2 ml"/>
    <n v="100"/>
    <n v="480.11012658227844"/>
    <n v="48011.012658227854"/>
  </r>
  <r>
    <s v="001"/>
    <s v="FARMACIA CENTRAL                                  "/>
    <x v="0"/>
    <x v="0"/>
    <s v="20043928-01"/>
    <s v="AMIODARONA CLORHIDRATO 200 mg Tableta"/>
    <s v=""/>
    <s v=""/>
    <s v=""/>
    <s v=""/>
    <s v="200 mg"/>
    <n v="100"/>
    <n v="501.94600000000003"/>
    <n v="50194.6"/>
  </r>
  <r>
    <s v="006"/>
    <s v="ALMACEN MEDICOQUIRURGICOS   "/>
    <x v="2"/>
    <x v="2"/>
    <s v="XG000027"/>
    <s v="HOJA BISTURI # 12 *100"/>
    <s v=""/>
    <s v=""/>
    <s v="006"/>
    <s v="Unidad"/>
    <s v=""/>
    <n v="100"/>
    <n v="553.89200000000005"/>
    <n v="55389.2"/>
  </r>
  <r>
    <s v="005"/>
    <s v="ALMACEN MEDICAMENTOS"/>
    <x v="0"/>
    <x v="0"/>
    <s v="20028845-09"/>
    <s v="ATROPINA SULFATO 1mg / ml Solución inyectable"/>
    <s v=""/>
    <s v=""/>
    <s v=""/>
    <s v=""/>
    <s v="1mg / ml"/>
    <n v="100"/>
    <n v="756.09078431372541"/>
    <n v="75609.078431372545"/>
  </r>
  <r>
    <s v="006"/>
    <s v="ALMACEN MEDICOQUIRURGICOS   "/>
    <x v="2"/>
    <x v="2"/>
    <s v="XG000007"/>
    <s v="AGUJA HIPODERMICA  TIPO PEN CALIBRE 32"/>
    <s v=""/>
    <s v=""/>
    <s v="006"/>
    <s v="Unidad"/>
    <s v=""/>
    <n v="100"/>
    <n v="818.82290598290604"/>
    <n v="81882.290598290594"/>
  </r>
  <r>
    <s v="005"/>
    <s v="ALMACEN MEDICAMENTOS"/>
    <x v="3"/>
    <x v="3"/>
    <s v="20054696-2"/>
    <s v="AMPICILINA SODICA 1 g Polvo para reconstituir a solución inyectable"/>
    <s v=""/>
    <s v=""/>
    <s v=""/>
    <s v=""/>
    <s v="1 g"/>
    <n v="100"/>
    <n v="1496.0608609271524"/>
    <n v="149606.08609271524"/>
  </r>
  <r>
    <s v="006"/>
    <s v="ALMACEN MEDICOQUIRURGICOS   "/>
    <x v="2"/>
    <x v="2"/>
    <s v="XG000030"/>
    <s v="TAPON LIBRE DE AGUJAS CLEARLINK"/>
    <s v=""/>
    <s v=""/>
    <s v="006"/>
    <s v="Unidad"/>
    <s v=""/>
    <n v="100"/>
    <n v="2841.516984126984"/>
    <n v="284151.6984126984"/>
  </r>
  <r>
    <s v="005"/>
    <s v="ALMACEN MEDICAMENTOS"/>
    <x v="3"/>
    <x v="3"/>
    <s v="19943350-28"/>
    <s v="CLINDAMICINA 600 mg / 4 ml Solución inyectable"/>
    <s v=""/>
    <s v=""/>
    <s v=""/>
    <s v=""/>
    <s v="600 mg "/>
    <n v="100"/>
    <n v="3126.0934999999999"/>
    <n v="312609.34999999998"/>
  </r>
  <r>
    <s v="005"/>
    <s v="ALMACEN MEDICAMENTOS"/>
    <x v="0"/>
    <x v="0"/>
    <s v="218000-16"/>
    <s v="PENICILINA G SODICA 5.000.000 UI Polvo para reconsituir a slución inyectable"/>
    <s v=""/>
    <s v=""/>
    <s v=""/>
    <s v=""/>
    <s v="5.000.000 UI"/>
    <n v="100"/>
    <n v="4594.8019801980199"/>
    <n v="459480.19801980199"/>
  </r>
  <r>
    <s v="005"/>
    <s v="ALMACEN MEDICAMENTOS"/>
    <x v="14"/>
    <x v="14"/>
    <s v="160152"/>
    <s v="AISLADO DE PROTEINA (PROWHEY PLUS) SOBRES 32 GR"/>
    <s v=""/>
    <s v=""/>
    <s v=""/>
    <s v=""/>
    <s v="32"/>
    <n v="100"/>
    <n v="8497.0020338983049"/>
    <n v="849700.20338983054"/>
  </r>
  <r>
    <s v="006"/>
    <s v="ALMACEN MEDICOQUIRURGICOS   "/>
    <x v="2"/>
    <x v="2"/>
    <s v="XE000005"/>
    <s v="EQUIPO BOMBA FOTOSENSIBLE REF. 14007"/>
    <s v=""/>
    <s v=""/>
    <s v="006"/>
    <s v="Unidad"/>
    <s v=""/>
    <n v="100"/>
    <n v="26231.993161764709"/>
    <n v="2623199.3161764708"/>
  </r>
  <r>
    <s v="001"/>
    <s v="FARMACIA CENTRAL                                  "/>
    <x v="0"/>
    <x v="0"/>
    <s v="20041806-02"/>
    <s v="AGUA  ESTERIL PARA INYECCION 10 ml  Solución Inyectable"/>
    <s v=""/>
    <s v=""/>
    <s v=""/>
    <s v=""/>
    <s v="10 ml"/>
    <n v="101"/>
    <n v="275"/>
    <n v="27775"/>
  </r>
  <r>
    <s v="006"/>
    <s v="ALMACEN MEDICOQUIRURGICOS   "/>
    <x v="2"/>
    <x v="2"/>
    <s v="XD000106"/>
    <s v="ROPA DESECHABLE LAPARATOMIA(29130)*1 P.COMPLETO"/>
    <s v=""/>
    <s v=""/>
    <s v="006"/>
    <s v="Unidad"/>
    <s v=""/>
    <n v="101"/>
    <n v="53512.670810810807"/>
    <n v="5404779.7518918915"/>
  </r>
  <r>
    <s v="008"/>
    <s v="ALMACEN  GENERAL                                         "/>
    <x v="7"/>
    <x v="7"/>
    <s v="AA000089"/>
    <s v="MICROPORE PIEL 2 PULGADAS X 6 CINTAS"/>
    <s v=""/>
    <s v=""/>
    <s v="006"/>
    <s v="Unidad"/>
    <s v=""/>
    <n v="102"/>
    <n v="6004.2436893203885"/>
    <n v="612432.85631067958"/>
  </r>
  <r>
    <s v="005"/>
    <s v="ALMACEN MEDICAMENTOS"/>
    <x v="4"/>
    <x v="4"/>
    <s v="20152146-01"/>
    <s v="CEFAZOLINA 1 g Polvo para reconstituir a solución inyectable"/>
    <s v=""/>
    <s v=""/>
    <s v=""/>
    <s v=""/>
    <s v="1 g"/>
    <n v="103"/>
    <n v="2236.8357692307691"/>
    <n v="230394.08423076925"/>
  </r>
  <r>
    <s v="008"/>
    <s v="ALMACEN  GENERAL                                         "/>
    <x v="7"/>
    <x v="7"/>
    <s v="AA000148"/>
    <s v="ESPONJA ENJABONADA DESECHABLE PQT  (BEGOBANO)"/>
    <s v=""/>
    <s v=""/>
    <s v="006"/>
    <s v="Unidad"/>
    <s v=""/>
    <n v="103"/>
    <n v="23800.311844660195"/>
    <n v="2451432.12"/>
  </r>
  <r>
    <s v="001"/>
    <s v="FARMACIA CENTRAL                                  "/>
    <x v="0"/>
    <x v="0"/>
    <s v="20006150-07"/>
    <s v="BISACODILO 5 mg Gragea"/>
    <s v=""/>
    <s v=""/>
    <s v=""/>
    <s v=""/>
    <s v="5 mg"/>
    <n v="104"/>
    <n v="53.653846153846153"/>
    <n v="5580"/>
  </r>
  <r>
    <s v="001"/>
    <s v="FARMACIA CENTRAL                                  "/>
    <x v="2"/>
    <x v="2"/>
    <s v="XG000018"/>
    <s v="HOJA BISTURI # 11 *100"/>
    <s v=""/>
    <s v=""/>
    <s v="006"/>
    <s v="Unidad"/>
    <s v=""/>
    <n v="104"/>
    <n v="409.59333333333331"/>
    <n v="42597.706666666672"/>
  </r>
  <r>
    <s v="001"/>
    <s v="FARMACIA CENTRAL                                  "/>
    <x v="0"/>
    <x v="0"/>
    <s v="19924189-01"/>
    <s v="ACICLOVIR 200 mg Tableta"/>
    <s v=""/>
    <s v=""/>
    <s v=""/>
    <s v=""/>
    <s v="200 mg"/>
    <n v="105"/>
    <n v="155.81904761904761"/>
    <n v="16361"/>
  </r>
  <r>
    <s v="002"/>
    <s v="FARMACIA DE CIRUGIA                               "/>
    <x v="2"/>
    <x v="2"/>
    <s v="XE000007"/>
    <s v="EQUIPO DE MACROGOTEO- MRC0002 X 120"/>
    <s v=""/>
    <s v=""/>
    <s v="006"/>
    <s v="Unidad"/>
    <s v=""/>
    <n v="105"/>
    <n v="863.47163555555562"/>
    <n v="90664.521733333313"/>
  </r>
  <r>
    <s v="001"/>
    <s v="FARMACIA CENTRAL                                  "/>
    <x v="2"/>
    <x v="2"/>
    <s v="XD000058"/>
    <s v="GUANTE QUIRURGICO ESTERIL T-6.0 *1 PAR "/>
    <s v=""/>
    <s v=""/>
    <s v="006"/>
    <s v="Unidad"/>
    <s v=""/>
    <n v="105"/>
    <n v="1813.293306451613"/>
    <n v="190395.79717741936"/>
  </r>
  <r>
    <s v="006"/>
    <s v="ALMACEN MEDICOQUIRURGICOS   "/>
    <x v="2"/>
    <x v="2"/>
    <s v="XJ000018"/>
    <s v="JERINGA PARA SONDAS CON ENFIT PARA NUTRICION ENTERAL  20 ML REF NCE20SEC"/>
    <s v=""/>
    <s v=""/>
    <s v="006"/>
    <s v="Unidad"/>
    <s v=""/>
    <n v="105"/>
    <n v="3950.5238983050849"/>
    <n v="414805.0093220339"/>
  </r>
  <r>
    <s v="001"/>
    <s v="FARMACIA CENTRAL                                  "/>
    <x v="6"/>
    <x v="6"/>
    <s v="19966033-01"/>
    <s v="METADONA 10mg Tableta"/>
    <s v=""/>
    <s v=""/>
    <s v=""/>
    <s v=""/>
    <s v="10mg"/>
    <n v="106"/>
    <n v="-18631.558207547172"/>
    <n v="-1974945.17"/>
  </r>
  <r>
    <s v="001"/>
    <s v="FARMACIA CENTRAL                                  "/>
    <x v="3"/>
    <x v="3"/>
    <s v="20120229-1"/>
    <s v="VANCOMICINA CLORHIDRATO 500 mg Polvo para reconstituir a solución inyectable"/>
    <s v=""/>
    <s v=""/>
    <s v=""/>
    <s v=""/>
    <s v="500 mg"/>
    <n v="107"/>
    <n v="5874.1665745856362"/>
    <n v="628535.82348066301"/>
  </r>
  <r>
    <s v="001"/>
    <s v="FARMACIA CENTRAL                                  "/>
    <x v="0"/>
    <x v="0"/>
    <s v="19940399-02"/>
    <s v="IMIPRAMINA CLORHIDRATO 25 mg Gragea"/>
    <s v=""/>
    <s v=""/>
    <s v=""/>
    <s v=""/>
    <s v="25 mg"/>
    <n v="110"/>
    <n v="94.445161290322574"/>
    <n v="10388.967741935479"/>
  </r>
  <r>
    <s v="006"/>
    <s v="ALMACEN MEDICOQUIRURGICOS   "/>
    <x v="2"/>
    <x v="2"/>
    <s v="XD000142"/>
    <s v="SONDA NELATON # 16 (UREATRAL)*1"/>
    <s v=""/>
    <s v=""/>
    <s v="006"/>
    <s v="Unidad"/>
    <s v=""/>
    <n v="110"/>
    <n v="669.47519999999997"/>
    <n v="73642.271999999997"/>
  </r>
  <r>
    <s v="005"/>
    <s v="ALMACEN MEDICAMENTOS"/>
    <x v="0"/>
    <x v="0"/>
    <s v="20045072-04"/>
    <s v="TRAMADOL CLORHIDRATO 100 mg/2 mL Solucion Inyectable"/>
    <s v=""/>
    <s v=""/>
    <s v=""/>
    <s v=""/>
    <s v="100 MG/2 ML"/>
    <n v="110"/>
    <n v="755.54084507042251"/>
    <n v="83109.492957746479"/>
  </r>
  <r>
    <s v="005"/>
    <s v="ALMACEN MEDICAMENTOS"/>
    <x v="3"/>
    <x v="3"/>
    <s v="20049275-02"/>
    <s v="OXACILINA 1 g Polvo para reconstituir a solución inyectable"/>
    <s v=""/>
    <s v=""/>
    <s v=""/>
    <s v=""/>
    <s v="1 g"/>
    <n v="110"/>
    <n v="2061.9522807017543"/>
    <n v="226814.75087719297"/>
  </r>
  <r>
    <s v="043"/>
    <s v="BODEGA DE CENTRAL DE MEZCLAS"/>
    <x v="6"/>
    <x v="6"/>
    <s v="20023905-04"/>
    <s v="FENTANILO CITRATO 0.5 mg / 10 ml Solución Inyectable"/>
    <s v=""/>
    <s v=""/>
    <s v=""/>
    <s v=""/>
    <s v="0,5 MG / 10 ML"/>
    <n v="110"/>
    <n v="2235.065979532164"/>
    <n v="245857.25774853799"/>
  </r>
  <r>
    <s v="006"/>
    <s v="ALMACEN MEDICOQUIRURGICOS   "/>
    <x v="2"/>
    <x v="2"/>
    <s v="XV000018"/>
    <s v="VENDA ELASTICA 6 X 5 *1 UNIDAD"/>
    <s v=""/>
    <s v=""/>
    <s v="006"/>
    <s v="Unidad"/>
    <s v=""/>
    <n v="110"/>
    <n v="2314.879117647059"/>
    <n v="254636.70294117648"/>
  </r>
  <r>
    <s v="008"/>
    <s v="ALMACEN  GENERAL                                         "/>
    <x v="12"/>
    <x v="12"/>
    <s v="AR000032"/>
    <s v="SABANA DESECHABLE 2.0 X 9.0"/>
    <s v=""/>
    <s v=""/>
    <s v="006"/>
    <s v="Unidad"/>
    <s v=""/>
    <n v="110"/>
    <n v="4448.4190909090912"/>
    <n v="489326.1"/>
  </r>
  <r>
    <s v="001"/>
    <s v="FARMACIA CENTRAL                                  "/>
    <x v="2"/>
    <x v="2"/>
    <s v="XD000060"/>
    <s v="GUANTE QUIRURGICO ESTERIL T-7.0 *1 PAR "/>
    <s v=""/>
    <s v=""/>
    <s v="006"/>
    <s v="Unidad"/>
    <s v=""/>
    <n v="111"/>
    <n v="1017.2755338691159"/>
    <n v="112917.58425947189"/>
  </r>
  <r>
    <s v="001"/>
    <s v="FARMACIA CENTRAL                                  "/>
    <x v="0"/>
    <x v="0"/>
    <s v="20056052-13"/>
    <s v="CLOPIDOGREL 75 mg Tableta "/>
    <s v=""/>
    <s v=""/>
    <s v=""/>
    <s v=""/>
    <s v="75 mg"/>
    <n v="112"/>
    <n v="116.26838028169014"/>
    <n v="13022.058591549299"/>
  </r>
  <r>
    <s v="001"/>
    <s v="FARMACIA CENTRAL                                  "/>
    <x v="3"/>
    <x v="3"/>
    <s v="20080533-02"/>
    <s v="OXACILINA 1 g Polvo para reconstituir a solución inyectable"/>
    <s v=""/>
    <s v=""/>
    <s v=""/>
    <s v=""/>
    <s v="1 g"/>
    <n v="112"/>
    <n v="1869.7551785714286"/>
    <n v="209412.58"/>
  </r>
  <r>
    <s v="001"/>
    <s v="FARMACIA CENTRAL                                  "/>
    <x v="0"/>
    <x v="0"/>
    <s v="19929866-03"/>
    <s v="GABAPENTIN 400 mg Cápsula "/>
    <s v=""/>
    <s v=""/>
    <s v=""/>
    <s v=""/>
    <s v="400 mg"/>
    <n v="114"/>
    <n v="332.07149122807016"/>
    <n v="37856.15"/>
  </r>
  <r>
    <s v="001"/>
    <s v="FARMACIA CENTRAL                                  "/>
    <x v="0"/>
    <x v="0"/>
    <s v="38818-14"/>
    <s v="FLUOXETINA 20 mg Tableta o Cápsula"/>
    <s v=""/>
    <s v=""/>
    <s v=""/>
    <s v=""/>
    <s v="20 mg"/>
    <n v="115"/>
    <n v="185.44675862068965"/>
    <n v="21326.377241379309"/>
  </r>
  <r>
    <s v="002"/>
    <s v="FARMACIA DE CIRUGIA                               "/>
    <x v="2"/>
    <x v="2"/>
    <s v="XJ000010"/>
    <s v="JERINGA DESECHABLE 10ML-C/A-3 PARTES X 100"/>
    <s v=""/>
    <s v=""/>
    <s v="006"/>
    <s v="Unidad"/>
    <s v=""/>
    <n v="115"/>
    <n v="261.77091875138365"/>
    <n v="30103.655656409119"/>
  </r>
  <r>
    <s v="008"/>
    <s v="ALMACEN  GENERAL                                         "/>
    <x v="1"/>
    <x v="1"/>
    <s v="AM000341"/>
    <s v="PILA 2032 PARA GLUCOMETRO"/>
    <s v=""/>
    <s v=""/>
    <s v="006"/>
    <s v="Unidad"/>
    <s v=""/>
    <n v="115"/>
    <n v="2252.5878260869567"/>
    <n v="259047.6"/>
  </r>
  <r>
    <s v="001"/>
    <s v="FARMACIA CENTRAL                                  "/>
    <x v="0"/>
    <x v="0"/>
    <s v="20156587-01"/>
    <s v="LEVETIRACETAM 500 mg Tableta"/>
    <s v=""/>
    <s v=""/>
    <s v=""/>
    <s v=""/>
    <s v="500 mg"/>
    <n v="117"/>
    <n v="469.38202247191015"/>
    <n v="54917.696629213482"/>
  </r>
  <r>
    <s v="001"/>
    <s v="FARMACIA CENTRAL                                  "/>
    <x v="6"/>
    <x v="6"/>
    <s v="19975977-03"/>
    <s v="CLOZAPINA 25 mg Tableta"/>
    <s v=""/>
    <s v=""/>
    <s v=""/>
    <s v=""/>
    <s v="25 mg"/>
    <n v="118"/>
    <n v="92.347457627118644"/>
    <n v="10897"/>
  </r>
  <r>
    <s v="001"/>
    <s v="FARMACIA CENTRAL                                  "/>
    <x v="0"/>
    <x v="0"/>
    <s v="200541-11"/>
    <s v="METOPROLOL SUCCINATO 50MG TABLETAS"/>
    <s v=""/>
    <s v=""/>
    <s v=""/>
    <s v=""/>
    <s v="50MG"/>
    <n v="118"/>
    <n v="617"/>
    <n v="72806"/>
  </r>
  <r>
    <s v="006"/>
    <s v="ALMACEN MEDICOQUIRURGICOS   "/>
    <x v="2"/>
    <x v="2"/>
    <s v="XJ000019"/>
    <s v="JERINGA PARA SONDAS CON ENFIT PARA NUTRICION ENTERAL  50 ML REF NCE50SEC"/>
    <s v=""/>
    <s v=""/>
    <s v="006"/>
    <s v="Unidad"/>
    <s v=""/>
    <n v="118"/>
    <n v="6722.8188976377951"/>
    <n v="793292.62992125982"/>
  </r>
  <r>
    <s v="001"/>
    <s v="FARMACIA CENTRAL                                  "/>
    <x v="0"/>
    <x v="0"/>
    <s v="19936296-11"/>
    <s v="ACIDO ACETIL SALICILICO  100 mg Tableta"/>
    <s v=""/>
    <s v=""/>
    <s v=""/>
    <s v=""/>
    <s v="100 mg"/>
    <n v="120"/>
    <n v="34.286206896551725"/>
    <n v="4114.3448275862102"/>
  </r>
  <r>
    <s v="005"/>
    <s v="ALMACEN MEDICAMENTOS"/>
    <x v="0"/>
    <x v="0"/>
    <s v="20086955-06"/>
    <s v="CARVEDILOL 6.25 mg Tableta"/>
    <s v=""/>
    <s v=""/>
    <s v=""/>
    <s v=""/>
    <s v="6.25 mg"/>
    <n v="120"/>
    <n v="59.091666666666661"/>
    <n v="7091"/>
  </r>
  <r>
    <s v="005"/>
    <s v="ALMACEN MEDICAMENTOS"/>
    <x v="0"/>
    <x v="0"/>
    <s v="20061399-01"/>
    <s v="NIFEDIPINO 30MG CAPSULAS DE LIBERACION CONTROLADA 12 HORAS"/>
    <s v=""/>
    <s v=""/>
    <s v=""/>
    <s v=""/>
    <s v="30 mg"/>
    <n v="120"/>
    <n v="193"/>
    <n v="23160"/>
  </r>
  <r>
    <s v="005"/>
    <s v="ALMACEN MEDICAMENTOS"/>
    <x v="0"/>
    <x v="0"/>
    <s v="20003537-02"/>
    <s v="SERTRALINA 50 mg Tableta"/>
    <s v=""/>
    <s v=""/>
    <s v=""/>
    <s v=""/>
    <s v="50 mg"/>
    <n v="120"/>
    <n v="209"/>
    <n v="25080"/>
  </r>
  <r>
    <s v="005"/>
    <s v="ALMACEN MEDICAMENTOS"/>
    <x v="0"/>
    <x v="0"/>
    <s v="20039014-3"/>
    <s v="PREGABALINA 150MG CAPSULAS"/>
    <s v=""/>
    <s v=""/>
    <s v=""/>
    <s v=""/>
    <s v="150MG"/>
    <n v="120"/>
    <n v="235"/>
    <n v="28200"/>
  </r>
  <r>
    <s v="005"/>
    <s v="ALMACEN MEDICAMENTOS"/>
    <x v="0"/>
    <x v="0"/>
    <s v="20059258-03"/>
    <s v="PREGABALINA 150MG CAPSULAS"/>
    <s v=""/>
    <s v=""/>
    <s v=""/>
    <s v=""/>
    <s v="150MG"/>
    <n v="120"/>
    <n v="235.2017222222222"/>
    <n v="28224.206666666669"/>
  </r>
  <r>
    <s v="005"/>
    <s v="ALMACEN MEDICAMENTOS"/>
    <x v="0"/>
    <x v="0"/>
    <s v="20041735-05"/>
    <s v="PREGABALINA 50 mg Cápsula"/>
    <s v=""/>
    <s v=""/>
    <s v=""/>
    <s v=""/>
    <s v="50 MG"/>
    <n v="120"/>
    <n v="1000.1208178438661"/>
    <n v="120014.49814126395"/>
  </r>
  <r>
    <s v="005"/>
    <s v="ALMACEN MEDICAMENTOS"/>
    <x v="0"/>
    <x v="0"/>
    <s v="1N1025871003100"/>
    <s v="NOREPINEFRINA 4 mg / 4 ml Solución Inyectable"/>
    <s v=""/>
    <s v=""/>
    <s v=""/>
    <s v=""/>
    <s v="4 mg / 4 ml"/>
    <n v="120"/>
    <n v="2198.5294117647059"/>
    <n v="263823.5294117647"/>
  </r>
  <r>
    <s v="005"/>
    <s v="ALMACEN MEDICAMENTOS"/>
    <x v="0"/>
    <x v="0"/>
    <s v="20066793-16"/>
    <s v="POLIETILENGLICOL SIN ELECTROLITOS 3350 SOBRE 17 g Polvo para reconstituir a solución oral"/>
    <s v=""/>
    <s v=""/>
    <s v=""/>
    <s v=""/>
    <s v="17 g"/>
    <n v="120"/>
    <n v="2351.5508088235297"/>
    <n v="282186.09705882351"/>
  </r>
  <r>
    <s v="008"/>
    <s v="ALMACEN  GENERAL                                         "/>
    <x v="13"/>
    <x v="13"/>
    <s v="AC000010"/>
    <s v="VASO 3.5 ONZ TRANSPARENTE"/>
    <s v=""/>
    <s v=""/>
    <s v="006"/>
    <s v="Unidad"/>
    <s v=""/>
    <n v="120"/>
    <n v="2520.3159999999998"/>
    <n v="302437.92"/>
  </r>
  <r>
    <s v="005"/>
    <s v="ALMACEN MEDICAMENTOS"/>
    <x v="0"/>
    <x v="0"/>
    <s v="38995-04"/>
    <s v="BUPIVACAINA + DEXTROSA 0.02 g / 4 ml Solución inyectable"/>
    <s v=""/>
    <s v=""/>
    <s v=""/>
    <s v=""/>
    <s v="0.02 g / 4 ml"/>
    <n v="120"/>
    <n v="5714.86"/>
    <n v="685783.2"/>
  </r>
  <r>
    <s v="001"/>
    <s v="FARMACIA CENTRAL                                  "/>
    <x v="0"/>
    <x v="0"/>
    <s v="44969-09"/>
    <s v="CARBAMAZEPINA 200 mg Tableta"/>
    <s v=""/>
    <s v=""/>
    <s v=""/>
    <s v=""/>
    <s v="200 mg"/>
    <n v="121"/>
    <n v="133.50191570881225"/>
    <n v="16153.73180076628"/>
  </r>
  <r>
    <s v="001"/>
    <s v="FARMACIA CENTRAL                                  "/>
    <x v="0"/>
    <x v="0"/>
    <s v="19931778-13"/>
    <s v="AMANTADINA SULFATO  100 mg Cápsula"/>
    <s v=""/>
    <s v=""/>
    <s v=""/>
    <s v=""/>
    <s v="100 mg"/>
    <n v="121"/>
    <n v="949.63636363636363"/>
    <n v="114906"/>
  </r>
  <r>
    <s v="043"/>
    <s v="BODEGA DE CENTRAL DE MEZCLAS"/>
    <x v="6"/>
    <x v="6"/>
    <s v="20013906-01"/>
    <s v="MORFINA CLORHIDRATO 10 mg / 1ml Solución Inyectable"/>
    <s v=""/>
    <s v=""/>
    <s v=""/>
    <s v=""/>
    <s v="10 mg / 1ml"/>
    <n v="123"/>
    <n v="3307.4908974358973"/>
    <n v="406821.38038461533"/>
  </r>
  <r>
    <s v="001"/>
    <s v="FARMACIA CENTRAL                                  "/>
    <x v="0"/>
    <x v="0"/>
    <s v="20005109-07"/>
    <s v="CARVEDILOL 12.5 mg Tableta"/>
    <s v=""/>
    <s v=""/>
    <s v=""/>
    <s v=""/>
    <s v="12.5 mg"/>
    <n v="124"/>
    <n v="59.246788321167877"/>
    <n v="7346.60175182482"/>
  </r>
  <r>
    <s v="001"/>
    <s v="FARMACIA CENTRAL                                  "/>
    <x v="0"/>
    <x v="0"/>
    <s v="20093306-1"/>
    <s v="QUETIAPINA 25 mg Tableta"/>
    <s v=""/>
    <s v=""/>
    <s v=""/>
    <s v=""/>
    <s v="25 mg"/>
    <n v="124"/>
    <n v="151.88805921052631"/>
    <n v="18834.119342105259"/>
  </r>
  <r>
    <s v="001"/>
    <s v="FARMACIA CENTRAL                                  "/>
    <x v="2"/>
    <x v="2"/>
    <s v="XJ000003"/>
    <s v="CATETERES PERIFERICOS INTRAVENOSOS  INSYTE #22*50"/>
    <s v=""/>
    <s v=""/>
    <s v="006"/>
    <s v="Unidad"/>
    <s v=""/>
    <n v="124"/>
    <n v="2145.7358134490237"/>
    <n v="266071.24086767895"/>
  </r>
  <r>
    <s v="001"/>
    <s v="FARMACIA CENTRAL                                  "/>
    <x v="0"/>
    <x v="0"/>
    <s v="51330-17"/>
    <s v="IBUPROFENO 400 mg Tableta"/>
    <s v=""/>
    <s v=""/>
    <s v=""/>
    <s v=""/>
    <s v="400 mg"/>
    <n v="125"/>
    <n v="97.225040000000007"/>
    <n v="12153.13"/>
  </r>
  <r>
    <s v="001"/>
    <s v="FARMACIA CENTRAL                                  "/>
    <x v="4"/>
    <x v="4"/>
    <s v="20160166-3"/>
    <s v="CEFAZOLINA 1 g Polvo para reconstituir a solución inyectable"/>
    <s v=""/>
    <s v=""/>
    <s v=""/>
    <s v=""/>
    <s v="1 g"/>
    <n v="125"/>
    <n v="2061"/>
    <n v="257625"/>
  </r>
  <r>
    <s v="001"/>
    <s v="FARMACIA CENTRAL                                  "/>
    <x v="0"/>
    <x v="0"/>
    <s v="19995299-07"/>
    <s v="CLONIDINA CLORHIDRATO 0.150 mg Tableta"/>
    <s v=""/>
    <s v=""/>
    <s v=""/>
    <s v=""/>
    <s v="0.150 mg"/>
    <n v="128"/>
    <n v="34.002048611111114"/>
    <n v="4352.2622222222199"/>
  </r>
  <r>
    <s v="002"/>
    <s v="FARMACIA DE CIRUGIA                               "/>
    <x v="2"/>
    <x v="2"/>
    <s v="XA000035"/>
    <s v="GASAS PAQUETE ESTERIL X5"/>
    <s v=""/>
    <s v=""/>
    <s v="006"/>
    <s v="Unidad"/>
    <s v=""/>
    <n v="128"/>
    <n v="303.54016676418956"/>
    <n v="38853.141345816271"/>
  </r>
  <r>
    <s v="005"/>
    <s v="ALMACEN MEDICAMENTOS"/>
    <x v="0"/>
    <x v="0"/>
    <s v="20078974-42"/>
    <s v="ROSUVASTATINA 20MG TABLETAS RECUBIERTAS"/>
    <s v=""/>
    <s v=""/>
    <s v=""/>
    <s v=""/>
    <s v="20MG"/>
    <n v="130"/>
    <n v="282.73235897435899"/>
    <n v="36755.206666666672"/>
  </r>
  <r>
    <s v="005"/>
    <s v="ALMACEN MEDICAMENTOS"/>
    <x v="0"/>
    <x v="0"/>
    <s v="19900905-1"/>
    <s v="CALCIO GLUCONATO 10%  Solución Inyectable 10 ML"/>
    <s v=""/>
    <s v=""/>
    <s v=""/>
    <s v=""/>
    <s v="10% - 10 ML"/>
    <n v="130"/>
    <n v="2496.78125"/>
    <n v="324581.5625"/>
  </r>
  <r>
    <s v="005"/>
    <s v="ALMACEN MEDICAMENTOS"/>
    <x v="3"/>
    <x v="3"/>
    <s v="19999738-06"/>
    <s v="VANCOMICINA CLORHIDRATO 500 mg Polvo para reconstituir a solución inyectable"/>
    <s v=""/>
    <s v=""/>
    <s v=""/>
    <s v=""/>
    <s v="500 mg"/>
    <n v="130"/>
    <n v="7900.2853076923075"/>
    <n v="1027037.09"/>
  </r>
  <r>
    <s v="001"/>
    <s v="FARMACIA CENTRAL                                  "/>
    <x v="0"/>
    <x v="0"/>
    <s v="19961372-07"/>
    <s v="PRAZOSINA 1 mg Tableta"/>
    <s v=""/>
    <s v=""/>
    <s v=""/>
    <s v=""/>
    <s v="1 mg"/>
    <n v="131"/>
    <n v="32.907160120845923"/>
    <n v="4310.8379758308201"/>
  </r>
  <r>
    <s v="006"/>
    <s v="ALMACEN MEDICOQUIRURGICOS   "/>
    <x v="2"/>
    <x v="2"/>
    <s v="XS000132"/>
    <s v="SUTURA QUIRURGICA NO ABSORBIBLE SEDA PERMAHAND 2/0 623H KS X3 DOCENAS"/>
    <s v=""/>
    <s v=""/>
    <s v="006"/>
    <s v="Unidad"/>
    <s v=""/>
    <n v="131"/>
    <n v="10464.536519337018"/>
    <n v="1370854.284033149"/>
  </r>
  <r>
    <s v="005"/>
    <s v="ALMACEN MEDICAMENTOS"/>
    <x v="0"/>
    <x v="0"/>
    <s v="19913783-102"/>
    <s v="DIMENHIDRINATO 50 mg Tableta"/>
    <s v=""/>
    <s v=""/>
    <s v=""/>
    <s v=""/>
    <s v="50 mg"/>
    <n v="132"/>
    <n v="62"/>
    <n v="8184"/>
  </r>
  <r>
    <s v="001"/>
    <s v="FARMACIA CENTRAL                                  "/>
    <x v="0"/>
    <x v="0"/>
    <s v="19997625-07"/>
    <s v="DEXAMETASONA 8 mg /2 ml solucion inyectable"/>
    <s v=""/>
    <s v=""/>
    <s v=""/>
    <s v=""/>
    <s v="8 mg "/>
    <n v="133"/>
    <n v="542.98709677419356"/>
    <n v="72217.283870967745"/>
  </r>
  <r>
    <s v="001"/>
    <s v="FARMACIA CENTRAL                                  "/>
    <x v="0"/>
    <x v="0"/>
    <s v="42216-13"/>
    <s v="FUROSEMIDA 40 mg Tableta"/>
    <s v=""/>
    <s v=""/>
    <s v=""/>
    <s v=""/>
    <s v="40 mg"/>
    <n v="134"/>
    <n v="33.323282442748095"/>
    <n v="4465.31984732824"/>
  </r>
  <r>
    <s v="001"/>
    <s v="FARMACIA CENTRAL                                  "/>
    <x v="4"/>
    <x v="4"/>
    <s v="20152991-01"/>
    <s v="PIPERACILINA + TAZOBACTAM 4.5 g Polvo para reconsituir a solución inyectable"/>
    <s v=""/>
    <s v=""/>
    <s v=""/>
    <s v=""/>
    <s v="4.5 g"/>
    <n v="134"/>
    <n v="1584.2822696245735"/>
    <n v="212293.82412969283"/>
  </r>
  <r>
    <s v="001"/>
    <s v="FARMACIA CENTRAL                                  "/>
    <x v="6"/>
    <x v="6"/>
    <s v="19902391-03"/>
    <s v="LORAZEPAM 1 mg Tableta"/>
    <s v=""/>
    <s v=""/>
    <s v=""/>
    <s v=""/>
    <s v="1 mg"/>
    <n v="135"/>
    <n v="651.95437037037038"/>
    <n v="88013.84"/>
  </r>
  <r>
    <s v="001"/>
    <s v="FARMACIA CENTRAL                                  "/>
    <x v="4"/>
    <x v="4"/>
    <s v="20087299-01"/>
    <s v="DEXMEDETOMIDINA 100 mcg / ml Solución inyectable x 2 ml "/>
    <s v=""/>
    <s v=""/>
    <s v=""/>
    <s v=""/>
    <s v="0.2mg/2ml"/>
    <n v="135"/>
    <n v="7654.5804154302668"/>
    <n v="1033368.3560830861"/>
  </r>
  <r>
    <s v="001"/>
    <s v="FARMACIA CENTRAL                                  "/>
    <x v="0"/>
    <x v="0"/>
    <s v="19939225-01"/>
    <s v="POTASIO CLORURO 20 mEq/10 ml Solución inyectable"/>
    <s v=""/>
    <s v=""/>
    <s v=""/>
    <s v=""/>
    <s v="20 mEq/10 ml"/>
    <n v="136"/>
    <n v="995.27191919191921"/>
    <n v="135356.98101010101"/>
  </r>
  <r>
    <s v="001"/>
    <s v="FARMACIA CENTRAL                                  "/>
    <x v="2"/>
    <x v="2"/>
    <s v="XD000059"/>
    <s v="GUANTE QUIRURGICO ESTERIL T-6.5 *1 PAR "/>
    <s v=""/>
    <s v=""/>
    <s v="006"/>
    <s v="Unidad"/>
    <s v=""/>
    <n v="137"/>
    <n v="1018.0292795883362"/>
    <n v="139470.01130360205"/>
  </r>
  <r>
    <s v="001"/>
    <s v="FARMACIA CENTRAL                                  "/>
    <x v="6"/>
    <x v="6"/>
    <s v="19931880-09"/>
    <s v="FENTANILO CITRATO 0.5 mg / 10 ml Solución Inyectable"/>
    <s v=""/>
    <s v=""/>
    <s v=""/>
    <s v=""/>
    <s v="0,5 MG / 10 ML"/>
    <n v="137"/>
    <n v="2291"/>
    <n v="313867"/>
  </r>
  <r>
    <s v="008"/>
    <s v="ALMACEN  GENERAL                                         "/>
    <x v="10"/>
    <x v="10"/>
    <s v="AD000007"/>
    <s v="ZAPATO AZUL/NEGROEVACOL"/>
    <s v=""/>
    <s v=""/>
    <s v="006"/>
    <s v="Unidad"/>
    <s v=""/>
    <n v="137"/>
    <n v="39308.613138686131"/>
    <n v="5385280"/>
  </r>
  <r>
    <s v="005"/>
    <s v="ALMACEN MEDICAMENTOS"/>
    <x v="0"/>
    <x v="0"/>
    <s v="43757-05"/>
    <s v="ENALAPRIL MALEATO 5 mg Tableta"/>
    <s v=""/>
    <s v=""/>
    <s v=""/>
    <s v=""/>
    <s v="5 mg"/>
    <n v="140"/>
    <n v="32"/>
    <n v="4480"/>
  </r>
  <r>
    <s v="005"/>
    <s v="ALMACEN MEDICAMENTOS"/>
    <x v="0"/>
    <x v="0"/>
    <s v="19914806-06"/>
    <s v="SULFATO FERROSO 300 mg Gragea"/>
    <s v=""/>
    <s v=""/>
    <s v=""/>
    <s v=""/>
    <s v="300 mg"/>
    <n v="140"/>
    <n v="48.623318385650222"/>
    <n v="6807.2645739910304"/>
  </r>
  <r>
    <s v="005"/>
    <s v="ALMACEN MEDICAMENTOS"/>
    <x v="0"/>
    <x v="0"/>
    <s v="44969-09"/>
    <s v="CARBAMAZEPINA 200 mg Tableta"/>
    <s v=""/>
    <s v=""/>
    <s v=""/>
    <s v=""/>
    <s v="200 mg"/>
    <n v="140"/>
    <n v="133.50191570881225"/>
    <n v="18690.26819923372"/>
  </r>
  <r>
    <s v="005"/>
    <s v="ALMACEN MEDICAMENTOS"/>
    <x v="0"/>
    <x v="0"/>
    <s v="57771-01"/>
    <s v="PROPRANOLOL CLORHIDRATO 40 mg Tableta"/>
    <s v=""/>
    <s v=""/>
    <s v=""/>
    <s v=""/>
    <s v="40 mg"/>
    <n v="140"/>
    <n v="210"/>
    <n v="29400"/>
  </r>
  <r>
    <s v="005"/>
    <s v="ALMACEN MEDICAMENTOS"/>
    <x v="0"/>
    <x v="0"/>
    <s v="20140779-02"/>
    <s v="TAMSULOSINA 0.4 mg Cápsula de Liberación Prolongada"/>
    <s v=""/>
    <s v=""/>
    <s v=""/>
    <s v=""/>
    <s v="0.4 mg"/>
    <n v="140"/>
    <n v="363.6540096618358"/>
    <n v="50911.561352657001"/>
  </r>
  <r>
    <s v="005"/>
    <s v="ALMACEN MEDICAMENTOS"/>
    <x v="0"/>
    <x v="0"/>
    <s v="20012960-02"/>
    <s v="TRIMETOPRIM SULFAMETOXAZOL 80 mg + 400 mg /5 ml Solución inyectable"/>
    <s v=""/>
    <s v=""/>
    <s v=""/>
    <s v=""/>
    <s v="80 + 400 mg / 5 ML"/>
    <n v="140"/>
    <n v="3409.5070050761419"/>
    <n v="477330.98071065993"/>
  </r>
  <r>
    <s v="059"/>
    <s v="BODEGA CUARENTENA"/>
    <x v="6"/>
    <x v="6"/>
    <s v="19935777-12"/>
    <s v="CLONAZEPAM 0.5 mg Tableta"/>
    <s v=""/>
    <s v=""/>
    <s v=""/>
    <s v=""/>
    <s v="0.5 mg"/>
    <n v="141"/>
    <n v="68"/>
    <n v="9588"/>
  </r>
  <r>
    <s v="001"/>
    <s v="FARMACIA CENTRAL                                  "/>
    <x v="0"/>
    <x v="0"/>
    <s v="42722-08"/>
    <s v="LEVOTIROXINA SODICA 100 mcg Tableta"/>
    <s v=""/>
    <s v=""/>
    <s v=""/>
    <s v=""/>
    <s v="100 mcg"/>
    <n v="141"/>
    <n v="147.983991507431"/>
    <n v="20865.742802547771"/>
  </r>
  <r>
    <s v="001"/>
    <s v="FARMACIA CENTRAL                                  "/>
    <x v="0"/>
    <x v="0"/>
    <s v="19927064-01"/>
    <s v="LOVASTATINA 20 mg Tableta"/>
    <s v=""/>
    <s v=""/>
    <s v=""/>
    <s v=""/>
    <s v="20 mg"/>
    <n v="142"/>
    <n v="56"/>
    <n v="7952"/>
  </r>
  <r>
    <s v="005"/>
    <s v="ALMACEN MEDICAMENTOS"/>
    <x v="0"/>
    <x v="0"/>
    <s v="20208549-1"/>
    <s v="ACETAMINOFEN 10 mg /ml Solución Inyectable "/>
    <s v=""/>
    <s v=""/>
    <s v=""/>
    <s v=""/>
    <s v="1000mg/100ml"/>
    <n v="144"/>
    <n v="8465.4114583333339"/>
    <n v="1219019.25"/>
  </r>
  <r>
    <s v="048"/>
    <s v="CONSIGNACION FRIDEN"/>
    <x v="2"/>
    <x v="2"/>
    <s v="XS000173"/>
    <s v="SUTURA QUIRURGICA ABSORBIBLE VICRYL  4/0 PS-2  3/8 19MM REF JP496G"/>
    <s v=""/>
    <s v=""/>
    <s v="006"/>
    <s v="Unidad"/>
    <s v=""/>
    <n v="144"/>
    <n v="11865"/>
    <n v="1708560"/>
  </r>
  <r>
    <s v="005"/>
    <s v="ALMACEN MEDICAMENTOS"/>
    <x v="4"/>
    <x v="4"/>
    <s v="22542-09"/>
    <s v="IOHEXOL 300 mg de Iodo Solución inyectable x 100 ml- OMNIPAQUE 300"/>
    <s v=""/>
    <s v=""/>
    <s v=""/>
    <s v=""/>
    <s v="300MG-100ML"/>
    <n v="145"/>
    <n v="92812.845025641014"/>
    <n v="13457862.52871795"/>
  </r>
  <r>
    <s v="001"/>
    <s v="FARMACIA CENTRAL                                  "/>
    <x v="0"/>
    <x v="0"/>
    <s v="19914681-01"/>
    <s v="CELECOXIB 200 mg Cápsula"/>
    <s v=""/>
    <s v=""/>
    <s v=""/>
    <s v=""/>
    <s v="200 mg"/>
    <n v="146"/>
    <n v="355.7087378640777"/>
    <n v="51933.475728155339"/>
  </r>
  <r>
    <s v="001"/>
    <s v="FARMACIA CENTRAL                                  "/>
    <x v="0"/>
    <x v="0"/>
    <s v="20028918-03"/>
    <s v="PREGABALINA CAPSULAS 25MG"/>
    <s v=""/>
    <s v=""/>
    <s v=""/>
    <s v=""/>
    <s v="25MG"/>
    <n v="147"/>
    <n v="514.18471710974779"/>
    <n v="75585.153415132925"/>
  </r>
  <r>
    <s v="008"/>
    <s v="ALMACEN  GENERAL                                         "/>
    <x v="7"/>
    <x v="7"/>
    <s v="AA000043"/>
    <s v="GLUCONATO DE ClORHEXIDINA 4%  0.05% JABON  X 30 ML"/>
    <s v=""/>
    <s v=""/>
    <s v="006"/>
    <s v="Unidad"/>
    <s v=""/>
    <n v="147"/>
    <n v="3201.9795918367345"/>
    <n v="470691"/>
  </r>
  <r>
    <s v="043"/>
    <s v="BODEGA DE CENTRAL DE MEZCLAS"/>
    <x v="6"/>
    <x v="6"/>
    <s v="20008612-01"/>
    <s v="HIDROMORFONA CLORHIDRATO 2 mg / ml Solución Inyectable"/>
    <s v=""/>
    <s v=""/>
    <s v=""/>
    <s v=""/>
    <s v="2 mg / ml"/>
    <n v="147"/>
    <n v="4812.416766370251"/>
    <n v="707425.26465642685"/>
  </r>
  <r>
    <s v="001"/>
    <s v="FARMACIA CENTRAL                                  "/>
    <x v="0"/>
    <x v="0"/>
    <s v="20025656-02"/>
    <s v="METIMAZOL 5 mg Tableta"/>
    <s v=""/>
    <s v=""/>
    <s v=""/>
    <s v=""/>
    <s v="5 mg"/>
    <n v="149"/>
    <n v="100"/>
    <n v="14900"/>
  </r>
  <r>
    <s v="001"/>
    <s v="FARMACIA CENTRAL                                  "/>
    <x v="0"/>
    <x v="0"/>
    <s v="20041735-05"/>
    <s v="PREGABALINA 50 mg Cápsula"/>
    <s v=""/>
    <s v=""/>
    <s v=""/>
    <s v=""/>
    <s v="50 MG"/>
    <n v="149"/>
    <n v="1000.1208178438661"/>
    <n v="149018.00185873607"/>
  </r>
  <r>
    <s v="001"/>
    <s v="FARMACIA CENTRAL                                  "/>
    <x v="2"/>
    <x v="2"/>
    <s v="XG000030"/>
    <s v="TAPON LIBRE DE AGUJAS CLEARLINK"/>
    <s v=""/>
    <s v=""/>
    <s v="006"/>
    <s v="Unidad"/>
    <s v=""/>
    <n v="149"/>
    <n v="2841.516984126984"/>
    <n v="423386.03063492064"/>
  </r>
  <r>
    <s v="001"/>
    <s v="FARMACIA CENTRAL                                  "/>
    <x v="0"/>
    <x v="0"/>
    <s v="19960116-14"/>
    <s v="LEVOTIROXINA SODICA 50 mcg Tableta"/>
    <s v=""/>
    <s v=""/>
    <s v=""/>
    <s v=""/>
    <s v="50 MCG"/>
    <n v="150"/>
    <n v="41.160600000000002"/>
    <n v="6174.09"/>
  </r>
  <r>
    <s v="005"/>
    <s v="ALMACEN MEDICAMENTOS"/>
    <x v="0"/>
    <x v="0"/>
    <s v="19927064-01"/>
    <s v="LOVASTATINA 20 mg Tableta"/>
    <s v=""/>
    <s v=""/>
    <s v=""/>
    <s v=""/>
    <s v="20 mg"/>
    <n v="150"/>
    <n v="56"/>
    <n v="8400"/>
  </r>
  <r>
    <s v="005"/>
    <s v="ALMACEN MEDICAMENTOS"/>
    <x v="0"/>
    <x v="0"/>
    <s v="20005109-07"/>
    <s v="CARVEDILOL 12.5 mg Tableta"/>
    <s v=""/>
    <s v=""/>
    <s v=""/>
    <s v=""/>
    <s v="12.5 mg"/>
    <n v="150"/>
    <n v="59.246788321167877"/>
    <n v="8887.0182481751799"/>
  </r>
  <r>
    <s v="005"/>
    <s v="ALMACEN MEDICAMENTOS"/>
    <x v="0"/>
    <x v="0"/>
    <s v="20093155-6"/>
    <s v="PREGABALINA 75 mg Cápsula"/>
    <s v=""/>
    <s v=""/>
    <s v=""/>
    <s v=""/>
    <s v="75 mg"/>
    <n v="150"/>
    <n v="154.92448979591836"/>
    <n v="23238.673469387759"/>
  </r>
  <r>
    <s v="005"/>
    <s v="ALMACEN MEDICAMENTOS"/>
    <x v="0"/>
    <x v="0"/>
    <s v="206776-12"/>
    <s v="LEVOTIROXINA SODICA 75 mcg Tableta"/>
    <s v=""/>
    <s v=""/>
    <s v=""/>
    <s v=""/>
    <s v="75 mcg"/>
    <n v="150"/>
    <n v="295.66666666666669"/>
    <n v="44350"/>
  </r>
  <r>
    <s v="005"/>
    <s v="ALMACEN MEDICAMENTOS"/>
    <x v="0"/>
    <x v="0"/>
    <s v="20156587-01"/>
    <s v="LEVETIRACETAM 500 mg Tableta"/>
    <s v=""/>
    <s v=""/>
    <s v=""/>
    <s v=""/>
    <s v="500 mg"/>
    <n v="150"/>
    <n v="469.38202247191015"/>
    <n v="70407.303370786525"/>
  </r>
  <r>
    <s v="005"/>
    <s v="ALMACEN MEDICAMENTOS"/>
    <x v="0"/>
    <x v="0"/>
    <s v="19997625-07"/>
    <s v="DEXAMETASONA 8 mg /2 ml solucion inyectable"/>
    <s v=""/>
    <s v=""/>
    <s v=""/>
    <s v=""/>
    <s v="8 mg "/>
    <n v="150"/>
    <n v="542.98709677419356"/>
    <n v="81448.06451612903"/>
  </r>
  <r>
    <s v="008"/>
    <s v="ALMACEN  GENERAL                                         "/>
    <x v="5"/>
    <x v="5"/>
    <s v="AP000173"/>
    <s v="STICKERS MARCACIONES TABLETERIA FARMACIA X HOJA REF 3521"/>
    <s v=""/>
    <s v=""/>
    <s v="006"/>
    <s v="Unidad"/>
    <s v=""/>
    <n v="150"/>
    <n v="1306.9866666666667"/>
    <n v="196048"/>
  </r>
  <r>
    <s v="005"/>
    <s v="ALMACEN MEDICAMENTOS"/>
    <x v="3"/>
    <x v="3"/>
    <s v="20104186-01"/>
    <s v="CIPROFLOXACINA 100 mg / 10 ml Solución inyectable"/>
    <s v=""/>
    <s v=""/>
    <s v=""/>
    <s v=""/>
    <s v="100 mg / 10 ml"/>
    <n v="150"/>
    <n v="1499.9680110497236"/>
    <n v="224995.20165745856"/>
  </r>
  <r>
    <s v="005"/>
    <s v="ALMACEN MEDICAMENTOS"/>
    <x v="0"/>
    <x v="0"/>
    <s v="32250-01"/>
    <s v="SODIO BICARBONATO 10 meq / 10 ml Solución inyectable"/>
    <s v=""/>
    <s v=""/>
    <s v=""/>
    <s v=""/>
    <s v="10 meq / 10 ml"/>
    <n v="150"/>
    <n v="1849.2706606606607"/>
    <n v="277390.59909909911"/>
  </r>
  <r>
    <s v="008"/>
    <s v="ALMACEN  GENERAL                                         "/>
    <x v="5"/>
    <x v="5"/>
    <s v="AP000108"/>
    <s v="RECOMENDACIONES PACIENTES QUIRURGICOS"/>
    <s v=""/>
    <s v=""/>
    <s v="006"/>
    <s v="Unidad"/>
    <s v=""/>
    <n v="150"/>
    <n v="2100.1999999999998"/>
    <n v="315030"/>
  </r>
  <r>
    <s v="008"/>
    <s v="ALMACEN  GENERAL                                         "/>
    <x v="2"/>
    <x v="2"/>
    <s v="XT000088"/>
    <s v="APLICADORES PQT X 2 UND"/>
    <s v=""/>
    <s v=""/>
    <s v="006"/>
    <s v="Unidad"/>
    <s v=""/>
    <n v="150"/>
    <n v="3443.6737588652481"/>
    <n v="516551.06382978719"/>
  </r>
  <r>
    <s v="005"/>
    <s v="ALMACEN MEDICAMENTOS"/>
    <x v="3"/>
    <x v="3"/>
    <s v="20179998-2"/>
    <s v="CEFEPIME 1 g Polvo para reconstituir a solución inyectable"/>
    <s v=""/>
    <s v=""/>
    <s v=""/>
    <s v=""/>
    <s v="1 g"/>
    <n v="150"/>
    <n v="3545.7840999999999"/>
    <n v="531867.61499999999"/>
  </r>
  <r>
    <s v="005"/>
    <s v="ALMACEN MEDICAMENTOS"/>
    <x v="0"/>
    <x v="0"/>
    <s v="20026869-03"/>
    <s v="PROPOFOL 1% Emulsión inyectable 20 ml"/>
    <s v=""/>
    <s v=""/>
    <s v=""/>
    <s v=""/>
    <s v="200mg/20ml"/>
    <n v="150"/>
    <n v="8400.3259602649014"/>
    <n v="1260048.894039735"/>
  </r>
  <r>
    <s v="001"/>
    <s v="FARMACIA CENTRAL                                  "/>
    <x v="2"/>
    <x v="2"/>
    <s v="XG000028"/>
    <s v="HOJA BISTURI # 15 *100"/>
    <s v=""/>
    <s v=""/>
    <s v="006"/>
    <s v="Unidad"/>
    <s v=""/>
    <n v="151"/>
    <n v="285.17608450704222"/>
    <n v="43061.588760563383"/>
  </r>
  <r>
    <s v="002"/>
    <s v="FARMACIA DE CIRUGIA                               "/>
    <x v="2"/>
    <x v="2"/>
    <s v="XD000042"/>
    <s v="ELECTRODO MONITOREO ADULTO X30-ECG.DESCARTABLE"/>
    <s v=""/>
    <s v=""/>
    <s v="006"/>
    <s v="Unidad"/>
    <s v=""/>
    <n v="151"/>
    <n v="454.76405146618788"/>
    <n v="68669.371771394377"/>
  </r>
  <r>
    <s v="001"/>
    <s v="FARMACIA CENTRAL                                  "/>
    <x v="2"/>
    <x v="2"/>
    <s v="XG000003"/>
    <s v="AGUJA DESECHABLE # 18 G.X1-1/2*100"/>
    <s v=""/>
    <s v=""/>
    <s v="006"/>
    <s v="Unidad"/>
    <s v=""/>
    <n v="154"/>
    <n v="70.974907834101387"/>
    <n v="10930.13580645161"/>
  </r>
  <r>
    <s v="001"/>
    <s v="FARMACIA CENTRAL                                  "/>
    <x v="2"/>
    <x v="2"/>
    <s v="XJ000011"/>
    <s v="JERINGA DESECHABLE 20ML-S/A-3 PARTES X 100"/>
    <s v=""/>
    <s v=""/>
    <s v="006"/>
    <s v="Unidad"/>
    <s v=""/>
    <n v="155"/>
    <n v="-18687.463351548267"/>
    <n v="-2896556.819489982"/>
  </r>
  <r>
    <s v="001"/>
    <s v="FARMACIA CENTRAL                                  "/>
    <x v="15"/>
    <x v="15"/>
    <s v="19905790-01"/>
    <s v="OSELTAMIVIR 75 mg Cápsula"/>
    <s v=""/>
    <s v=""/>
    <s v=""/>
    <s v=""/>
    <s v="75 mg"/>
    <n v="155"/>
    <n v="0.83870967741935398"/>
    <n v="130"/>
  </r>
  <r>
    <s v="008"/>
    <s v="ALMACEN  GENERAL                                         "/>
    <x v="1"/>
    <x v="1"/>
    <s v="AM000008"/>
    <s v="NIPLE PARA OXIGENOTERAPIA"/>
    <s v=""/>
    <s v=""/>
    <s v="006"/>
    <s v="Unidad"/>
    <s v=""/>
    <n v="156"/>
    <n v="1083.0044871794873"/>
    <n v="168948.7"/>
  </r>
  <r>
    <s v="005"/>
    <s v="ALMACEN MEDICAMENTOS"/>
    <x v="8"/>
    <x v="8"/>
    <s v="20084687-6"/>
    <s v="HEPARINA DE BAJO PESO MOLECULAR 60 mg /0.6 ml Solución inyactable"/>
    <s v=""/>
    <s v=""/>
    <s v=""/>
    <s v=""/>
    <s v="60 mg /0.6 ml"/>
    <n v="156"/>
    <n v="11499.597701149425"/>
    <n v="1793937.2413793104"/>
  </r>
  <r>
    <s v="006"/>
    <s v="ALMACEN MEDICOQUIRURGICOS   "/>
    <x v="2"/>
    <x v="2"/>
    <s v="XG000028"/>
    <s v="HOJA BISTURI # 15 *100"/>
    <s v=""/>
    <s v=""/>
    <s v="006"/>
    <s v="Unidad"/>
    <s v=""/>
    <n v="158"/>
    <n v="285.17608450704222"/>
    <n v="45057.821352112682"/>
  </r>
  <r>
    <s v="001"/>
    <s v="FARMACIA CENTRAL                                  "/>
    <x v="0"/>
    <x v="0"/>
    <s v="20011388-13"/>
    <s v="FUROSEMIDA 20 mg / 2 ml Solución inyectable"/>
    <s v=""/>
    <s v=""/>
    <s v=""/>
    <s v=""/>
    <s v="20 mg / 2 ml"/>
    <n v="158"/>
    <n v="480.11012658227844"/>
    <n v="75857.399999999994"/>
  </r>
  <r>
    <s v="001"/>
    <s v="FARMACIA CENTRAL                                  "/>
    <x v="0"/>
    <x v="0"/>
    <s v="29523-05"/>
    <s v="SODIO CLORURO 0.9 % Solución Inyectable Bolsa 500 ml"/>
    <s v=""/>
    <s v=""/>
    <s v=""/>
    <s v=""/>
    <s v="0.9 % - 500 ML"/>
    <n v="159"/>
    <n v="2635.2512459283389"/>
    <n v="419004.94810260582"/>
  </r>
  <r>
    <s v="005"/>
    <s v="ALMACEN MEDICAMENTOS"/>
    <x v="0"/>
    <x v="0"/>
    <s v="19995299-07"/>
    <s v="CLONIDINA CLORHIDRATO 0.150 mg Tableta"/>
    <s v=""/>
    <s v=""/>
    <s v=""/>
    <s v=""/>
    <s v="0.150 mg"/>
    <n v="160"/>
    <n v="34.002048611111114"/>
    <n v="5440.3277777777803"/>
  </r>
  <r>
    <s v="008"/>
    <s v="ALMACEN  GENERAL                                         "/>
    <x v="7"/>
    <x v="7"/>
    <s v="AA000044"/>
    <s v="GLUCONATO DE CLORHEXIDINA 4%  0.05%   X 30ML SOLUCION"/>
    <s v=""/>
    <s v=""/>
    <s v="006"/>
    <s v="Unidad"/>
    <s v=""/>
    <n v="162"/>
    <n v="2963.6055555555554"/>
    <n v="480104.1"/>
  </r>
  <r>
    <s v="001"/>
    <s v="FARMACIA CENTRAL                                  "/>
    <x v="0"/>
    <x v="0"/>
    <s v="19942333-3"/>
    <s v="GABAPENTIN 300mg CAPSULAS "/>
    <s v=""/>
    <s v=""/>
    <s v=""/>
    <s v=""/>
    <s v="300MG"/>
    <n v="168"/>
    <n v="435.99309523809524"/>
    <n v="73246.84"/>
  </r>
  <r>
    <s v="005"/>
    <s v="ALMACEN MEDICAMENTOS"/>
    <x v="0"/>
    <x v="0"/>
    <s v="29523-04"/>
    <s v="SODIO CLORURO 0.9 % Solución Inyectable Bolsa 250 ml"/>
    <s v=""/>
    <s v=""/>
    <s v=""/>
    <s v=""/>
    <s v="0.9 % - 250 ML"/>
    <n v="168"/>
    <n v="2733.4718861209963"/>
    <n v="459223.27686832735"/>
  </r>
  <r>
    <s v="008"/>
    <s v="ALMACEN  GENERAL                                         "/>
    <x v="7"/>
    <x v="7"/>
    <s v="AA000116"/>
    <s v="GLUCONATO DE CLORHEXIDINA SIN IPA  FCO. X 1000 MLS"/>
    <s v=""/>
    <s v=""/>
    <s v="006"/>
    <s v="Unidad"/>
    <s v=""/>
    <n v="168"/>
    <n v="32555.005952380954"/>
    <n v="5469241"/>
  </r>
  <r>
    <s v="006"/>
    <s v="ALMACEN MEDICOQUIRURGICOS   "/>
    <x v="2"/>
    <x v="2"/>
    <s v="XD000074"/>
    <s v="LLAVE DE TRES VIAS-DISCOFIX UNIDAD- FE100"/>
    <s v=""/>
    <s v=""/>
    <s v="006"/>
    <s v="Unidad"/>
    <s v=""/>
    <n v="170"/>
    <n v="1714.5099713467048"/>
    <n v="291466.69512893981"/>
  </r>
  <r>
    <s v="001"/>
    <s v="FARMACIA CENTRAL                                  "/>
    <x v="2"/>
    <x v="2"/>
    <s v="XE000004"/>
    <s v="EQUIPO BOMBA 5000 PRIMARIO XL HOSPIRA REF 1401"/>
    <s v=""/>
    <s v=""/>
    <s v="006"/>
    <s v="Unidad"/>
    <s v=""/>
    <n v="175"/>
    <n v="24641.383614744351"/>
    <n v="4312242.1325802617"/>
  </r>
  <r>
    <s v="008"/>
    <s v="ALMACEN  GENERAL                                         "/>
    <x v="5"/>
    <x v="5"/>
    <s v="AP000069"/>
    <s v="PAPEL CARBON CARTA"/>
    <s v=""/>
    <s v=""/>
    <s v="006"/>
    <s v="Unidad"/>
    <s v=""/>
    <n v="177"/>
    <n v="89"/>
    <n v="15753"/>
  </r>
  <r>
    <s v="005"/>
    <s v="ALMACEN MEDICAMENTOS"/>
    <x v="0"/>
    <x v="0"/>
    <s v="20093306-1"/>
    <s v="QUETIAPINA 25 mg Tableta"/>
    <s v=""/>
    <s v=""/>
    <s v=""/>
    <s v=""/>
    <s v="25 mg"/>
    <n v="180"/>
    <n v="151.88805921052631"/>
    <n v="27339.850657894742"/>
  </r>
  <r>
    <s v="006"/>
    <s v="ALMACEN MEDICOQUIRURGICOS   "/>
    <x v="2"/>
    <x v="2"/>
    <s v="XT000032"/>
    <s v="SONDA PARA SUCCION(OJO DE PESCADO)-14FR FR 60CM*1"/>
    <s v=""/>
    <s v=""/>
    <s v="006"/>
    <s v="Unidad"/>
    <s v=""/>
    <n v="180"/>
    <n v="1015.8373846153846"/>
    <n v="182850.72923076924"/>
  </r>
  <r>
    <s v="005"/>
    <s v="ALMACEN MEDICAMENTOS"/>
    <x v="0"/>
    <x v="0"/>
    <s v="19914682-01"/>
    <s v="CELECOXIB 100 mg Cápsula"/>
    <s v=""/>
    <s v=""/>
    <s v=""/>
    <s v=""/>
    <s v="100 MG"/>
    <n v="180"/>
    <n v="1101.4140969162995"/>
    <n v="198254.53744493393"/>
  </r>
  <r>
    <s v="005"/>
    <s v="ALMACEN MEDICAMENTOS"/>
    <x v="0"/>
    <x v="0"/>
    <s v="20087761-02"/>
    <s v="LACTULOSA 66,7 % Solución Oral en Sobre x 15 ml"/>
    <s v=""/>
    <s v=""/>
    <s v=""/>
    <s v=""/>
    <s v="66,7 % - 15 ml"/>
    <n v="180"/>
    <n v="1750.2326724137931"/>
    <n v="315041.88103448274"/>
  </r>
  <r>
    <s v="006"/>
    <s v="ALMACEN MEDICOQUIRURGICOS   "/>
    <x v="2"/>
    <x v="2"/>
    <s v="XA000034"/>
    <s v="GASA ADESHIVA  FIXOMULL-10CM X1M STRETCH"/>
    <s v=""/>
    <s v=""/>
    <s v="006"/>
    <s v="Unidad"/>
    <s v=""/>
    <n v="180"/>
    <n v="5041.3560273972607"/>
    <n v="907444.08493150689"/>
  </r>
  <r>
    <s v="008"/>
    <s v="ALMACEN  GENERAL                                         "/>
    <x v="12"/>
    <x v="12"/>
    <s v="AR000029"/>
    <s v="VESTIDO QUIRURGICO DESECHABLE (PIJAMA MEDICO)"/>
    <s v=""/>
    <s v=""/>
    <s v="006"/>
    <s v="Unidad"/>
    <s v=""/>
    <n v="180"/>
    <n v="5352.7033333333329"/>
    <n v="963486.6"/>
  </r>
  <r>
    <s v="008"/>
    <s v="ALMACEN  GENERAL                                         "/>
    <x v="7"/>
    <x v="7"/>
    <s v="AA000085"/>
    <s v="ESPARADRAPO 1 X 10M *12 ROLLOS-TELA"/>
    <s v=""/>
    <s v=""/>
    <s v="006"/>
    <s v="Unidad"/>
    <s v=""/>
    <n v="180"/>
    <n v="6452.4775690607739"/>
    <n v="1161445.9624309393"/>
  </r>
  <r>
    <s v="005"/>
    <s v="ALMACEN MEDICAMENTOS"/>
    <x v="3"/>
    <x v="3"/>
    <s v="19978219-1"/>
    <s v="MEROPENEM 1 g  Polvo para reconstituir a solución inyectable"/>
    <s v=""/>
    <s v=""/>
    <s v=""/>
    <s v=""/>
    <s v="1 g"/>
    <n v="180"/>
    <n v="9482.0563265306137"/>
    <n v="1706770.13877551"/>
  </r>
  <r>
    <s v="008"/>
    <s v="ALMACEN  GENERAL                                         "/>
    <x v="5"/>
    <x v="5"/>
    <s v="AP000070"/>
    <s v="ROLLO PAPEL TERMICO DE 80*60M"/>
    <s v=""/>
    <s v=""/>
    <s v="006"/>
    <s v="Unidad"/>
    <s v=""/>
    <n v="180"/>
    <n v="11400.869666666667"/>
    <n v="2052156.54"/>
  </r>
  <r>
    <s v="005"/>
    <s v="ALMACEN MEDICAMENTOS"/>
    <x v="8"/>
    <x v="8"/>
    <s v="20084690-18"/>
    <s v="HEPARINA DE BAJO PESO MOLECULAR 80 mg / 0.8 ml Solución inyectable"/>
    <s v=""/>
    <s v=""/>
    <s v=""/>
    <s v=""/>
    <s v="80 mg / 0.8 ml"/>
    <n v="180"/>
    <n v="16522.945555555554"/>
    <n v="2974130.2"/>
  </r>
  <r>
    <s v="001"/>
    <s v="FARMACIA CENTRAL                                  "/>
    <x v="8"/>
    <x v="8"/>
    <s v="20084685-40"/>
    <s v="HEPARINA DE BAJO PESO MOLECULAR 40 mg / 0.4 ml Solución Inyectable "/>
    <s v=""/>
    <s v=""/>
    <s v=""/>
    <s v=""/>
    <s v="40 mg / 0.4 "/>
    <n v="182"/>
    <n v="11095.527847222223"/>
    <n v="2019386.0681944445"/>
  </r>
  <r>
    <s v="008"/>
    <s v="ALMACEN  GENERAL                                         "/>
    <x v="1"/>
    <x v="1"/>
    <s v="AM000212"/>
    <s v="MASCARA PARA  ANESTESIA  N§"/>
    <s v=""/>
    <s v=""/>
    <s v="006"/>
    <s v="Unidad"/>
    <s v=""/>
    <n v="185"/>
    <n v="-18254.215351351351"/>
    <n v="-3377029.84"/>
  </r>
  <r>
    <s v="001"/>
    <s v="FARMACIA CENTRAL                                  "/>
    <x v="0"/>
    <x v="0"/>
    <s v="19970870-2"/>
    <s v="BETAHISTINA DICLORHIDRATO 8 mg Tableta recubierta"/>
    <s v=""/>
    <s v=""/>
    <s v=""/>
    <s v=""/>
    <s v="8 mg"/>
    <n v="188"/>
    <n v="2421.5212765957449"/>
    <n v="455246"/>
  </r>
  <r>
    <s v="001"/>
    <s v="FARMACIA CENTRAL                                  "/>
    <x v="0"/>
    <x v="0"/>
    <s v="20005748-07"/>
    <s v="CARVEDILOL 6.25 mg Tableta"/>
    <s v=""/>
    <s v=""/>
    <s v=""/>
    <s v=""/>
    <s v="6.25 mg"/>
    <n v="189"/>
    <n v="46.761058201058198"/>
    <n v="8837.84"/>
  </r>
  <r>
    <s v="005"/>
    <s v="ALMACEN MEDICAMENTOS"/>
    <x v="0"/>
    <x v="0"/>
    <s v="20010760-04"/>
    <s v="COLCHICINA 0.5 mg Tableta"/>
    <s v=""/>
    <s v=""/>
    <s v=""/>
    <s v=""/>
    <s v="0.5 mg"/>
    <n v="190"/>
    <n v="69.977477477477478"/>
    <n v="13295.720720720719"/>
  </r>
  <r>
    <s v="006"/>
    <s v="ALMACEN MEDICOQUIRURGICOS   "/>
    <x v="2"/>
    <x v="2"/>
    <s v="XG000005"/>
    <s v="AGUJA DESECHABLE # 22 G.X 1-1/2*100"/>
    <s v=""/>
    <s v=""/>
    <s v="006"/>
    <s v="Unidad"/>
    <s v=""/>
    <n v="190"/>
    <n v="127.0005303030303"/>
    <n v="24130.100757575761"/>
  </r>
  <r>
    <s v="005"/>
    <s v="ALMACEN MEDICAMENTOS"/>
    <x v="0"/>
    <x v="0"/>
    <s v="19908236-07"/>
    <s v="AMIKACINA SULFATO 500 mg/2 ml Solución Inyectable"/>
    <s v=""/>
    <s v=""/>
    <s v=""/>
    <s v=""/>
    <s v="2 ml"/>
    <n v="190"/>
    <n v="1469.3718840579709"/>
    <n v="279180.6579710145"/>
  </r>
  <r>
    <s v="001"/>
    <s v="FARMACIA CENTRAL                                  "/>
    <x v="15"/>
    <x v="15"/>
    <s v="800100-05"/>
    <s v="RIFAMPICINA 150 mg, ISONIAZIDA 75 mg Tableta"/>
    <s v=""/>
    <s v=""/>
    <s v=""/>
    <s v=""/>
    <s v="150 mg + 75 mg"/>
    <n v="192"/>
    <n v="1"/>
    <n v="192"/>
  </r>
  <r>
    <s v="005"/>
    <s v="ALMACEN MEDICAMENTOS"/>
    <x v="0"/>
    <x v="0"/>
    <s v="19961372-07"/>
    <s v="PRAZOSINA 1 mg Tableta"/>
    <s v=""/>
    <s v=""/>
    <s v=""/>
    <s v=""/>
    <s v="1 mg"/>
    <n v="200"/>
    <n v="32.907160120845923"/>
    <n v="6581.4320241691803"/>
  </r>
  <r>
    <s v="058"/>
    <s v="BODEGA SEDE QUIROIGA"/>
    <x v="7"/>
    <x v="7"/>
    <s v="AA000115"/>
    <s v="PANIN BACCIDINE SACHET X 1CC UNIDAD"/>
    <s v=""/>
    <s v=""/>
    <s v="006"/>
    <s v="Unidad"/>
    <s v=""/>
    <n v="200"/>
    <n v="78.211748148148146"/>
    <n v="15642.349629629631"/>
  </r>
  <r>
    <s v="005"/>
    <s v="ALMACEN MEDICAMENTOS"/>
    <x v="0"/>
    <x v="0"/>
    <s v="19973313-11"/>
    <s v="Naproxeno 250mg Tableta"/>
    <s v=""/>
    <s v=""/>
    <s v=""/>
    <s v=""/>
    <s v="250 mg"/>
    <n v="200"/>
    <n v="80"/>
    <n v="16000"/>
  </r>
  <r>
    <s v="005"/>
    <s v="ALMACEN MEDICAMENTOS"/>
    <x v="0"/>
    <x v="0"/>
    <s v="19940399-02"/>
    <s v="IMIPRAMINA CLORHIDRATO 25 mg Gragea"/>
    <s v=""/>
    <s v=""/>
    <s v=""/>
    <s v=""/>
    <s v="25 mg"/>
    <n v="200"/>
    <n v="94.445161290322574"/>
    <n v="18889.032258064519"/>
  </r>
  <r>
    <s v="005"/>
    <s v="ALMACEN MEDICAMENTOS"/>
    <x v="0"/>
    <x v="0"/>
    <s v="20027702-29"/>
    <s v="LEVOTIROXINA SODICA 75 mcg Tableta"/>
    <s v=""/>
    <s v=""/>
    <s v=""/>
    <s v=""/>
    <s v="75 mcg"/>
    <n v="200"/>
    <n v="98.041532846715327"/>
    <n v="19608.306569343069"/>
  </r>
  <r>
    <s v="006"/>
    <s v="ALMACEN MEDICOQUIRURGICOS   "/>
    <x v="2"/>
    <x v="2"/>
    <s v="XJ000015"/>
    <s v="JERINGA DESECHABLE DE INSULINA 1ML X 100UI."/>
    <s v=""/>
    <s v=""/>
    <s v="006"/>
    <s v="Unidad"/>
    <s v=""/>
    <n v="200"/>
    <n v="229.47137931034484"/>
    <n v="45894.275862068971"/>
  </r>
  <r>
    <s v="005"/>
    <s v="ALMACEN MEDICAMENTOS"/>
    <x v="0"/>
    <x v="0"/>
    <s v="20162259-4"/>
    <s v="METOCLOPRAMIDA 10 mg / 2 ml  Solución Inyectable"/>
    <s v=""/>
    <s v=""/>
    <s v=""/>
    <s v=""/>
    <s v="10 mg / 2 ml"/>
    <n v="200"/>
    <n v="524.74826989619385"/>
    <n v="104949.65397923876"/>
  </r>
  <r>
    <s v="006"/>
    <s v="ALMACEN MEDICOQUIRURGICOS   "/>
    <x v="2"/>
    <x v="2"/>
    <s v="XD000141"/>
    <s v="SONDA NELATON # 14 (UREATRAL)1"/>
    <s v=""/>
    <s v=""/>
    <s v="006"/>
    <s v="Unidad"/>
    <s v=""/>
    <n v="200"/>
    <n v="574.28377990430624"/>
    <n v="114856.75598086124"/>
  </r>
  <r>
    <s v="006"/>
    <s v="ALMACEN MEDICOQUIRURGICOS   "/>
    <x v="2"/>
    <x v="2"/>
    <s v="XD000062"/>
    <s v="GUANTE QUIRURGICO ESTERIL T-8.0 *1 PAR "/>
    <s v=""/>
    <s v=""/>
    <s v="006"/>
    <s v="Unidad"/>
    <s v=""/>
    <n v="200"/>
    <n v="1014.9652030456853"/>
    <n v="202993.04060913704"/>
  </r>
  <r>
    <s v="005"/>
    <s v="ALMACEN MEDICAMENTOS"/>
    <x v="0"/>
    <x v="0"/>
    <s v="20026284-4"/>
    <s v="CIPROFLOXACINA 100 mg / 10 ml Solución inyectable"/>
    <s v=""/>
    <s v=""/>
    <s v=""/>
    <s v=""/>
    <s v="100 mg / 10 ml"/>
    <n v="200"/>
    <n v="1499.5596019900497"/>
    <n v="299911.92039800994"/>
  </r>
  <r>
    <s v="005"/>
    <s v="ALMACEN MEDICAMENTOS"/>
    <x v="0"/>
    <x v="0"/>
    <s v="19997831-01"/>
    <s v="CALCIO GLUCONATO 10%  Solución Inyectable 10 ML"/>
    <s v=""/>
    <s v=""/>
    <s v=""/>
    <s v=""/>
    <s v="10% - 10 ML"/>
    <n v="200"/>
    <n v="2039.23"/>
    <n v="407846"/>
  </r>
  <r>
    <s v="006"/>
    <s v="ALMACEN MEDICOQUIRURGICOS   "/>
    <x v="2"/>
    <x v="2"/>
    <s v="XT000088"/>
    <s v="APLICADORES PQT X 2 UND"/>
    <s v=""/>
    <s v=""/>
    <s v="006"/>
    <s v="Unidad"/>
    <s v=""/>
    <n v="200"/>
    <n v="3443.6737588652481"/>
    <n v="688734.75177304971"/>
  </r>
  <r>
    <s v="005"/>
    <s v="ALMACEN MEDICAMENTOS"/>
    <x v="4"/>
    <x v="4"/>
    <s v="20087299-01"/>
    <s v="DEXMEDETOMIDINA 100 mcg / ml Solución inyectable x 2 ml "/>
    <s v=""/>
    <s v=""/>
    <s v=""/>
    <s v=""/>
    <s v="0.2mg/2ml"/>
    <n v="200"/>
    <n v="7654.5804154302668"/>
    <n v="1530916.0830860534"/>
  </r>
  <r>
    <s v="002"/>
    <s v="FARMACIA DE CIRUGIA                               "/>
    <x v="2"/>
    <x v="2"/>
    <s v="XD000259"/>
    <s v="GUANTE DE  VINILO TALLA M-L X PAR"/>
    <s v=""/>
    <s v=""/>
    <s v="006"/>
    <s v="Unidad"/>
    <s v=""/>
    <n v="201"/>
    <n v="344.36824454281793"/>
    <n v="69218.017153106397"/>
  </r>
  <r>
    <s v="008"/>
    <s v="ALMACEN  GENERAL                                         "/>
    <x v="7"/>
    <x v="7"/>
    <s v="AA000108"/>
    <s v="SUPRAGEL X 500 MLS FRASCO"/>
    <s v=""/>
    <s v=""/>
    <s v="006"/>
    <s v="Unidad"/>
    <s v=""/>
    <n v="202"/>
    <n v="14534.460396039603"/>
    <n v="2935961"/>
  </r>
  <r>
    <s v="005"/>
    <s v="ALMACEN MEDICAMENTOS"/>
    <x v="0"/>
    <x v="0"/>
    <s v="19940375-06"/>
    <s v="DICLOFENACO SODICO 50 mg Gragea"/>
    <s v=""/>
    <s v=""/>
    <s v=""/>
    <s v=""/>
    <s v="50 mg"/>
    <n v="210"/>
    <n v="36.426829268292678"/>
    <n v="7649.6341463414601"/>
  </r>
  <r>
    <s v="005"/>
    <s v="ALMACEN MEDICAMENTOS"/>
    <x v="0"/>
    <x v="0"/>
    <s v="47792-01"/>
    <s v="ACIDO VALPROICO 250 mg Cápsula"/>
    <s v=""/>
    <s v=""/>
    <s v=""/>
    <s v=""/>
    <s v="250 mg"/>
    <n v="210"/>
    <n v="199.88266666666667"/>
    <n v="41975.360000000001"/>
  </r>
  <r>
    <s v="005"/>
    <s v="ALMACEN MEDICAMENTOS"/>
    <x v="0"/>
    <x v="0"/>
    <s v="19988137-11"/>
    <s v="MEMANTINA 10 mg Tableta"/>
    <s v=""/>
    <s v=""/>
    <s v=""/>
    <s v=""/>
    <s v="10 mg"/>
    <n v="210"/>
    <n v="346.33103448275858"/>
    <n v="72729.517241379304"/>
  </r>
  <r>
    <s v="005"/>
    <s v="ALMACEN MEDICAMENTOS"/>
    <x v="0"/>
    <x v="0"/>
    <s v="19999459-02"/>
    <s v="QUETIAPINA 50MG LIBERACION SOSTENIDA"/>
    <s v=""/>
    <s v=""/>
    <s v=""/>
    <s v=""/>
    <s v="50"/>
    <n v="210"/>
    <n v="777.09568627450983"/>
    <n v="163190.09411764707"/>
  </r>
  <r>
    <s v="005"/>
    <s v="ALMACEN MEDICAMENTOS"/>
    <x v="0"/>
    <x v="0"/>
    <s v="20179253-2"/>
    <s v="ACETAMINOFEN 1000 mg / 6.7 ml Sol Inyectable"/>
    <s v=""/>
    <s v=""/>
    <s v=""/>
    <s v=""/>
    <s v="1000mg/100ml"/>
    <n v="211"/>
    <n v="7201.4065725806449"/>
    <n v="1519496.7868145162"/>
  </r>
  <r>
    <s v="005"/>
    <s v="ALMACEN MEDICAMENTOS"/>
    <x v="0"/>
    <x v="0"/>
    <s v="19941380-02"/>
    <s v="DOPAMINA CLORHIDRATO 200 mg / 5 ml Solución Inyectable"/>
    <s v=""/>
    <s v=""/>
    <s v=""/>
    <s v=""/>
    <s v="200 mg / 5 ml"/>
    <n v="213"/>
    <n v="1652.1557466063348"/>
    <n v="351909.17402714933"/>
  </r>
  <r>
    <s v="001"/>
    <s v="FARMACIA CENTRAL                                  "/>
    <x v="2"/>
    <x v="2"/>
    <s v="XE000014"/>
    <s v="EXTENSION DE ANESTESIA-ARCO473P CAJA X100 EA"/>
    <s v=""/>
    <s v=""/>
    <s v="006"/>
    <s v="Unidad"/>
    <s v=""/>
    <n v="217"/>
    <n v="789.38775295663606"/>
    <n v="171297.14239158999"/>
  </r>
  <r>
    <s v="008"/>
    <s v="ALMACEN  GENERAL                                         "/>
    <x v="7"/>
    <x v="7"/>
    <s v="AA000041"/>
    <s v="GLUCONATO DE CLORHEXIDINA 4%  1% JABON LIQUIDO FRASCO X 15 ML"/>
    <s v=""/>
    <s v=""/>
    <s v="006"/>
    <s v="Unidad"/>
    <s v=""/>
    <n v="219"/>
    <n v="2997.7990867579911"/>
    <n v="656518"/>
  </r>
  <r>
    <s v="006"/>
    <s v="ALMACEN MEDICOQUIRURGICOS   "/>
    <x v="2"/>
    <x v="2"/>
    <s v="XG000029"/>
    <s v="HOJA BISTURI # 20 *100"/>
    <s v=""/>
    <s v=""/>
    <s v="006"/>
    <s v="Unidad"/>
    <s v=""/>
    <n v="220"/>
    <n v="364.64433544303796"/>
    <n v="80221.753797468351"/>
  </r>
  <r>
    <s v="001"/>
    <s v="FARMACIA CENTRAL                                  "/>
    <x v="15"/>
    <x v="15"/>
    <s v="800100-03"/>
    <s v="RIFAMPICINA 150 mg, ISONIAZIDA 75 mg, PIRAZINAMIDA 400 mg, ETAMBUTOL 275 mg Tableta"/>
    <s v=""/>
    <s v=""/>
    <s v=""/>
    <s v=""/>
    <s v="150 mg+ 75 mg+ 275 mg+ 400 mg"/>
    <n v="221"/>
    <n v="0.38914027149321201"/>
    <n v="86"/>
  </r>
  <r>
    <s v="005"/>
    <s v="ALMACEN MEDICAMENTOS"/>
    <x v="0"/>
    <x v="0"/>
    <s v="29522-03"/>
    <s v="DEXTROSA EN AGUA DESTILADA 5%  Solución Inyectable 250 ml"/>
    <s v=""/>
    <s v=""/>
    <s v=""/>
    <s v=""/>
    <s v="5%"/>
    <n v="224"/>
    <n v="2878.8739788732396"/>
    <n v="644867.7712676056"/>
  </r>
  <r>
    <s v="008"/>
    <s v="ALMACEN  GENERAL                                         "/>
    <x v="9"/>
    <x v="9"/>
    <s v="AD000028"/>
    <s v="CARETA CON VISOR DONACION"/>
    <s v=""/>
    <s v=""/>
    <s v="006"/>
    <s v="Unidad"/>
    <s v=""/>
    <n v="230"/>
    <n v="497.77"/>
    <n v="114487.1"/>
  </r>
  <r>
    <s v="005"/>
    <s v="ALMACEN MEDICAMENTOS"/>
    <x v="0"/>
    <x v="0"/>
    <s v="19906237-05"/>
    <s v="PREDNISONA 50 mg Tableta"/>
    <s v=""/>
    <s v=""/>
    <s v=""/>
    <s v=""/>
    <s v="50 mg"/>
    <n v="230"/>
    <n v="896.96382252559727"/>
    <n v="206301.67918088735"/>
  </r>
  <r>
    <s v="006"/>
    <s v="ALMACEN MEDICOQUIRURGICOS   "/>
    <x v="2"/>
    <x v="2"/>
    <s v="XT000003"/>
    <s v="CANULA NASAL OXIGENO+ADAPTADOR+EXTENSION"/>
    <s v=""/>
    <s v=""/>
    <s v="006"/>
    <s v="Unidad"/>
    <s v=""/>
    <n v="230"/>
    <n v="1195.9290592334494"/>
    <n v="275063.68362369336"/>
  </r>
  <r>
    <s v="006"/>
    <s v="ALMACEN MEDICOQUIRURGICOS   "/>
    <x v="2"/>
    <x v="2"/>
    <s v="XA000016"/>
    <s v="APOSITOS PEQUEÑOS ESTERILES *5"/>
    <s v=""/>
    <s v=""/>
    <s v="006"/>
    <s v="Unidad"/>
    <s v=""/>
    <n v="233"/>
    <n v="1096.6616541353383"/>
    <n v="255522.16541353383"/>
  </r>
  <r>
    <s v="006"/>
    <s v="ALMACEN MEDICOQUIRURGICOS   "/>
    <x v="2"/>
    <x v="2"/>
    <s v="XT000084"/>
    <s v="SONDA PARA SUCCION(OJO DE PESCADO)-16FR-60CM*1"/>
    <s v=""/>
    <s v=""/>
    <s v="006"/>
    <s v="Unidad"/>
    <s v=""/>
    <n v="236"/>
    <n v="997.91805460750845"/>
    <n v="235508.66088737201"/>
  </r>
  <r>
    <s v="001"/>
    <s v="FARMACIA CENTRAL                                  "/>
    <x v="0"/>
    <x v="0"/>
    <s v="19922562-10"/>
    <s v="DIPIRONA 1 g / 2 ml Solución inyectable"/>
    <s v=""/>
    <s v=""/>
    <s v=""/>
    <s v=""/>
    <s v="1 g "/>
    <n v="242"/>
    <n v="709.34430088495583"/>
    <n v="171661.32081415929"/>
  </r>
  <r>
    <s v="001"/>
    <s v="FARMACIA CENTRAL                                  "/>
    <x v="0"/>
    <x v="0"/>
    <s v="20011084-05"/>
    <s v="PREDNISOLONA 5 mg Tableta"/>
    <s v=""/>
    <s v=""/>
    <s v=""/>
    <s v=""/>
    <s v="5 mg"/>
    <n v="247"/>
    <n v="39.787166437414029"/>
    <n v="9827.4301100412704"/>
  </r>
  <r>
    <s v="001"/>
    <s v="FARMACIA CENTRAL                                  "/>
    <x v="2"/>
    <x v="2"/>
    <s v="XE000007"/>
    <s v="EQUIPO DE MACROGOTEO- MRC0002 X 120"/>
    <s v=""/>
    <s v=""/>
    <s v="006"/>
    <s v="Unidad"/>
    <s v=""/>
    <n v="247"/>
    <n v="863.47163555555562"/>
    <n v="213277.49398222225"/>
  </r>
  <r>
    <s v="008"/>
    <s v="ALMACEN  GENERAL                                         "/>
    <x v="5"/>
    <x v="5"/>
    <s v="AP000125"/>
    <s v="IDENTIFICACION DE LLAVES PARA MARCAR"/>
    <s v=""/>
    <s v=""/>
    <s v="006"/>
    <s v="Unidad"/>
    <s v=""/>
    <n v="248"/>
    <n v="924.67298387096764"/>
    <n v="229318.9"/>
  </r>
  <r>
    <s v="006"/>
    <s v="ALMACEN MEDICOQUIRURGICOS   "/>
    <x v="2"/>
    <x v="2"/>
    <s v="XA000013"/>
    <s v="APOSITO TRANSPARENTE I.V ADVANCE 8.5 X 11.5"/>
    <s v=""/>
    <s v=""/>
    <s v="006"/>
    <s v="Unidad"/>
    <s v=""/>
    <n v="250"/>
    <n v="-1276.1739304812834"/>
    <n v="-319043.48262032086"/>
  </r>
  <r>
    <s v="008"/>
    <s v="ALMACEN  GENERAL                                         "/>
    <x v="2"/>
    <x v="2"/>
    <s v="XD000152"/>
    <s v="TAPABOCA DESECHABLE-FACE MASK *50 U.CX"/>
    <s v=""/>
    <s v=""/>
    <s v="006"/>
    <s v="Unidad"/>
    <s v=""/>
    <n v="250"/>
    <n v="82.798867924528309"/>
    <n v="20699.716981132078"/>
  </r>
  <r>
    <s v="005"/>
    <s v="ALMACEN MEDICAMENTOS"/>
    <x v="0"/>
    <x v="0"/>
    <s v="20056480-05"/>
    <s v="SUCRALFATO 1 g Tableta"/>
    <s v=""/>
    <s v=""/>
    <s v=""/>
    <s v=""/>
    <s v="1 g"/>
    <n v="250"/>
    <n v="288"/>
    <n v="72000"/>
  </r>
  <r>
    <s v="008"/>
    <s v="ALMACEN  GENERAL                                         "/>
    <x v="2"/>
    <x v="2"/>
    <s v="XD000276"/>
    <s v="POLAINA ANTIDESLIZANTE X PAR"/>
    <s v=""/>
    <s v=""/>
    <s v="006"/>
    <s v="Unidad"/>
    <s v=""/>
    <n v="250"/>
    <n v="646.46484434320428"/>
    <n v="161616.21108580107"/>
  </r>
  <r>
    <s v="001"/>
    <s v="FARMACIA CENTRAL                                  "/>
    <x v="2"/>
    <x v="2"/>
    <s v="XG000007"/>
    <s v="AGUJA HIPODERMICA  TIPO PEN CALIBRE 32"/>
    <s v=""/>
    <s v=""/>
    <s v="006"/>
    <s v="Unidad"/>
    <s v=""/>
    <n v="250"/>
    <n v="818.82290598290604"/>
    <n v="204705.72649572647"/>
  </r>
  <r>
    <s v="005"/>
    <s v="ALMACEN MEDICAMENTOS"/>
    <x v="8"/>
    <x v="8"/>
    <s v="20084685-40"/>
    <s v="HEPARINA DE BAJO PESO MOLECULAR 40 mg / 0.4 ml Solución Inyectable "/>
    <s v=""/>
    <s v=""/>
    <s v=""/>
    <s v=""/>
    <s v="40 mg / 0.4 "/>
    <n v="250"/>
    <n v="11095.527847222223"/>
    <n v="2773881.9618055555"/>
  </r>
  <r>
    <s v="005"/>
    <s v="ALMACEN MEDICAMENTOS"/>
    <x v="0"/>
    <x v="0"/>
    <s v="34537-02"/>
    <s v="LOPERAMIDA CLORHIDRATO 2 mg Tableta"/>
    <s v=""/>
    <s v=""/>
    <s v=""/>
    <s v=""/>
    <s v="2 mg"/>
    <n v="252"/>
    <n v="59.17232876712329"/>
    <n v="14911.42684931507"/>
  </r>
  <r>
    <s v="002"/>
    <s v="FARMACIA DE CIRUGIA                               "/>
    <x v="2"/>
    <x v="2"/>
    <s v="XJ000012"/>
    <s v="JERINGA DESECHABLE 3 ML-C/A-3 PARTES X100"/>
    <s v=""/>
    <s v=""/>
    <s v="006"/>
    <s v="Unidad"/>
    <s v=""/>
    <n v="254"/>
    <n v="223.90058038692462"/>
    <n v="56870.74741827885"/>
  </r>
  <r>
    <s v="001"/>
    <s v="FARMACIA CENTRAL                                  "/>
    <x v="2"/>
    <x v="2"/>
    <s v="XD000061"/>
    <s v="GUANTE QUIRURGICO ESTERIL T-7.5 *1 PAR "/>
    <s v=""/>
    <s v=""/>
    <s v="006"/>
    <s v="Unidad"/>
    <s v=""/>
    <n v="258"/>
    <n v="1204.1314579901152"/>
    <n v="310665.91616144974"/>
  </r>
  <r>
    <s v="001"/>
    <s v="FARMACIA CENTRAL                                  "/>
    <x v="0"/>
    <x v="0"/>
    <s v="34537-02"/>
    <s v="LOPERAMIDA CLORHIDRATO 2 mg Tableta"/>
    <s v=""/>
    <s v=""/>
    <s v=""/>
    <s v=""/>
    <s v="2 mg"/>
    <n v="259"/>
    <n v="59.17232876712329"/>
    <n v="15325.633150684929"/>
  </r>
  <r>
    <s v="005"/>
    <s v="ALMACEN MEDICAMENTOS"/>
    <x v="0"/>
    <x v="0"/>
    <s v="19992435-7"/>
    <s v="CETIRIZINA 10 mg Tableta"/>
    <s v=""/>
    <s v=""/>
    <s v=""/>
    <s v=""/>
    <s v="10 mg"/>
    <n v="260"/>
    <n v="43"/>
    <n v="11180"/>
  </r>
  <r>
    <s v="001"/>
    <s v="FARMACIA CENTRAL                                  "/>
    <x v="0"/>
    <x v="0"/>
    <s v="20102676-2"/>
    <s v="LOSARTAN 50 mg Tableta"/>
    <s v=""/>
    <s v=""/>
    <s v=""/>
    <s v=""/>
    <s v="50 mg"/>
    <n v="261"/>
    <n v="35.944785992217895"/>
    <n v="9381.5891439688694"/>
  </r>
  <r>
    <s v="001"/>
    <s v="FARMACIA CENTRAL                                  "/>
    <x v="2"/>
    <x v="2"/>
    <s v="XD000042"/>
    <s v="ELECTRODO MONITOREO ADULTO X30-ECG.DESCARTABLE"/>
    <s v=""/>
    <s v=""/>
    <s v="006"/>
    <s v="Unidad"/>
    <s v=""/>
    <n v="261"/>
    <n v="454.76405146618788"/>
    <n v="118693.41743267504"/>
  </r>
  <r>
    <s v="005"/>
    <s v="ALMACEN MEDICAMENTOS"/>
    <x v="0"/>
    <x v="0"/>
    <s v="19902579-02"/>
    <s v="LEVOBUPIVACAINA HCL  ANHIDRA 0,75% Solución Inyectable ampullepack 10 mL"/>
    <s v=""/>
    <s v=""/>
    <s v=""/>
    <s v=""/>
    <s v="0,75% - 10 ml"/>
    <n v="264"/>
    <n v="7040.1296296296296"/>
    <n v="1858594.222222222"/>
  </r>
  <r>
    <s v="001"/>
    <s v="FARMACIA CENTRAL                                  "/>
    <x v="6"/>
    <x v="6"/>
    <s v="20008612-01."/>
    <s v="HIDROMORFONA CLORHIDRATO 2 mg / ml Solución Inyectable"/>
    <s v=""/>
    <s v=""/>
    <s v=""/>
    <s v=""/>
    <s v="2 mg / ml"/>
    <n v="267"/>
    <n v="1621"/>
    <n v="432807"/>
  </r>
  <r>
    <s v="001"/>
    <s v="FARMACIA CENTRAL                                  "/>
    <x v="0"/>
    <x v="0"/>
    <s v="19966420-04"/>
    <s v="NIMODIPINO 30 mg Tableta"/>
    <s v=""/>
    <s v=""/>
    <s v=""/>
    <s v=""/>
    <s v="30 mg"/>
    <n v="272"/>
    <n v="200.33823529411762"/>
    <n v="54492"/>
  </r>
  <r>
    <s v="059"/>
    <s v="BODEGA CUARENTENA"/>
    <x v="6"/>
    <x v="6"/>
    <s v="19934941-15"/>
    <s v="CLONAZEPAM 2.0 mg Tableta"/>
    <s v=""/>
    <s v=""/>
    <s v=""/>
    <s v=""/>
    <s v="2 mg"/>
    <n v="276"/>
    <n v="58.699275362318843"/>
    <n v="16201"/>
  </r>
  <r>
    <s v="008"/>
    <s v="ALMACEN  GENERAL                                         "/>
    <x v="7"/>
    <x v="7"/>
    <s v="AA000084"/>
    <s v="BACCIDINE SOLUCION X 15 CC"/>
    <s v=""/>
    <s v=""/>
    <s v="006"/>
    <s v="Unidad"/>
    <s v=""/>
    <n v="276"/>
    <n v="2500.789855072464"/>
    <n v="690218"/>
  </r>
  <r>
    <s v="001"/>
    <s v="FARMACIA CENTRAL                                  "/>
    <x v="0"/>
    <x v="0"/>
    <s v="19928329-01"/>
    <s v="AMLODIPINO 5mg "/>
    <s v=""/>
    <s v=""/>
    <s v=""/>
    <s v=""/>
    <s v="5 mg"/>
    <n v="279"/>
    <n v="60"/>
    <n v="16740"/>
  </r>
  <r>
    <s v="001"/>
    <s v="FARMACIA CENTRAL                                  "/>
    <x v="0"/>
    <x v="0"/>
    <s v="55895-06"/>
    <s v="AMLODIPINO 5 mg Tableta"/>
    <s v=""/>
    <s v=""/>
    <s v=""/>
    <s v=""/>
    <s v="5 mg"/>
    <n v="280"/>
    <n v="10.605178571428572"/>
    <n v="2969.45"/>
  </r>
  <r>
    <s v="001"/>
    <s v="FARMACIA CENTRAL                                  "/>
    <x v="0"/>
    <x v="0"/>
    <s v="22501-19"/>
    <s v="AGUA ESTERIL PARA INYECCION 5ml Solución Inyectable"/>
    <s v=""/>
    <s v=""/>
    <s v=""/>
    <s v=""/>
    <s v="5 ML "/>
    <n v="280"/>
    <n v="849"/>
    <n v="237720"/>
  </r>
  <r>
    <s v="005"/>
    <s v="ALMACEN MEDICAMENTOS"/>
    <x v="0"/>
    <x v="0"/>
    <s v="33519-01"/>
    <s v="MAGNESIO SULFATO 2 g / 10 ml Solución Inyectable"/>
    <s v=""/>
    <s v=""/>
    <s v=""/>
    <s v=""/>
    <s v="2 g / 10 ml"/>
    <n v="280"/>
    <n v="2250.2008641975308"/>
    <n v="630056.24197530863"/>
  </r>
  <r>
    <s v="005"/>
    <s v="ALMACEN MEDICAMENTOS"/>
    <x v="0"/>
    <x v="0"/>
    <s v="29523-06"/>
    <s v="SODIO CLORURO 0.9 % Solución Inyectable x 1000 ml"/>
    <s v=""/>
    <s v=""/>
    <s v=""/>
    <s v=""/>
    <s v="0.9 % - 1000 ML"/>
    <n v="280"/>
    <n v="4195.1464687500002"/>
    <n v="1174641.01125"/>
  </r>
  <r>
    <s v="005"/>
    <s v="ALMACEN MEDICAMENTOS"/>
    <x v="0"/>
    <x v="0"/>
    <s v="41072-10"/>
    <s v="OMEPRAZOL 20 mg Cápsula"/>
    <s v=""/>
    <s v=""/>
    <s v=""/>
    <s v=""/>
    <s v="20 mg"/>
    <n v="285"/>
    <n v="56.69108150470219"/>
    <n v="16156.958228840131"/>
  </r>
  <r>
    <s v="006"/>
    <s v="ALMACEN MEDICOQUIRURGICOS   "/>
    <x v="2"/>
    <x v="2"/>
    <s v="XT000064"/>
    <s v="TUBO SUCCION DAVOL 3 M.X1/4 D.I.DAVOL(36290)*1"/>
    <s v=""/>
    <s v=""/>
    <s v="006"/>
    <s v="Unidad"/>
    <s v=""/>
    <n v="286"/>
    <n v="4436.8685029940125"/>
    <n v="1268944.3918562874"/>
  </r>
  <r>
    <s v="001"/>
    <s v="FARMACIA CENTRAL                                  "/>
    <x v="2"/>
    <x v="2"/>
    <s v="XJ000002"/>
    <s v="CATETERES PERIFERICOS INTRAVENOSOS  INSYTE #20*50"/>
    <s v=""/>
    <s v=""/>
    <s v="006"/>
    <s v="Unidad"/>
    <s v=""/>
    <n v="288"/>
    <n v="2428.3562711864406"/>
    <n v="699366.60610169487"/>
  </r>
  <r>
    <s v="008"/>
    <s v="ALMACEN  GENERAL                                         "/>
    <x v="5"/>
    <x v="5"/>
    <s v="AP000168"/>
    <s v="ETIQUETA LASA Y ALTO RIESGO GRANDE"/>
    <s v=""/>
    <s v=""/>
    <s v="006"/>
    <s v="Unidad"/>
    <s v=""/>
    <n v="290"/>
    <n v="4328.4436551724139"/>
    <n v="1255248.6599999999"/>
  </r>
  <r>
    <s v="001"/>
    <s v="FARMACIA CENTRAL                                  "/>
    <x v="0"/>
    <x v="0"/>
    <s v="19925329-04"/>
    <s v="TRAMADOL + ACETAMINOFEN CLORHIDRATO 37.5mg + 325 mg  tableta"/>
    <s v=""/>
    <s v=""/>
    <s v=""/>
    <s v=""/>
    <s v="325MG-37,5 MG"/>
    <n v="296"/>
    <n v="338.04166666666669"/>
    <n v="100060.33333333331"/>
  </r>
  <r>
    <s v="005"/>
    <s v="ALMACEN MEDICAMENTOS"/>
    <x v="0"/>
    <x v="0"/>
    <s v="19963352-15"/>
    <s v="ATORVASTATINA 20 mg Tableta"/>
    <s v=""/>
    <s v=""/>
    <s v=""/>
    <s v=""/>
    <s v="20 mg"/>
    <n v="300"/>
    <n v="58.087063369397214"/>
    <n v="17426.119010819169"/>
  </r>
  <r>
    <s v="005"/>
    <s v="ALMACEN MEDICAMENTOS"/>
    <x v="0"/>
    <x v="0"/>
    <s v="40927-14"/>
    <s v="NIMODIPINO 30 mg Tableta"/>
    <s v=""/>
    <s v=""/>
    <s v=""/>
    <s v=""/>
    <s v="30 mg"/>
    <n v="300"/>
    <n v="156.48363333333333"/>
    <n v="46945.09"/>
  </r>
  <r>
    <s v="005"/>
    <s v="ALMACEN MEDICAMENTOS"/>
    <x v="0"/>
    <x v="0"/>
    <s v="20093160-3"/>
    <s v="PREGABALINA 150MG CAPSULAS"/>
    <s v=""/>
    <s v=""/>
    <s v=""/>
    <s v=""/>
    <s v="150MG"/>
    <n v="300"/>
    <n v="325"/>
    <n v="97500"/>
  </r>
  <r>
    <s v="005"/>
    <s v="ALMACEN MEDICAMENTOS"/>
    <x v="0"/>
    <x v="0"/>
    <s v="19922562-10"/>
    <s v="DIPIRONA 1 g / 2 ml Solución inyectable"/>
    <s v=""/>
    <s v=""/>
    <s v=""/>
    <s v=""/>
    <s v="1 g "/>
    <n v="300"/>
    <n v="709.34430088495583"/>
    <n v="212803.29026548672"/>
  </r>
  <r>
    <s v="005"/>
    <s v="ALMACEN MEDICAMENTOS"/>
    <x v="0"/>
    <x v="0"/>
    <s v="225064-07"/>
    <s v="HIOSCINA N BUTIL BROMURO 20 mg / ml Solución inyectable"/>
    <s v=""/>
    <s v=""/>
    <s v=""/>
    <s v=""/>
    <s v="20 mg / ml"/>
    <n v="300"/>
    <n v="1412.8823529411766"/>
    <n v="423864.70588235295"/>
  </r>
  <r>
    <s v="008"/>
    <s v="ALMACEN  GENERAL                                         "/>
    <x v="5"/>
    <x v="5"/>
    <s v="AP000114"/>
    <s v="STICKERS PARA ROTULO DE EQUIPOS"/>
    <s v=""/>
    <s v=""/>
    <s v="006"/>
    <s v="Unidad"/>
    <s v=""/>
    <n v="300"/>
    <n v="1760.4241333333332"/>
    <n v="528127.24"/>
  </r>
  <r>
    <s v="006"/>
    <s v="ALMACEN MEDICOQUIRURGICOS   "/>
    <x v="2"/>
    <x v="2"/>
    <s v="XJ000003"/>
    <s v="CATETERES PERIFERICOS INTRAVENOSOS  INSYTE #22*50"/>
    <s v=""/>
    <s v=""/>
    <s v="006"/>
    <s v="Unidad"/>
    <s v=""/>
    <n v="300"/>
    <n v="2145.7358134490237"/>
    <n v="643720.7440347072"/>
  </r>
  <r>
    <s v="001"/>
    <s v="FARMACIA CENTRAL                                  "/>
    <x v="2"/>
    <x v="2"/>
    <s v="XJ000015"/>
    <s v="JERINGA DESECHABLE DE INSULINA 1ML X 100UI."/>
    <s v=""/>
    <s v=""/>
    <s v="006"/>
    <s v="Unidad"/>
    <s v=""/>
    <n v="304"/>
    <n v="229.47137931034484"/>
    <n v="69759.299310344824"/>
  </r>
  <r>
    <s v="043"/>
    <s v="BODEGA DE CENTRAL DE MEZCLAS"/>
    <x v="0"/>
    <x v="0"/>
    <s v="29523-03"/>
    <s v="SODIO CLORURO 0.9 % Solución Inyectable x 100 ml"/>
    <s v=""/>
    <s v=""/>
    <s v=""/>
    <s v=""/>
    <s v="0.9 % - 100 ML"/>
    <n v="309"/>
    <n v="2206.7211700182816"/>
    <n v="681876.84153564891"/>
  </r>
  <r>
    <s v="043"/>
    <s v="BODEGA DE CENTRAL DE MEZCLAS"/>
    <x v="6"/>
    <x v="6"/>
    <s v="20198543-2"/>
    <s v="MIDAZOLAM 5 mg / 5 ml Solución Inyectable"/>
    <s v=""/>
    <s v=""/>
    <s v=""/>
    <s v=""/>
    <s v="5 mg / 5 ml"/>
    <n v="310"/>
    <n v="2099.7760358342666"/>
    <n v="650930.57110862259"/>
  </r>
  <r>
    <s v="005"/>
    <s v="ALMACEN MEDICAMENTOS"/>
    <x v="0"/>
    <x v="0"/>
    <s v="20065058-02"/>
    <s v="ONDANSETRON 8 mg / 4 ml Solución Inyectable"/>
    <s v=""/>
    <s v=""/>
    <s v=""/>
    <s v=""/>
    <s v="8 mg / 4 ml"/>
    <n v="325"/>
    <n v="1854.4881250000001"/>
    <n v="602708.640625"/>
  </r>
  <r>
    <s v="006"/>
    <s v="ALMACEN MEDICOQUIRURGICOS   "/>
    <x v="2"/>
    <x v="2"/>
    <s v="XD000270"/>
    <s v="CAMISA DESECHABLE ADULTO X  1"/>
    <s v=""/>
    <s v=""/>
    <s v="006"/>
    <s v="Unidad"/>
    <s v=""/>
    <n v="326"/>
    <n v="2132.3942065491183"/>
    <n v="695160.5113350125"/>
  </r>
  <r>
    <s v="001"/>
    <s v="FARMACIA CENTRAL                                  "/>
    <x v="2"/>
    <x v="2"/>
    <s v="XA000035"/>
    <s v="GASAS PAQUETE ESTERIL X5"/>
    <s v=""/>
    <s v=""/>
    <s v="006"/>
    <s v="Unidad"/>
    <s v=""/>
    <n v="328"/>
    <n v="303.54016676418956"/>
    <n v="99561.174698654184"/>
  </r>
  <r>
    <s v="005"/>
    <s v="ALMACEN MEDICAMENTOS"/>
    <x v="0"/>
    <x v="0"/>
    <s v="42722-08"/>
    <s v="LEVOTIROXINA SODICA 100 mcg Tableta"/>
    <s v=""/>
    <s v=""/>
    <s v=""/>
    <s v=""/>
    <s v="100 mcg"/>
    <n v="330"/>
    <n v="147.983991507431"/>
    <n v="48834.717197452228"/>
  </r>
  <r>
    <s v="001"/>
    <s v="FARMACIA CENTRAL                                  "/>
    <x v="0"/>
    <x v="0"/>
    <s v="19963352-15"/>
    <s v="ATORVASTATINA 20 mg Tableta"/>
    <s v=""/>
    <s v=""/>
    <s v=""/>
    <s v=""/>
    <s v="20 mg"/>
    <n v="347"/>
    <n v="58.087063369397214"/>
    <n v="20156.210989180829"/>
  </r>
  <r>
    <s v="006"/>
    <s v="ALMACEN MEDICOQUIRURGICOS   "/>
    <x v="2"/>
    <x v="2"/>
    <s v="XD000059"/>
    <s v="GUANTE QUIRURGICO ESTERIL T-6.5 *1 PAR "/>
    <s v=""/>
    <s v=""/>
    <s v="006"/>
    <s v="Unidad"/>
    <s v=""/>
    <n v="350"/>
    <n v="1018.0292795883362"/>
    <n v="356310.24785591767"/>
  </r>
  <r>
    <s v="001"/>
    <s v="FARMACIA CENTRAL                                  "/>
    <x v="0"/>
    <x v="0"/>
    <s v="41072-10"/>
    <s v="OMEPRAZOL 20 mg Cápsula"/>
    <s v=""/>
    <s v=""/>
    <s v=""/>
    <s v=""/>
    <s v="20 mg"/>
    <n v="353"/>
    <n v="56.69108150470219"/>
    <n v="20011.951771159871"/>
  </r>
  <r>
    <s v="005"/>
    <s v="ALMACEN MEDICAMENTOS"/>
    <x v="0"/>
    <x v="0"/>
    <s v="43493-06"/>
    <s v="CLORFENIRAMINA MALEATO 4 mg Tableta"/>
    <s v=""/>
    <s v=""/>
    <s v=""/>
    <s v=""/>
    <s v="4 mg"/>
    <n v="360"/>
    <n v="28.335486111111113"/>
    <n v="10200.775"/>
  </r>
  <r>
    <s v="005"/>
    <s v="ALMACEN MEDICAMENTOS"/>
    <x v="0"/>
    <x v="0"/>
    <s v="23440-09"/>
    <s v="TIAMINA 300 mg Tableta"/>
    <s v=""/>
    <s v=""/>
    <s v=""/>
    <s v=""/>
    <s v="300 mg"/>
    <n v="360"/>
    <n v="134.27507075471698"/>
    <n v="48339.025471698107"/>
  </r>
  <r>
    <s v="005"/>
    <s v="ALMACEN MEDICAMENTOS"/>
    <x v="3"/>
    <x v="3"/>
    <s v="19929856-13"/>
    <s v="CEFALEXINA 500 mg Cápsula"/>
    <s v=""/>
    <s v=""/>
    <s v=""/>
    <s v=""/>
    <s v="500 mg"/>
    <n v="360"/>
    <n v="330.70025188916878"/>
    <n v="119052.09068010077"/>
  </r>
  <r>
    <s v="001"/>
    <s v="FARMACIA CENTRAL                                  "/>
    <x v="0"/>
    <x v="0"/>
    <s v="20004631-2"/>
    <s v="SUCRALFATO 1 g Tableta"/>
    <s v=""/>
    <s v=""/>
    <s v=""/>
    <s v=""/>
    <s v="1 g"/>
    <n v="372"/>
    <n v="515.75125000000003"/>
    <n v="191859.465"/>
  </r>
  <r>
    <s v="001"/>
    <s v="FARMACIA CENTRAL                                  "/>
    <x v="0"/>
    <x v="0"/>
    <s v="20093155-6"/>
    <s v="PREGABALINA 75 mg Cápsula"/>
    <s v=""/>
    <s v=""/>
    <s v=""/>
    <s v=""/>
    <s v="75 mg"/>
    <n v="389"/>
    <n v="154.92448979591836"/>
    <n v="60265.626530612237"/>
  </r>
  <r>
    <s v="005"/>
    <s v="ALMACEN MEDICAMENTOS"/>
    <x v="0"/>
    <x v="0"/>
    <s v="42216-13"/>
    <s v="FUROSEMIDA 40 mg Tableta"/>
    <s v=""/>
    <s v=""/>
    <s v=""/>
    <s v=""/>
    <s v="40 mg"/>
    <n v="390"/>
    <n v="33.323282442748095"/>
    <n v="12996.080152671761"/>
  </r>
  <r>
    <s v="008"/>
    <s v="ALMACEN  GENERAL                                         "/>
    <x v="2"/>
    <x v="2"/>
    <s v="XD000056"/>
    <s v="GORROS DESECHABLES-ENFERMERA-CIRUJANO *1 CX"/>
    <s v=""/>
    <s v=""/>
    <s v="006"/>
    <s v="Unidad"/>
    <s v=""/>
    <n v="400"/>
    <n v="144.38078719397365"/>
    <n v="57752.314877589451"/>
  </r>
  <r>
    <s v="005"/>
    <s v="ALMACEN MEDICAMENTOS"/>
    <x v="3"/>
    <x v="3"/>
    <s v="20054318-03"/>
    <s v="CIPROFLOXACINA 500 mg Tableta"/>
    <s v=""/>
    <s v=""/>
    <s v=""/>
    <s v=""/>
    <s v="500 mg"/>
    <n v="400"/>
    <n v="210"/>
    <n v="84000"/>
  </r>
  <r>
    <s v="008"/>
    <s v="ALMACEN  GENERAL                                         "/>
    <x v="7"/>
    <x v="7"/>
    <s v="AA000083"/>
    <s v="JABON PARA PACIENTE-BARRA INDIVIDUAL X280 U."/>
    <s v=""/>
    <s v=""/>
    <s v="006"/>
    <s v="Unidad"/>
    <s v=""/>
    <n v="400"/>
    <n v="246.9725"/>
    <n v="98789"/>
  </r>
  <r>
    <s v="005"/>
    <s v="ALMACEN MEDICAMENTOS"/>
    <x v="0"/>
    <x v="0"/>
    <s v="19925329-04"/>
    <s v="TRAMADOL + ACETAMINOFEN CLORHIDRATO 37.5mg + 325 mg  tableta"/>
    <s v=""/>
    <s v=""/>
    <s v=""/>
    <s v=""/>
    <s v="325MG-37,5 MG"/>
    <n v="400"/>
    <n v="338.04166666666669"/>
    <n v="135216.66666666669"/>
  </r>
  <r>
    <s v="005"/>
    <s v="ALMACEN MEDICAMENTOS"/>
    <x v="0"/>
    <x v="0"/>
    <s v="20019105-06"/>
    <s v="DEXAMETASONA 8 mg /2 ml Solución inyectable"/>
    <s v=""/>
    <s v=""/>
    <s v=""/>
    <s v=""/>
    <s v="8 mg "/>
    <n v="400"/>
    <n v="528"/>
    <n v="211200"/>
  </r>
  <r>
    <s v="006"/>
    <s v="ALMACEN MEDICOQUIRURGICOS   "/>
    <x v="2"/>
    <x v="2"/>
    <s v="XJ000002"/>
    <s v="CATETERES PERIFERICOS INTRAVENOSOS  INSYTE #20*50"/>
    <s v=""/>
    <s v=""/>
    <s v="006"/>
    <s v="Unidad"/>
    <s v=""/>
    <n v="400"/>
    <n v="2428.3562711864406"/>
    <n v="971342.50847457629"/>
  </r>
  <r>
    <s v="006"/>
    <s v="ALMACEN MEDICOQUIRURGICOS   "/>
    <x v="2"/>
    <x v="2"/>
    <s v="XA000039"/>
    <s v="PELICULA TRANSPARENTE  FIXOMULL 10X15"/>
    <s v=""/>
    <s v=""/>
    <s v="006"/>
    <s v="Unidad"/>
    <s v=""/>
    <n v="420"/>
    <n v="10692.271420345489"/>
    <n v="4490753.9965451052"/>
  </r>
  <r>
    <s v="006"/>
    <s v="ALMACEN MEDICOQUIRURGICOS   "/>
    <x v="2"/>
    <x v="2"/>
    <s v="XD000072"/>
    <s v="LAPIZ ELECTROBISTURI VALLEYLAB-CON CABLE X 1"/>
    <s v=""/>
    <s v=""/>
    <s v="006"/>
    <s v="Unidad"/>
    <s v=""/>
    <n v="447"/>
    <n v="7737.0401089324614"/>
    <n v="3458456.9286928102"/>
  </r>
  <r>
    <s v="008"/>
    <s v="ALMACEN  GENERAL                                         "/>
    <x v="7"/>
    <x v="7"/>
    <s v="AA000088"/>
    <s v="MICROPORE PIEL 1 PULGADA X 12 CINTAS"/>
    <s v=""/>
    <s v=""/>
    <s v="006"/>
    <s v="Unidad"/>
    <s v=""/>
    <n v="449"/>
    <n v="3024.5055679287307"/>
    <n v="1358003"/>
  </r>
  <r>
    <s v="005"/>
    <s v="ALMACEN MEDICAMENTOS"/>
    <x v="0"/>
    <x v="0"/>
    <s v="20066116-14"/>
    <s v="ESOMEPRAZOL 40 mg Tableta de liberación retardada"/>
    <s v=""/>
    <s v=""/>
    <s v=""/>
    <s v=""/>
    <s v="40 mg"/>
    <n v="450"/>
    <n v="145"/>
    <n v="65250"/>
  </r>
  <r>
    <s v="008"/>
    <s v="ALMACEN  GENERAL                                         "/>
    <x v="2"/>
    <x v="2"/>
    <s v="XD000259"/>
    <s v="GUANTE DE  VINILO TALLA M-L X PAR"/>
    <s v=""/>
    <s v=""/>
    <s v="006"/>
    <s v="Unidad"/>
    <s v=""/>
    <n v="450"/>
    <n v="344.36824454281793"/>
    <n v="154965.71004426805"/>
  </r>
  <r>
    <s v="006"/>
    <s v="ALMACEN MEDICOQUIRURGICOS   "/>
    <x v="2"/>
    <x v="2"/>
    <s v="XE000014"/>
    <s v="EXTENSION DE ANESTESIA-ARCO473P CAJA X100 EA"/>
    <s v=""/>
    <s v=""/>
    <s v="006"/>
    <s v="Unidad"/>
    <s v=""/>
    <n v="450"/>
    <n v="789.38775295663606"/>
    <n v="355224.4888304862"/>
  </r>
  <r>
    <s v="005"/>
    <s v="ALMACEN MEDICAMENTOS"/>
    <x v="4"/>
    <x v="4"/>
    <s v="20152991-01"/>
    <s v="PIPERACILINA + TAZOBACTAM 4.5 g Polvo para reconsituir a solución inyectable"/>
    <s v=""/>
    <s v=""/>
    <s v=""/>
    <s v=""/>
    <s v="4.5 g"/>
    <n v="450"/>
    <n v="1584.2822696245735"/>
    <n v="712927.021331058"/>
  </r>
  <r>
    <s v="006"/>
    <s v="ALMACEN MEDICOQUIRURGICOS   "/>
    <x v="2"/>
    <x v="2"/>
    <s v="XJ000008"/>
    <s v="JERINGA CON HEPARINA  PARA GASIMETRIA SANGUINEA X 1CC"/>
    <s v=""/>
    <s v=""/>
    <s v="006"/>
    <s v="Unidad"/>
    <s v=""/>
    <n v="460"/>
    <n v="5585.4120765027319"/>
    <n v="2569289.555191257"/>
  </r>
  <r>
    <s v="005"/>
    <s v="ALMACEN MEDICAMENTOS"/>
    <x v="0"/>
    <x v="0"/>
    <s v="32606-03"/>
    <s v="LACTATO RINGER solución inyectable Bolsa  1000 mL"/>
    <s v=""/>
    <s v=""/>
    <s v=""/>
    <s v=""/>
    <s v="1000 ml"/>
    <n v="468"/>
    <n v="4725.6135897435897"/>
    <n v="2211587.16"/>
  </r>
  <r>
    <s v="005"/>
    <s v="ALMACEN MEDICAMENTOS"/>
    <x v="0"/>
    <x v="0"/>
    <s v="20011084-05"/>
    <s v="PREDNISOLONA 5 mg Tableta"/>
    <s v=""/>
    <s v=""/>
    <s v=""/>
    <s v=""/>
    <s v="5 mg"/>
    <n v="480"/>
    <n v="39.787166437414029"/>
    <n v="19097.83988995873"/>
  </r>
  <r>
    <s v="001"/>
    <s v="FARMACIA CENTRAL                                  "/>
    <x v="0"/>
    <x v="0"/>
    <s v="32606-02"/>
    <s v="LACTATO RINGER Solucion Inyectable bolsa 500 mL"/>
    <s v=""/>
    <s v=""/>
    <s v=""/>
    <s v=""/>
    <s v="500 ml"/>
    <n v="495"/>
    <n v="2745.2384554455443"/>
    <n v="1358893.0354455444"/>
  </r>
  <r>
    <s v="008"/>
    <s v="ALMACEN  GENERAL                                         "/>
    <x v="5"/>
    <x v="5"/>
    <s v="AP000009"/>
    <s v="PROTECTOR TRANSPARENTE CARTA"/>
    <s v=""/>
    <s v=""/>
    <s v="006"/>
    <s v="Unidad"/>
    <s v=""/>
    <n v="500"/>
    <n v="533.39800000000002"/>
    <n v="266699"/>
  </r>
  <r>
    <s v="005"/>
    <s v="ALMACEN MEDICAMENTOS"/>
    <x v="0"/>
    <x v="0"/>
    <s v="19993036-08"/>
    <s v="DIPIRONA 1 g / 2 ml Solución inyectable"/>
    <s v=""/>
    <s v=""/>
    <s v=""/>
    <s v=""/>
    <s v="1 g "/>
    <n v="500"/>
    <n v="612.47447105788433"/>
    <n v="306237.23552894214"/>
  </r>
  <r>
    <s v="005"/>
    <s v="ALMACEN MEDICAMENTOS"/>
    <x v="0"/>
    <x v="0"/>
    <s v="22501-19"/>
    <s v="AGUA ESTERIL PARA INYECCION 5ml Solución Inyectable"/>
    <s v=""/>
    <s v=""/>
    <s v=""/>
    <s v=""/>
    <s v="5 ML "/>
    <n v="500"/>
    <n v="849"/>
    <n v="424500"/>
  </r>
  <r>
    <s v="008"/>
    <s v="ALMACEN  GENERAL                                         "/>
    <x v="2"/>
    <x v="2"/>
    <s v="AA000091"/>
    <s v="GUANTES FLEXAM DESECHABLES PARA EXAMEN 100 T.M."/>
    <s v=""/>
    <s v=""/>
    <s v="006"/>
    <s v="Unidad"/>
    <s v=""/>
    <n v="509"/>
    <n v="15064.306117424243"/>
    <n v="7667731.8137689391"/>
  </r>
  <r>
    <s v="005"/>
    <s v="ALMACEN MEDICAMENTOS"/>
    <x v="0"/>
    <x v="0"/>
    <s v="20102676-2"/>
    <s v="LOSARTAN 50 mg Tableta"/>
    <s v=""/>
    <s v=""/>
    <s v=""/>
    <s v=""/>
    <s v="50 mg"/>
    <n v="510"/>
    <n v="35.944785992217895"/>
    <n v="18331.840856031129"/>
  </r>
  <r>
    <s v="008"/>
    <s v="ALMACEN  GENERAL                                         "/>
    <x v="5"/>
    <x v="5"/>
    <s v="AP000165"/>
    <s v="STICKER 25 X 55 MM  LABORATORIO"/>
    <s v=""/>
    <s v=""/>
    <s v="006"/>
    <s v="Unidad"/>
    <s v=""/>
    <n v="550"/>
    <n v="1455.6108727272726"/>
    <n v="800585.98"/>
  </r>
  <r>
    <s v="001"/>
    <s v="FARMACIA CENTRAL                                  "/>
    <x v="0"/>
    <x v="0"/>
    <s v="19973313-11"/>
    <s v="Naproxeno 250mg Tableta"/>
    <s v=""/>
    <s v=""/>
    <s v=""/>
    <s v=""/>
    <s v="250 mg"/>
    <n v="561"/>
    <n v="80"/>
    <n v="44880"/>
  </r>
  <r>
    <s v="001"/>
    <s v="FARMACIA CENTRAL                                  "/>
    <x v="2"/>
    <x v="2"/>
    <s v="XD000055"/>
    <s v="GLUCOMETRIA- INSUMOS"/>
    <s v=""/>
    <s v=""/>
    <s v="006"/>
    <s v="Unidad"/>
    <s v=""/>
    <n v="571"/>
    <n v="1000"/>
    <n v="571000"/>
  </r>
  <r>
    <s v="001"/>
    <s v="FARMACIA CENTRAL                                  "/>
    <x v="6"/>
    <x v="6"/>
    <s v="20198543-2"/>
    <s v="MIDAZOLAM 5 mg / 5 ml Solución Inyectable"/>
    <s v=""/>
    <s v=""/>
    <s v=""/>
    <s v=""/>
    <s v="5 mg / 5 ml"/>
    <n v="574"/>
    <n v="2099.7760358342666"/>
    <n v="1205271.444568869"/>
  </r>
  <r>
    <s v="006"/>
    <s v="ALMACEN MEDICOQUIRURGICOS   "/>
    <x v="2"/>
    <x v="2"/>
    <s v="XE000004"/>
    <s v="EQUIPO BOMBA 5000 PRIMARIO XL HOSPIRA REF 1401"/>
    <s v=""/>
    <s v=""/>
    <s v="006"/>
    <s v="Unidad"/>
    <s v=""/>
    <n v="605"/>
    <n v="24641.383614744351"/>
    <n v="14908037.086920332"/>
  </r>
  <r>
    <s v="001"/>
    <s v="FARMACIA CENTRAL                                  "/>
    <x v="6"/>
    <x v="6"/>
    <s v="20013906-01"/>
    <s v="MORFINA CLORHIDRATO 10 mg / 1ml Solución Inyectable"/>
    <s v=""/>
    <s v=""/>
    <s v=""/>
    <s v=""/>
    <s v="10 mg / 1ml"/>
    <n v="649"/>
    <n v="3307.4908974358973"/>
    <n v="2146561.5924358978"/>
  </r>
  <r>
    <s v="005"/>
    <s v="ALMACEN MEDICAMENTOS"/>
    <x v="0"/>
    <x v="0"/>
    <s v="19912966-07"/>
    <s v="CAFEINA ANHIDRA + ERGOTAMINA TARTRATO -100mg + 1mg -Tableta"/>
    <s v=""/>
    <s v=""/>
    <s v=""/>
    <s v=""/>
    <s v="1 mg "/>
    <n v="650"/>
    <n v="220"/>
    <n v="143000"/>
  </r>
  <r>
    <s v="006"/>
    <s v="ALMACEN MEDICOQUIRURGICOS   "/>
    <x v="2"/>
    <x v="2"/>
    <s v="XD000060"/>
    <s v="GUANTE QUIRURGICO ESTERIL T-7.0 *1 PAR "/>
    <s v=""/>
    <s v=""/>
    <s v="006"/>
    <s v="Unidad"/>
    <s v=""/>
    <n v="650"/>
    <n v="1017.2755338691159"/>
    <n v="661229.09701492533"/>
  </r>
  <r>
    <s v="008"/>
    <s v="ALMACEN  GENERAL                                         "/>
    <x v="7"/>
    <x v="7"/>
    <s v="AA000042"/>
    <s v="GLUCONATO DE CLORHEXIDINA 4%  0.05% SOLUCION TOPICA FRASCO X 15 ML"/>
    <s v=""/>
    <s v=""/>
    <s v="006"/>
    <s v="Unidad"/>
    <s v=""/>
    <n v="664"/>
    <n v="2397.9246987951806"/>
    <n v="1592222"/>
  </r>
  <r>
    <s v="006"/>
    <s v="ALMACEN MEDICOQUIRURGICOS   "/>
    <x v="2"/>
    <x v="2"/>
    <s v="XD000153"/>
    <s v="TAPABOCAS DE ALTA EFICIENCIA N 95"/>
    <s v=""/>
    <s v=""/>
    <s v="006"/>
    <s v="Unidad"/>
    <s v=""/>
    <n v="670"/>
    <n v="2498.0486052631577"/>
    <n v="1673692.5655263159"/>
  </r>
  <r>
    <s v="006"/>
    <s v="ALMACEN MEDICOQUIRURGICOS   "/>
    <x v="2"/>
    <x v="2"/>
    <s v="XG000003"/>
    <s v="AGUJA DESECHABLE # 18 G.X1-1/2*100"/>
    <s v=""/>
    <s v=""/>
    <s v="006"/>
    <s v="Unidad"/>
    <s v=""/>
    <n v="700"/>
    <n v="70.974907834101387"/>
    <n v="49682.43548387097"/>
  </r>
  <r>
    <s v="005"/>
    <s v="ALMACEN MEDICAMENTOS"/>
    <x v="0"/>
    <x v="0"/>
    <s v="19924285-34"/>
    <s v="TRAMADOL 50mg/mL SOLUCION INYECTABLE"/>
    <s v=""/>
    <s v=""/>
    <s v=""/>
    <s v=""/>
    <s v="50 mg/ml"/>
    <n v="700"/>
    <n v="680.01049531459171"/>
    <n v="476007.34672021418"/>
  </r>
  <r>
    <s v="005"/>
    <s v="ALMACEN MEDICAMENTOS"/>
    <x v="0"/>
    <x v="0"/>
    <s v="19939225-01"/>
    <s v="POTASIO CLORURO 20 mEq/10 ml Solución inyectable"/>
    <s v=""/>
    <s v=""/>
    <s v=""/>
    <s v=""/>
    <s v="20 mEq/10 ml"/>
    <n v="725"/>
    <n v="995.27191919191921"/>
    <n v="721572.1414141414"/>
  </r>
  <r>
    <s v="005"/>
    <s v="ALMACEN MEDICAMENTOS"/>
    <x v="0"/>
    <x v="0"/>
    <s v="19936296-11"/>
    <s v="ACIDO ACETIL SALICILICO  100 mg Tableta"/>
    <s v=""/>
    <s v=""/>
    <s v=""/>
    <s v=""/>
    <s v="100 mg"/>
    <n v="750"/>
    <n v="34.286206896551725"/>
    <n v="25714.65517241379"/>
  </r>
  <r>
    <s v="005"/>
    <s v="ALMACEN MEDICAMENTOS"/>
    <x v="0"/>
    <x v="0"/>
    <s v="20103181-05"/>
    <s v="ACETAMINOFEN + HIDROCODONA 325 mg + 5 mg Tableta"/>
    <s v=""/>
    <s v=""/>
    <s v=""/>
    <s v=""/>
    <s v="325 MG + 5 MG"/>
    <n v="750"/>
    <n v="548.71465968586392"/>
    <n v="411535.99476439791"/>
  </r>
  <r>
    <s v="006"/>
    <s v="ALMACEN MEDICOQUIRURGICOS   "/>
    <x v="2"/>
    <x v="2"/>
    <s v="XE000007"/>
    <s v="EQUIPO DE MACROGOTEO- MRC0002 X 120"/>
    <s v=""/>
    <s v=""/>
    <s v="006"/>
    <s v="Unidad"/>
    <s v=""/>
    <n v="750"/>
    <n v="863.47163555555562"/>
    <n v="647603.72666666668"/>
  </r>
  <r>
    <s v="005"/>
    <s v="ALMACEN MEDICAMENTOS"/>
    <x v="0"/>
    <x v="0"/>
    <s v="35662-05"/>
    <s v="ACIDO FOLICO 1 mg Tableta"/>
    <s v=""/>
    <s v=""/>
    <s v=""/>
    <s v=""/>
    <s v="1 mg"/>
    <n v="820"/>
    <n v="120.24711425206125"/>
    <n v="98602.633686690213"/>
  </r>
  <r>
    <s v="001"/>
    <s v="FARMACIA CENTRAL                                  "/>
    <x v="2"/>
    <x v="2"/>
    <s v="XJ000010"/>
    <s v="JERINGA DESECHABLE 10ML-C/A-3 PARTES X 100"/>
    <s v=""/>
    <s v=""/>
    <s v="006"/>
    <s v="Unidad"/>
    <s v=""/>
    <n v="822"/>
    <n v="261.77091875138365"/>
    <n v="215175.69521363737"/>
  </r>
  <r>
    <s v="008"/>
    <s v="ALMACEN  GENERAL                                         "/>
    <x v="7"/>
    <x v="7"/>
    <s v="AA000156"/>
    <s v="BOLSA 40X60 IMPRESA CON CORDON PARA CUSTODIA"/>
    <s v=""/>
    <s v=""/>
    <s v="006"/>
    <s v="Unidad"/>
    <s v=""/>
    <n v="825"/>
    <n v="892.39393939393949"/>
    <n v="736225"/>
  </r>
  <r>
    <s v="008"/>
    <s v="ALMACEN  GENERAL                                         "/>
    <x v="5"/>
    <x v="5"/>
    <s v="AP000116"/>
    <s v="CD-R 700MB TORRE POR 50 UNID.IMATIO"/>
    <s v=""/>
    <s v=""/>
    <s v="006"/>
    <s v="Unidad"/>
    <s v=""/>
    <n v="840"/>
    <n v="1283.3383333333331"/>
    <n v="1078004.2"/>
  </r>
  <r>
    <s v="006"/>
    <s v="ALMACEN MEDICOQUIRURGICOS   "/>
    <x v="2"/>
    <x v="2"/>
    <s v="XJ000011"/>
    <s v="JERINGA DESECHABLE 20ML-S/A-3 PARTES X 100"/>
    <s v=""/>
    <s v=""/>
    <s v="006"/>
    <s v="Unidad"/>
    <s v=""/>
    <n v="850"/>
    <n v="-18687.463351548267"/>
    <n v="-15884343.848816028"/>
  </r>
  <r>
    <s v="008"/>
    <s v="ALMACEN  GENERAL                                         "/>
    <x v="9"/>
    <x v="9"/>
    <s v="AA000134"/>
    <s v="BOLSA PLASTICA AZUL COMPRESERO 80X100"/>
    <s v=""/>
    <s v=""/>
    <s v="006"/>
    <s v="Unidad"/>
    <s v=""/>
    <n v="850"/>
    <n v="346.93009411764706"/>
    <n v="294890.58"/>
  </r>
  <r>
    <s v="006"/>
    <s v="ALMACEN MEDICOQUIRURGICOS   "/>
    <x v="2"/>
    <x v="2"/>
    <s v="XD000061"/>
    <s v="GUANTE QUIRURGICO ESTERIL T-7.5 *1 PAR "/>
    <s v=""/>
    <s v=""/>
    <s v="006"/>
    <s v="Unidad"/>
    <s v=""/>
    <n v="850"/>
    <n v="1204.1314579901152"/>
    <n v="1023511.7392915981"/>
  </r>
  <r>
    <s v="005"/>
    <s v="ALMACEN MEDICAMENTOS"/>
    <x v="3"/>
    <x v="3"/>
    <s v="20036512-02"/>
    <s v="AMPICILINA + SULBACTAM Polvo para reconstituir a solución inyectable  1.5 g"/>
    <s v=""/>
    <s v=""/>
    <s v=""/>
    <s v=""/>
    <s v="1,5 g"/>
    <n v="880"/>
    <n v="2155.6857786885244"/>
    <n v="1897003.4852459019"/>
  </r>
  <r>
    <s v="008"/>
    <s v="ALMACEN  GENERAL                                         "/>
    <x v="7"/>
    <x v="7"/>
    <s v="AA000092"/>
    <s v="KIT DE ASEO PERSONAL "/>
    <s v=""/>
    <s v=""/>
    <s v="006"/>
    <s v="Unidad"/>
    <s v=""/>
    <n v="899"/>
    <n v="15000.689655172413"/>
    <n v="13485620"/>
  </r>
  <r>
    <s v="005"/>
    <s v="ALMACEN MEDICAMENTOS"/>
    <x v="0"/>
    <x v="0"/>
    <s v="17145-18"/>
    <s v="NAPROXENO 250 mg Tableta"/>
    <s v=""/>
    <s v=""/>
    <s v=""/>
    <s v=""/>
    <s v="250 mg"/>
    <n v="900"/>
    <n v="104.82222222222222"/>
    <n v="94340"/>
  </r>
  <r>
    <s v="001"/>
    <s v="FARMACIA CENTRAL                                  "/>
    <x v="2"/>
    <x v="2"/>
    <s v="XJ000012"/>
    <s v="JERINGA DESECHABLE 3 ML-C/A-3 PARTES X100"/>
    <s v=""/>
    <s v=""/>
    <s v="006"/>
    <s v="Unidad"/>
    <s v=""/>
    <n v="933"/>
    <n v="223.90058038692462"/>
    <n v="208899.24150100068"/>
  </r>
  <r>
    <s v="008"/>
    <s v="ALMACEN  GENERAL                                         "/>
    <x v="5"/>
    <x v="5"/>
    <s v="AP000016"/>
    <s v="DVD MATRIX  (CDPARA DVD)-R"/>
    <s v=""/>
    <s v=""/>
    <s v="006"/>
    <s v="Unidad"/>
    <s v=""/>
    <n v="950"/>
    <n v="1453.6352631578948"/>
    <n v="1380953.5"/>
  </r>
  <r>
    <s v="001"/>
    <s v="FARMACIA CENTRAL                                  "/>
    <x v="0"/>
    <x v="0"/>
    <s v="29523-03"/>
    <s v="SODIO CLORURO 0.9 % Solución Inyectable x 100 ml"/>
    <s v=""/>
    <s v=""/>
    <s v=""/>
    <s v=""/>
    <s v="0.9 % - 100 ML"/>
    <n v="1003"/>
    <n v="2206.7211700182816"/>
    <n v="2213341.3335283361"/>
  </r>
  <r>
    <s v="005"/>
    <s v="ALMACEN MEDICAMENTOS"/>
    <x v="0"/>
    <x v="0"/>
    <s v="29523-05"/>
    <s v="SODIO CLORURO 0.9 % Solución Inyectable Bolsa 500 ml"/>
    <s v=""/>
    <s v=""/>
    <s v=""/>
    <s v=""/>
    <s v="0.9 % - 500 ML"/>
    <n v="1020"/>
    <n v="2635.2512459283389"/>
    <n v="2687956.2708469057"/>
  </r>
  <r>
    <s v="001"/>
    <s v="FARMACIA CENTRAL                                  "/>
    <x v="2"/>
    <x v="2"/>
    <s v="XJ000013"/>
    <s v="JERINGA DESECHABLE 5 ML-C/A-3 PARTES X 100"/>
    <s v=""/>
    <s v=""/>
    <s v="006"/>
    <s v="Unidad"/>
    <s v=""/>
    <n v="1061"/>
    <n v="202.89964967048215"/>
    <n v="215276.52830038156"/>
  </r>
  <r>
    <s v="006"/>
    <s v="ALMACEN MEDICOQUIRURGICOS   "/>
    <x v="2"/>
    <x v="2"/>
    <s v="XD000276"/>
    <s v="POLAINA ANTIDESLIZANTE X PAR"/>
    <s v=""/>
    <s v=""/>
    <s v="006"/>
    <s v="Unidad"/>
    <s v=""/>
    <n v="1067"/>
    <n v="646.46484434320428"/>
    <n v="689777.98891419894"/>
  </r>
  <r>
    <s v="001"/>
    <s v="FARMACIA CENTRAL                                  "/>
    <x v="6"/>
    <x v="6"/>
    <s v="20008612-01"/>
    <s v="HIDROMORFONA CLORHIDRATO 2 mg / ml Solución Inyectable"/>
    <s v=""/>
    <s v=""/>
    <s v=""/>
    <s v=""/>
    <s v="2 mg / ml"/>
    <n v="1071"/>
    <n v="4812.416766370251"/>
    <n v="5154098.3567825379"/>
  </r>
  <r>
    <s v="006"/>
    <s v="ALMACEN MEDICOQUIRURGICOS   "/>
    <x v="2"/>
    <x v="2"/>
    <s v="XD000042"/>
    <s v="ELECTRODO MONITOREO ADULTO X30-ECG.DESCARTABLE"/>
    <s v=""/>
    <s v=""/>
    <s v="006"/>
    <s v="Unidad"/>
    <s v=""/>
    <n v="1200"/>
    <n v="454.76405146618788"/>
    <n v="545716.86175942549"/>
  </r>
  <r>
    <s v="008"/>
    <s v="ALMACEN  GENERAL                                         "/>
    <x v="5"/>
    <x v="5"/>
    <s v="AP000122"/>
    <s v="TARJETAS DE CUMPLEAÑOS 13 CM TROQUELADAS"/>
    <s v=""/>
    <s v=""/>
    <s v="006"/>
    <s v="Unidad"/>
    <s v=""/>
    <n v="1215"/>
    <n v="351.88477366255142"/>
    <n v="427540"/>
  </r>
  <r>
    <s v="001"/>
    <s v="FARMACIA CENTRAL                                  "/>
    <x v="6"/>
    <x v="6"/>
    <s v="20023905-04"/>
    <s v="FENTANILO CITRATO 0.5 mg / 10 ml Solución Inyectable"/>
    <s v=""/>
    <s v=""/>
    <s v=""/>
    <s v=""/>
    <s v="0,5 MG / 10 ML"/>
    <n v="1250"/>
    <n v="2235.065979532164"/>
    <n v="2793832.474415205"/>
  </r>
  <r>
    <s v="005"/>
    <s v="ALMACEN MEDICAMENTOS"/>
    <x v="0"/>
    <x v="0"/>
    <s v="20028918-03"/>
    <s v="PREGABALINA CAPSULAS 25MG"/>
    <s v=""/>
    <s v=""/>
    <s v=""/>
    <s v=""/>
    <s v="25MG"/>
    <n v="1320"/>
    <n v="514.18471710974779"/>
    <n v="678723.82658486709"/>
  </r>
  <r>
    <s v="008"/>
    <s v="ALMACEN  GENERAL                                         "/>
    <x v="5"/>
    <x v="5"/>
    <s v="AP000143"/>
    <s v="STICKERS TARJETA DE IDENTIFICACION DE CONTROL MEDICAMENTO "/>
    <s v=""/>
    <s v=""/>
    <s v="006"/>
    <s v="Unidad"/>
    <s v=""/>
    <n v="1382"/>
    <n v="656.02367583212731"/>
    <n v="906624.72"/>
  </r>
  <r>
    <s v="008"/>
    <s v="ALMACEN  GENERAL                                         "/>
    <x v="2"/>
    <x v="2"/>
    <s v="AP000182"/>
    <s v="RECOMENDACIONES Y CUIDADOS POSQUIRUGICOS"/>
    <s v=""/>
    <s v=""/>
    <s v="006"/>
    <s v="Unidad"/>
    <s v=""/>
    <n v="1600"/>
    <n v="366.36250000000001"/>
    <n v="586180"/>
  </r>
  <r>
    <s v="006"/>
    <s v="ALMACEN MEDICOQUIRURGICOS   "/>
    <x v="2"/>
    <x v="2"/>
    <s v="XJ000013"/>
    <s v="JERINGA DESECHABLE 5 ML-C/A-3 PARTES X 100"/>
    <s v=""/>
    <s v=""/>
    <s v="006"/>
    <s v="Unidad"/>
    <s v=""/>
    <n v="1700"/>
    <n v="202.89964967048215"/>
    <n v="344929.40443981963"/>
  </r>
  <r>
    <s v="008"/>
    <s v="ALMACEN  GENERAL                                         "/>
    <x v="5"/>
    <x v="5"/>
    <s v="AP000186"/>
    <s v="MANILLA POLIPROPILENO 1X10 TERMICO ROJA"/>
    <s v=""/>
    <s v=""/>
    <s v="006"/>
    <s v="Unidad"/>
    <s v=""/>
    <n v="1750"/>
    <n v="600.67600000000004"/>
    <n v="1051183"/>
  </r>
  <r>
    <s v="006"/>
    <s v="ALMACEN MEDICOQUIRURGICOS   "/>
    <x v="2"/>
    <x v="2"/>
    <s v="XJ000012"/>
    <s v="JERINGA DESECHABLE 3 ML-C/A-3 PARTES X100"/>
    <s v=""/>
    <s v=""/>
    <s v="006"/>
    <s v="Unidad"/>
    <s v=""/>
    <n v="1800"/>
    <n v="223.90058038692462"/>
    <n v="403021.04469646432"/>
  </r>
  <r>
    <s v="008"/>
    <s v="ALMACEN  GENERAL                                         "/>
    <x v="5"/>
    <x v="5"/>
    <s v="AP000092"/>
    <s v="CARPETA PLASTIFICADA CON BOLSILLO Y LOGO"/>
    <s v=""/>
    <s v=""/>
    <s v="006"/>
    <s v="Unidad"/>
    <s v=""/>
    <n v="1804"/>
    <n v="2558.4456762749446"/>
    <n v="4615436"/>
  </r>
  <r>
    <s v="008"/>
    <s v="ALMACEN  GENERAL                                         "/>
    <x v="5"/>
    <x v="5"/>
    <s v="AP000094"/>
    <s v="SOBRES MEMBRETEADOS"/>
    <s v=""/>
    <s v=""/>
    <s v="006"/>
    <s v="Unidad"/>
    <s v=""/>
    <n v="1806"/>
    <n v="766.52713178294584"/>
    <n v="1384348"/>
  </r>
  <r>
    <s v="008"/>
    <s v="ALMACEN  GENERAL                                         "/>
    <x v="5"/>
    <x v="5"/>
    <s v="AP000115"/>
    <s v="BOLSILLO PARA CDS"/>
    <s v=""/>
    <s v=""/>
    <s v="006"/>
    <s v="Unidad"/>
    <s v=""/>
    <n v="2100"/>
    <n v="87.043333333333322"/>
    <n v="182791"/>
  </r>
  <r>
    <s v="008"/>
    <s v="ALMACEN  GENERAL                                         "/>
    <x v="5"/>
    <x v="5"/>
    <s v="AP000175"/>
    <s v="STICKERS BLANCOS 635X2.5 CM X HOJA  COCINA REF 3556"/>
    <s v=""/>
    <s v=""/>
    <s v="006"/>
    <s v="Unidad"/>
    <s v=""/>
    <n v="2150"/>
    <n v="442.40148837209301"/>
    <n v="951163.2"/>
  </r>
  <r>
    <s v="005"/>
    <s v="ALMACEN MEDICAMENTOS"/>
    <x v="0"/>
    <x v="0"/>
    <s v="20041806-01"/>
    <s v="AGUA ESTERIL PARA INYECCION 5ml Solución Inyectable"/>
    <s v=""/>
    <s v=""/>
    <s v=""/>
    <s v=""/>
    <s v="5 ML "/>
    <n v="2400"/>
    <n v="549.51703673469387"/>
    <n v="1318840.8881632653"/>
  </r>
  <r>
    <s v="008"/>
    <s v="ALMACEN  GENERAL                                         "/>
    <x v="12"/>
    <x v="12"/>
    <s v="AR000037"/>
    <s v="COMPRESAS ESTERIL REF 2242"/>
    <s v=""/>
    <s v=""/>
    <s v="006"/>
    <s v="Unidad"/>
    <s v=""/>
    <n v="2500"/>
    <n v="1505.3291999999999"/>
    <n v="3763323"/>
  </r>
  <r>
    <s v="006"/>
    <s v="ALMACEN MEDICOQUIRURGICOS   "/>
    <x v="2"/>
    <x v="2"/>
    <s v="XG000004"/>
    <s v="AGUJA DESECHABLE # 21 G.X 1-1/2*100"/>
    <s v=""/>
    <s v=""/>
    <s v="006"/>
    <s v="Unidad"/>
    <s v=""/>
    <n v="2840"/>
    <n v="78.775359433007083"/>
    <n v="223722.02078974011"/>
  </r>
  <r>
    <s v="008"/>
    <s v="ALMACEN  GENERAL                                         "/>
    <x v="5"/>
    <x v="5"/>
    <s v="AP000185"/>
    <s v="MANILLA POLIPROPILENO 1X10 TERMICO AZUL"/>
    <s v=""/>
    <s v=""/>
    <s v="006"/>
    <s v="Unidad"/>
    <s v=""/>
    <n v="3150"/>
    <n v="648.97333333333336"/>
    <n v="2044266"/>
  </r>
  <r>
    <s v="006"/>
    <s v="ALMACEN MEDICOQUIRURGICOS   "/>
    <x v="2"/>
    <x v="2"/>
    <s v="XJ000010"/>
    <s v="JERINGA DESECHABLE 10ML-C/A-3 PARTES X 100"/>
    <s v=""/>
    <s v=""/>
    <s v="006"/>
    <s v="Unidad"/>
    <s v=""/>
    <n v="3400"/>
    <n v="261.77091875138365"/>
    <n v="890021.12375470449"/>
  </r>
  <r>
    <s v="008"/>
    <s v="ALMACEN  GENERAL                                         "/>
    <x v="12"/>
    <x v="12"/>
    <s v="AR000006"/>
    <s v="COMPRESAS NO ESTERIL"/>
    <s v=""/>
    <s v=""/>
    <s v="006"/>
    <s v="Unidad"/>
    <s v=""/>
    <n v="3890"/>
    <n v="1562.3367609254499"/>
    <n v="6077490"/>
  </r>
  <r>
    <s v="006"/>
    <s v="ALMACEN MEDICOQUIRURGICOS   "/>
    <x v="2"/>
    <x v="2"/>
    <s v="XD000055"/>
    <s v="GLUCOMETRIA- INSUMOS"/>
    <s v=""/>
    <s v=""/>
    <s v="006"/>
    <s v="Unidad"/>
    <s v=""/>
    <n v="4600"/>
    <n v="1000"/>
    <n v="4600000"/>
  </r>
  <r>
    <s v="006"/>
    <s v="ALMACEN MEDICOQUIRURGICOS   "/>
    <x v="2"/>
    <x v="2"/>
    <s v="XD000056"/>
    <s v="GORROS DESECHABLES-ENFERMERA-CIRUJANO *1 CX"/>
    <s v=""/>
    <s v=""/>
    <s v="006"/>
    <s v="Unidad"/>
    <s v=""/>
    <n v="4910"/>
    <n v="144.38078719397365"/>
    <n v="708909.66512241052"/>
  </r>
  <r>
    <s v="006"/>
    <s v="ALMACEN MEDICOQUIRURGICOS   "/>
    <x v="2"/>
    <x v="2"/>
    <s v="XD000259"/>
    <s v="GUANTE DE  VINILO TALLA M-L X PAR"/>
    <s v=""/>
    <s v=""/>
    <s v="006"/>
    <s v="Unidad"/>
    <s v=""/>
    <n v="5900"/>
    <n v="344.36824454281793"/>
    <n v="2031772.6428026257"/>
  </r>
  <r>
    <s v="006"/>
    <s v="ALMACEN MEDICOQUIRURGICOS   "/>
    <x v="2"/>
    <x v="2"/>
    <s v="XA000035"/>
    <s v="GASAS PAQUETE ESTERIL X5"/>
    <s v=""/>
    <s v=""/>
    <s v="006"/>
    <s v="Unidad"/>
    <s v=""/>
    <n v="6200"/>
    <n v="303.54016676418956"/>
    <n v="1881949.0339379753"/>
  </r>
  <r>
    <s v="008"/>
    <s v="ALMACEN  GENERAL                                         "/>
    <x v="1"/>
    <x v="1"/>
    <s v="AM000013"/>
    <s v="MANILLA DE IDENTIFICACION PACIENTE"/>
    <s v=""/>
    <s v=""/>
    <s v="006"/>
    <s v="Unidad"/>
    <s v=""/>
    <n v="6500"/>
    <n v="201.59421538461538"/>
    <n v="1310362.3999999999"/>
  </r>
  <r>
    <s v="005"/>
    <s v="ALMACEN MEDICAMENTOS"/>
    <x v="0"/>
    <x v="0"/>
    <s v="29523-03"/>
    <s v="SODIO CLORURO 0.9 % Solución Inyectable x 100 ml"/>
    <s v=""/>
    <s v=""/>
    <s v=""/>
    <s v=""/>
    <s v="0.9 % - 100 ML"/>
    <n v="6700"/>
    <n v="2206.7211700182816"/>
    <n v="14785031.839122485"/>
  </r>
  <r>
    <s v="005"/>
    <s v="ALMACEN MEDICAMENTOS"/>
    <x v="0"/>
    <x v="0"/>
    <s v="19935303-04"/>
    <s v="ACETAMINOFEN 500 mg Tableta"/>
    <s v=""/>
    <s v=""/>
    <s v=""/>
    <s v=""/>
    <s v="500 mg"/>
    <n v="7200"/>
    <n v="57.828819978046106"/>
    <n v="416367.50384193193"/>
  </r>
  <r>
    <s v="001"/>
    <s v="FARMACIA CENTRAL                                  "/>
    <x v="0"/>
    <x v="0"/>
    <s v="19935303-04"/>
    <s v="ACETAMINOFEN 500 mg Tableta"/>
    <s v=""/>
    <s v=""/>
    <s v=""/>
    <s v=""/>
    <s v="500 mg"/>
    <n v="7376"/>
    <n v="57.828819978046106"/>
    <n v="426545.37615806807"/>
  </r>
  <r>
    <s v="006"/>
    <s v="ALMACEN MEDICOQUIRURGICOS   "/>
    <x v="2"/>
    <x v="2"/>
    <s v="XD000152"/>
    <s v="TAPABOCA DESECHABLE-FACE MASK *50 U.CX"/>
    <s v=""/>
    <s v=""/>
    <s v="006"/>
    <s v="Unidad"/>
    <s v=""/>
    <n v="10350"/>
    <n v="82.798867924528309"/>
    <n v="856968.28301886783"/>
  </r>
  <r>
    <s v="008"/>
    <s v="ALMACEN  GENERAL                                         "/>
    <x v="7"/>
    <x v="7"/>
    <s v="AA000115"/>
    <s v="PANIN BACCIDINE SACHET X 1CC UNIDAD"/>
    <s v=""/>
    <s v=""/>
    <s v="006"/>
    <s v="Unidad"/>
    <s v=""/>
    <n v="26800"/>
    <n v="78.211748148148146"/>
    <n v="2096074.8503703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3DFCC-D79A-468C-8CD9-3E75E6A0613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1" firstHeaderRow="1" firstDataRow="1" firstDataCol="2"/>
  <pivotFields count="14">
    <pivotField showAll="0"/>
    <pivotField showAll="0"/>
    <pivotField axis="axisRow" outline="0" showAll="0" defaultSubtotal="0">
      <items count="17">
        <item x="0"/>
        <item x="2"/>
        <item x="9"/>
        <item x="6"/>
        <item x="4"/>
        <item x="8"/>
        <item x="3"/>
        <item x="16"/>
        <item x="14"/>
        <item x="11"/>
        <item x="5"/>
        <item x="13"/>
        <item x="10"/>
        <item x="12"/>
        <item x="1"/>
        <item x="7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8">
        <item x="10"/>
        <item x="9"/>
        <item x="7"/>
        <item x="11"/>
        <item x="2"/>
        <item x="1"/>
        <item x="0"/>
        <item x="4"/>
        <item x="8"/>
        <item x="3"/>
        <item x="16"/>
        <item x="6"/>
        <item x="15"/>
        <item x="13"/>
        <item x="14"/>
        <item x="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dataField="1" numFmtId="164" showAll="0"/>
  </pivotFields>
  <rowFields count="2">
    <field x="2"/>
    <field x="3"/>
  </rowFields>
  <rowItems count="18">
    <i>
      <x/>
      <x v="6"/>
    </i>
    <i>
      <x v="1"/>
      <x v="4"/>
    </i>
    <i>
      <x v="2"/>
      <x v="1"/>
    </i>
    <i>
      <x v="3"/>
      <x v="11"/>
    </i>
    <i>
      <x v="4"/>
      <x v="7"/>
    </i>
    <i>
      <x v="5"/>
      <x v="8"/>
    </i>
    <i>
      <x v="6"/>
      <x v="9"/>
    </i>
    <i>
      <x v="7"/>
      <x v="10"/>
    </i>
    <i>
      <x v="8"/>
      <x v="14"/>
    </i>
    <i>
      <x v="9"/>
      <x v="3"/>
    </i>
    <i>
      <x v="10"/>
      <x v="15"/>
    </i>
    <i>
      <x v="11"/>
      <x v="13"/>
    </i>
    <i>
      <x v="12"/>
      <x/>
    </i>
    <i>
      <x v="13"/>
      <x v="16"/>
    </i>
    <i>
      <x v="14"/>
      <x v="5"/>
    </i>
    <i>
      <x v="15"/>
      <x v="2"/>
    </i>
    <i>
      <x v="16"/>
      <x v="12"/>
    </i>
    <i t="grand">
      <x/>
    </i>
  </rowItems>
  <colItems count="1">
    <i/>
  </colItems>
  <dataFields count="1">
    <dataField name="Suma de Costo Total" fld="13" baseField="0" baseItem="0" numFmtId="164"/>
  </dataFields>
  <formats count="50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field="3" type="button" dataOnly="0" labelOnly="1" outline="0" axis="axisRow" fieldPosition="1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2">
          <reference field="2" count="1" selected="0">
            <x v="0"/>
          </reference>
          <reference field="3" count="1">
            <x v="6"/>
          </reference>
        </references>
      </pivotArea>
    </format>
    <format dxfId="93">
      <pivotArea dataOnly="0" labelOnly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92">
      <pivotArea dataOnly="0" labelOnly="1" fieldPosition="0">
        <references count="2">
          <reference field="2" count="1" selected="0">
            <x v="2"/>
          </reference>
          <reference field="3" count="1">
            <x v="1"/>
          </reference>
        </references>
      </pivotArea>
    </format>
    <format dxfId="91">
      <pivotArea dataOnly="0" labelOnly="1" fieldPosition="0">
        <references count="2">
          <reference field="2" count="1" selected="0">
            <x v="3"/>
          </reference>
          <reference field="3" count="1">
            <x v="11"/>
          </reference>
        </references>
      </pivotArea>
    </format>
    <format dxfId="90">
      <pivotArea dataOnly="0" labelOnly="1" fieldPosition="0">
        <references count="2">
          <reference field="2" count="1" selected="0">
            <x v="4"/>
          </reference>
          <reference field="3" count="1">
            <x v="7"/>
          </reference>
        </references>
      </pivotArea>
    </format>
    <format dxfId="89">
      <pivotArea dataOnly="0" labelOnly="1" fieldPosition="0">
        <references count="2">
          <reference field="2" count="1" selected="0">
            <x v="5"/>
          </reference>
          <reference field="3" count="1">
            <x v="8"/>
          </reference>
        </references>
      </pivotArea>
    </format>
    <format dxfId="88">
      <pivotArea dataOnly="0" labelOnly="1" fieldPosition="0">
        <references count="2">
          <reference field="2" count="1" selected="0">
            <x v="6"/>
          </reference>
          <reference field="3" count="1">
            <x v="9"/>
          </reference>
        </references>
      </pivotArea>
    </format>
    <format dxfId="87">
      <pivotArea dataOnly="0" labelOnly="1" fieldPosition="0">
        <references count="2">
          <reference field="2" count="1" selected="0">
            <x v="7"/>
          </reference>
          <reference field="3" count="1">
            <x v="10"/>
          </reference>
        </references>
      </pivotArea>
    </format>
    <format dxfId="86">
      <pivotArea dataOnly="0" labelOnly="1" fieldPosition="0">
        <references count="2">
          <reference field="2" count="1" selected="0">
            <x v="8"/>
          </reference>
          <reference field="3" count="1">
            <x v="14"/>
          </reference>
        </references>
      </pivotArea>
    </format>
    <format dxfId="85">
      <pivotArea dataOnly="0" labelOnly="1" fieldPosition="0">
        <references count="2">
          <reference field="2" count="1" selected="0">
            <x v="9"/>
          </reference>
          <reference field="3" count="1">
            <x v="3"/>
          </reference>
        </references>
      </pivotArea>
    </format>
    <format dxfId="84">
      <pivotArea dataOnly="0" labelOnly="1" fieldPosition="0">
        <references count="2">
          <reference field="2" count="1" selected="0">
            <x v="10"/>
          </reference>
          <reference field="3" count="1">
            <x v="15"/>
          </reference>
        </references>
      </pivotArea>
    </format>
    <format dxfId="83">
      <pivotArea dataOnly="0" labelOnly="1" fieldPosition="0">
        <references count="2">
          <reference field="2" count="1" selected="0">
            <x v="11"/>
          </reference>
          <reference field="3" count="1">
            <x v="13"/>
          </reference>
        </references>
      </pivotArea>
    </format>
    <format dxfId="82">
      <pivotArea dataOnly="0" labelOnly="1" fieldPosition="0">
        <references count="2">
          <reference field="2" count="1" selected="0">
            <x v="12"/>
          </reference>
          <reference field="3" count="1">
            <x v="0"/>
          </reference>
        </references>
      </pivotArea>
    </format>
    <format dxfId="81">
      <pivotArea dataOnly="0" labelOnly="1" fieldPosition="0">
        <references count="2">
          <reference field="2" count="1" selected="0">
            <x v="13"/>
          </reference>
          <reference field="3" count="1">
            <x v="16"/>
          </reference>
        </references>
      </pivotArea>
    </format>
    <format dxfId="80">
      <pivotArea dataOnly="0" labelOnly="1" fieldPosition="0">
        <references count="2">
          <reference field="2" count="1" selected="0">
            <x v="14"/>
          </reference>
          <reference field="3" count="1">
            <x v="5"/>
          </reference>
        </references>
      </pivotArea>
    </format>
    <format dxfId="79">
      <pivotArea dataOnly="0" labelOnly="1" fieldPosition="0">
        <references count="2">
          <reference field="2" count="1" selected="0">
            <x v="15"/>
          </reference>
          <reference field="3" count="1">
            <x v="2"/>
          </reference>
        </references>
      </pivotArea>
    </format>
    <format dxfId="78">
      <pivotArea dataOnly="0" labelOnly="1" fieldPosition="0">
        <references count="2">
          <reference field="2" count="1" selected="0">
            <x v="16"/>
          </reference>
          <reference field="3" count="1">
            <x v="12"/>
          </reference>
        </references>
      </pivotArea>
    </format>
    <format dxfId="77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field="3" type="button" dataOnly="0" labelOnly="1" outline="0" axis="axisRow" fieldPosition="1"/>
    </format>
    <format dxfId="71">
      <pivotArea dataOnly="0" labelOnly="1" fieldPosition="0">
        <references count="1">
          <reference field="2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2" count="1" selected="0">
            <x v="0"/>
          </reference>
          <reference field="3" count="1">
            <x v="6"/>
          </reference>
        </references>
      </pivotArea>
    </format>
    <format dxfId="68">
      <pivotArea dataOnly="0" labelOnly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67">
      <pivotArea dataOnly="0" labelOnly="1" fieldPosition="0">
        <references count="2">
          <reference field="2" count="1" selected="0">
            <x v="2"/>
          </reference>
          <reference field="3" count="1">
            <x v="1"/>
          </reference>
        </references>
      </pivotArea>
    </format>
    <format dxfId="66">
      <pivotArea dataOnly="0" labelOnly="1" fieldPosition="0">
        <references count="2">
          <reference field="2" count="1" selected="0">
            <x v="3"/>
          </reference>
          <reference field="3" count="1">
            <x v="11"/>
          </reference>
        </references>
      </pivotArea>
    </format>
    <format dxfId="65">
      <pivotArea dataOnly="0" labelOnly="1" fieldPosition="0">
        <references count="2">
          <reference field="2" count="1" selected="0">
            <x v="4"/>
          </reference>
          <reference field="3" count="1">
            <x v="7"/>
          </reference>
        </references>
      </pivotArea>
    </format>
    <format dxfId="64">
      <pivotArea dataOnly="0" labelOnly="1" fieldPosition="0">
        <references count="2">
          <reference field="2" count="1" selected="0">
            <x v="5"/>
          </reference>
          <reference field="3" count="1">
            <x v="8"/>
          </reference>
        </references>
      </pivotArea>
    </format>
    <format dxfId="63">
      <pivotArea dataOnly="0" labelOnly="1" fieldPosition="0">
        <references count="2">
          <reference field="2" count="1" selected="0">
            <x v="6"/>
          </reference>
          <reference field="3" count="1">
            <x v="9"/>
          </reference>
        </references>
      </pivotArea>
    </format>
    <format dxfId="62">
      <pivotArea dataOnly="0" labelOnly="1" fieldPosition="0">
        <references count="2">
          <reference field="2" count="1" selected="0">
            <x v="7"/>
          </reference>
          <reference field="3" count="1">
            <x v="10"/>
          </reference>
        </references>
      </pivotArea>
    </format>
    <format dxfId="61">
      <pivotArea dataOnly="0" labelOnly="1" fieldPosition="0">
        <references count="2">
          <reference field="2" count="1" selected="0">
            <x v="8"/>
          </reference>
          <reference field="3" count="1">
            <x v="14"/>
          </reference>
        </references>
      </pivotArea>
    </format>
    <format dxfId="60">
      <pivotArea dataOnly="0" labelOnly="1" fieldPosition="0">
        <references count="2">
          <reference field="2" count="1" selected="0">
            <x v="9"/>
          </reference>
          <reference field="3" count="1">
            <x v="3"/>
          </reference>
        </references>
      </pivotArea>
    </format>
    <format dxfId="59">
      <pivotArea dataOnly="0" labelOnly="1" fieldPosition="0">
        <references count="2">
          <reference field="2" count="1" selected="0">
            <x v="10"/>
          </reference>
          <reference field="3" count="1">
            <x v="15"/>
          </reference>
        </references>
      </pivotArea>
    </format>
    <format dxfId="58">
      <pivotArea dataOnly="0" labelOnly="1" fieldPosition="0">
        <references count="2">
          <reference field="2" count="1" selected="0">
            <x v="11"/>
          </reference>
          <reference field="3" count="1">
            <x v="13"/>
          </reference>
        </references>
      </pivotArea>
    </format>
    <format dxfId="57">
      <pivotArea dataOnly="0" labelOnly="1" fieldPosition="0">
        <references count="2">
          <reference field="2" count="1" selected="0">
            <x v="12"/>
          </reference>
          <reference field="3" count="1">
            <x v="0"/>
          </reference>
        </references>
      </pivotArea>
    </format>
    <format dxfId="56">
      <pivotArea dataOnly="0" labelOnly="1" fieldPosition="0">
        <references count="2">
          <reference field="2" count="1" selected="0">
            <x v="13"/>
          </reference>
          <reference field="3" count="1">
            <x v="16"/>
          </reference>
        </references>
      </pivotArea>
    </format>
    <format dxfId="55">
      <pivotArea dataOnly="0" labelOnly="1" fieldPosition="0">
        <references count="2">
          <reference field="2" count="1" selected="0">
            <x v="14"/>
          </reference>
          <reference field="3" count="1">
            <x v="5"/>
          </reference>
        </references>
      </pivotArea>
    </format>
    <format dxfId="54">
      <pivotArea dataOnly="0" labelOnly="1" fieldPosition="0">
        <references count="2">
          <reference field="2" count="1" selected="0">
            <x v="15"/>
          </reference>
          <reference field="3" count="1">
            <x v="2"/>
          </reference>
        </references>
      </pivotArea>
    </format>
    <format dxfId="53">
      <pivotArea dataOnly="0" labelOnly="1" fieldPosition="0">
        <references count="2">
          <reference field="2" count="1" selected="0">
            <x v="16"/>
          </reference>
          <reference field="3" count="1">
            <x v="12"/>
          </reference>
        </references>
      </pivotArea>
    </format>
    <format dxfId="52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5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1" width="10.710937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13</v>
      </c>
      <c r="E2" s="1" t="s">
        <v>12</v>
      </c>
      <c r="F2" s="1" t="s">
        <v>14</v>
      </c>
      <c r="G2" s="1">
        <v>57681062078.879997</v>
      </c>
      <c r="H2" s="1">
        <v>16970735098.68</v>
      </c>
      <c r="I2" s="1">
        <v>21890676881.240002</v>
      </c>
      <c r="J2" s="1" t="s">
        <v>14</v>
      </c>
      <c r="K2" s="1">
        <v>52761120296.32</v>
      </c>
    </row>
    <row r="3" spans="1:11" x14ac:dyDescent="0.25">
      <c r="A3" s="1" t="s">
        <v>11</v>
      </c>
      <c r="B3" s="1" t="s">
        <v>12</v>
      </c>
      <c r="C3" s="1" t="s">
        <v>15</v>
      </c>
      <c r="D3" s="1" t="s">
        <v>16</v>
      </c>
      <c r="E3" s="1" t="s">
        <v>17</v>
      </c>
      <c r="F3" s="1" t="s">
        <v>14</v>
      </c>
      <c r="G3" s="1">
        <v>112176407.03</v>
      </c>
      <c r="H3" s="1">
        <v>8017984418.4399996</v>
      </c>
      <c r="I3" s="1">
        <v>7967587830.3900003</v>
      </c>
      <c r="J3" s="1" t="s">
        <v>14</v>
      </c>
      <c r="K3" s="1">
        <v>162572995.08000001</v>
      </c>
    </row>
    <row r="4" spans="1:11" x14ac:dyDescent="0.25">
      <c r="A4" s="1" t="s">
        <v>11</v>
      </c>
      <c r="B4" s="1" t="s">
        <v>12</v>
      </c>
      <c r="C4" s="1" t="s">
        <v>18</v>
      </c>
      <c r="D4" s="1" t="s">
        <v>19</v>
      </c>
      <c r="E4" s="1" t="s">
        <v>20</v>
      </c>
      <c r="F4" s="1" t="s">
        <v>14</v>
      </c>
      <c r="G4" s="1">
        <v>27769010.050000001</v>
      </c>
      <c r="H4" s="1">
        <v>67108629.840000004</v>
      </c>
      <c r="I4" s="1">
        <v>70989025.840000004</v>
      </c>
      <c r="J4" s="1" t="s">
        <v>14</v>
      </c>
      <c r="K4" s="1">
        <v>23888614.050000001</v>
      </c>
    </row>
    <row r="5" spans="1:11" x14ac:dyDescent="0.25">
      <c r="A5" s="1" t="s">
        <v>11</v>
      </c>
      <c r="B5" s="1" t="s">
        <v>12</v>
      </c>
      <c r="C5" s="1" t="s">
        <v>21</v>
      </c>
      <c r="D5" s="1" t="s">
        <v>22</v>
      </c>
      <c r="E5" s="1" t="s">
        <v>20</v>
      </c>
      <c r="F5" s="1" t="s">
        <v>14</v>
      </c>
      <c r="G5" s="1">
        <v>27769010.050000001</v>
      </c>
      <c r="H5" s="1">
        <v>67108629.840000004</v>
      </c>
      <c r="I5" s="1">
        <v>70989025.840000004</v>
      </c>
      <c r="J5" s="1" t="s">
        <v>14</v>
      </c>
      <c r="K5" s="1">
        <v>23888614.050000001</v>
      </c>
    </row>
    <row r="6" spans="1:11" x14ac:dyDescent="0.25">
      <c r="A6" s="1" t="s">
        <v>11</v>
      </c>
      <c r="B6" s="1" t="s">
        <v>12</v>
      </c>
      <c r="C6" s="1" t="s">
        <v>23</v>
      </c>
      <c r="D6" s="1" t="s">
        <v>24</v>
      </c>
      <c r="E6" s="1" t="s">
        <v>25</v>
      </c>
      <c r="F6" s="1" t="s">
        <v>14</v>
      </c>
      <c r="G6" s="1">
        <v>24969010.050000001</v>
      </c>
      <c r="H6" s="1">
        <v>64184325.840000004</v>
      </c>
      <c r="I6" s="1">
        <v>68064721.840000004</v>
      </c>
      <c r="J6" s="1" t="s">
        <v>14</v>
      </c>
      <c r="K6" s="1">
        <v>21088614.050000001</v>
      </c>
    </row>
    <row r="7" spans="1:11" x14ac:dyDescent="0.25">
      <c r="A7" s="1" t="s">
        <v>11</v>
      </c>
      <c r="B7" s="1" t="s">
        <v>12</v>
      </c>
      <c r="C7" s="1" t="s">
        <v>26</v>
      </c>
      <c r="D7" s="1" t="s">
        <v>27</v>
      </c>
      <c r="E7" s="1" t="s">
        <v>28</v>
      </c>
      <c r="F7" s="1" t="s">
        <v>14</v>
      </c>
      <c r="G7" s="1">
        <v>22369010.050000001</v>
      </c>
      <c r="H7" s="1">
        <v>30453310.920000002</v>
      </c>
      <c r="I7" s="1">
        <v>34619007.759999998</v>
      </c>
      <c r="J7" s="1" t="s">
        <v>14</v>
      </c>
      <c r="K7" s="1">
        <v>18203313.210000001</v>
      </c>
    </row>
    <row r="8" spans="1:11" x14ac:dyDescent="0.25">
      <c r="A8" s="1" t="s">
        <v>11</v>
      </c>
      <c r="B8" s="1" t="s">
        <v>12</v>
      </c>
      <c r="C8" s="1" t="s">
        <v>26</v>
      </c>
      <c r="D8" s="1" t="s">
        <v>29</v>
      </c>
      <c r="E8" s="1" t="s">
        <v>30</v>
      </c>
      <c r="F8" s="1" t="s">
        <v>14</v>
      </c>
      <c r="G8" s="1">
        <v>2000000</v>
      </c>
      <c r="H8" s="1">
        <v>2924304</v>
      </c>
      <c r="I8" s="1">
        <v>2924304</v>
      </c>
      <c r="J8" s="1" t="s">
        <v>14</v>
      </c>
      <c r="K8" s="1">
        <v>2000000</v>
      </c>
    </row>
    <row r="9" spans="1:11" x14ac:dyDescent="0.25">
      <c r="A9" s="1" t="s">
        <v>11</v>
      </c>
      <c r="B9" s="1" t="s">
        <v>12</v>
      </c>
      <c r="C9" s="1" t="s">
        <v>26</v>
      </c>
      <c r="D9" s="1" t="s">
        <v>31</v>
      </c>
      <c r="E9" s="1" t="s">
        <v>32</v>
      </c>
      <c r="F9" s="1" t="s">
        <v>14</v>
      </c>
      <c r="G9" s="1">
        <v>150000</v>
      </c>
      <c r="H9" s="1">
        <v>7763304.9199999999</v>
      </c>
      <c r="I9" s="1">
        <v>7736204.0800000001</v>
      </c>
      <c r="J9" s="1" t="s">
        <v>14</v>
      </c>
      <c r="K9" s="1">
        <v>177100.84</v>
      </c>
    </row>
    <row r="10" spans="1:11" x14ac:dyDescent="0.25">
      <c r="A10" s="1" t="s">
        <v>11</v>
      </c>
      <c r="B10" s="1" t="s">
        <v>12</v>
      </c>
      <c r="C10" s="1" t="s">
        <v>26</v>
      </c>
      <c r="D10" s="1" t="s">
        <v>33</v>
      </c>
      <c r="E10" s="1" t="s">
        <v>34</v>
      </c>
      <c r="F10" s="1" t="s">
        <v>14</v>
      </c>
      <c r="G10" s="1">
        <v>150000</v>
      </c>
      <c r="H10" s="1">
        <v>6253869</v>
      </c>
      <c r="I10" s="1">
        <v>6047869</v>
      </c>
      <c r="J10" s="1" t="s">
        <v>14</v>
      </c>
      <c r="K10" s="1">
        <v>356000</v>
      </c>
    </row>
    <row r="11" spans="1:11" x14ac:dyDescent="0.25">
      <c r="A11" s="1" t="s">
        <v>11</v>
      </c>
      <c r="B11" s="1" t="s">
        <v>12</v>
      </c>
      <c r="C11" s="1" t="s">
        <v>26</v>
      </c>
      <c r="D11" s="1" t="s">
        <v>35</v>
      </c>
      <c r="E11" s="1" t="s">
        <v>36</v>
      </c>
      <c r="F11" s="1" t="s">
        <v>14</v>
      </c>
      <c r="G11" s="1">
        <v>200000</v>
      </c>
      <c r="H11" s="1">
        <v>16789537</v>
      </c>
      <c r="I11" s="1">
        <v>16737337</v>
      </c>
      <c r="J11" s="1" t="s">
        <v>14</v>
      </c>
      <c r="K11" s="1">
        <v>252200</v>
      </c>
    </row>
    <row r="12" spans="1:11" x14ac:dyDescent="0.25">
      <c r="A12" s="1" t="s">
        <v>11</v>
      </c>
      <c r="B12" s="1" t="s">
        <v>12</v>
      </c>
      <c r="C12" s="1" t="s">
        <v>26</v>
      </c>
      <c r="D12" s="1" t="s">
        <v>37</v>
      </c>
      <c r="E12" s="1" t="s">
        <v>38</v>
      </c>
      <c r="F12" s="1" t="s">
        <v>14</v>
      </c>
      <c r="G12" s="1">
        <v>100000</v>
      </c>
      <c r="H12" s="1">
        <v>0</v>
      </c>
      <c r="I12" s="1">
        <v>0</v>
      </c>
      <c r="J12" s="1" t="s">
        <v>14</v>
      </c>
      <c r="K12" s="1">
        <v>100000</v>
      </c>
    </row>
    <row r="13" spans="1:11" x14ac:dyDescent="0.25">
      <c r="A13" s="1" t="s">
        <v>11</v>
      </c>
      <c r="B13" s="1" t="s">
        <v>12</v>
      </c>
      <c r="C13" s="1" t="s">
        <v>23</v>
      </c>
      <c r="D13" s="1" t="s">
        <v>39</v>
      </c>
      <c r="E13" s="1" t="s">
        <v>40</v>
      </c>
      <c r="F13" s="1" t="s">
        <v>14</v>
      </c>
      <c r="G13" s="1">
        <v>2800000</v>
      </c>
      <c r="H13" s="1">
        <v>2924304</v>
      </c>
      <c r="I13" s="1">
        <v>2924304</v>
      </c>
      <c r="J13" s="1" t="s">
        <v>14</v>
      </c>
      <c r="K13" s="1">
        <v>2800000</v>
      </c>
    </row>
    <row r="14" spans="1:11" x14ac:dyDescent="0.25">
      <c r="A14" s="1" t="s">
        <v>11</v>
      </c>
      <c r="B14" s="1" t="s">
        <v>12</v>
      </c>
      <c r="C14" s="1" t="s">
        <v>26</v>
      </c>
      <c r="D14" s="1" t="s">
        <v>41</v>
      </c>
      <c r="E14" s="1" t="s">
        <v>42</v>
      </c>
      <c r="F14" s="1" t="s">
        <v>14</v>
      </c>
      <c r="G14" s="1">
        <v>2000000</v>
      </c>
      <c r="H14" s="1">
        <v>2864304</v>
      </c>
      <c r="I14" s="1">
        <v>2864304</v>
      </c>
      <c r="J14" s="1" t="s">
        <v>14</v>
      </c>
      <c r="K14" s="1">
        <v>2000000</v>
      </c>
    </row>
    <row r="15" spans="1:11" x14ac:dyDescent="0.25">
      <c r="A15" s="1" t="s">
        <v>11</v>
      </c>
      <c r="B15" s="1" t="s">
        <v>12</v>
      </c>
      <c r="C15" s="1" t="s">
        <v>26</v>
      </c>
      <c r="D15" s="1" t="s">
        <v>43</v>
      </c>
      <c r="E15" s="1" t="s">
        <v>44</v>
      </c>
      <c r="F15" s="1" t="s">
        <v>14</v>
      </c>
      <c r="G15" s="1">
        <v>300000</v>
      </c>
      <c r="H15" s="1">
        <v>60000</v>
      </c>
      <c r="I15" s="1">
        <v>60000</v>
      </c>
      <c r="J15" s="1" t="s">
        <v>14</v>
      </c>
      <c r="K15" s="1">
        <v>300000</v>
      </c>
    </row>
    <row r="16" spans="1:11" x14ac:dyDescent="0.25">
      <c r="A16" s="1" t="s">
        <v>11</v>
      </c>
      <c r="B16" s="1" t="s">
        <v>12</v>
      </c>
      <c r="C16" s="1" t="s">
        <v>26</v>
      </c>
      <c r="D16" s="1" t="s">
        <v>45</v>
      </c>
      <c r="E16" s="1" t="s">
        <v>46</v>
      </c>
      <c r="F16" s="1" t="s">
        <v>14</v>
      </c>
      <c r="G16" s="1">
        <v>500000</v>
      </c>
      <c r="H16" s="1">
        <v>0</v>
      </c>
      <c r="I16" s="1">
        <v>0</v>
      </c>
      <c r="J16" s="1" t="s">
        <v>14</v>
      </c>
      <c r="K16" s="1">
        <v>500000</v>
      </c>
    </row>
    <row r="17" spans="1:11" x14ac:dyDescent="0.25">
      <c r="A17" s="1" t="s">
        <v>11</v>
      </c>
      <c r="B17" s="1" t="s">
        <v>12</v>
      </c>
      <c r="C17" s="1" t="s">
        <v>18</v>
      </c>
      <c r="D17" s="1" t="s">
        <v>47</v>
      </c>
      <c r="E17" s="1" t="s">
        <v>48</v>
      </c>
      <c r="F17" s="1" t="s">
        <v>14</v>
      </c>
      <c r="G17" s="1">
        <v>73013496.25</v>
      </c>
      <c r="H17" s="1">
        <v>985919267</v>
      </c>
      <c r="I17" s="1">
        <v>964312025.65999997</v>
      </c>
      <c r="J17" s="1" t="s">
        <v>14</v>
      </c>
      <c r="K17" s="1">
        <v>94620737.590000004</v>
      </c>
    </row>
    <row r="18" spans="1:11" x14ac:dyDescent="0.25">
      <c r="A18" s="1" t="s">
        <v>11</v>
      </c>
      <c r="B18" s="1" t="s">
        <v>12</v>
      </c>
      <c r="C18" s="1" t="s">
        <v>21</v>
      </c>
      <c r="D18" s="1" t="s">
        <v>49</v>
      </c>
      <c r="E18" s="1" t="s">
        <v>48</v>
      </c>
      <c r="F18" s="1" t="s">
        <v>14</v>
      </c>
      <c r="G18" s="1">
        <v>73013496.25</v>
      </c>
      <c r="H18" s="1">
        <v>985919267</v>
      </c>
      <c r="I18" s="1">
        <v>964312025.65999997</v>
      </c>
      <c r="J18" s="1" t="s">
        <v>14</v>
      </c>
      <c r="K18" s="1">
        <v>94620737.590000004</v>
      </c>
    </row>
    <row r="19" spans="1:11" x14ac:dyDescent="0.25">
      <c r="A19" s="1" t="s">
        <v>11</v>
      </c>
      <c r="B19" s="1" t="s">
        <v>12</v>
      </c>
      <c r="C19" s="1" t="s">
        <v>23</v>
      </c>
      <c r="D19" s="1" t="s">
        <v>50</v>
      </c>
      <c r="E19" s="1" t="s">
        <v>51</v>
      </c>
      <c r="F19" s="1" t="s">
        <v>14</v>
      </c>
      <c r="G19" s="1">
        <v>73013496.25</v>
      </c>
      <c r="H19" s="1">
        <v>985919267</v>
      </c>
      <c r="I19" s="1">
        <v>964312025.65999997</v>
      </c>
      <c r="J19" s="1" t="s">
        <v>14</v>
      </c>
      <c r="K19" s="1">
        <v>94620737.590000004</v>
      </c>
    </row>
    <row r="20" spans="1:11" x14ac:dyDescent="0.25">
      <c r="A20" s="1" t="s">
        <v>11</v>
      </c>
      <c r="B20" s="1" t="s">
        <v>12</v>
      </c>
      <c r="C20" s="1" t="s">
        <v>26</v>
      </c>
      <c r="D20" s="1" t="s">
        <v>52</v>
      </c>
      <c r="E20" s="1" t="s">
        <v>53</v>
      </c>
      <c r="F20" s="1" t="s">
        <v>14</v>
      </c>
      <c r="G20" s="1">
        <v>0.71</v>
      </c>
      <c r="H20" s="1">
        <v>0</v>
      </c>
      <c r="I20" s="1">
        <v>0</v>
      </c>
      <c r="J20" s="1" t="s">
        <v>14</v>
      </c>
      <c r="K20" s="1">
        <v>0.71</v>
      </c>
    </row>
    <row r="21" spans="1:11" x14ac:dyDescent="0.25">
      <c r="A21" s="1" t="s">
        <v>11</v>
      </c>
      <c r="B21" s="1" t="s">
        <v>12</v>
      </c>
      <c r="C21" s="1" t="s">
        <v>26</v>
      </c>
      <c r="D21" s="1" t="s">
        <v>54</v>
      </c>
      <c r="E21" s="1" t="s">
        <v>55</v>
      </c>
      <c r="F21" s="1" t="s">
        <v>14</v>
      </c>
      <c r="G21" s="1">
        <v>1454234.18</v>
      </c>
      <c r="H21" s="1">
        <v>527834402</v>
      </c>
      <c r="I21" s="1">
        <v>528419674</v>
      </c>
      <c r="J21" s="1" t="s">
        <v>14</v>
      </c>
      <c r="K21" s="1">
        <v>868962.18</v>
      </c>
    </row>
    <row r="22" spans="1:11" x14ac:dyDescent="0.25">
      <c r="A22" s="1" t="s">
        <v>11</v>
      </c>
      <c r="B22" s="1" t="s">
        <v>12</v>
      </c>
      <c r="C22" s="1" t="s">
        <v>26</v>
      </c>
      <c r="D22" s="1" t="s">
        <v>56</v>
      </c>
      <c r="E22" s="1" t="s">
        <v>57</v>
      </c>
      <c r="F22" s="1" t="s">
        <v>14</v>
      </c>
      <c r="G22" s="1">
        <v>55638437.359999999</v>
      </c>
      <c r="H22" s="1">
        <v>440084865</v>
      </c>
      <c r="I22" s="1">
        <v>420275863.66000003</v>
      </c>
      <c r="J22" s="1" t="s">
        <v>14</v>
      </c>
      <c r="K22" s="1">
        <v>75447438.700000003</v>
      </c>
    </row>
    <row r="23" spans="1:11" x14ac:dyDescent="0.25">
      <c r="A23" s="1" t="s">
        <v>11</v>
      </c>
      <c r="B23" s="1" t="s">
        <v>12</v>
      </c>
      <c r="C23" s="1" t="s">
        <v>26</v>
      </c>
      <c r="D23" s="1" t="s">
        <v>58</v>
      </c>
      <c r="E23" s="1" t="s">
        <v>59</v>
      </c>
      <c r="F23" s="1" t="s">
        <v>14</v>
      </c>
      <c r="G23" s="1">
        <v>15920824</v>
      </c>
      <c r="H23" s="1">
        <v>18000000</v>
      </c>
      <c r="I23" s="1">
        <v>15616488</v>
      </c>
      <c r="J23" s="1" t="s">
        <v>14</v>
      </c>
      <c r="K23" s="1">
        <v>18304336</v>
      </c>
    </row>
    <row r="24" spans="1:11" x14ac:dyDescent="0.25">
      <c r="A24" s="1" t="s">
        <v>11</v>
      </c>
      <c r="B24" s="1" t="s">
        <v>12</v>
      </c>
      <c r="C24" s="1" t="s">
        <v>18</v>
      </c>
      <c r="D24" s="1" t="s">
        <v>60</v>
      </c>
      <c r="E24" s="1" t="s">
        <v>61</v>
      </c>
      <c r="F24" s="1" t="s">
        <v>14</v>
      </c>
      <c r="G24" s="1">
        <v>9781195.5199999996</v>
      </c>
      <c r="H24" s="1">
        <v>6964956521.6000004</v>
      </c>
      <c r="I24" s="1">
        <v>6932286778.8900003</v>
      </c>
      <c r="J24" s="1" t="s">
        <v>14</v>
      </c>
      <c r="K24" s="1">
        <v>42450938.229999997</v>
      </c>
    </row>
    <row r="25" spans="1:11" x14ac:dyDescent="0.25">
      <c r="A25" s="1" t="s">
        <v>11</v>
      </c>
      <c r="B25" s="1" t="s">
        <v>12</v>
      </c>
      <c r="C25" s="1" t="s">
        <v>21</v>
      </c>
      <c r="D25" s="1" t="s">
        <v>62</v>
      </c>
      <c r="E25" s="1" t="s">
        <v>61</v>
      </c>
      <c r="F25" s="1" t="s">
        <v>14</v>
      </c>
      <c r="G25" s="1">
        <v>9781195.5199999996</v>
      </c>
      <c r="H25" s="1">
        <v>6964956521.6000004</v>
      </c>
      <c r="I25" s="1">
        <v>6932286778.8900003</v>
      </c>
      <c r="J25" s="1" t="s">
        <v>14</v>
      </c>
      <c r="K25" s="1">
        <v>42450938.229999997</v>
      </c>
    </row>
    <row r="26" spans="1:11" x14ac:dyDescent="0.25">
      <c r="A26" s="1" t="s">
        <v>11</v>
      </c>
      <c r="B26" s="1" t="s">
        <v>12</v>
      </c>
      <c r="C26" s="1" t="s">
        <v>23</v>
      </c>
      <c r="D26" s="1" t="s">
        <v>63</v>
      </c>
      <c r="E26" s="1" t="s">
        <v>64</v>
      </c>
      <c r="F26" s="1" t="s">
        <v>14</v>
      </c>
      <c r="G26" s="1">
        <v>9781195.5199999996</v>
      </c>
      <c r="H26" s="1">
        <v>6964956521.6000004</v>
      </c>
      <c r="I26" s="1">
        <v>6932286778.8900003</v>
      </c>
      <c r="J26" s="1" t="s">
        <v>14</v>
      </c>
      <c r="K26" s="1">
        <v>42450938.229999997</v>
      </c>
    </row>
    <row r="27" spans="1:11" x14ac:dyDescent="0.25">
      <c r="A27" s="1" t="s">
        <v>11</v>
      </c>
      <c r="B27" s="1" t="s">
        <v>12</v>
      </c>
      <c r="C27" s="1" t="s">
        <v>26</v>
      </c>
      <c r="D27" s="1" t="s">
        <v>65</v>
      </c>
      <c r="E27" s="1" t="s">
        <v>66</v>
      </c>
      <c r="F27" s="1" t="s">
        <v>14</v>
      </c>
      <c r="G27" s="1">
        <v>739527.75</v>
      </c>
      <c r="H27" s="1">
        <v>421150390</v>
      </c>
      <c r="I27" s="1">
        <v>417703375</v>
      </c>
      <c r="J27" s="1" t="s">
        <v>14</v>
      </c>
      <c r="K27" s="1">
        <v>4186542.75</v>
      </c>
    </row>
    <row r="28" spans="1:11" x14ac:dyDescent="0.25">
      <c r="A28" s="1" t="s">
        <v>11</v>
      </c>
      <c r="B28" s="1" t="s">
        <v>12</v>
      </c>
      <c r="C28" s="1" t="s">
        <v>26</v>
      </c>
      <c r="D28" s="1" t="s">
        <v>67</v>
      </c>
      <c r="E28" s="1" t="s">
        <v>68</v>
      </c>
      <c r="F28" s="1" t="s">
        <v>14</v>
      </c>
      <c r="G28" s="1">
        <v>559530.13</v>
      </c>
      <c r="H28" s="1">
        <v>74562335.799999997</v>
      </c>
      <c r="I28" s="1">
        <v>66118991</v>
      </c>
      <c r="J28" s="1" t="s">
        <v>14</v>
      </c>
      <c r="K28" s="1">
        <v>9002874.9299999997</v>
      </c>
    </row>
    <row r="29" spans="1:11" x14ac:dyDescent="0.25">
      <c r="A29" s="1" t="s">
        <v>11</v>
      </c>
      <c r="B29" s="1" t="s">
        <v>12</v>
      </c>
      <c r="C29" s="1" t="s">
        <v>26</v>
      </c>
      <c r="D29" s="1" t="s">
        <v>69</v>
      </c>
      <c r="E29" s="1" t="s">
        <v>70</v>
      </c>
      <c r="F29" s="1" t="s">
        <v>14</v>
      </c>
      <c r="G29" s="1">
        <v>5238327.21</v>
      </c>
      <c r="H29" s="1">
        <v>4039318029</v>
      </c>
      <c r="I29" s="1">
        <v>4029754566.8899999</v>
      </c>
      <c r="J29" s="1" t="s">
        <v>14</v>
      </c>
      <c r="K29" s="1">
        <v>14801789.32</v>
      </c>
    </row>
    <row r="30" spans="1:11" x14ac:dyDescent="0.25">
      <c r="A30" s="1" t="s">
        <v>11</v>
      </c>
      <c r="B30" s="1" t="s">
        <v>12</v>
      </c>
      <c r="C30" s="1" t="s">
        <v>26</v>
      </c>
      <c r="D30" s="1" t="s">
        <v>71</v>
      </c>
      <c r="E30" s="1" t="s">
        <v>72</v>
      </c>
      <c r="F30" s="1" t="s">
        <v>14</v>
      </c>
      <c r="G30" s="1">
        <v>1112266.55</v>
      </c>
      <c r="H30" s="1">
        <v>11871817</v>
      </c>
      <c r="I30" s="1">
        <v>12846970</v>
      </c>
      <c r="J30" s="1" t="s">
        <v>14</v>
      </c>
      <c r="K30" s="1">
        <v>137113.54999999999</v>
      </c>
    </row>
    <row r="31" spans="1:11" x14ac:dyDescent="0.25">
      <c r="A31" s="1" t="s">
        <v>11</v>
      </c>
      <c r="B31" s="1" t="s">
        <v>12</v>
      </c>
      <c r="C31" s="1" t="s">
        <v>26</v>
      </c>
      <c r="D31" s="1" t="s">
        <v>73</v>
      </c>
      <c r="E31" s="1" t="s">
        <v>74</v>
      </c>
      <c r="F31" s="1" t="s">
        <v>14</v>
      </c>
      <c r="G31" s="1">
        <v>0</v>
      </c>
      <c r="H31" s="1">
        <v>1800000000</v>
      </c>
      <c r="I31" s="1">
        <v>1800000000</v>
      </c>
      <c r="J31" s="1" t="s">
        <v>14</v>
      </c>
      <c r="K31" s="1">
        <v>0</v>
      </c>
    </row>
    <row r="32" spans="1:11" x14ac:dyDescent="0.25">
      <c r="A32" s="1" t="s">
        <v>11</v>
      </c>
      <c r="B32" s="1" t="s">
        <v>12</v>
      </c>
      <c r="C32" s="1" t="s">
        <v>26</v>
      </c>
      <c r="D32" s="1" t="s">
        <v>75</v>
      </c>
      <c r="E32" s="1" t="s">
        <v>76</v>
      </c>
      <c r="F32" s="1" t="s">
        <v>14</v>
      </c>
      <c r="G32" s="1">
        <v>2124235.58</v>
      </c>
      <c r="H32" s="1">
        <v>581786378.79999995</v>
      </c>
      <c r="I32" s="1">
        <v>569862045</v>
      </c>
      <c r="J32" s="1" t="s">
        <v>14</v>
      </c>
      <c r="K32" s="1">
        <v>14048569.380000001</v>
      </c>
    </row>
    <row r="33" spans="1:11" x14ac:dyDescent="0.25">
      <c r="A33" s="1" t="s">
        <v>11</v>
      </c>
      <c r="B33" s="1" t="s">
        <v>12</v>
      </c>
      <c r="C33" s="1" t="s">
        <v>26</v>
      </c>
      <c r="D33" s="1" t="s">
        <v>77</v>
      </c>
      <c r="E33" s="1" t="s">
        <v>78</v>
      </c>
      <c r="F33" s="1" t="s">
        <v>14</v>
      </c>
      <c r="G33" s="1">
        <v>953.47</v>
      </c>
      <c r="H33" s="1">
        <v>31602000</v>
      </c>
      <c r="I33" s="1">
        <v>31477000</v>
      </c>
      <c r="J33" s="1" t="s">
        <v>14</v>
      </c>
      <c r="K33" s="1">
        <v>125953.47</v>
      </c>
    </row>
    <row r="34" spans="1:11" x14ac:dyDescent="0.25">
      <c r="A34" s="1" t="s">
        <v>11</v>
      </c>
      <c r="B34" s="1" t="s">
        <v>12</v>
      </c>
      <c r="C34" s="1" t="s">
        <v>26</v>
      </c>
      <c r="D34" s="1" t="s">
        <v>79</v>
      </c>
      <c r="E34" s="1" t="s">
        <v>80</v>
      </c>
      <c r="F34" s="1" t="s">
        <v>14</v>
      </c>
      <c r="G34" s="1">
        <v>6354.83</v>
      </c>
      <c r="H34" s="1">
        <v>4665571</v>
      </c>
      <c r="I34" s="1">
        <v>4523831</v>
      </c>
      <c r="J34" s="1" t="s">
        <v>14</v>
      </c>
      <c r="K34" s="1">
        <v>148094.82999999999</v>
      </c>
    </row>
    <row r="35" spans="1:11" x14ac:dyDescent="0.25">
      <c r="A35" s="1" t="s">
        <v>11</v>
      </c>
      <c r="B35" s="1" t="s">
        <v>12</v>
      </c>
      <c r="C35" s="1" t="s">
        <v>18</v>
      </c>
      <c r="D35" s="1" t="s">
        <v>81</v>
      </c>
      <c r="E35" s="1" t="s">
        <v>82</v>
      </c>
      <c r="F35" s="1" t="s">
        <v>14</v>
      </c>
      <c r="G35" s="1">
        <v>1612705.21</v>
      </c>
      <c r="H35" s="1">
        <v>0</v>
      </c>
      <c r="I35" s="1">
        <v>0</v>
      </c>
      <c r="J35" s="1" t="s">
        <v>14</v>
      </c>
      <c r="K35" s="1">
        <v>1612705.21</v>
      </c>
    </row>
    <row r="36" spans="1:11" x14ac:dyDescent="0.25">
      <c r="A36" s="1" t="s">
        <v>11</v>
      </c>
      <c r="B36" s="1" t="s">
        <v>12</v>
      </c>
      <c r="C36" s="1" t="s">
        <v>21</v>
      </c>
      <c r="D36" s="1" t="s">
        <v>83</v>
      </c>
      <c r="E36" s="1" t="s">
        <v>82</v>
      </c>
      <c r="F36" s="1" t="s">
        <v>14</v>
      </c>
      <c r="G36" s="1">
        <v>1612705.21</v>
      </c>
      <c r="H36" s="1">
        <v>0</v>
      </c>
      <c r="I36" s="1">
        <v>0</v>
      </c>
      <c r="J36" s="1" t="s">
        <v>14</v>
      </c>
      <c r="K36" s="1">
        <v>1612705.21</v>
      </c>
    </row>
    <row r="37" spans="1:11" x14ac:dyDescent="0.25">
      <c r="A37" s="1" t="s">
        <v>11</v>
      </c>
      <c r="B37" s="1" t="s">
        <v>12</v>
      </c>
      <c r="C37" s="1" t="s">
        <v>23</v>
      </c>
      <c r="D37" s="1" t="s">
        <v>84</v>
      </c>
      <c r="E37" s="1" t="s">
        <v>82</v>
      </c>
      <c r="F37" s="1" t="s">
        <v>14</v>
      </c>
      <c r="G37" s="1">
        <v>1612705.21</v>
      </c>
      <c r="H37" s="1">
        <v>0</v>
      </c>
      <c r="I37" s="1">
        <v>0</v>
      </c>
      <c r="J37" s="1" t="s">
        <v>14</v>
      </c>
      <c r="K37" s="1">
        <v>1612705.21</v>
      </c>
    </row>
    <row r="38" spans="1:11" x14ac:dyDescent="0.25">
      <c r="A38" s="1" t="s">
        <v>11</v>
      </c>
      <c r="B38" s="1" t="s">
        <v>12</v>
      </c>
      <c r="C38" s="1" t="s">
        <v>26</v>
      </c>
      <c r="D38" s="1" t="s">
        <v>85</v>
      </c>
      <c r="E38" s="1" t="s">
        <v>86</v>
      </c>
      <c r="F38" s="1" t="s">
        <v>14</v>
      </c>
      <c r="G38" s="1">
        <v>991684.35</v>
      </c>
      <c r="H38" s="1">
        <v>0</v>
      </c>
      <c r="I38" s="1">
        <v>0</v>
      </c>
      <c r="J38" s="1" t="s">
        <v>14</v>
      </c>
      <c r="K38" s="1">
        <v>991684.35</v>
      </c>
    </row>
    <row r="39" spans="1:11" x14ac:dyDescent="0.25">
      <c r="A39" s="1" t="s">
        <v>11</v>
      </c>
      <c r="B39" s="1" t="s">
        <v>12</v>
      </c>
      <c r="C39" s="1" t="s">
        <v>26</v>
      </c>
      <c r="D39" s="1" t="s">
        <v>87</v>
      </c>
      <c r="E39" s="1" t="s">
        <v>88</v>
      </c>
      <c r="F39" s="1" t="s">
        <v>14</v>
      </c>
      <c r="G39" s="1">
        <v>371807.26</v>
      </c>
      <c r="H39" s="1">
        <v>0</v>
      </c>
      <c r="I39" s="1">
        <v>0</v>
      </c>
      <c r="J39" s="1" t="s">
        <v>14</v>
      </c>
      <c r="K39" s="1">
        <v>371807.26</v>
      </c>
    </row>
    <row r="40" spans="1:11" x14ac:dyDescent="0.25">
      <c r="A40" s="1" t="s">
        <v>11</v>
      </c>
      <c r="B40" s="1" t="s">
        <v>12</v>
      </c>
      <c r="C40" s="1" t="s">
        <v>26</v>
      </c>
      <c r="D40" s="1" t="s">
        <v>89</v>
      </c>
      <c r="E40" s="1" t="s">
        <v>90</v>
      </c>
      <c r="F40" s="1" t="s">
        <v>14</v>
      </c>
      <c r="G40" s="1">
        <v>249213.6</v>
      </c>
      <c r="H40" s="1">
        <v>0</v>
      </c>
      <c r="I40" s="1">
        <v>0</v>
      </c>
      <c r="J40" s="1" t="s">
        <v>14</v>
      </c>
      <c r="K40" s="1">
        <v>249213.6</v>
      </c>
    </row>
    <row r="41" spans="1:11" x14ac:dyDescent="0.25">
      <c r="A41" s="1" t="s">
        <v>11</v>
      </c>
      <c r="B41" s="1" t="s">
        <v>12</v>
      </c>
      <c r="C41" s="1" t="s">
        <v>15</v>
      </c>
      <c r="D41" s="1" t="s">
        <v>91</v>
      </c>
      <c r="E41" s="1" t="s">
        <v>92</v>
      </c>
      <c r="F41" s="1" t="s">
        <v>14</v>
      </c>
      <c r="G41" s="1">
        <v>220340271</v>
      </c>
      <c r="H41" s="1">
        <v>0</v>
      </c>
      <c r="I41" s="1">
        <v>0</v>
      </c>
      <c r="J41" s="1" t="s">
        <v>14</v>
      </c>
      <c r="K41" s="1">
        <v>220340271</v>
      </c>
    </row>
    <row r="42" spans="1:11" x14ac:dyDescent="0.25">
      <c r="A42" s="1" t="s">
        <v>11</v>
      </c>
      <c r="B42" s="1" t="s">
        <v>12</v>
      </c>
      <c r="C42" s="1" t="s">
        <v>18</v>
      </c>
      <c r="D42" s="1" t="s">
        <v>93</v>
      </c>
      <c r="E42" s="1" t="s">
        <v>94</v>
      </c>
      <c r="F42" s="1" t="s">
        <v>14</v>
      </c>
      <c r="G42" s="1">
        <v>220340271</v>
      </c>
      <c r="H42" s="1">
        <v>0</v>
      </c>
      <c r="I42" s="1">
        <v>0</v>
      </c>
      <c r="J42" s="1" t="s">
        <v>14</v>
      </c>
      <c r="K42" s="1">
        <v>220340271</v>
      </c>
    </row>
    <row r="43" spans="1:11" x14ac:dyDescent="0.25">
      <c r="A43" s="1" t="s">
        <v>11</v>
      </c>
      <c r="B43" s="1" t="s">
        <v>12</v>
      </c>
      <c r="C43" s="1" t="s">
        <v>21</v>
      </c>
      <c r="D43" s="1" t="s">
        <v>95</v>
      </c>
      <c r="E43" s="1" t="s">
        <v>94</v>
      </c>
      <c r="F43" s="1" t="s">
        <v>14</v>
      </c>
      <c r="G43" s="1">
        <v>220340271</v>
      </c>
      <c r="H43" s="1">
        <v>0</v>
      </c>
      <c r="I43" s="1">
        <v>0</v>
      </c>
      <c r="J43" s="1" t="s">
        <v>14</v>
      </c>
      <c r="K43" s="1">
        <v>220340271</v>
      </c>
    </row>
    <row r="44" spans="1:11" x14ac:dyDescent="0.25">
      <c r="A44" s="1" t="s">
        <v>11</v>
      </c>
      <c r="B44" s="1" t="s">
        <v>12</v>
      </c>
      <c r="C44" s="1" t="s">
        <v>23</v>
      </c>
      <c r="D44" s="1" t="s">
        <v>96</v>
      </c>
      <c r="E44" s="1" t="s">
        <v>97</v>
      </c>
      <c r="F44" s="1" t="s">
        <v>14</v>
      </c>
      <c r="G44" s="1">
        <v>220128705</v>
      </c>
      <c r="H44" s="1">
        <v>0</v>
      </c>
      <c r="I44" s="1">
        <v>0</v>
      </c>
      <c r="J44" s="1" t="s">
        <v>14</v>
      </c>
      <c r="K44" s="1">
        <v>220128705</v>
      </c>
    </row>
    <row r="45" spans="1:11" x14ac:dyDescent="0.25">
      <c r="A45" s="1" t="s">
        <v>11</v>
      </c>
      <c r="B45" s="1" t="s">
        <v>12</v>
      </c>
      <c r="C45" s="1" t="s">
        <v>26</v>
      </c>
      <c r="D45" s="1" t="s">
        <v>98</v>
      </c>
      <c r="E45" s="1" t="s">
        <v>99</v>
      </c>
      <c r="F45" s="1" t="s">
        <v>14</v>
      </c>
      <c r="G45" s="1">
        <v>220128705</v>
      </c>
      <c r="H45" s="1">
        <v>0</v>
      </c>
      <c r="I45" s="1">
        <v>0</v>
      </c>
      <c r="J45" s="1" t="s">
        <v>14</v>
      </c>
      <c r="K45" s="1">
        <v>220128705</v>
      </c>
    </row>
    <row r="46" spans="1:11" x14ac:dyDescent="0.25">
      <c r="A46" s="1" t="s">
        <v>11</v>
      </c>
      <c r="B46" s="1" t="s">
        <v>12</v>
      </c>
      <c r="C46" s="1" t="s">
        <v>23</v>
      </c>
      <c r="D46" s="1" t="s">
        <v>100</v>
      </c>
      <c r="E46" s="1" t="s">
        <v>101</v>
      </c>
      <c r="F46" s="1" t="s">
        <v>14</v>
      </c>
      <c r="G46" s="1">
        <v>211566</v>
      </c>
      <c r="H46" s="1">
        <v>0</v>
      </c>
      <c r="I46" s="1">
        <v>0</v>
      </c>
      <c r="J46" s="1" t="s">
        <v>14</v>
      </c>
      <c r="K46" s="1">
        <v>211566</v>
      </c>
    </row>
    <row r="47" spans="1:11" x14ac:dyDescent="0.25">
      <c r="A47" s="1" t="s">
        <v>11</v>
      </c>
      <c r="B47" s="1" t="s">
        <v>12</v>
      </c>
      <c r="C47" s="1" t="s">
        <v>26</v>
      </c>
      <c r="D47" s="1" t="s">
        <v>102</v>
      </c>
      <c r="E47" s="1" t="s">
        <v>103</v>
      </c>
      <c r="F47" s="1" t="s">
        <v>14</v>
      </c>
      <c r="G47" s="1">
        <v>211566</v>
      </c>
      <c r="H47" s="1">
        <v>0</v>
      </c>
      <c r="I47" s="1">
        <v>0</v>
      </c>
      <c r="J47" s="1" t="s">
        <v>14</v>
      </c>
      <c r="K47" s="1">
        <v>211566</v>
      </c>
    </row>
    <row r="48" spans="1:11" x14ac:dyDescent="0.25">
      <c r="A48" s="1" t="s">
        <v>11</v>
      </c>
      <c r="B48" s="1" t="s">
        <v>12</v>
      </c>
      <c r="C48" s="1" t="s">
        <v>15</v>
      </c>
      <c r="D48" s="1" t="s">
        <v>104</v>
      </c>
      <c r="E48" s="1" t="s">
        <v>105</v>
      </c>
      <c r="F48" s="1" t="s">
        <v>14</v>
      </c>
      <c r="G48" s="1">
        <v>36243266435.580002</v>
      </c>
      <c r="H48" s="1">
        <v>7398046327.8699999</v>
      </c>
      <c r="I48" s="1">
        <v>12388423260.709999</v>
      </c>
      <c r="J48" s="1" t="s">
        <v>14</v>
      </c>
      <c r="K48" s="1">
        <v>31252889502.740002</v>
      </c>
    </row>
    <row r="49" spans="1:11" x14ac:dyDescent="0.25">
      <c r="A49" s="1" t="s">
        <v>11</v>
      </c>
      <c r="B49" s="1" t="s">
        <v>12</v>
      </c>
      <c r="C49" s="1" t="s">
        <v>18</v>
      </c>
      <c r="D49" s="1" t="s">
        <v>106</v>
      </c>
      <c r="E49" s="1" t="s">
        <v>107</v>
      </c>
      <c r="F49" s="1" t="s">
        <v>14</v>
      </c>
      <c r="G49" s="1">
        <v>34902911095.07</v>
      </c>
      <c r="H49" s="1">
        <v>7327027030.71</v>
      </c>
      <c r="I49" s="1">
        <v>11334176881.709999</v>
      </c>
      <c r="J49" s="1" t="s">
        <v>14</v>
      </c>
      <c r="K49" s="1">
        <v>30895761244.07</v>
      </c>
    </row>
    <row r="50" spans="1:11" x14ac:dyDescent="0.25">
      <c r="A50" s="1" t="s">
        <v>11</v>
      </c>
      <c r="B50" s="1" t="s">
        <v>12</v>
      </c>
      <c r="C50" s="1" t="s">
        <v>21</v>
      </c>
      <c r="D50" s="1" t="s">
        <v>108</v>
      </c>
      <c r="E50" s="1" t="s">
        <v>107</v>
      </c>
      <c r="F50" s="1" t="s">
        <v>14</v>
      </c>
      <c r="G50" s="1">
        <v>34902911095.07</v>
      </c>
      <c r="H50" s="1">
        <v>7327027030.71</v>
      </c>
      <c r="I50" s="1">
        <v>11334176881.709999</v>
      </c>
      <c r="J50" s="1" t="s">
        <v>14</v>
      </c>
      <c r="K50" s="1">
        <v>30895761244.07</v>
      </c>
    </row>
    <row r="51" spans="1:11" x14ac:dyDescent="0.25">
      <c r="A51" s="1" t="s">
        <v>11</v>
      </c>
      <c r="B51" s="1" t="s">
        <v>12</v>
      </c>
      <c r="C51" s="1" t="s">
        <v>23</v>
      </c>
      <c r="D51" s="1" t="s">
        <v>109</v>
      </c>
      <c r="E51" s="1" t="s">
        <v>110</v>
      </c>
      <c r="F51" s="1" t="s">
        <v>14</v>
      </c>
      <c r="G51" s="1">
        <v>5124151357.1000004</v>
      </c>
      <c r="H51" s="1">
        <v>3770726417</v>
      </c>
      <c r="I51" s="1">
        <v>5502800633</v>
      </c>
      <c r="J51" s="1" t="s">
        <v>14</v>
      </c>
      <c r="K51" s="1">
        <v>3392077141.0999999</v>
      </c>
    </row>
    <row r="52" spans="1:11" x14ac:dyDescent="0.25">
      <c r="A52" s="1" t="s">
        <v>11</v>
      </c>
      <c r="B52" s="1" t="s">
        <v>12</v>
      </c>
      <c r="C52" s="1" t="s">
        <v>26</v>
      </c>
      <c r="D52" s="1" t="s">
        <v>111</v>
      </c>
      <c r="E52" s="1" t="s">
        <v>112</v>
      </c>
      <c r="F52" s="1" t="s">
        <v>14</v>
      </c>
      <c r="G52" s="1">
        <v>676659615</v>
      </c>
      <c r="H52" s="1">
        <v>1602568962</v>
      </c>
      <c r="I52" s="1">
        <v>1544142637</v>
      </c>
      <c r="J52" s="1" t="s">
        <v>14</v>
      </c>
      <c r="K52" s="1">
        <v>735085940</v>
      </c>
    </row>
    <row r="53" spans="1:11" x14ac:dyDescent="0.25">
      <c r="A53" s="1" t="s">
        <v>11</v>
      </c>
      <c r="B53" s="1" t="s">
        <v>12</v>
      </c>
      <c r="C53" s="1" t="s">
        <v>26</v>
      </c>
      <c r="D53" s="1" t="s">
        <v>113</v>
      </c>
      <c r="E53" s="1" t="s">
        <v>114</v>
      </c>
      <c r="F53" s="1" t="s">
        <v>14</v>
      </c>
      <c r="G53" s="1">
        <v>81486418</v>
      </c>
      <c r="H53" s="1">
        <v>718886776</v>
      </c>
      <c r="I53" s="1">
        <v>239077458</v>
      </c>
      <c r="J53" s="1" t="s">
        <v>14</v>
      </c>
      <c r="K53" s="1">
        <v>561295736</v>
      </c>
    </row>
    <row r="54" spans="1:11" x14ac:dyDescent="0.25">
      <c r="A54" s="1" t="s">
        <v>11</v>
      </c>
      <c r="B54" s="1" t="s">
        <v>12</v>
      </c>
      <c r="C54" s="1" t="s">
        <v>26</v>
      </c>
      <c r="D54" s="1" t="s">
        <v>115</v>
      </c>
      <c r="E54" s="1" t="s">
        <v>116</v>
      </c>
      <c r="F54" s="1" t="s">
        <v>14</v>
      </c>
      <c r="G54" s="1">
        <v>10189264</v>
      </c>
      <c r="H54" s="1">
        <v>42069922</v>
      </c>
      <c r="I54" s="1">
        <v>31040003</v>
      </c>
      <c r="J54" s="1" t="s">
        <v>14</v>
      </c>
      <c r="K54" s="1">
        <v>21219183</v>
      </c>
    </row>
    <row r="55" spans="1:11" x14ac:dyDescent="0.25">
      <c r="A55" s="1" t="s">
        <v>11</v>
      </c>
      <c r="B55" s="1" t="s">
        <v>12</v>
      </c>
      <c r="C55" s="1" t="s">
        <v>26</v>
      </c>
      <c r="D55" s="1" t="s">
        <v>117</v>
      </c>
      <c r="E55" s="1" t="s">
        <v>97</v>
      </c>
      <c r="F55" s="1" t="s">
        <v>14</v>
      </c>
      <c r="G55" s="1">
        <v>339111652</v>
      </c>
      <c r="H55" s="1">
        <v>336322470</v>
      </c>
      <c r="I55" s="1">
        <v>416636149</v>
      </c>
      <c r="J55" s="1" t="s">
        <v>14</v>
      </c>
      <c r="K55" s="1">
        <v>258797973</v>
      </c>
    </row>
    <row r="56" spans="1:11" x14ac:dyDescent="0.25">
      <c r="A56" s="1" t="s">
        <v>11</v>
      </c>
      <c r="B56" s="1" t="s">
        <v>12</v>
      </c>
      <c r="C56" s="1" t="s">
        <v>26</v>
      </c>
      <c r="D56" s="1" t="s">
        <v>118</v>
      </c>
      <c r="E56" s="1" t="s">
        <v>119</v>
      </c>
      <c r="F56" s="1" t="s">
        <v>14</v>
      </c>
      <c r="G56" s="1">
        <v>1328878929.0999999</v>
      </c>
      <c r="H56" s="1">
        <v>556307538</v>
      </c>
      <c r="I56" s="1">
        <v>319029170</v>
      </c>
      <c r="J56" s="1" t="s">
        <v>14</v>
      </c>
      <c r="K56" s="1">
        <v>1566157297.0999999</v>
      </c>
    </row>
    <row r="57" spans="1:11" x14ac:dyDescent="0.25">
      <c r="A57" s="1" t="s">
        <v>11</v>
      </c>
      <c r="B57" s="1" t="s">
        <v>12</v>
      </c>
      <c r="C57" s="1" t="s">
        <v>26</v>
      </c>
      <c r="D57" s="1" t="s">
        <v>120</v>
      </c>
      <c r="E57" s="1" t="s">
        <v>121</v>
      </c>
      <c r="F57" s="1" t="s">
        <v>14</v>
      </c>
      <c r="G57" s="1">
        <v>4795954</v>
      </c>
      <c r="H57" s="1">
        <v>17390658</v>
      </c>
      <c r="I57" s="1">
        <v>20985139</v>
      </c>
      <c r="J57" s="1" t="s">
        <v>14</v>
      </c>
      <c r="K57" s="1">
        <v>1201473</v>
      </c>
    </row>
    <row r="58" spans="1:11" x14ac:dyDescent="0.25">
      <c r="A58" s="1" t="s">
        <v>11</v>
      </c>
      <c r="B58" s="1" t="s">
        <v>12</v>
      </c>
      <c r="C58" s="1" t="s">
        <v>26</v>
      </c>
      <c r="D58" s="1" t="s">
        <v>122</v>
      </c>
      <c r="E58" s="1" t="s">
        <v>123</v>
      </c>
      <c r="F58" s="1" t="s">
        <v>14</v>
      </c>
      <c r="G58" s="1">
        <v>76737289</v>
      </c>
      <c r="H58" s="1">
        <v>289120845</v>
      </c>
      <c r="I58" s="1">
        <v>203129048</v>
      </c>
      <c r="J58" s="1" t="s">
        <v>14</v>
      </c>
      <c r="K58" s="1">
        <v>162729086</v>
      </c>
    </row>
    <row r="59" spans="1:11" x14ac:dyDescent="0.25">
      <c r="A59" s="1" t="s">
        <v>11</v>
      </c>
      <c r="B59" s="1" t="s">
        <v>12</v>
      </c>
      <c r="C59" s="1" t="s">
        <v>26</v>
      </c>
      <c r="D59" s="1" t="s">
        <v>124</v>
      </c>
      <c r="E59" s="1" t="s">
        <v>125</v>
      </c>
      <c r="F59" s="1" t="s">
        <v>14</v>
      </c>
      <c r="G59" s="1">
        <v>14159644</v>
      </c>
      <c r="H59" s="1">
        <v>94179285</v>
      </c>
      <c r="I59" s="1">
        <v>99152262</v>
      </c>
      <c r="J59" s="1" t="s">
        <v>14</v>
      </c>
      <c r="K59" s="1">
        <v>9186667</v>
      </c>
    </row>
    <row r="60" spans="1:11" x14ac:dyDescent="0.25">
      <c r="A60" s="1" t="s">
        <v>11</v>
      </c>
      <c r="B60" s="1" t="s">
        <v>12</v>
      </c>
      <c r="C60" s="1" t="s">
        <v>26</v>
      </c>
      <c r="D60" s="1" t="s">
        <v>126</v>
      </c>
      <c r="E60" s="1" t="s">
        <v>127</v>
      </c>
      <c r="F60" s="1" t="s">
        <v>14</v>
      </c>
      <c r="G60" s="1">
        <v>7240075</v>
      </c>
      <c r="H60" s="1">
        <v>0</v>
      </c>
      <c r="I60" s="1">
        <v>0</v>
      </c>
      <c r="J60" s="1" t="s">
        <v>14</v>
      </c>
      <c r="K60" s="1">
        <v>7240075</v>
      </c>
    </row>
    <row r="61" spans="1:11" x14ac:dyDescent="0.25">
      <c r="A61" s="1" t="s">
        <v>11</v>
      </c>
      <c r="B61" s="1" t="s">
        <v>12</v>
      </c>
      <c r="C61" s="1" t="s">
        <v>26</v>
      </c>
      <c r="D61" s="1" t="s">
        <v>128</v>
      </c>
      <c r="E61" s="1" t="s">
        <v>129</v>
      </c>
      <c r="F61" s="1" t="s">
        <v>14</v>
      </c>
      <c r="G61" s="1">
        <v>28238942</v>
      </c>
      <c r="H61" s="1">
        <v>113879961</v>
      </c>
      <c r="I61" s="1">
        <v>72955192</v>
      </c>
      <c r="J61" s="1" t="s">
        <v>14</v>
      </c>
      <c r="K61" s="1">
        <v>69163711</v>
      </c>
    </row>
    <row r="62" spans="1:11" x14ac:dyDescent="0.25">
      <c r="A62" s="1" t="s">
        <v>11</v>
      </c>
      <c r="B62" s="1" t="s">
        <v>12</v>
      </c>
      <c r="C62" s="1" t="s">
        <v>26</v>
      </c>
      <c r="D62" s="1" t="s">
        <v>130</v>
      </c>
      <c r="E62" s="1" t="s">
        <v>131</v>
      </c>
      <c r="F62" s="1" t="s">
        <v>14</v>
      </c>
      <c r="G62" s="1">
        <v>2556653575</v>
      </c>
      <c r="H62" s="1">
        <v>0</v>
      </c>
      <c r="I62" s="1">
        <v>2556653575</v>
      </c>
      <c r="J62" s="1" t="s">
        <v>14</v>
      </c>
      <c r="K62" s="1">
        <v>0</v>
      </c>
    </row>
    <row r="63" spans="1:11" x14ac:dyDescent="0.25">
      <c r="A63" s="1" t="s">
        <v>11</v>
      </c>
      <c r="B63" s="1" t="s">
        <v>12</v>
      </c>
      <c r="C63" s="1" t="s">
        <v>23</v>
      </c>
      <c r="D63" s="1" t="s">
        <v>132</v>
      </c>
      <c r="E63" s="1" t="s">
        <v>133</v>
      </c>
      <c r="F63" s="1" t="s">
        <v>14</v>
      </c>
      <c r="G63" s="1">
        <v>26526030840.060001</v>
      </c>
      <c r="H63" s="1">
        <v>2925103065</v>
      </c>
      <c r="I63" s="1">
        <v>4872893941.71</v>
      </c>
      <c r="J63" s="1" t="s">
        <v>14</v>
      </c>
      <c r="K63" s="1">
        <v>24578239963.349998</v>
      </c>
    </row>
    <row r="64" spans="1:11" x14ac:dyDescent="0.25">
      <c r="A64" s="1" t="s">
        <v>11</v>
      </c>
      <c r="B64" s="1" t="s">
        <v>12</v>
      </c>
      <c r="C64" s="1" t="s">
        <v>26</v>
      </c>
      <c r="D64" s="1" t="s">
        <v>134</v>
      </c>
      <c r="E64" s="1" t="s">
        <v>112</v>
      </c>
      <c r="F64" s="1" t="s">
        <v>14</v>
      </c>
      <c r="G64" s="1">
        <v>14525350493.16</v>
      </c>
      <c r="H64" s="1">
        <v>1527200015</v>
      </c>
      <c r="I64" s="1">
        <v>2889652240.71</v>
      </c>
      <c r="J64" s="1" t="s">
        <v>14</v>
      </c>
      <c r="K64" s="1">
        <v>13162898267.450001</v>
      </c>
    </row>
    <row r="65" spans="1:11" x14ac:dyDescent="0.25">
      <c r="A65" s="1" t="s">
        <v>11</v>
      </c>
      <c r="B65" s="1" t="s">
        <v>12</v>
      </c>
      <c r="C65" s="1" t="s">
        <v>26</v>
      </c>
      <c r="D65" s="1" t="s">
        <v>135</v>
      </c>
      <c r="E65" s="1" t="s">
        <v>114</v>
      </c>
      <c r="F65" s="1" t="s">
        <v>14</v>
      </c>
      <c r="G65" s="1">
        <v>1830732760.75</v>
      </c>
      <c r="H65" s="1">
        <v>238038218</v>
      </c>
      <c r="I65" s="1">
        <v>304384004</v>
      </c>
      <c r="J65" s="1" t="s">
        <v>14</v>
      </c>
      <c r="K65" s="1">
        <v>1764386974.75</v>
      </c>
    </row>
    <row r="66" spans="1:11" x14ac:dyDescent="0.25">
      <c r="A66" s="1" t="s">
        <v>11</v>
      </c>
      <c r="B66" s="1" t="s">
        <v>12</v>
      </c>
      <c r="C66" s="1" t="s">
        <v>26</v>
      </c>
      <c r="D66" s="1" t="s">
        <v>136</v>
      </c>
      <c r="E66" s="1" t="s">
        <v>116</v>
      </c>
      <c r="F66" s="1" t="s">
        <v>14</v>
      </c>
      <c r="G66" s="1">
        <v>4387998560</v>
      </c>
      <c r="H66" s="1">
        <v>23972366</v>
      </c>
      <c r="I66" s="1">
        <v>18095798</v>
      </c>
      <c r="J66" s="1" t="s">
        <v>14</v>
      </c>
      <c r="K66" s="1">
        <v>4393875128</v>
      </c>
    </row>
    <row r="67" spans="1:11" x14ac:dyDescent="0.25">
      <c r="A67" s="1" t="s">
        <v>11</v>
      </c>
      <c r="B67" s="1" t="s">
        <v>12</v>
      </c>
      <c r="C67" s="1" t="s">
        <v>26</v>
      </c>
      <c r="D67" s="1" t="s">
        <v>137</v>
      </c>
      <c r="E67" s="1" t="s">
        <v>97</v>
      </c>
      <c r="F67" s="1" t="s">
        <v>14</v>
      </c>
      <c r="G67" s="1">
        <v>721656819.54999995</v>
      </c>
      <c r="H67" s="1">
        <v>381748416</v>
      </c>
      <c r="I67" s="1">
        <v>251172537</v>
      </c>
      <c r="J67" s="1" t="s">
        <v>14</v>
      </c>
      <c r="K67" s="1">
        <v>852232698.54999995</v>
      </c>
    </row>
    <row r="68" spans="1:11" x14ac:dyDescent="0.25">
      <c r="A68" s="1" t="s">
        <v>11</v>
      </c>
      <c r="B68" s="1" t="s">
        <v>12</v>
      </c>
      <c r="C68" s="1" t="s">
        <v>26</v>
      </c>
      <c r="D68" s="1" t="s">
        <v>138</v>
      </c>
      <c r="E68" s="1" t="s">
        <v>119</v>
      </c>
      <c r="F68" s="1" t="s">
        <v>14</v>
      </c>
      <c r="G68" s="1">
        <v>3491941106.96</v>
      </c>
      <c r="H68" s="1">
        <v>318037349</v>
      </c>
      <c r="I68" s="1">
        <v>610962903</v>
      </c>
      <c r="J68" s="1" t="s">
        <v>14</v>
      </c>
      <c r="K68" s="1">
        <v>3199015552.96</v>
      </c>
    </row>
    <row r="69" spans="1:11" x14ac:dyDescent="0.25">
      <c r="A69" s="1" t="s">
        <v>11</v>
      </c>
      <c r="B69" s="1" t="s">
        <v>12</v>
      </c>
      <c r="C69" s="1" t="s">
        <v>26</v>
      </c>
      <c r="D69" s="1" t="s">
        <v>139</v>
      </c>
      <c r="E69" s="1" t="s">
        <v>140</v>
      </c>
      <c r="F69" s="1" t="s">
        <v>14</v>
      </c>
      <c r="G69" s="1">
        <v>491181410</v>
      </c>
      <c r="H69" s="1">
        <v>47269705</v>
      </c>
      <c r="I69" s="1">
        <v>47370306</v>
      </c>
      <c r="J69" s="1" t="s">
        <v>14</v>
      </c>
      <c r="K69" s="1">
        <v>491080809</v>
      </c>
    </row>
    <row r="70" spans="1:11" x14ac:dyDescent="0.25">
      <c r="A70" s="1" t="s">
        <v>11</v>
      </c>
      <c r="B70" s="1" t="s">
        <v>12</v>
      </c>
      <c r="C70" s="1" t="s">
        <v>26</v>
      </c>
      <c r="D70" s="1" t="s">
        <v>141</v>
      </c>
      <c r="E70" s="1" t="s">
        <v>142</v>
      </c>
      <c r="F70" s="1" t="s">
        <v>14</v>
      </c>
      <c r="G70" s="1">
        <v>506966</v>
      </c>
      <c r="H70" s="1">
        <v>4212605</v>
      </c>
      <c r="I70" s="1">
        <v>4424910</v>
      </c>
      <c r="J70" s="1" t="s">
        <v>14</v>
      </c>
      <c r="K70" s="1">
        <v>294661</v>
      </c>
    </row>
    <row r="71" spans="1:11" x14ac:dyDescent="0.25">
      <c r="A71" s="1" t="s">
        <v>11</v>
      </c>
      <c r="B71" s="1" t="s">
        <v>12</v>
      </c>
      <c r="C71" s="1" t="s">
        <v>26</v>
      </c>
      <c r="D71" s="1" t="s">
        <v>143</v>
      </c>
      <c r="E71" s="1" t="s">
        <v>144</v>
      </c>
      <c r="F71" s="1" t="s">
        <v>14</v>
      </c>
      <c r="G71" s="1">
        <v>192794294</v>
      </c>
      <c r="H71" s="1">
        <v>0</v>
      </c>
      <c r="I71" s="1">
        <v>0</v>
      </c>
      <c r="J71" s="1" t="s">
        <v>14</v>
      </c>
      <c r="K71" s="1">
        <v>192794294</v>
      </c>
    </row>
    <row r="72" spans="1:11" x14ac:dyDescent="0.25">
      <c r="A72" s="1" t="s">
        <v>11</v>
      </c>
      <c r="B72" s="1" t="s">
        <v>12</v>
      </c>
      <c r="C72" s="1" t="s">
        <v>26</v>
      </c>
      <c r="D72" s="1" t="s">
        <v>145</v>
      </c>
      <c r="E72" s="1" t="s">
        <v>121</v>
      </c>
      <c r="F72" s="1" t="s">
        <v>14</v>
      </c>
      <c r="G72" s="1">
        <v>17731348</v>
      </c>
      <c r="H72" s="1">
        <v>20985139</v>
      </c>
      <c r="I72" s="1">
        <v>11365854</v>
      </c>
      <c r="J72" s="1" t="s">
        <v>14</v>
      </c>
      <c r="K72" s="1">
        <v>27350633</v>
      </c>
    </row>
    <row r="73" spans="1:11" x14ac:dyDescent="0.25">
      <c r="A73" s="1" t="s">
        <v>11</v>
      </c>
      <c r="B73" s="1" t="s">
        <v>12</v>
      </c>
      <c r="C73" s="1" t="s">
        <v>26</v>
      </c>
      <c r="D73" s="1" t="s">
        <v>146</v>
      </c>
      <c r="E73" s="1" t="s">
        <v>123</v>
      </c>
      <c r="F73" s="1" t="s">
        <v>14</v>
      </c>
      <c r="G73" s="1">
        <v>450834910</v>
      </c>
      <c r="H73" s="1">
        <v>193739608</v>
      </c>
      <c r="I73" s="1">
        <v>408763830</v>
      </c>
      <c r="J73" s="1" t="s">
        <v>14</v>
      </c>
      <c r="K73" s="1">
        <v>235810688</v>
      </c>
    </row>
    <row r="74" spans="1:11" x14ac:dyDescent="0.25">
      <c r="A74" s="1" t="s">
        <v>11</v>
      </c>
      <c r="B74" s="1" t="s">
        <v>12</v>
      </c>
      <c r="C74" s="1" t="s">
        <v>26</v>
      </c>
      <c r="D74" s="1" t="s">
        <v>147</v>
      </c>
      <c r="E74" s="1" t="s">
        <v>125</v>
      </c>
      <c r="F74" s="1" t="s">
        <v>14</v>
      </c>
      <c r="G74" s="1">
        <v>147386988.90000001</v>
      </c>
      <c r="H74" s="1">
        <v>94898857</v>
      </c>
      <c r="I74" s="1">
        <v>87269663</v>
      </c>
      <c r="J74" s="1" t="s">
        <v>14</v>
      </c>
      <c r="K74" s="1">
        <v>155016182.90000001</v>
      </c>
    </row>
    <row r="75" spans="1:11" x14ac:dyDescent="0.25">
      <c r="A75" s="1" t="s">
        <v>11</v>
      </c>
      <c r="B75" s="1" t="s">
        <v>12</v>
      </c>
      <c r="C75" s="1" t="s">
        <v>26</v>
      </c>
      <c r="D75" s="1" t="s">
        <v>148</v>
      </c>
      <c r="E75" s="1" t="s">
        <v>127</v>
      </c>
      <c r="F75" s="1" t="s">
        <v>14</v>
      </c>
      <c r="G75" s="1">
        <v>96039662.739999995</v>
      </c>
      <c r="H75" s="1">
        <v>0</v>
      </c>
      <c r="I75" s="1">
        <v>0</v>
      </c>
      <c r="J75" s="1" t="s">
        <v>14</v>
      </c>
      <c r="K75" s="1">
        <v>96039662.739999995</v>
      </c>
    </row>
    <row r="76" spans="1:11" x14ac:dyDescent="0.25">
      <c r="A76" s="1" t="s">
        <v>11</v>
      </c>
      <c r="B76" s="1" t="s">
        <v>12</v>
      </c>
      <c r="C76" s="1" t="s">
        <v>26</v>
      </c>
      <c r="D76" s="1" t="s">
        <v>149</v>
      </c>
      <c r="E76" s="1" t="s">
        <v>129</v>
      </c>
      <c r="F76" s="1" t="s">
        <v>14</v>
      </c>
      <c r="G76" s="1">
        <v>171875520</v>
      </c>
      <c r="H76" s="1">
        <v>75000787</v>
      </c>
      <c r="I76" s="1">
        <v>239431896</v>
      </c>
      <c r="J76" s="1" t="s">
        <v>14</v>
      </c>
      <c r="K76" s="1">
        <v>7444411</v>
      </c>
    </row>
    <row r="77" spans="1:11" x14ac:dyDescent="0.25">
      <c r="A77" s="1" t="s">
        <v>11</v>
      </c>
      <c r="B77" s="1" t="s">
        <v>12</v>
      </c>
      <c r="C77" s="1" t="s">
        <v>23</v>
      </c>
      <c r="D77" s="1" t="s">
        <v>150</v>
      </c>
      <c r="E77" s="1" t="s">
        <v>151</v>
      </c>
      <c r="F77" s="1" t="s">
        <v>14</v>
      </c>
      <c r="G77" s="1">
        <v>5051083738.8100004</v>
      </c>
      <c r="H77" s="1">
        <v>504208986</v>
      </c>
      <c r="I77" s="1">
        <v>927564228</v>
      </c>
      <c r="J77" s="1" t="s">
        <v>14</v>
      </c>
      <c r="K77" s="1">
        <v>4627728496.8100004</v>
      </c>
    </row>
    <row r="78" spans="1:11" x14ac:dyDescent="0.25">
      <c r="A78" s="1" t="s">
        <v>11</v>
      </c>
      <c r="B78" s="1" t="s">
        <v>12</v>
      </c>
      <c r="C78" s="1" t="s">
        <v>26</v>
      </c>
      <c r="D78" s="1" t="s">
        <v>152</v>
      </c>
      <c r="E78" s="1" t="s">
        <v>112</v>
      </c>
      <c r="F78" s="1" t="s">
        <v>14</v>
      </c>
      <c r="G78" s="1">
        <v>2284815696.5500002</v>
      </c>
      <c r="H78" s="1">
        <v>208146853</v>
      </c>
      <c r="I78" s="1">
        <v>485783628</v>
      </c>
      <c r="J78" s="1" t="s">
        <v>14</v>
      </c>
      <c r="K78" s="1">
        <v>2007178921.55</v>
      </c>
    </row>
    <row r="79" spans="1:11" x14ac:dyDescent="0.25">
      <c r="A79" s="1" t="s">
        <v>11</v>
      </c>
      <c r="B79" s="1" t="s">
        <v>12</v>
      </c>
      <c r="C79" s="1" t="s">
        <v>26</v>
      </c>
      <c r="D79" s="1" t="s">
        <v>153</v>
      </c>
      <c r="E79" s="1" t="s">
        <v>114</v>
      </c>
      <c r="F79" s="1" t="s">
        <v>14</v>
      </c>
      <c r="G79" s="1">
        <v>273132303.80000001</v>
      </c>
      <c r="H79" s="1">
        <v>79933482</v>
      </c>
      <c r="I79" s="1">
        <v>12853017</v>
      </c>
      <c r="J79" s="1" t="s">
        <v>14</v>
      </c>
      <c r="K79" s="1">
        <v>340212768.80000001</v>
      </c>
    </row>
    <row r="80" spans="1:11" x14ac:dyDescent="0.25">
      <c r="A80" s="1" t="s">
        <v>11</v>
      </c>
      <c r="B80" s="1" t="s">
        <v>12</v>
      </c>
      <c r="C80" s="1" t="s">
        <v>26</v>
      </c>
      <c r="D80" s="1" t="s">
        <v>154</v>
      </c>
      <c r="E80" s="1" t="s">
        <v>116</v>
      </c>
      <c r="F80" s="1" t="s">
        <v>14</v>
      </c>
      <c r="G80" s="1">
        <v>6564579</v>
      </c>
      <c r="H80" s="1">
        <v>0</v>
      </c>
      <c r="I80" s="1">
        <v>0</v>
      </c>
      <c r="J80" s="1" t="s">
        <v>14</v>
      </c>
      <c r="K80" s="1">
        <v>6564579</v>
      </c>
    </row>
    <row r="81" spans="1:11" x14ac:dyDescent="0.25">
      <c r="A81" s="1" t="s">
        <v>11</v>
      </c>
      <c r="B81" s="1" t="s">
        <v>12</v>
      </c>
      <c r="C81" s="1" t="s">
        <v>26</v>
      </c>
      <c r="D81" s="1" t="s">
        <v>155</v>
      </c>
      <c r="E81" s="1" t="s">
        <v>97</v>
      </c>
      <c r="F81" s="1" t="s">
        <v>14</v>
      </c>
      <c r="G81" s="1">
        <v>132755997.7</v>
      </c>
      <c r="H81" s="1">
        <v>8788482</v>
      </c>
      <c r="I81" s="1">
        <v>6288684</v>
      </c>
      <c r="J81" s="1" t="s">
        <v>14</v>
      </c>
      <c r="K81" s="1">
        <v>135255795.69999999</v>
      </c>
    </row>
    <row r="82" spans="1:11" x14ac:dyDescent="0.25">
      <c r="A82" s="1" t="s">
        <v>11</v>
      </c>
      <c r="B82" s="1" t="s">
        <v>12</v>
      </c>
      <c r="C82" s="1" t="s">
        <v>26</v>
      </c>
      <c r="D82" s="1" t="s">
        <v>156</v>
      </c>
      <c r="E82" s="1" t="s">
        <v>119</v>
      </c>
      <c r="F82" s="1" t="s">
        <v>14</v>
      </c>
      <c r="G82" s="1">
        <v>1941611803.0599999</v>
      </c>
      <c r="H82" s="1">
        <v>184290023</v>
      </c>
      <c r="I82" s="1">
        <v>388430507</v>
      </c>
      <c r="J82" s="1" t="s">
        <v>14</v>
      </c>
      <c r="K82" s="1">
        <v>1737471319.0599999</v>
      </c>
    </row>
    <row r="83" spans="1:11" x14ac:dyDescent="0.25">
      <c r="A83" s="1" t="s">
        <v>11</v>
      </c>
      <c r="B83" s="1" t="s">
        <v>12</v>
      </c>
      <c r="C83" s="1" t="s">
        <v>26</v>
      </c>
      <c r="D83" s="1" t="s">
        <v>157</v>
      </c>
      <c r="E83" s="1" t="s">
        <v>121</v>
      </c>
      <c r="F83" s="1" t="s">
        <v>14</v>
      </c>
      <c r="G83" s="1">
        <v>36935077</v>
      </c>
      <c r="H83" s="1">
        <v>2052000</v>
      </c>
      <c r="I83" s="1">
        <v>2052000</v>
      </c>
      <c r="J83" s="1" t="s">
        <v>14</v>
      </c>
      <c r="K83" s="1">
        <v>36935077</v>
      </c>
    </row>
    <row r="84" spans="1:11" x14ac:dyDescent="0.25">
      <c r="A84" s="1" t="s">
        <v>11</v>
      </c>
      <c r="B84" s="1" t="s">
        <v>12</v>
      </c>
      <c r="C84" s="1" t="s">
        <v>26</v>
      </c>
      <c r="D84" s="1" t="s">
        <v>158</v>
      </c>
      <c r="E84" s="1" t="s">
        <v>123</v>
      </c>
      <c r="F84" s="1" t="s">
        <v>14</v>
      </c>
      <c r="G84" s="1">
        <v>204504340</v>
      </c>
      <c r="H84" s="1">
        <v>11847509</v>
      </c>
      <c r="I84" s="1">
        <v>17431411</v>
      </c>
      <c r="J84" s="1" t="s">
        <v>14</v>
      </c>
      <c r="K84" s="1">
        <v>198920438</v>
      </c>
    </row>
    <row r="85" spans="1:11" x14ac:dyDescent="0.25">
      <c r="A85" s="1" t="s">
        <v>11</v>
      </c>
      <c r="B85" s="1" t="s">
        <v>12</v>
      </c>
      <c r="C85" s="1" t="s">
        <v>26</v>
      </c>
      <c r="D85" s="1" t="s">
        <v>159</v>
      </c>
      <c r="E85" s="1" t="s">
        <v>125</v>
      </c>
      <c r="F85" s="1" t="s">
        <v>14</v>
      </c>
      <c r="G85" s="1">
        <v>44731015.700000003</v>
      </c>
      <c r="H85" s="1">
        <v>3217946</v>
      </c>
      <c r="I85" s="1">
        <v>909562</v>
      </c>
      <c r="J85" s="1" t="s">
        <v>14</v>
      </c>
      <c r="K85" s="1">
        <v>47039399.700000003</v>
      </c>
    </row>
    <row r="86" spans="1:11" x14ac:dyDescent="0.25">
      <c r="A86" s="1" t="s">
        <v>11</v>
      </c>
      <c r="B86" s="1" t="s">
        <v>12</v>
      </c>
      <c r="C86" s="1" t="s">
        <v>26</v>
      </c>
      <c r="D86" s="1" t="s">
        <v>160</v>
      </c>
      <c r="E86" s="1" t="s">
        <v>127</v>
      </c>
      <c r="F86" s="1" t="s">
        <v>14</v>
      </c>
      <c r="G86" s="1">
        <v>4464765</v>
      </c>
      <c r="H86" s="1">
        <v>0</v>
      </c>
      <c r="I86" s="1">
        <v>0</v>
      </c>
      <c r="J86" s="1" t="s">
        <v>14</v>
      </c>
      <c r="K86" s="1">
        <v>4464765</v>
      </c>
    </row>
    <row r="87" spans="1:11" x14ac:dyDescent="0.25">
      <c r="A87" s="1" t="s">
        <v>11</v>
      </c>
      <c r="B87" s="1" t="s">
        <v>12</v>
      </c>
      <c r="C87" s="1" t="s">
        <v>26</v>
      </c>
      <c r="D87" s="1" t="s">
        <v>161</v>
      </c>
      <c r="E87" s="1" t="s">
        <v>129</v>
      </c>
      <c r="F87" s="1" t="s">
        <v>14</v>
      </c>
      <c r="G87" s="1">
        <v>121568161</v>
      </c>
      <c r="H87" s="1">
        <v>5932691</v>
      </c>
      <c r="I87" s="1">
        <v>13815419</v>
      </c>
      <c r="J87" s="1" t="s">
        <v>14</v>
      </c>
      <c r="K87" s="1">
        <v>113685433</v>
      </c>
    </row>
    <row r="88" spans="1:11" x14ac:dyDescent="0.25">
      <c r="A88" s="1" t="s">
        <v>11</v>
      </c>
      <c r="B88" s="1" t="s">
        <v>12</v>
      </c>
      <c r="C88" s="1" t="s">
        <v>23</v>
      </c>
      <c r="D88" s="1" t="s">
        <v>162</v>
      </c>
      <c r="E88" s="1" t="s">
        <v>163</v>
      </c>
      <c r="F88" s="1" t="s">
        <v>14</v>
      </c>
      <c r="G88" s="1">
        <v>472654259.5</v>
      </c>
      <c r="H88" s="1">
        <v>126404000</v>
      </c>
      <c r="I88" s="1">
        <v>30918079</v>
      </c>
      <c r="J88" s="1" t="s">
        <v>14</v>
      </c>
      <c r="K88" s="1">
        <v>568140180.5</v>
      </c>
    </row>
    <row r="89" spans="1:11" x14ac:dyDescent="0.25">
      <c r="A89" s="1" t="s">
        <v>11</v>
      </c>
      <c r="B89" s="1" t="s">
        <v>12</v>
      </c>
      <c r="C89" s="1" t="s">
        <v>26</v>
      </c>
      <c r="D89" s="1" t="s">
        <v>164</v>
      </c>
      <c r="E89" s="1" t="s">
        <v>112</v>
      </c>
      <c r="F89" s="1" t="s">
        <v>14</v>
      </c>
      <c r="G89" s="1">
        <v>373343421</v>
      </c>
      <c r="H89" s="1">
        <v>124192097</v>
      </c>
      <c r="I89" s="1">
        <v>21486000</v>
      </c>
      <c r="J89" s="1" t="s">
        <v>14</v>
      </c>
      <c r="K89" s="1">
        <v>476049518</v>
      </c>
    </row>
    <row r="90" spans="1:11" x14ac:dyDescent="0.25">
      <c r="A90" s="1" t="s">
        <v>11</v>
      </c>
      <c r="B90" s="1" t="s">
        <v>12</v>
      </c>
      <c r="C90" s="1" t="s">
        <v>26</v>
      </c>
      <c r="D90" s="1" t="s">
        <v>165</v>
      </c>
      <c r="E90" s="1" t="s">
        <v>114</v>
      </c>
      <c r="F90" s="1" t="s">
        <v>14</v>
      </c>
      <c r="G90" s="1">
        <v>12800563</v>
      </c>
      <c r="H90" s="1">
        <v>1112003</v>
      </c>
      <c r="I90" s="1">
        <v>563732</v>
      </c>
      <c r="J90" s="1" t="s">
        <v>14</v>
      </c>
      <c r="K90" s="1">
        <v>13348834</v>
      </c>
    </row>
    <row r="91" spans="1:11" x14ac:dyDescent="0.25">
      <c r="A91" s="1" t="s">
        <v>11</v>
      </c>
      <c r="B91" s="1" t="s">
        <v>12</v>
      </c>
      <c r="C91" s="1" t="s">
        <v>26</v>
      </c>
      <c r="D91" s="1" t="s">
        <v>166</v>
      </c>
      <c r="E91" s="1" t="s">
        <v>97</v>
      </c>
      <c r="F91" s="1" t="s">
        <v>14</v>
      </c>
      <c r="G91" s="1">
        <v>15166584</v>
      </c>
      <c r="H91" s="1">
        <v>0</v>
      </c>
      <c r="I91" s="1">
        <v>106697</v>
      </c>
      <c r="J91" s="1" t="s">
        <v>14</v>
      </c>
      <c r="K91" s="1">
        <v>15059887</v>
      </c>
    </row>
    <row r="92" spans="1:11" x14ac:dyDescent="0.25">
      <c r="A92" s="1" t="s">
        <v>11</v>
      </c>
      <c r="B92" s="1" t="s">
        <v>12</v>
      </c>
      <c r="C92" s="1" t="s">
        <v>26</v>
      </c>
      <c r="D92" s="1" t="s">
        <v>167</v>
      </c>
      <c r="E92" s="1" t="s">
        <v>119</v>
      </c>
      <c r="F92" s="1" t="s">
        <v>14</v>
      </c>
      <c r="G92" s="1">
        <v>70078407.5</v>
      </c>
      <c r="H92" s="1">
        <v>0</v>
      </c>
      <c r="I92" s="1">
        <v>8200546</v>
      </c>
      <c r="J92" s="1" t="s">
        <v>14</v>
      </c>
      <c r="K92" s="1">
        <v>61877861.5</v>
      </c>
    </row>
    <row r="93" spans="1:11" x14ac:dyDescent="0.25">
      <c r="A93" s="1" t="s">
        <v>11</v>
      </c>
      <c r="B93" s="1" t="s">
        <v>12</v>
      </c>
      <c r="C93" s="1" t="s">
        <v>26</v>
      </c>
      <c r="D93" s="1" t="s">
        <v>168</v>
      </c>
      <c r="E93" s="1" t="s">
        <v>121</v>
      </c>
      <c r="F93" s="1" t="s">
        <v>14</v>
      </c>
      <c r="G93" s="1">
        <v>0</v>
      </c>
      <c r="H93" s="1">
        <v>1099900</v>
      </c>
      <c r="I93" s="1">
        <v>0</v>
      </c>
      <c r="J93" s="1" t="s">
        <v>14</v>
      </c>
      <c r="K93" s="1">
        <v>1099900</v>
      </c>
    </row>
    <row r="94" spans="1:11" x14ac:dyDescent="0.25">
      <c r="A94" s="1" t="s">
        <v>11</v>
      </c>
      <c r="B94" s="1" t="s">
        <v>12</v>
      </c>
      <c r="C94" s="1" t="s">
        <v>26</v>
      </c>
      <c r="D94" s="1" t="s">
        <v>169</v>
      </c>
      <c r="E94" s="1" t="s">
        <v>123</v>
      </c>
      <c r="F94" s="1" t="s">
        <v>14</v>
      </c>
      <c r="G94" s="1">
        <v>422447</v>
      </c>
      <c r="H94" s="1">
        <v>0</v>
      </c>
      <c r="I94" s="1">
        <v>0</v>
      </c>
      <c r="J94" s="1" t="s">
        <v>14</v>
      </c>
      <c r="K94" s="1">
        <v>422447</v>
      </c>
    </row>
    <row r="95" spans="1:11" x14ac:dyDescent="0.25">
      <c r="A95" s="1" t="s">
        <v>11</v>
      </c>
      <c r="B95" s="1" t="s">
        <v>12</v>
      </c>
      <c r="C95" s="1" t="s">
        <v>26</v>
      </c>
      <c r="D95" s="1" t="s">
        <v>170</v>
      </c>
      <c r="E95" s="1" t="s">
        <v>129</v>
      </c>
      <c r="F95" s="1" t="s">
        <v>14</v>
      </c>
      <c r="G95" s="1">
        <v>842837</v>
      </c>
      <c r="H95" s="1">
        <v>0</v>
      </c>
      <c r="I95" s="1">
        <v>561104</v>
      </c>
      <c r="J95" s="1" t="s">
        <v>14</v>
      </c>
      <c r="K95" s="1">
        <v>281733</v>
      </c>
    </row>
    <row r="96" spans="1:11" x14ac:dyDescent="0.25">
      <c r="A96" s="1" t="s">
        <v>11</v>
      </c>
      <c r="B96" s="1" t="s">
        <v>12</v>
      </c>
      <c r="C96" s="1" t="s">
        <v>23</v>
      </c>
      <c r="D96" s="1" t="s">
        <v>171</v>
      </c>
      <c r="E96" s="1" t="s">
        <v>172</v>
      </c>
      <c r="F96" s="1" t="s">
        <v>173</v>
      </c>
      <c r="G96" s="1">
        <v>2271009100.4000001</v>
      </c>
      <c r="H96" s="1">
        <v>584562.71</v>
      </c>
      <c r="I96" s="1">
        <v>0</v>
      </c>
      <c r="J96" s="1" t="s">
        <v>173</v>
      </c>
      <c r="K96" s="1">
        <v>2270424537.6900001</v>
      </c>
    </row>
    <row r="97" spans="1:11" x14ac:dyDescent="0.25">
      <c r="A97" s="1" t="s">
        <v>11</v>
      </c>
      <c r="B97" s="1" t="s">
        <v>12</v>
      </c>
      <c r="C97" s="1" t="s">
        <v>26</v>
      </c>
      <c r="D97" s="1" t="s">
        <v>174</v>
      </c>
      <c r="E97" s="1" t="s">
        <v>112</v>
      </c>
      <c r="F97" s="1" t="s">
        <v>173</v>
      </c>
      <c r="G97" s="1">
        <v>369355595.73000002</v>
      </c>
      <c r="H97" s="1">
        <v>584562.71</v>
      </c>
      <c r="I97" s="1">
        <v>0</v>
      </c>
      <c r="J97" s="1" t="s">
        <v>173</v>
      </c>
      <c r="K97" s="1">
        <v>368771033.01999998</v>
      </c>
    </row>
    <row r="98" spans="1:11" x14ac:dyDescent="0.25">
      <c r="A98" s="1" t="s">
        <v>11</v>
      </c>
      <c r="B98" s="1" t="s">
        <v>12</v>
      </c>
      <c r="C98" s="1" t="s">
        <v>26</v>
      </c>
      <c r="D98" s="1" t="s">
        <v>175</v>
      </c>
      <c r="E98" s="1" t="s">
        <v>114</v>
      </c>
      <c r="F98" s="1" t="s">
        <v>173</v>
      </c>
      <c r="G98" s="1">
        <v>45661261.880000003</v>
      </c>
      <c r="H98" s="1">
        <v>0</v>
      </c>
      <c r="I98" s="1">
        <v>0</v>
      </c>
      <c r="J98" s="1" t="s">
        <v>173</v>
      </c>
      <c r="K98" s="1">
        <v>45661261.880000003</v>
      </c>
    </row>
    <row r="99" spans="1:11" x14ac:dyDescent="0.25">
      <c r="A99" s="1" t="s">
        <v>11</v>
      </c>
      <c r="B99" s="1" t="s">
        <v>12</v>
      </c>
      <c r="C99" s="1" t="s">
        <v>26</v>
      </c>
      <c r="D99" s="1" t="s">
        <v>176</v>
      </c>
      <c r="E99" s="1" t="s">
        <v>116</v>
      </c>
      <c r="F99" s="1" t="s">
        <v>173</v>
      </c>
      <c r="G99" s="1">
        <v>1809210549.47</v>
      </c>
      <c r="H99" s="1">
        <v>0</v>
      </c>
      <c r="I99" s="1">
        <v>0</v>
      </c>
      <c r="J99" s="1" t="s">
        <v>173</v>
      </c>
      <c r="K99" s="1">
        <v>1809210549.47</v>
      </c>
    </row>
    <row r="100" spans="1:11" x14ac:dyDescent="0.25">
      <c r="A100" s="1" t="s">
        <v>11</v>
      </c>
      <c r="B100" s="1" t="s">
        <v>12</v>
      </c>
      <c r="C100" s="1" t="s">
        <v>26</v>
      </c>
      <c r="D100" s="1" t="s">
        <v>177</v>
      </c>
      <c r="E100" s="1" t="s">
        <v>119</v>
      </c>
      <c r="F100" s="1" t="s">
        <v>173</v>
      </c>
      <c r="G100" s="1">
        <v>292045</v>
      </c>
      <c r="H100" s="1">
        <v>0</v>
      </c>
      <c r="I100" s="1">
        <v>0</v>
      </c>
      <c r="J100" s="1" t="s">
        <v>173</v>
      </c>
      <c r="K100" s="1">
        <v>292045</v>
      </c>
    </row>
    <row r="101" spans="1:11" x14ac:dyDescent="0.25">
      <c r="A101" s="1" t="s">
        <v>11</v>
      </c>
      <c r="B101" s="1" t="s">
        <v>12</v>
      </c>
      <c r="C101" s="1" t="s">
        <v>26</v>
      </c>
      <c r="D101" s="1" t="s">
        <v>178</v>
      </c>
      <c r="E101" s="1" t="s">
        <v>144</v>
      </c>
      <c r="F101" s="1" t="s">
        <v>173</v>
      </c>
      <c r="G101" s="1">
        <v>30224441.91</v>
      </c>
      <c r="H101" s="1">
        <v>0</v>
      </c>
      <c r="I101" s="1">
        <v>0</v>
      </c>
      <c r="J101" s="1" t="s">
        <v>173</v>
      </c>
      <c r="K101" s="1">
        <v>30224441.91</v>
      </c>
    </row>
    <row r="102" spans="1:11" x14ac:dyDescent="0.25">
      <c r="A102" s="1" t="s">
        <v>11</v>
      </c>
      <c r="B102" s="1" t="s">
        <v>12</v>
      </c>
      <c r="C102" s="1" t="s">
        <v>26</v>
      </c>
      <c r="D102" s="1" t="s">
        <v>179</v>
      </c>
      <c r="E102" s="1" t="s">
        <v>180</v>
      </c>
      <c r="F102" s="1" t="s">
        <v>173</v>
      </c>
      <c r="G102" s="1">
        <v>2452075.4500000002</v>
      </c>
      <c r="H102" s="1">
        <v>0</v>
      </c>
      <c r="I102" s="1">
        <v>0</v>
      </c>
      <c r="J102" s="1" t="s">
        <v>173</v>
      </c>
      <c r="K102" s="1">
        <v>2452075.4500000002</v>
      </c>
    </row>
    <row r="103" spans="1:11" x14ac:dyDescent="0.25">
      <c r="A103" s="1" t="s">
        <v>11</v>
      </c>
      <c r="B103" s="1" t="s">
        <v>12</v>
      </c>
      <c r="C103" s="1" t="s">
        <v>26</v>
      </c>
      <c r="D103" s="1" t="s">
        <v>181</v>
      </c>
      <c r="E103" s="1" t="s">
        <v>125</v>
      </c>
      <c r="F103" s="1" t="s">
        <v>173</v>
      </c>
      <c r="G103" s="1">
        <v>13813130.960000001</v>
      </c>
      <c r="H103" s="1">
        <v>0</v>
      </c>
      <c r="I103" s="1">
        <v>0</v>
      </c>
      <c r="J103" s="1" t="s">
        <v>173</v>
      </c>
      <c r="K103" s="1">
        <v>13813130.960000001</v>
      </c>
    </row>
    <row r="104" spans="1:11" x14ac:dyDescent="0.25">
      <c r="A104" s="1" t="s">
        <v>11</v>
      </c>
      <c r="B104" s="1" t="s">
        <v>12</v>
      </c>
      <c r="C104" s="1" t="s">
        <v>18</v>
      </c>
      <c r="D104" s="1" t="s">
        <v>182</v>
      </c>
      <c r="E104" s="1" t="s">
        <v>183</v>
      </c>
      <c r="F104" s="1" t="s">
        <v>14</v>
      </c>
      <c r="G104" s="1">
        <v>1004576452</v>
      </c>
      <c r="H104" s="1">
        <v>23801971</v>
      </c>
      <c r="I104" s="1">
        <v>1002466155</v>
      </c>
      <c r="J104" s="1" t="s">
        <v>14</v>
      </c>
      <c r="K104" s="1">
        <v>25912268</v>
      </c>
    </row>
    <row r="105" spans="1:11" x14ac:dyDescent="0.25">
      <c r="A105" s="1" t="s">
        <v>11</v>
      </c>
      <c r="B105" s="1" t="s">
        <v>12</v>
      </c>
      <c r="C105" s="1" t="s">
        <v>21</v>
      </c>
      <c r="D105" s="1" t="s">
        <v>184</v>
      </c>
      <c r="E105" s="1" t="s">
        <v>185</v>
      </c>
      <c r="F105" s="1" t="s">
        <v>14</v>
      </c>
      <c r="G105" s="1">
        <v>1004576452</v>
      </c>
      <c r="H105" s="1">
        <v>23801971</v>
      </c>
      <c r="I105" s="1">
        <v>1002466155</v>
      </c>
      <c r="J105" s="1" t="s">
        <v>14</v>
      </c>
      <c r="K105" s="1">
        <v>25912268</v>
      </c>
    </row>
    <row r="106" spans="1:11" x14ac:dyDescent="0.25">
      <c r="A106" s="1" t="s">
        <v>11</v>
      </c>
      <c r="B106" s="1" t="s">
        <v>12</v>
      </c>
      <c r="C106" s="1" t="s">
        <v>23</v>
      </c>
      <c r="D106" s="1" t="s">
        <v>186</v>
      </c>
      <c r="E106" s="1" t="s">
        <v>187</v>
      </c>
      <c r="F106" s="1" t="s">
        <v>14</v>
      </c>
      <c r="G106" s="1">
        <v>1000057190</v>
      </c>
      <c r="H106" s="1">
        <v>2408965</v>
      </c>
      <c r="I106" s="1">
        <v>1002466155</v>
      </c>
      <c r="J106" s="1" t="s">
        <v>14</v>
      </c>
      <c r="K106" s="1">
        <v>0</v>
      </c>
    </row>
    <row r="107" spans="1:11" x14ac:dyDescent="0.25">
      <c r="A107" s="1" t="s">
        <v>11</v>
      </c>
      <c r="B107" s="1" t="s">
        <v>12</v>
      </c>
      <c r="C107" s="1" t="s">
        <v>26</v>
      </c>
      <c r="D107" s="1" t="s">
        <v>188</v>
      </c>
      <c r="E107" s="1" t="s">
        <v>189</v>
      </c>
      <c r="F107" s="1" t="s">
        <v>14</v>
      </c>
      <c r="G107" s="1">
        <v>0</v>
      </c>
      <c r="H107" s="1">
        <v>1659133</v>
      </c>
      <c r="I107" s="1">
        <v>1659133</v>
      </c>
      <c r="J107" s="1" t="s">
        <v>14</v>
      </c>
      <c r="K107" s="1">
        <v>0</v>
      </c>
    </row>
    <row r="108" spans="1:11" x14ac:dyDescent="0.25">
      <c r="A108" s="1" t="s">
        <v>11</v>
      </c>
      <c r="B108" s="1" t="s">
        <v>12</v>
      </c>
      <c r="C108" s="1" t="s">
        <v>26</v>
      </c>
      <c r="D108" s="1" t="s">
        <v>190</v>
      </c>
      <c r="E108" s="1" t="s">
        <v>191</v>
      </c>
      <c r="F108" s="1" t="s">
        <v>14</v>
      </c>
      <c r="G108" s="1">
        <v>1000057190</v>
      </c>
      <c r="H108" s="1">
        <v>0</v>
      </c>
      <c r="I108" s="1">
        <v>1000057190</v>
      </c>
      <c r="J108" s="1" t="s">
        <v>14</v>
      </c>
      <c r="K108" s="1">
        <v>0</v>
      </c>
    </row>
    <row r="109" spans="1:11" x14ac:dyDescent="0.25">
      <c r="A109" s="1" t="s">
        <v>11</v>
      </c>
      <c r="B109" s="1" t="s">
        <v>12</v>
      </c>
      <c r="C109" s="1" t="s">
        <v>26</v>
      </c>
      <c r="D109" s="1" t="s">
        <v>192</v>
      </c>
      <c r="E109" s="1" t="s">
        <v>193</v>
      </c>
      <c r="F109" s="1" t="s">
        <v>14</v>
      </c>
      <c r="G109" s="1">
        <v>0</v>
      </c>
      <c r="H109" s="1">
        <v>749832</v>
      </c>
      <c r="I109" s="1">
        <v>749832</v>
      </c>
      <c r="J109" s="1" t="s">
        <v>14</v>
      </c>
      <c r="K109" s="1">
        <v>0</v>
      </c>
    </row>
    <row r="110" spans="1:11" x14ac:dyDescent="0.25">
      <c r="A110" s="1" t="s">
        <v>11</v>
      </c>
      <c r="B110" s="1" t="s">
        <v>12</v>
      </c>
      <c r="C110" s="1" t="s">
        <v>23</v>
      </c>
      <c r="D110" s="1" t="s">
        <v>194</v>
      </c>
      <c r="E110" s="1" t="s">
        <v>195</v>
      </c>
      <c r="F110" s="1" t="s">
        <v>14</v>
      </c>
      <c r="G110" s="1">
        <v>0</v>
      </c>
      <c r="H110" s="1">
        <v>21393006</v>
      </c>
      <c r="I110" s="1">
        <v>0</v>
      </c>
      <c r="J110" s="1" t="s">
        <v>14</v>
      </c>
      <c r="K110" s="1">
        <v>21393006</v>
      </c>
    </row>
    <row r="111" spans="1:11" x14ac:dyDescent="0.25">
      <c r="A111" s="1" t="s">
        <v>11</v>
      </c>
      <c r="B111" s="1" t="s">
        <v>12</v>
      </c>
      <c r="C111" s="1" t="s">
        <v>26</v>
      </c>
      <c r="D111" s="1" t="s">
        <v>196</v>
      </c>
      <c r="E111" s="1" t="s">
        <v>197</v>
      </c>
      <c r="F111" s="1" t="s">
        <v>14</v>
      </c>
      <c r="G111" s="1">
        <v>0</v>
      </c>
      <c r="H111" s="1">
        <v>21393006</v>
      </c>
      <c r="I111" s="1">
        <v>0</v>
      </c>
      <c r="J111" s="1" t="s">
        <v>14</v>
      </c>
      <c r="K111" s="1">
        <v>21393006</v>
      </c>
    </row>
    <row r="112" spans="1:11" x14ac:dyDescent="0.25">
      <c r="A112" s="1" t="s">
        <v>11</v>
      </c>
      <c r="B112" s="1" t="s">
        <v>12</v>
      </c>
      <c r="C112" s="1" t="s">
        <v>23</v>
      </c>
      <c r="D112" s="1" t="s">
        <v>198</v>
      </c>
      <c r="E112" s="1" t="s">
        <v>199</v>
      </c>
      <c r="F112" s="1" t="s">
        <v>14</v>
      </c>
      <c r="G112" s="1">
        <v>4519262</v>
      </c>
      <c r="H112" s="1">
        <v>0</v>
      </c>
      <c r="I112" s="1">
        <v>0</v>
      </c>
      <c r="J112" s="1" t="s">
        <v>14</v>
      </c>
      <c r="K112" s="1">
        <v>4519262</v>
      </c>
    </row>
    <row r="113" spans="1:11" x14ac:dyDescent="0.25">
      <c r="A113" s="1" t="s">
        <v>11</v>
      </c>
      <c r="B113" s="1" t="s">
        <v>12</v>
      </c>
      <c r="C113" s="1" t="s">
        <v>26</v>
      </c>
      <c r="D113" s="1" t="s">
        <v>200</v>
      </c>
      <c r="E113" s="1" t="s">
        <v>193</v>
      </c>
      <c r="F113" s="1" t="s">
        <v>14</v>
      </c>
      <c r="G113" s="1">
        <v>4519262</v>
      </c>
      <c r="H113" s="1">
        <v>0</v>
      </c>
      <c r="I113" s="1">
        <v>0</v>
      </c>
      <c r="J113" s="1" t="s">
        <v>14</v>
      </c>
      <c r="K113" s="1">
        <v>4519262</v>
      </c>
    </row>
    <row r="114" spans="1:11" x14ac:dyDescent="0.25">
      <c r="A114" s="1" t="s">
        <v>11</v>
      </c>
      <c r="B114" s="1" t="s">
        <v>12</v>
      </c>
      <c r="C114" s="1" t="s">
        <v>18</v>
      </c>
      <c r="D114" s="1" t="s">
        <v>201</v>
      </c>
      <c r="E114" s="1" t="s">
        <v>202</v>
      </c>
      <c r="F114" s="1" t="s">
        <v>14</v>
      </c>
      <c r="G114" s="1">
        <v>190218356</v>
      </c>
      <c r="H114" s="1">
        <v>30167121</v>
      </c>
      <c r="I114" s="1">
        <v>10790115</v>
      </c>
      <c r="J114" s="1" t="s">
        <v>14</v>
      </c>
      <c r="K114" s="1">
        <v>209595362</v>
      </c>
    </row>
    <row r="115" spans="1:11" x14ac:dyDescent="0.25">
      <c r="A115" s="1" t="s">
        <v>11</v>
      </c>
      <c r="B115" s="1" t="s">
        <v>12</v>
      </c>
      <c r="C115" s="1" t="s">
        <v>21</v>
      </c>
      <c r="D115" s="1" t="s">
        <v>203</v>
      </c>
      <c r="E115" s="1" t="s">
        <v>202</v>
      </c>
      <c r="F115" s="1" t="s">
        <v>14</v>
      </c>
      <c r="G115" s="1">
        <v>190218356</v>
      </c>
      <c r="H115" s="1">
        <v>30167121</v>
      </c>
      <c r="I115" s="1">
        <v>10790115</v>
      </c>
      <c r="J115" s="1" t="s">
        <v>14</v>
      </c>
      <c r="K115" s="1">
        <v>209595362</v>
      </c>
    </row>
    <row r="116" spans="1:11" x14ac:dyDescent="0.25">
      <c r="A116" s="1" t="s">
        <v>11</v>
      </c>
      <c r="B116" s="1" t="s">
        <v>12</v>
      </c>
      <c r="C116" s="1" t="s">
        <v>23</v>
      </c>
      <c r="D116" s="1" t="s">
        <v>204</v>
      </c>
      <c r="E116" s="1" t="s">
        <v>202</v>
      </c>
      <c r="F116" s="1" t="s">
        <v>14</v>
      </c>
      <c r="G116" s="1">
        <v>190218356</v>
      </c>
      <c r="H116" s="1">
        <v>30167121</v>
      </c>
      <c r="I116" s="1">
        <v>10790115</v>
      </c>
      <c r="J116" s="1" t="s">
        <v>14</v>
      </c>
      <c r="K116" s="1">
        <v>209595362</v>
      </c>
    </row>
    <row r="117" spans="1:11" x14ac:dyDescent="0.25">
      <c r="A117" s="1" t="s">
        <v>11</v>
      </c>
      <c r="B117" s="1" t="s">
        <v>12</v>
      </c>
      <c r="C117" s="1" t="s">
        <v>26</v>
      </c>
      <c r="D117" s="1" t="s">
        <v>205</v>
      </c>
      <c r="E117" s="1" t="s">
        <v>206</v>
      </c>
      <c r="F117" s="1" t="s">
        <v>14</v>
      </c>
      <c r="G117" s="1">
        <v>190218356</v>
      </c>
      <c r="H117" s="1">
        <v>30167121</v>
      </c>
      <c r="I117" s="1">
        <v>10790115</v>
      </c>
      <c r="J117" s="1" t="s">
        <v>14</v>
      </c>
      <c r="K117" s="1">
        <v>209595362</v>
      </c>
    </row>
    <row r="118" spans="1:11" x14ac:dyDescent="0.25">
      <c r="A118" s="1" t="s">
        <v>11</v>
      </c>
      <c r="B118" s="1" t="s">
        <v>12</v>
      </c>
      <c r="C118" s="1" t="s">
        <v>23</v>
      </c>
      <c r="D118" s="1" t="s">
        <v>207</v>
      </c>
      <c r="E118" s="1" t="s">
        <v>208</v>
      </c>
      <c r="F118" s="1" t="s">
        <v>14</v>
      </c>
      <c r="G118" s="1">
        <v>242066638.19</v>
      </c>
      <c r="H118" s="1">
        <v>0</v>
      </c>
      <c r="I118" s="1">
        <v>0</v>
      </c>
      <c r="J118" s="1" t="s">
        <v>14</v>
      </c>
      <c r="K118" s="1">
        <v>242066638.19</v>
      </c>
    </row>
    <row r="119" spans="1:11" x14ac:dyDescent="0.25">
      <c r="A119" s="1" t="s">
        <v>11</v>
      </c>
      <c r="B119" s="1" t="s">
        <v>12</v>
      </c>
      <c r="C119" s="1" t="s">
        <v>26</v>
      </c>
      <c r="D119" s="1" t="s">
        <v>209</v>
      </c>
      <c r="E119" s="1" t="s">
        <v>210</v>
      </c>
      <c r="F119" s="1" t="s">
        <v>14</v>
      </c>
      <c r="G119" s="1">
        <v>242066638.19</v>
      </c>
      <c r="H119" s="1">
        <v>0</v>
      </c>
      <c r="I119" s="1">
        <v>0</v>
      </c>
      <c r="J119" s="1" t="s">
        <v>14</v>
      </c>
      <c r="K119" s="1">
        <v>242066638.19</v>
      </c>
    </row>
    <row r="120" spans="1:11" x14ac:dyDescent="0.25">
      <c r="A120" s="1" t="s">
        <v>11</v>
      </c>
      <c r="B120" s="1" t="s">
        <v>12</v>
      </c>
      <c r="C120" s="1" t="s">
        <v>23</v>
      </c>
      <c r="D120" s="1" t="s">
        <v>211</v>
      </c>
      <c r="E120" s="1" t="s">
        <v>212</v>
      </c>
      <c r="F120" s="1" t="s">
        <v>173</v>
      </c>
      <c r="G120" s="1">
        <v>242066638.19</v>
      </c>
      <c r="H120" s="1">
        <v>0</v>
      </c>
      <c r="I120" s="1">
        <v>0</v>
      </c>
      <c r="J120" s="1" t="s">
        <v>173</v>
      </c>
      <c r="K120" s="1">
        <v>242066638.19</v>
      </c>
    </row>
    <row r="121" spans="1:11" x14ac:dyDescent="0.25">
      <c r="A121" s="1" t="s">
        <v>11</v>
      </c>
      <c r="B121" s="1" t="s">
        <v>12</v>
      </c>
      <c r="C121" s="1" t="s">
        <v>26</v>
      </c>
      <c r="D121" s="1" t="s">
        <v>213</v>
      </c>
      <c r="E121" s="1" t="s">
        <v>214</v>
      </c>
      <c r="F121" s="1" t="s">
        <v>173</v>
      </c>
      <c r="G121" s="1">
        <v>242066638.19</v>
      </c>
      <c r="H121" s="1">
        <v>0</v>
      </c>
      <c r="I121" s="1">
        <v>0</v>
      </c>
      <c r="J121" s="1" t="s">
        <v>173</v>
      </c>
      <c r="K121" s="1">
        <v>242066638.19</v>
      </c>
    </row>
    <row r="122" spans="1:11" x14ac:dyDescent="0.25">
      <c r="A122" s="1" t="s">
        <v>11</v>
      </c>
      <c r="B122" s="1" t="s">
        <v>12</v>
      </c>
      <c r="C122" s="1" t="s">
        <v>18</v>
      </c>
      <c r="D122" s="1" t="s">
        <v>215</v>
      </c>
      <c r="E122" s="1" t="s">
        <v>216</v>
      </c>
      <c r="F122" s="1" t="s">
        <v>14</v>
      </c>
      <c r="G122" s="1">
        <v>1398870</v>
      </c>
      <c r="H122" s="1">
        <v>10770</v>
      </c>
      <c r="I122" s="1">
        <v>0</v>
      </c>
      <c r="J122" s="1" t="s">
        <v>14</v>
      </c>
      <c r="K122" s="1">
        <v>1409640</v>
      </c>
    </row>
    <row r="123" spans="1:11" x14ac:dyDescent="0.25">
      <c r="A123" s="1" t="s">
        <v>11</v>
      </c>
      <c r="B123" s="1" t="s">
        <v>12</v>
      </c>
      <c r="C123" s="1" t="s">
        <v>21</v>
      </c>
      <c r="D123" s="1" t="s">
        <v>217</v>
      </c>
      <c r="E123" s="1" t="s">
        <v>216</v>
      </c>
      <c r="F123" s="1" t="s">
        <v>14</v>
      </c>
      <c r="G123" s="1">
        <v>1398870</v>
      </c>
      <c r="H123" s="1">
        <v>10770</v>
      </c>
      <c r="I123" s="1">
        <v>0</v>
      </c>
      <c r="J123" s="1" t="s">
        <v>14</v>
      </c>
      <c r="K123" s="1">
        <v>1409640</v>
      </c>
    </row>
    <row r="124" spans="1:11" x14ac:dyDescent="0.25">
      <c r="A124" s="1" t="s">
        <v>11</v>
      </c>
      <c r="B124" s="1" t="s">
        <v>12</v>
      </c>
      <c r="C124" s="1" t="s">
        <v>23</v>
      </c>
      <c r="D124" s="1" t="s">
        <v>218</v>
      </c>
      <c r="E124" s="1" t="s">
        <v>216</v>
      </c>
      <c r="F124" s="1" t="s">
        <v>14</v>
      </c>
      <c r="G124" s="1">
        <v>1398870</v>
      </c>
      <c r="H124" s="1">
        <v>10770</v>
      </c>
      <c r="I124" s="1">
        <v>0</v>
      </c>
      <c r="J124" s="1" t="s">
        <v>14</v>
      </c>
      <c r="K124" s="1">
        <v>1409640</v>
      </c>
    </row>
    <row r="125" spans="1:11" x14ac:dyDescent="0.25">
      <c r="A125" s="1" t="s">
        <v>11</v>
      </c>
      <c r="B125" s="1" t="s">
        <v>12</v>
      </c>
      <c r="C125" s="1" t="s">
        <v>26</v>
      </c>
      <c r="D125" s="1" t="s">
        <v>219</v>
      </c>
      <c r="E125" s="1" t="s">
        <v>216</v>
      </c>
      <c r="F125" s="1" t="s">
        <v>14</v>
      </c>
      <c r="G125" s="1">
        <v>1398870</v>
      </c>
      <c r="H125" s="1">
        <v>10770</v>
      </c>
      <c r="I125" s="1">
        <v>0</v>
      </c>
      <c r="J125" s="1" t="s">
        <v>14</v>
      </c>
      <c r="K125" s="1">
        <v>1409640</v>
      </c>
    </row>
    <row r="126" spans="1:11" x14ac:dyDescent="0.25">
      <c r="A126" s="1" t="s">
        <v>11</v>
      </c>
      <c r="B126" s="1" t="s">
        <v>12</v>
      </c>
      <c r="C126" s="1" t="s">
        <v>18</v>
      </c>
      <c r="D126" s="1" t="s">
        <v>220</v>
      </c>
      <c r="E126" s="1" t="s">
        <v>221</v>
      </c>
      <c r="F126" s="1" t="s">
        <v>14</v>
      </c>
      <c r="G126" s="1">
        <v>144161662.50999999</v>
      </c>
      <c r="H126" s="1">
        <v>17039435.16</v>
      </c>
      <c r="I126" s="1">
        <v>40990109</v>
      </c>
      <c r="J126" s="1" t="s">
        <v>14</v>
      </c>
      <c r="K126" s="1">
        <v>120210988.67</v>
      </c>
    </row>
    <row r="127" spans="1:11" x14ac:dyDescent="0.25">
      <c r="A127" s="1" t="s">
        <v>11</v>
      </c>
      <c r="B127" s="1" t="s">
        <v>12</v>
      </c>
      <c r="C127" s="1" t="s">
        <v>21</v>
      </c>
      <c r="D127" s="1" t="s">
        <v>222</v>
      </c>
      <c r="E127" s="1" t="s">
        <v>221</v>
      </c>
      <c r="F127" s="1" t="s">
        <v>14</v>
      </c>
      <c r="G127" s="1">
        <v>144161662.50999999</v>
      </c>
      <c r="H127" s="1">
        <v>17039435.16</v>
      </c>
      <c r="I127" s="1">
        <v>40990109</v>
      </c>
      <c r="J127" s="1" t="s">
        <v>14</v>
      </c>
      <c r="K127" s="1">
        <v>120210988.67</v>
      </c>
    </row>
    <row r="128" spans="1:11" x14ac:dyDescent="0.25">
      <c r="A128" s="1" t="s">
        <v>11</v>
      </c>
      <c r="B128" s="1" t="s">
        <v>12</v>
      </c>
      <c r="C128" s="1" t="s">
        <v>23</v>
      </c>
      <c r="D128" s="1" t="s">
        <v>223</v>
      </c>
      <c r="E128" s="1" t="s">
        <v>224</v>
      </c>
      <c r="F128" s="1" t="s">
        <v>14</v>
      </c>
      <c r="G128" s="1">
        <v>115817470</v>
      </c>
      <c r="H128" s="1">
        <v>8133646</v>
      </c>
      <c r="I128" s="1">
        <v>28076708</v>
      </c>
      <c r="J128" s="1" t="s">
        <v>14</v>
      </c>
      <c r="K128" s="1">
        <v>95874408</v>
      </c>
    </row>
    <row r="129" spans="1:11" x14ac:dyDescent="0.25">
      <c r="A129" s="1" t="s">
        <v>11</v>
      </c>
      <c r="B129" s="1" t="s">
        <v>12</v>
      </c>
      <c r="C129" s="1" t="s">
        <v>26</v>
      </c>
      <c r="D129" s="1" t="s">
        <v>225</v>
      </c>
      <c r="E129" s="1" t="s">
        <v>224</v>
      </c>
      <c r="F129" s="1" t="s">
        <v>14</v>
      </c>
      <c r="G129" s="1">
        <v>115817470</v>
      </c>
      <c r="H129" s="1">
        <v>8133646</v>
      </c>
      <c r="I129" s="1">
        <v>28076708</v>
      </c>
      <c r="J129" s="1" t="s">
        <v>14</v>
      </c>
      <c r="K129" s="1">
        <v>95874408</v>
      </c>
    </row>
    <row r="130" spans="1:11" x14ac:dyDescent="0.25">
      <c r="A130" s="1" t="s">
        <v>11</v>
      </c>
      <c r="B130" s="1" t="s">
        <v>12</v>
      </c>
      <c r="C130" s="1" t="s">
        <v>23</v>
      </c>
      <c r="D130" s="1" t="s">
        <v>226</v>
      </c>
      <c r="E130" s="1" t="s">
        <v>227</v>
      </c>
      <c r="F130" s="1" t="s">
        <v>14</v>
      </c>
      <c r="G130" s="1">
        <v>36.729999999999997</v>
      </c>
      <c r="H130" s="1">
        <v>0</v>
      </c>
      <c r="I130" s="1">
        <v>0</v>
      </c>
      <c r="J130" s="1" t="s">
        <v>14</v>
      </c>
      <c r="K130" s="1">
        <v>36.729999999999997</v>
      </c>
    </row>
    <row r="131" spans="1:11" x14ac:dyDescent="0.25">
      <c r="A131" s="1" t="s">
        <v>11</v>
      </c>
      <c r="B131" s="1" t="s">
        <v>12</v>
      </c>
      <c r="C131" s="1" t="s">
        <v>26</v>
      </c>
      <c r="D131" s="1" t="s">
        <v>228</v>
      </c>
      <c r="E131" s="1" t="s">
        <v>227</v>
      </c>
      <c r="F131" s="1" t="s">
        <v>14</v>
      </c>
      <c r="G131" s="1">
        <v>36.729999999999997</v>
      </c>
      <c r="H131" s="1">
        <v>0</v>
      </c>
      <c r="I131" s="1">
        <v>0</v>
      </c>
      <c r="J131" s="1" t="s">
        <v>14</v>
      </c>
      <c r="K131" s="1">
        <v>36.729999999999997</v>
      </c>
    </row>
    <row r="132" spans="1:11" x14ac:dyDescent="0.25">
      <c r="A132" s="1" t="s">
        <v>11</v>
      </c>
      <c r="B132" s="1" t="s">
        <v>12</v>
      </c>
      <c r="C132" s="1" t="s">
        <v>23</v>
      </c>
      <c r="D132" s="1" t="s">
        <v>229</v>
      </c>
      <c r="E132" s="1" t="s">
        <v>230</v>
      </c>
      <c r="F132" s="1" t="s">
        <v>14</v>
      </c>
      <c r="G132" s="1">
        <v>28344155.780000001</v>
      </c>
      <c r="H132" s="1">
        <v>8905789.1600000001</v>
      </c>
      <c r="I132" s="1">
        <v>12913401</v>
      </c>
      <c r="J132" s="1" t="s">
        <v>14</v>
      </c>
      <c r="K132" s="1">
        <v>24336543.940000001</v>
      </c>
    </row>
    <row r="133" spans="1:11" x14ac:dyDescent="0.25">
      <c r="A133" s="1" t="s">
        <v>11</v>
      </c>
      <c r="B133" s="1" t="s">
        <v>12</v>
      </c>
      <c r="C133" s="1" t="s">
        <v>26</v>
      </c>
      <c r="D133" s="1" t="s">
        <v>231</v>
      </c>
      <c r="E133" s="1" t="s">
        <v>221</v>
      </c>
      <c r="F133" s="1" t="s">
        <v>14</v>
      </c>
      <c r="G133" s="1">
        <v>14096922.779999999</v>
      </c>
      <c r="H133" s="1">
        <v>37799.160000000003</v>
      </c>
      <c r="I133" s="1">
        <v>11883522</v>
      </c>
      <c r="J133" s="1" t="s">
        <v>14</v>
      </c>
      <c r="K133" s="1">
        <v>2251199.94</v>
      </c>
    </row>
    <row r="134" spans="1:11" x14ac:dyDescent="0.25">
      <c r="A134" s="1" t="s">
        <v>11</v>
      </c>
      <c r="B134" s="1" t="s">
        <v>12</v>
      </c>
      <c r="C134" s="1" t="s">
        <v>26</v>
      </c>
      <c r="D134" s="1" t="s">
        <v>232</v>
      </c>
      <c r="E134" s="1" t="s">
        <v>233</v>
      </c>
      <c r="F134" s="1" t="s">
        <v>14</v>
      </c>
      <c r="G134" s="1">
        <v>14247233</v>
      </c>
      <c r="H134" s="1">
        <v>8867990</v>
      </c>
      <c r="I134" s="1">
        <v>1029879</v>
      </c>
      <c r="J134" s="1" t="s">
        <v>14</v>
      </c>
      <c r="K134" s="1">
        <v>22085344</v>
      </c>
    </row>
    <row r="135" spans="1:11" x14ac:dyDescent="0.25">
      <c r="A135" s="1" t="s">
        <v>11</v>
      </c>
      <c r="B135" s="1" t="s">
        <v>12</v>
      </c>
      <c r="C135" s="1" t="s">
        <v>15</v>
      </c>
      <c r="D135" s="1" t="s">
        <v>234</v>
      </c>
      <c r="E135" s="1" t="s">
        <v>235</v>
      </c>
      <c r="F135" s="1" t="s">
        <v>14</v>
      </c>
      <c r="G135" s="1">
        <v>1196843573.48</v>
      </c>
      <c r="H135" s="1">
        <v>1417229523.6900001</v>
      </c>
      <c r="I135" s="1">
        <v>1332903174.7</v>
      </c>
      <c r="J135" s="1" t="s">
        <v>14</v>
      </c>
      <c r="K135" s="1">
        <v>1281169922.47</v>
      </c>
    </row>
    <row r="136" spans="1:11" x14ac:dyDescent="0.25">
      <c r="A136" s="1" t="s">
        <v>11</v>
      </c>
      <c r="B136" s="1" t="s">
        <v>12</v>
      </c>
      <c r="C136" s="1" t="s">
        <v>18</v>
      </c>
      <c r="D136" s="1" t="s">
        <v>236</v>
      </c>
      <c r="E136" s="1" t="s">
        <v>237</v>
      </c>
      <c r="F136" s="1" t="s">
        <v>14</v>
      </c>
      <c r="G136" s="1">
        <v>264304543.80000001</v>
      </c>
      <c r="H136" s="1">
        <v>534444656.99000001</v>
      </c>
      <c r="I136" s="1">
        <v>472012245.99000001</v>
      </c>
      <c r="J136" s="1" t="s">
        <v>14</v>
      </c>
      <c r="K136" s="1">
        <v>326736954.80000001</v>
      </c>
    </row>
    <row r="137" spans="1:11" x14ac:dyDescent="0.25">
      <c r="A137" s="1" t="s">
        <v>11</v>
      </c>
      <c r="B137" s="1" t="s">
        <v>12</v>
      </c>
      <c r="C137" s="1" t="s">
        <v>21</v>
      </c>
      <c r="D137" s="1" t="s">
        <v>238</v>
      </c>
      <c r="E137" s="1" t="s">
        <v>237</v>
      </c>
      <c r="F137" s="1" t="s">
        <v>14</v>
      </c>
      <c r="G137" s="1">
        <v>264304543.80000001</v>
      </c>
      <c r="H137" s="1">
        <v>534444656.99000001</v>
      </c>
      <c r="I137" s="1">
        <v>472012245.99000001</v>
      </c>
      <c r="J137" s="1" t="s">
        <v>14</v>
      </c>
      <c r="K137" s="1">
        <v>326736954.80000001</v>
      </c>
    </row>
    <row r="138" spans="1:11" x14ac:dyDescent="0.25">
      <c r="A138" s="1" t="s">
        <v>11</v>
      </c>
      <c r="B138" s="1" t="s">
        <v>12</v>
      </c>
      <c r="C138" s="1" t="s">
        <v>23</v>
      </c>
      <c r="D138" s="1" t="s">
        <v>239</v>
      </c>
      <c r="E138" s="1" t="s">
        <v>237</v>
      </c>
      <c r="F138" s="1" t="s">
        <v>14</v>
      </c>
      <c r="G138" s="1">
        <v>264304543.80000001</v>
      </c>
      <c r="H138" s="1">
        <v>534444656.99000001</v>
      </c>
      <c r="I138" s="1">
        <v>472012245.99000001</v>
      </c>
      <c r="J138" s="1" t="s">
        <v>14</v>
      </c>
      <c r="K138" s="1">
        <v>326736954.80000001</v>
      </c>
    </row>
    <row r="139" spans="1:11" x14ac:dyDescent="0.25">
      <c r="A139" s="1" t="s">
        <v>11</v>
      </c>
      <c r="B139" s="1" t="s">
        <v>12</v>
      </c>
      <c r="C139" s="1" t="s">
        <v>26</v>
      </c>
      <c r="D139" s="1" t="s">
        <v>240</v>
      </c>
      <c r="E139" s="1" t="s">
        <v>237</v>
      </c>
      <c r="F139" s="1" t="s">
        <v>14</v>
      </c>
      <c r="G139" s="1">
        <v>264304543.80000001</v>
      </c>
      <c r="H139" s="1">
        <v>534444656.99000001</v>
      </c>
      <c r="I139" s="1">
        <v>472012245.99000001</v>
      </c>
      <c r="J139" s="1" t="s">
        <v>14</v>
      </c>
      <c r="K139" s="1">
        <v>326736954.80000001</v>
      </c>
    </row>
    <row r="140" spans="1:11" x14ac:dyDescent="0.25">
      <c r="A140" s="1" t="s">
        <v>11</v>
      </c>
      <c r="B140" s="1" t="s">
        <v>12</v>
      </c>
      <c r="C140" s="1" t="s">
        <v>18</v>
      </c>
      <c r="D140" s="1" t="s">
        <v>241</v>
      </c>
      <c r="E140" s="1" t="s">
        <v>242</v>
      </c>
      <c r="F140" s="1" t="s">
        <v>14</v>
      </c>
      <c r="G140" s="1">
        <v>675120558.76999998</v>
      </c>
      <c r="H140" s="1">
        <v>831458668.16999996</v>
      </c>
      <c r="I140" s="1">
        <v>810352184.95000005</v>
      </c>
      <c r="J140" s="1" t="s">
        <v>14</v>
      </c>
      <c r="K140" s="1">
        <v>696227041.99000001</v>
      </c>
    </row>
    <row r="141" spans="1:11" x14ac:dyDescent="0.25">
      <c r="A141" s="1" t="s">
        <v>11</v>
      </c>
      <c r="B141" s="1" t="s">
        <v>12</v>
      </c>
      <c r="C141" s="1" t="s">
        <v>21</v>
      </c>
      <c r="D141" s="1" t="s">
        <v>243</v>
      </c>
      <c r="E141" s="1" t="s">
        <v>242</v>
      </c>
      <c r="F141" s="1" t="s">
        <v>14</v>
      </c>
      <c r="G141" s="1">
        <v>675120558.76999998</v>
      </c>
      <c r="H141" s="1">
        <v>831458668.16999996</v>
      </c>
      <c r="I141" s="1">
        <v>810352184.95000005</v>
      </c>
      <c r="J141" s="1" t="s">
        <v>14</v>
      </c>
      <c r="K141" s="1">
        <v>696227041.99000001</v>
      </c>
    </row>
    <row r="142" spans="1:11" x14ac:dyDescent="0.25">
      <c r="A142" s="1" t="s">
        <v>11</v>
      </c>
      <c r="B142" s="1" t="s">
        <v>12</v>
      </c>
      <c r="C142" s="1" t="s">
        <v>23</v>
      </c>
      <c r="D142" s="1" t="s">
        <v>244</v>
      </c>
      <c r="E142" s="1" t="s">
        <v>242</v>
      </c>
      <c r="F142" s="1" t="s">
        <v>14</v>
      </c>
      <c r="G142" s="1">
        <v>675120558.76999998</v>
      </c>
      <c r="H142" s="1">
        <v>831458668.16999996</v>
      </c>
      <c r="I142" s="1">
        <v>810352184.95000005</v>
      </c>
      <c r="J142" s="1" t="s">
        <v>14</v>
      </c>
      <c r="K142" s="1">
        <v>696227041.99000001</v>
      </c>
    </row>
    <row r="143" spans="1:11" x14ac:dyDescent="0.25">
      <c r="A143" s="1" t="s">
        <v>11</v>
      </c>
      <c r="B143" s="1" t="s">
        <v>12</v>
      </c>
      <c r="C143" s="1" t="s">
        <v>26</v>
      </c>
      <c r="D143" s="1" t="s">
        <v>245</v>
      </c>
      <c r="E143" s="1" t="s">
        <v>246</v>
      </c>
      <c r="F143" s="1" t="s">
        <v>14</v>
      </c>
      <c r="G143" s="1">
        <v>661718477.00999999</v>
      </c>
      <c r="H143" s="1">
        <v>624912852.16999996</v>
      </c>
      <c r="I143" s="1">
        <v>603806368.95000005</v>
      </c>
      <c r="J143" s="1" t="s">
        <v>14</v>
      </c>
      <c r="K143" s="1">
        <v>682824960.23000002</v>
      </c>
    </row>
    <row r="144" spans="1:11" x14ac:dyDescent="0.25">
      <c r="A144" s="1" t="s">
        <v>11</v>
      </c>
      <c r="B144" s="1" t="s">
        <v>12</v>
      </c>
      <c r="C144" s="1" t="s">
        <v>26</v>
      </c>
      <c r="D144" s="1" t="s">
        <v>247</v>
      </c>
      <c r="E144" s="1" t="s">
        <v>248</v>
      </c>
      <c r="F144" s="1" t="s">
        <v>14</v>
      </c>
      <c r="G144" s="1">
        <v>13402081.76</v>
      </c>
      <c r="H144" s="1">
        <v>206545816</v>
      </c>
      <c r="I144" s="1">
        <v>206545816</v>
      </c>
      <c r="J144" s="1" t="s">
        <v>14</v>
      </c>
      <c r="K144" s="1">
        <v>13402081.76</v>
      </c>
    </row>
    <row r="145" spans="1:11" x14ac:dyDescent="0.25">
      <c r="A145" s="1" t="s">
        <v>11</v>
      </c>
      <c r="B145" s="1" t="s">
        <v>12</v>
      </c>
      <c r="C145" s="1" t="s">
        <v>18</v>
      </c>
      <c r="D145" s="1" t="s">
        <v>249</v>
      </c>
      <c r="E145" s="1" t="s">
        <v>250</v>
      </c>
      <c r="F145" s="1" t="s">
        <v>14</v>
      </c>
      <c r="G145" s="1">
        <v>257418470.91</v>
      </c>
      <c r="H145" s="1">
        <v>51326198.530000001</v>
      </c>
      <c r="I145" s="1">
        <v>50538743.759999998</v>
      </c>
      <c r="J145" s="1" t="s">
        <v>14</v>
      </c>
      <c r="K145" s="1">
        <v>258205925.68000001</v>
      </c>
    </row>
    <row r="146" spans="1:11" x14ac:dyDescent="0.25">
      <c r="A146" s="1" t="s">
        <v>11</v>
      </c>
      <c r="B146" s="1" t="s">
        <v>12</v>
      </c>
      <c r="C146" s="1" t="s">
        <v>21</v>
      </c>
      <c r="D146" s="1" t="s">
        <v>251</v>
      </c>
      <c r="E146" s="1" t="s">
        <v>250</v>
      </c>
      <c r="F146" s="1" t="s">
        <v>14</v>
      </c>
      <c r="G146" s="1">
        <v>257418470.91</v>
      </c>
      <c r="H146" s="1">
        <v>51326198.530000001</v>
      </c>
      <c r="I146" s="1">
        <v>50538743.759999998</v>
      </c>
      <c r="J146" s="1" t="s">
        <v>14</v>
      </c>
      <c r="K146" s="1">
        <v>258205925.68000001</v>
      </c>
    </row>
    <row r="147" spans="1:11" x14ac:dyDescent="0.25">
      <c r="A147" s="1" t="s">
        <v>11</v>
      </c>
      <c r="B147" s="1" t="s">
        <v>12</v>
      </c>
      <c r="C147" s="1" t="s">
        <v>23</v>
      </c>
      <c r="D147" s="1" t="s">
        <v>252</v>
      </c>
      <c r="E147" s="1" t="s">
        <v>250</v>
      </c>
      <c r="F147" s="1" t="s">
        <v>14</v>
      </c>
      <c r="G147" s="1">
        <v>257418470.91</v>
      </c>
      <c r="H147" s="1">
        <v>51326198.530000001</v>
      </c>
      <c r="I147" s="1">
        <v>50538743.759999998</v>
      </c>
      <c r="J147" s="1" t="s">
        <v>14</v>
      </c>
      <c r="K147" s="1">
        <v>258205925.68000001</v>
      </c>
    </row>
    <row r="148" spans="1:11" x14ac:dyDescent="0.25">
      <c r="A148" s="1" t="s">
        <v>11</v>
      </c>
      <c r="B148" s="1" t="s">
        <v>12</v>
      </c>
      <c r="C148" s="1" t="s">
        <v>26</v>
      </c>
      <c r="D148" s="1" t="s">
        <v>253</v>
      </c>
      <c r="E148" s="1" t="s">
        <v>254</v>
      </c>
      <c r="F148" s="1" t="s">
        <v>14</v>
      </c>
      <c r="G148" s="1">
        <v>19093299.670000002</v>
      </c>
      <c r="H148" s="1">
        <v>6125012</v>
      </c>
      <c r="I148" s="1">
        <v>5448890</v>
      </c>
      <c r="J148" s="1" t="s">
        <v>14</v>
      </c>
      <c r="K148" s="1">
        <v>19769421.670000002</v>
      </c>
    </row>
    <row r="149" spans="1:11" x14ac:dyDescent="0.25">
      <c r="A149" s="1" t="s">
        <v>11</v>
      </c>
      <c r="B149" s="1" t="s">
        <v>12</v>
      </c>
      <c r="C149" s="1" t="s">
        <v>26</v>
      </c>
      <c r="D149" s="1" t="s">
        <v>255</v>
      </c>
      <c r="E149" s="1" t="s">
        <v>256</v>
      </c>
      <c r="F149" s="1" t="s">
        <v>14</v>
      </c>
      <c r="G149" s="1">
        <v>22552261.68</v>
      </c>
      <c r="H149" s="1">
        <v>693207.42</v>
      </c>
      <c r="I149" s="1">
        <v>2332451</v>
      </c>
      <c r="J149" s="1" t="s">
        <v>14</v>
      </c>
      <c r="K149" s="1">
        <v>20913018.100000001</v>
      </c>
    </row>
    <row r="150" spans="1:11" x14ac:dyDescent="0.25">
      <c r="A150" s="1" t="s">
        <v>11</v>
      </c>
      <c r="B150" s="1" t="s">
        <v>12</v>
      </c>
      <c r="C150" s="1" t="s">
        <v>26</v>
      </c>
      <c r="D150" s="1" t="s">
        <v>257</v>
      </c>
      <c r="E150" s="1" t="s">
        <v>258</v>
      </c>
      <c r="F150" s="1" t="s">
        <v>14</v>
      </c>
      <c r="G150" s="1">
        <v>35494991.789999999</v>
      </c>
      <c r="H150" s="1">
        <v>20522007.460000001</v>
      </c>
      <c r="I150" s="1">
        <v>18071147.75</v>
      </c>
      <c r="J150" s="1" t="s">
        <v>14</v>
      </c>
      <c r="K150" s="1">
        <v>37945851.5</v>
      </c>
    </row>
    <row r="151" spans="1:11" x14ac:dyDescent="0.25">
      <c r="A151" s="1" t="s">
        <v>11</v>
      </c>
      <c r="B151" s="1" t="s">
        <v>12</v>
      </c>
      <c r="C151" s="1" t="s">
        <v>26</v>
      </c>
      <c r="D151" s="1" t="s">
        <v>259</v>
      </c>
      <c r="E151" s="1" t="s">
        <v>260</v>
      </c>
      <c r="F151" s="1" t="s">
        <v>14</v>
      </c>
      <c r="G151" s="1">
        <v>21501427.940000001</v>
      </c>
      <c r="H151" s="1">
        <v>12888127.35</v>
      </c>
      <c r="I151" s="1">
        <v>10207870.07</v>
      </c>
      <c r="J151" s="1" t="s">
        <v>14</v>
      </c>
      <c r="K151" s="1">
        <v>24181685.219999999</v>
      </c>
    </row>
    <row r="152" spans="1:11" x14ac:dyDescent="0.25">
      <c r="A152" s="1" t="s">
        <v>11</v>
      </c>
      <c r="B152" s="1" t="s">
        <v>12</v>
      </c>
      <c r="C152" s="1" t="s">
        <v>26</v>
      </c>
      <c r="D152" s="1" t="s">
        <v>261</v>
      </c>
      <c r="E152" s="1" t="s">
        <v>262</v>
      </c>
      <c r="F152" s="1" t="s">
        <v>14</v>
      </c>
      <c r="G152" s="1">
        <v>157745964.72</v>
      </c>
      <c r="H152" s="1">
        <v>8313928.6299999999</v>
      </c>
      <c r="I152" s="1">
        <v>11997152.98</v>
      </c>
      <c r="J152" s="1" t="s">
        <v>14</v>
      </c>
      <c r="K152" s="1">
        <v>154062740.37</v>
      </c>
    </row>
    <row r="153" spans="1:11" x14ac:dyDescent="0.25">
      <c r="A153" s="1" t="s">
        <v>11</v>
      </c>
      <c r="B153" s="1" t="s">
        <v>12</v>
      </c>
      <c r="C153" s="1" t="s">
        <v>26</v>
      </c>
      <c r="D153" s="1" t="s">
        <v>263</v>
      </c>
      <c r="E153" s="1" t="s">
        <v>264</v>
      </c>
      <c r="F153" s="1" t="s">
        <v>14</v>
      </c>
      <c r="G153" s="1">
        <v>1030525.11</v>
      </c>
      <c r="H153" s="1">
        <v>2783915.67</v>
      </c>
      <c r="I153" s="1">
        <v>2481231.96</v>
      </c>
      <c r="J153" s="1" t="s">
        <v>14</v>
      </c>
      <c r="K153" s="1">
        <v>1333208.82</v>
      </c>
    </row>
    <row r="154" spans="1:11" x14ac:dyDescent="0.25">
      <c r="A154" s="1" t="s">
        <v>11</v>
      </c>
      <c r="B154" s="1" t="s">
        <v>12</v>
      </c>
      <c r="C154" s="1" t="s">
        <v>15</v>
      </c>
      <c r="D154" s="1" t="s">
        <v>265</v>
      </c>
      <c r="E154" s="1" t="s">
        <v>266</v>
      </c>
      <c r="F154" s="1" t="s">
        <v>14</v>
      </c>
      <c r="G154" s="1">
        <v>19205812203.790001</v>
      </c>
      <c r="H154" s="1">
        <v>4316828.68</v>
      </c>
      <c r="I154" s="1">
        <v>7155127.4400000004</v>
      </c>
      <c r="J154" s="1" t="s">
        <v>14</v>
      </c>
      <c r="K154" s="1">
        <v>19202973905.029999</v>
      </c>
    </row>
    <row r="155" spans="1:11" x14ac:dyDescent="0.25">
      <c r="A155" s="1" t="s">
        <v>11</v>
      </c>
      <c r="B155" s="1" t="s">
        <v>12</v>
      </c>
      <c r="C155" s="1" t="s">
        <v>18</v>
      </c>
      <c r="D155" s="1" t="s">
        <v>267</v>
      </c>
      <c r="E155" s="1" t="s">
        <v>268</v>
      </c>
      <c r="F155" s="1" t="s">
        <v>14</v>
      </c>
      <c r="G155" s="1">
        <v>4918553400</v>
      </c>
      <c r="H155" s="1">
        <v>0</v>
      </c>
      <c r="I155" s="1">
        <v>0</v>
      </c>
      <c r="J155" s="1" t="s">
        <v>14</v>
      </c>
      <c r="K155" s="1">
        <v>4918553400</v>
      </c>
    </row>
    <row r="156" spans="1:11" x14ac:dyDescent="0.25">
      <c r="A156" s="1" t="s">
        <v>11</v>
      </c>
      <c r="B156" s="1" t="s">
        <v>12</v>
      </c>
      <c r="C156" s="1" t="s">
        <v>21</v>
      </c>
      <c r="D156" s="1" t="s">
        <v>269</v>
      </c>
      <c r="E156" s="1" t="s">
        <v>268</v>
      </c>
      <c r="F156" s="1" t="s">
        <v>14</v>
      </c>
      <c r="G156" s="1">
        <v>4918553400</v>
      </c>
      <c r="H156" s="1">
        <v>0</v>
      </c>
      <c r="I156" s="1">
        <v>0</v>
      </c>
      <c r="J156" s="1" t="s">
        <v>14</v>
      </c>
      <c r="K156" s="1">
        <v>4918553400</v>
      </c>
    </row>
    <row r="157" spans="1:11" x14ac:dyDescent="0.25">
      <c r="A157" s="1" t="s">
        <v>11</v>
      </c>
      <c r="B157" s="1" t="s">
        <v>12</v>
      </c>
      <c r="C157" s="1" t="s">
        <v>23</v>
      </c>
      <c r="D157" s="1" t="s">
        <v>270</v>
      </c>
      <c r="E157" s="1" t="s">
        <v>271</v>
      </c>
      <c r="F157" s="1" t="s">
        <v>14</v>
      </c>
      <c r="G157" s="1">
        <v>4918553400</v>
      </c>
      <c r="H157" s="1">
        <v>0</v>
      </c>
      <c r="I157" s="1">
        <v>0</v>
      </c>
      <c r="J157" s="1" t="s">
        <v>14</v>
      </c>
      <c r="K157" s="1">
        <v>4918553400</v>
      </c>
    </row>
    <row r="158" spans="1:11" x14ac:dyDescent="0.25">
      <c r="A158" s="1" t="s">
        <v>11</v>
      </c>
      <c r="B158" s="1" t="s">
        <v>12</v>
      </c>
      <c r="C158" s="1" t="s">
        <v>26</v>
      </c>
      <c r="D158" s="1" t="s">
        <v>272</v>
      </c>
      <c r="E158" s="1" t="s">
        <v>273</v>
      </c>
      <c r="F158" s="1" t="s">
        <v>14</v>
      </c>
      <c r="G158" s="1">
        <v>4262271600</v>
      </c>
      <c r="H158" s="1">
        <v>0</v>
      </c>
      <c r="I158" s="1">
        <v>0</v>
      </c>
      <c r="J158" s="1" t="s">
        <v>14</v>
      </c>
      <c r="K158" s="1">
        <v>4262271600</v>
      </c>
    </row>
    <row r="159" spans="1:11" x14ac:dyDescent="0.25">
      <c r="A159" s="1" t="s">
        <v>11</v>
      </c>
      <c r="B159" s="1" t="s">
        <v>12</v>
      </c>
      <c r="C159" s="1" t="s">
        <v>26</v>
      </c>
      <c r="D159" s="1" t="s">
        <v>274</v>
      </c>
      <c r="E159" s="1" t="s">
        <v>275</v>
      </c>
      <c r="F159" s="1" t="s">
        <v>14</v>
      </c>
      <c r="G159" s="1">
        <v>178422300</v>
      </c>
      <c r="H159" s="1">
        <v>0</v>
      </c>
      <c r="I159" s="1">
        <v>0</v>
      </c>
      <c r="J159" s="1" t="s">
        <v>14</v>
      </c>
      <c r="K159" s="1">
        <v>178422300</v>
      </c>
    </row>
    <row r="160" spans="1:11" x14ac:dyDescent="0.25">
      <c r="A160" s="1" t="s">
        <v>11</v>
      </c>
      <c r="B160" s="1" t="s">
        <v>12</v>
      </c>
      <c r="C160" s="1" t="s">
        <v>26</v>
      </c>
      <c r="D160" s="1" t="s">
        <v>276</v>
      </c>
      <c r="E160" s="1" t="s">
        <v>277</v>
      </c>
      <c r="F160" s="1" t="s">
        <v>14</v>
      </c>
      <c r="G160" s="1">
        <v>477859500</v>
      </c>
      <c r="H160" s="1">
        <v>0</v>
      </c>
      <c r="I160" s="1">
        <v>0</v>
      </c>
      <c r="J160" s="1" t="s">
        <v>14</v>
      </c>
      <c r="K160" s="1">
        <v>477859500</v>
      </c>
    </row>
    <row r="161" spans="1:11" x14ac:dyDescent="0.25">
      <c r="A161" s="1" t="s">
        <v>11</v>
      </c>
      <c r="B161" s="1" t="s">
        <v>12</v>
      </c>
      <c r="C161" s="1" t="s">
        <v>18</v>
      </c>
      <c r="D161" s="1" t="s">
        <v>278</v>
      </c>
      <c r="E161" s="1" t="s">
        <v>279</v>
      </c>
      <c r="F161" s="1" t="s">
        <v>14</v>
      </c>
      <c r="G161" s="1">
        <v>67987872</v>
      </c>
      <c r="H161" s="1">
        <v>0</v>
      </c>
      <c r="I161" s="1">
        <v>0</v>
      </c>
      <c r="J161" s="1" t="s">
        <v>14</v>
      </c>
      <c r="K161" s="1">
        <v>67987872</v>
      </c>
    </row>
    <row r="162" spans="1:11" x14ac:dyDescent="0.25">
      <c r="A162" s="1" t="s">
        <v>11</v>
      </c>
      <c r="B162" s="1" t="s">
        <v>12</v>
      </c>
      <c r="C162" s="1" t="s">
        <v>21</v>
      </c>
      <c r="D162" s="1" t="s">
        <v>280</v>
      </c>
      <c r="E162" s="1" t="s">
        <v>279</v>
      </c>
      <c r="F162" s="1" t="s">
        <v>14</v>
      </c>
      <c r="G162" s="1">
        <v>67987872</v>
      </c>
      <c r="H162" s="1">
        <v>0</v>
      </c>
      <c r="I162" s="1">
        <v>0</v>
      </c>
      <c r="J162" s="1" t="s">
        <v>14</v>
      </c>
      <c r="K162" s="1">
        <v>67987872</v>
      </c>
    </row>
    <row r="163" spans="1:11" x14ac:dyDescent="0.25">
      <c r="A163" s="1" t="s">
        <v>11</v>
      </c>
      <c r="B163" s="1" t="s">
        <v>12</v>
      </c>
      <c r="C163" s="1" t="s">
        <v>23</v>
      </c>
      <c r="D163" s="1" t="s">
        <v>281</v>
      </c>
      <c r="E163" s="1" t="s">
        <v>282</v>
      </c>
      <c r="F163" s="1" t="s">
        <v>14</v>
      </c>
      <c r="G163" s="1">
        <v>67987872</v>
      </c>
      <c r="H163" s="1">
        <v>0</v>
      </c>
      <c r="I163" s="1">
        <v>0</v>
      </c>
      <c r="J163" s="1" t="s">
        <v>14</v>
      </c>
      <c r="K163" s="1">
        <v>67987872</v>
      </c>
    </row>
    <row r="164" spans="1:11" x14ac:dyDescent="0.25">
      <c r="A164" s="1" t="s">
        <v>11</v>
      </c>
      <c r="B164" s="1" t="s">
        <v>12</v>
      </c>
      <c r="C164" s="1" t="s">
        <v>26</v>
      </c>
      <c r="D164" s="1" t="s">
        <v>283</v>
      </c>
      <c r="E164" s="1" t="s">
        <v>282</v>
      </c>
      <c r="F164" s="1" t="s">
        <v>14</v>
      </c>
      <c r="G164" s="1">
        <v>67987872</v>
      </c>
      <c r="H164" s="1">
        <v>0</v>
      </c>
      <c r="I164" s="1">
        <v>0</v>
      </c>
      <c r="J164" s="1" t="s">
        <v>14</v>
      </c>
      <c r="K164" s="1">
        <v>67987872</v>
      </c>
    </row>
    <row r="165" spans="1:11" x14ac:dyDescent="0.25">
      <c r="A165" s="1" t="s">
        <v>11</v>
      </c>
      <c r="B165" s="1" t="s">
        <v>12</v>
      </c>
      <c r="C165" s="1" t="s">
        <v>18</v>
      </c>
      <c r="D165" s="1" t="s">
        <v>284</v>
      </c>
      <c r="E165" s="1" t="s">
        <v>285</v>
      </c>
      <c r="F165" s="1" t="s">
        <v>14</v>
      </c>
      <c r="G165" s="1">
        <v>10253919508.690001</v>
      </c>
      <c r="H165" s="1">
        <v>0</v>
      </c>
      <c r="I165" s="1">
        <v>0</v>
      </c>
      <c r="J165" s="1" t="s">
        <v>14</v>
      </c>
      <c r="K165" s="1">
        <v>10253919508.690001</v>
      </c>
    </row>
    <row r="166" spans="1:11" x14ac:dyDescent="0.25">
      <c r="A166" s="1" t="s">
        <v>11</v>
      </c>
      <c r="B166" s="1" t="s">
        <v>12</v>
      </c>
      <c r="C166" s="1" t="s">
        <v>21</v>
      </c>
      <c r="D166" s="1" t="s">
        <v>286</v>
      </c>
      <c r="E166" s="1" t="s">
        <v>285</v>
      </c>
      <c r="F166" s="1" t="s">
        <v>14</v>
      </c>
      <c r="G166" s="1">
        <v>10253919508.690001</v>
      </c>
      <c r="H166" s="1">
        <v>0</v>
      </c>
      <c r="I166" s="1">
        <v>0</v>
      </c>
      <c r="J166" s="1" t="s">
        <v>14</v>
      </c>
      <c r="K166" s="1">
        <v>10253919508.690001</v>
      </c>
    </row>
    <row r="167" spans="1:11" x14ac:dyDescent="0.25">
      <c r="A167" s="1" t="s">
        <v>11</v>
      </c>
      <c r="B167" s="1" t="s">
        <v>12</v>
      </c>
      <c r="C167" s="1" t="s">
        <v>23</v>
      </c>
      <c r="D167" s="1" t="s">
        <v>287</v>
      </c>
      <c r="E167" s="1" t="s">
        <v>288</v>
      </c>
      <c r="F167" s="1" t="s">
        <v>14</v>
      </c>
      <c r="G167" s="1">
        <v>12282723690</v>
      </c>
      <c r="H167" s="1">
        <v>0</v>
      </c>
      <c r="I167" s="1">
        <v>0</v>
      </c>
      <c r="J167" s="1" t="s">
        <v>14</v>
      </c>
      <c r="K167" s="1">
        <v>12282723690</v>
      </c>
    </row>
    <row r="168" spans="1:11" x14ac:dyDescent="0.25">
      <c r="A168" s="1" t="s">
        <v>11</v>
      </c>
      <c r="B168" s="1" t="s">
        <v>12</v>
      </c>
      <c r="C168" s="1" t="s">
        <v>26</v>
      </c>
      <c r="D168" s="1" t="s">
        <v>289</v>
      </c>
      <c r="E168" s="1" t="s">
        <v>273</v>
      </c>
      <c r="F168" s="1" t="s">
        <v>14</v>
      </c>
      <c r="G168" s="1">
        <v>10751399490</v>
      </c>
      <c r="H168" s="1">
        <v>0</v>
      </c>
      <c r="I168" s="1">
        <v>0</v>
      </c>
      <c r="J168" s="1" t="s">
        <v>14</v>
      </c>
      <c r="K168" s="1">
        <v>10751399490</v>
      </c>
    </row>
    <row r="169" spans="1:11" x14ac:dyDescent="0.25">
      <c r="A169" s="1" t="s">
        <v>11</v>
      </c>
      <c r="B169" s="1" t="s">
        <v>12</v>
      </c>
      <c r="C169" s="1" t="s">
        <v>26</v>
      </c>
      <c r="D169" s="1" t="s">
        <v>290</v>
      </c>
      <c r="E169" s="1" t="s">
        <v>275</v>
      </c>
      <c r="F169" s="1" t="s">
        <v>14</v>
      </c>
      <c r="G169" s="1">
        <v>1115005500</v>
      </c>
      <c r="H169" s="1">
        <v>0</v>
      </c>
      <c r="I169" s="1">
        <v>0</v>
      </c>
      <c r="J169" s="1" t="s">
        <v>14</v>
      </c>
      <c r="K169" s="1">
        <v>1115005500</v>
      </c>
    </row>
    <row r="170" spans="1:11" x14ac:dyDescent="0.25">
      <c r="A170" s="1" t="s">
        <v>11</v>
      </c>
      <c r="B170" s="1" t="s">
        <v>12</v>
      </c>
      <c r="C170" s="1" t="s">
        <v>26</v>
      </c>
      <c r="D170" s="1" t="s">
        <v>291</v>
      </c>
      <c r="E170" s="1" t="s">
        <v>292</v>
      </c>
      <c r="F170" s="1" t="s">
        <v>14</v>
      </c>
      <c r="G170" s="1">
        <v>416318700</v>
      </c>
      <c r="H170" s="1">
        <v>0</v>
      </c>
      <c r="I170" s="1">
        <v>0</v>
      </c>
      <c r="J170" s="1" t="s">
        <v>14</v>
      </c>
      <c r="K170" s="1">
        <v>416318700</v>
      </c>
    </row>
    <row r="171" spans="1:11" x14ac:dyDescent="0.25">
      <c r="A171" s="1" t="s">
        <v>11</v>
      </c>
      <c r="B171" s="1" t="s">
        <v>12</v>
      </c>
      <c r="C171" s="1" t="s">
        <v>23</v>
      </c>
      <c r="D171" s="1" t="s">
        <v>293</v>
      </c>
      <c r="E171" s="1" t="s">
        <v>294</v>
      </c>
      <c r="F171" s="1" t="s">
        <v>173</v>
      </c>
      <c r="G171" s="1">
        <v>2028804181.3099999</v>
      </c>
      <c r="H171" s="1">
        <v>0</v>
      </c>
      <c r="I171" s="1">
        <v>0</v>
      </c>
      <c r="J171" s="1" t="s">
        <v>173</v>
      </c>
      <c r="K171" s="1">
        <v>2028804181.3099999</v>
      </c>
    </row>
    <row r="172" spans="1:11" x14ac:dyDescent="0.25">
      <c r="A172" s="1" t="s">
        <v>11</v>
      </c>
      <c r="B172" s="1" t="s">
        <v>12</v>
      </c>
      <c r="C172" s="1" t="s">
        <v>26</v>
      </c>
      <c r="D172" s="1" t="s">
        <v>295</v>
      </c>
      <c r="E172" s="1" t="s">
        <v>273</v>
      </c>
      <c r="F172" s="1" t="s">
        <v>173</v>
      </c>
      <c r="G172" s="1">
        <v>1755532158.1199999</v>
      </c>
      <c r="H172" s="1">
        <v>0</v>
      </c>
      <c r="I172" s="1">
        <v>0</v>
      </c>
      <c r="J172" s="1" t="s">
        <v>173</v>
      </c>
      <c r="K172" s="1">
        <v>1755532158.1199999</v>
      </c>
    </row>
    <row r="173" spans="1:11" x14ac:dyDescent="0.25">
      <c r="A173" s="1" t="s">
        <v>11</v>
      </c>
      <c r="B173" s="1" t="s">
        <v>12</v>
      </c>
      <c r="C173" s="1" t="s">
        <v>26</v>
      </c>
      <c r="D173" s="1" t="s">
        <v>296</v>
      </c>
      <c r="E173" s="1" t="s">
        <v>275</v>
      </c>
      <c r="F173" s="1" t="s">
        <v>173</v>
      </c>
      <c r="G173" s="1">
        <v>199516841.46000001</v>
      </c>
      <c r="H173" s="1">
        <v>0</v>
      </c>
      <c r="I173" s="1">
        <v>0</v>
      </c>
      <c r="J173" s="1" t="s">
        <v>173</v>
      </c>
      <c r="K173" s="1">
        <v>199516841.46000001</v>
      </c>
    </row>
    <row r="174" spans="1:11" x14ac:dyDescent="0.25">
      <c r="A174" s="1" t="s">
        <v>11</v>
      </c>
      <c r="B174" s="1" t="s">
        <v>12</v>
      </c>
      <c r="C174" s="1" t="s">
        <v>26</v>
      </c>
      <c r="D174" s="1" t="s">
        <v>297</v>
      </c>
      <c r="E174" s="1" t="s">
        <v>292</v>
      </c>
      <c r="F174" s="1" t="s">
        <v>173</v>
      </c>
      <c r="G174" s="1">
        <v>73755181.730000004</v>
      </c>
      <c r="H174" s="1">
        <v>0</v>
      </c>
      <c r="I174" s="1">
        <v>0</v>
      </c>
      <c r="J174" s="1" t="s">
        <v>173</v>
      </c>
      <c r="K174" s="1">
        <v>73755181.730000004</v>
      </c>
    </row>
    <row r="175" spans="1:11" x14ac:dyDescent="0.25">
      <c r="A175" s="1" t="s">
        <v>11</v>
      </c>
      <c r="B175" s="1" t="s">
        <v>12</v>
      </c>
      <c r="C175" s="1" t="s">
        <v>18</v>
      </c>
      <c r="D175" s="1" t="s">
        <v>298</v>
      </c>
      <c r="E175" s="1" t="s">
        <v>299</v>
      </c>
      <c r="F175" s="1" t="s">
        <v>14</v>
      </c>
      <c r="G175" s="1">
        <v>487454775.5</v>
      </c>
      <c r="H175" s="1">
        <v>1086226.24</v>
      </c>
      <c r="I175" s="1">
        <v>1675892</v>
      </c>
      <c r="J175" s="1" t="s">
        <v>14</v>
      </c>
      <c r="K175" s="1">
        <v>486865109.74000001</v>
      </c>
    </row>
    <row r="176" spans="1:11" x14ac:dyDescent="0.25">
      <c r="A176" s="1" t="s">
        <v>11</v>
      </c>
      <c r="B176" s="1" t="s">
        <v>12</v>
      </c>
      <c r="C176" s="1" t="s">
        <v>21</v>
      </c>
      <c r="D176" s="1" t="s">
        <v>300</v>
      </c>
      <c r="E176" s="1" t="s">
        <v>299</v>
      </c>
      <c r="F176" s="1" t="s">
        <v>14</v>
      </c>
      <c r="G176" s="1">
        <v>487454775.5</v>
      </c>
      <c r="H176" s="1">
        <v>1086226.24</v>
      </c>
      <c r="I176" s="1">
        <v>1675892</v>
      </c>
      <c r="J176" s="1" t="s">
        <v>14</v>
      </c>
      <c r="K176" s="1">
        <v>486865109.74000001</v>
      </c>
    </row>
    <row r="177" spans="1:11" x14ac:dyDescent="0.25">
      <c r="A177" s="1" t="s">
        <v>11</v>
      </c>
      <c r="B177" s="1" t="s">
        <v>12</v>
      </c>
      <c r="C177" s="1" t="s">
        <v>23</v>
      </c>
      <c r="D177" s="1" t="s">
        <v>301</v>
      </c>
      <c r="E177" s="1" t="s">
        <v>299</v>
      </c>
      <c r="F177" s="1" t="s">
        <v>14</v>
      </c>
      <c r="G177" s="1">
        <v>2827901496</v>
      </c>
      <c r="H177" s="1">
        <v>0</v>
      </c>
      <c r="I177" s="1">
        <v>1675892</v>
      </c>
      <c r="J177" s="1" t="s">
        <v>14</v>
      </c>
      <c r="K177" s="1">
        <v>2826225604</v>
      </c>
    </row>
    <row r="178" spans="1:11" x14ac:dyDescent="0.25">
      <c r="A178" s="1" t="s">
        <v>11</v>
      </c>
      <c r="B178" s="1" t="s">
        <v>12</v>
      </c>
      <c r="C178" s="1" t="s">
        <v>26</v>
      </c>
      <c r="D178" s="1" t="s">
        <v>302</v>
      </c>
      <c r="E178" s="1" t="s">
        <v>303</v>
      </c>
      <c r="F178" s="1" t="s">
        <v>14</v>
      </c>
      <c r="G178" s="1">
        <v>8181363</v>
      </c>
      <c r="H178" s="1">
        <v>0</v>
      </c>
      <c r="I178" s="1">
        <v>1675892</v>
      </c>
      <c r="J178" s="1" t="s">
        <v>14</v>
      </c>
      <c r="K178" s="1">
        <v>6505471</v>
      </c>
    </row>
    <row r="179" spans="1:11" x14ac:dyDescent="0.25">
      <c r="A179" s="1" t="s">
        <v>11</v>
      </c>
      <c r="B179" s="1" t="s">
        <v>12</v>
      </c>
      <c r="C179" s="1" t="s">
        <v>26</v>
      </c>
      <c r="D179" s="1" t="s">
        <v>304</v>
      </c>
      <c r="E179" s="1" t="s">
        <v>305</v>
      </c>
      <c r="F179" s="1" t="s">
        <v>14</v>
      </c>
      <c r="G179" s="1">
        <v>8718064</v>
      </c>
      <c r="H179" s="1">
        <v>0</v>
      </c>
      <c r="I179" s="1">
        <v>0</v>
      </c>
      <c r="J179" s="1" t="s">
        <v>14</v>
      </c>
      <c r="K179" s="1">
        <v>8718064</v>
      </c>
    </row>
    <row r="180" spans="1:11" x14ac:dyDescent="0.25">
      <c r="A180" s="1" t="s">
        <v>11</v>
      </c>
      <c r="B180" s="1" t="s">
        <v>12</v>
      </c>
      <c r="C180" s="1" t="s">
        <v>26</v>
      </c>
      <c r="D180" s="1" t="s">
        <v>306</v>
      </c>
      <c r="E180" s="1" t="s">
        <v>307</v>
      </c>
      <c r="F180" s="1" t="s">
        <v>14</v>
      </c>
      <c r="G180" s="1">
        <v>69749991</v>
      </c>
      <c r="H180" s="1">
        <v>0</v>
      </c>
      <c r="I180" s="1">
        <v>0</v>
      </c>
      <c r="J180" s="1" t="s">
        <v>14</v>
      </c>
      <c r="K180" s="1">
        <v>69749991</v>
      </c>
    </row>
    <row r="181" spans="1:11" x14ac:dyDescent="0.25">
      <c r="A181" s="1" t="s">
        <v>11</v>
      </c>
      <c r="B181" s="1" t="s">
        <v>12</v>
      </c>
      <c r="C181" s="1" t="s">
        <v>26</v>
      </c>
      <c r="D181" s="1" t="s">
        <v>308</v>
      </c>
      <c r="E181" s="1" t="s">
        <v>309</v>
      </c>
      <c r="F181" s="1" t="s">
        <v>14</v>
      </c>
      <c r="G181" s="1">
        <v>311860553</v>
      </c>
      <c r="H181" s="1">
        <v>0</v>
      </c>
      <c r="I181" s="1">
        <v>0</v>
      </c>
      <c r="J181" s="1" t="s">
        <v>14</v>
      </c>
      <c r="K181" s="1">
        <v>311860553</v>
      </c>
    </row>
    <row r="182" spans="1:11" x14ac:dyDescent="0.25">
      <c r="A182" s="1" t="s">
        <v>11</v>
      </c>
      <c r="B182" s="1" t="s">
        <v>12</v>
      </c>
      <c r="C182" s="1" t="s">
        <v>26</v>
      </c>
      <c r="D182" s="1" t="s">
        <v>310</v>
      </c>
      <c r="E182" s="1" t="s">
        <v>311</v>
      </c>
      <c r="F182" s="1" t="s">
        <v>14</v>
      </c>
      <c r="G182" s="1">
        <v>1197106210</v>
      </c>
      <c r="H182" s="1">
        <v>0</v>
      </c>
      <c r="I182" s="1">
        <v>0</v>
      </c>
      <c r="J182" s="1" t="s">
        <v>14</v>
      </c>
      <c r="K182" s="1">
        <v>1197106210</v>
      </c>
    </row>
    <row r="183" spans="1:11" x14ac:dyDescent="0.25">
      <c r="A183" s="1" t="s">
        <v>11</v>
      </c>
      <c r="B183" s="1" t="s">
        <v>12</v>
      </c>
      <c r="C183" s="1" t="s">
        <v>26</v>
      </c>
      <c r="D183" s="1" t="s">
        <v>312</v>
      </c>
      <c r="E183" s="1" t="s">
        <v>313</v>
      </c>
      <c r="F183" s="1" t="s">
        <v>14</v>
      </c>
      <c r="G183" s="1">
        <v>1785000</v>
      </c>
      <c r="H183" s="1">
        <v>0</v>
      </c>
      <c r="I183" s="1">
        <v>0</v>
      </c>
      <c r="J183" s="1" t="s">
        <v>14</v>
      </c>
      <c r="K183" s="1">
        <v>1785000</v>
      </c>
    </row>
    <row r="184" spans="1:11" x14ac:dyDescent="0.25">
      <c r="A184" s="1" t="s">
        <v>11</v>
      </c>
      <c r="B184" s="1" t="s">
        <v>12</v>
      </c>
      <c r="C184" s="1" t="s">
        <v>26</v>
      </c>
      <c r="D184" s="1" t="s">
        <v>314</v>
      </c>
      <c r="E184" s="1" t="s">
        <v>315</v>
      </c>
      <c r="F184" s="1" t="s">
        <v>14</v>
      </c>
      <c r="G184" s="1">
        <v>1230500315</v>
      </c>
      <c r="H184" s="1">
        <v>0</v>
      </c>
      <c r="I184" s="1">
        <v>0</v>
      </c>
      <c r="J184" s="1" t="s">
        <v>14</v>
      </c>
      <c r="K184" s="1">
        <v>1230500315</v>
      </c>
    </row>
    <row r="185" spans="1:11" x14ac:dyDescent="0.25">
      <c r="A185" s="1" t="s">
        <v>11</v>
      </c>
      <c r="B185" s="1" t="s">
        <v>12</v>
      </c>
      <c r="C185" s="1" t="s">
        <v>23</v>
      </c>
      <c r="D185" s="1" t="s">
        <v>316</v>
      </c>
      <c r="E185" s="1" t="s">
        <v>317</v>
      </c>
      <c r="F185" s="1" t="s">
        <v>173</v>
      </c>
      <c r="G185" s="1">
        <v>2340446720.5</v>
      </c>
      <c r="H185" s="1">
        <v>1086226.24</v>
      </c>
      <c r="I185" s="1">
        <v>0</v>
      </c>
      <c r="J185" s="1" t="s">
        <v>173</v>
      </c>
      <c r="K185" s="1">
        <v>2339360494.2600002</v>
      </c>
    </row>
    <row r="186" spans="1:11" x14ac:dyDescent="0.25">
      <c r="A186" s="1" t="s">
        <v>11</v>
      </c>
      <c r="B186" s="1" t="s">
        <v>12</v>
      </c>
      <c r="C186" s="1" t="s">
        <v>26</v>
      </c>
      <c r="D186" s="1" t="s">
        <v>318</v>
      </c>
      <c r="E186" s="1" t="s">
        <v>317</v>
      </c>
      <c r="F186" s="1" t="s">
        <v>173</v>
      </c>
      <c r="G186" s="1">
        <v>2340446720.5</v>
      </c>
      <c r="H186" s="1">
        <v>1086226.24</v>
      </c>
      <c r="I186" s="1">
        <v>0</v>
      </c>
      <c r="J186" s="1" t="s">
        <v>173</v>
      </c>
      <c r="K186" s="1">
        <v>2339360494.2600002</v>
      </c>
    </row>
    <row r="187" spans="1:11" x14ac:dyDescent="0.25">
      <c r="A187" s="1" t="s">
        <v>11</v>
      </c>
      <c r="B187" s="1" t="s">
        <v>12</v>
      </c>
      <c r="C187" s="1" t="s">
        <v>18</v>
      </c>
      <c r="D187" s="1" t="s">
        <v>319</v>
      </c>
      <c r="E187" s="1" t="s">
        <v>320</v>
      </c>
      <c r="F187" s="1" t="s">
        <v>14</v>
      </c>
      <c r="G187" s="1">
        <v>215026764.36000001</v>
      </c>
      <c r="H187" s="1">
        <v>2081437</v>
      </c>
      <c r="I187" s="1">
        <v>4330070</v>
      </c>
      <c r="J187" s="1" t="s">
        <v>14</v>
      </c>
      <c r="K187" s="1">
        <v>212778131.36000001</v>
      </c>
    </row>
    <row r="188" spans="1:11" x14ac:dyDescent="0.25">
      <c r="A188" s="1" t="s">
        <v>11</v>
      </c>
      <c r="B188" s="1" t="s">
        <v>12</v>
      </c>
      <c r="C188" s="1" t="s">
        <v>21</v>
      </c>
      <c r="D188" s="1" t="s">
        <v>321</v>
      </c>
      <c r="E188" s="1" t="s">
        <v>320</v>
      </c>
      <c r="F188" s="1" t="s">
        <v>14</v>
      </c>
      <c r="G188" s="1">
        <v>215026764.36000001</v>
      </c>
      <c r="H188" s="1">
        <v>2081437</v>
      </c>
      <c r="I188" s="1">
        <v>4330070</v>
      </c>
      <c r="J188" s="1" t="s">
        <v>14</v>
      </c>
      <c r="K188" s="1">
        <v>212778131.36000001</v>
      </c>
    </row>
    <row r="189" spans="1:11" x14ac:dyDescent="0.25">
      <c r="A189" s="1" t="s">
        <v>11</v>
      </c>
      <c r="B189" s="1" t="s">
        <v>12</v>
      </c>
      <c r="C189" s="1" t="s">
        <v>23</v>
      </c>
      <c r="D189" s="1" t="s">
        <v>322</v>
      </c>
      <c r="E189" s="1" t="s">
        <v>320</v>
      </c>
      <c r="F189" s="1" t="s">
        <v>14</v>
      </c>
      <c r="G189" s="1">
        <v>1302171939.6300001</v>
      </c>
      <c r="H189" s="1">
        <v>2081437</v>
      </c>
      <c r="I189" s="1">
        <v>4330070</v>
      </c>
      <c r="J189" s="1" t="s">
        <v>14</v>
      </c>
      <c r="K189" s="1">
        <v>1299923306.6300001</v>
      </c>
    </row>
    <row r="190" spans="1:11" x14ac:dyDescent="0.25">
      <c r="A190" s="1" t="s">
        <v>11</v>
      </c>
      <c r="B190" s="1" t="s">
        <v>12</v>
      </c>
      <c r="C190" s="1" t="s">
        <v>26</v>
      </c>
      <c r="D190" s="1" t="s">
        <v>323</v>
      </c>
      <c r="E190" s="1" t="s">
        <v>324</v>
      </c>
      <c r="F190" s="1" t="s">
        <v>14</v>
      </c>
      <c r="G190" s="1">
        <v>116109753.90000001</v>
      </c>
      <c r="H190" s="1">
        <v>2081437</v>
      </c>
      <c r="I190" s="1">
        <v>2248633</v>
      </c>
      <c r="J190" s="1" t="s">
        <v>14</v>
      </c>
      <c r="K190" s="1">
        <v>115942557.90000001</v>
      </c>
    </row>
    <row r="191" spans="1:11" x14ac:dyDescent="0.25">
      <c r="A191" s="1" t="s">
        <v>11</v>
      </c>
      <c r="B191" s="1" t="s">
        <v>12</v>
      </c>
      <c r="C191" s="1" t="s">
        <v>26</v>
      </c>
      <c r="D191" s="1" t="s">
        <v>325</v>
      </c>
      <c r="E191" s="1" t="s">
        <v>326</v>
      </c>
      <c r="F191" s="1" t="s">
        <v>14</v>
      </c>
      <c r="G191" s="1">
        <v>32793985</v>
      </c>
      <c r="H191" s="1">
        <v>0</v>
      </c>
      <c r="I191" s="1">
        <v>41865</v>
      </c>
      <c r="J191" s="1" t="s">
        <v>14</v>
      </c>
      <c r="K191" s="1">
        <v>32752120</v>
      </c>
    </row>
    <row r="192" spans="1:11" x14ac:dyDescent="0.25">
      <c r="A192" s="1" t="s">
        <v>11</v>
      </c>
      <c r="B192" s="1" t="s">
        <v>12</v>
      </c>
      <c r="C192" s="1" t="s">
        <v>26</v>
      </c>
      <c r="D192" s="1" t="s">
        <v>327</v>
      </c>
      <c r="E192" s="1" t="s">
        <v>328</v>
      </c>
      <c r="F192" s="1" t="s">
        <v>14</v>
      </c>
      <c r="G192" s="1">
        <v>314812139.14999998</v>
      </c>
      <c r="H192" s="1">
        <v>0</v>
      </c>
      <c r="I192" s="1">
        <v>1101165</v>
      </c>
      <c r="J192" s="1" t="s">
        <v>14</v>
      </c>
      <c r="K192" s="1">
        <v>313710974.14999998</v>
      </c>
    </row>
    <row r="193" spans="1:11" x14ac:dyDescent="0.25">
      <c r="A193" s="1" t="s">
        <v>11</v>
      </c>
      <c r="B193" s="1" t="s">
        <v>12</v>
      </c>
      <c r="C193" s="1" t="s">
        <v>26</v>
      </c>
      <c r="D193" s="1" t="s">
        <v>329</v>
      </c>
      <c r="E193" s="1" t="s">
        <v>330</v>
      </c>
      <c r="F193" s="1" t="s">
        <v>14</v>
      </c>
      <c r="G193" s="1">
        <v>130964729.48</v>
      </c>
      <c r="H193" s="1">
        <v>0</v>
      </c>
      <c r="I193" s="1">
        <v>0</v>
      </c>
      <c r="J193" s="1" t="s">
        <v>14</v>
      </c>
      <c r="K193" s="1">
        <v>130964729.48</v>
      </c>
    </row>
    <row r="194" spans="1:11" x14ac:dyDescent="0.25">
      <c r="A194" s="1" t="s">
        <v>11</v>
      </c>
      <c r="B194" s="1" t="s">
        <v>12</v>
      </c>
      <c r="C194" s="1" t="s">
        <v>26</v>
      </c>
      <c r="D194" s="1" t="s">
        <v>331</v>
      </c>
      <c r="E194" s="1" t="s">
        <v>332</v>
      </c>
      <c r="F194" s="1" t="s">
        <v>14</v>
      </c>
      <c r="G194" s="1">
        <v>72476812</v>
      </c>
      <c r="H194" s="1">
        <v>0</v>
      </c>
      <c r="I194" s="1">
        <v>0</v>
      </c>
      <c r="J194" s="1" t="s">
        <v>14</v>
      </c>
      <c r="K194" s="1">
        <v>72476812</v>
      </c>
    </row>
    <row r="195" spans="1:11" x14ac:dyDescent="0.25">
      <c r="A195" s="1" t="s">
        <v>11</v>
      </c>
      <c r="B195" s="1" t="s">
        <v>12</v>
      </c>
      <c r="C195" s="1" t="s">
        <v>26</v>
      </c>
      <c r="D195" s="1" t="s">
        <v>333</v>
      </c>
      <c r="E195" s="1" t="s">
        <v>334</v>
      </c>
      <c r="F195" s="1" t="s">
        <v>14</v>
      </c>
      <c r="G195" s="1">
        <v>4986072</v>
      </c>
      <c r="H195" s="1">
        <v>0</v>
      </c>
      <c r="I195" s="1">
        <v>87870</v>
      </c>
      <c r="J195" s="1" t="s">
        <v>14</v>
      </c>
      <c r="K195" s="1">
        <v>4898202</v>
      </c>
    </row>
    <row r="196" spans="1:11" x14ac:dyDescent="0.25">
      <c r="A196" s="1" t="s">
        <v>11</v>
      </c>
      <c r="B196" s="1" t="s">
        <v>12</v>
      </c>
      <c r="C196" s="1" t="s">
        <v>26</v>
      </c>
      <c r="D196" s="1" t="s">
        <v>335</v>
      </c>
      <c r="E196" s="1" t="s">
        <v>336</v>
      </c>
      <c r="F196" s="1" t="s">
        <v>14</v>
      </c>
      <c r="G196" s="1">
        <v>148869920</v>
      </c>
      <c r="H196" s="1">
        <v>0</v>
      </c>
      <c r="I196" s="1">
        <v>0</v>
      </c>
      <c r="J196" s="1" t="s">
        <v>14</v>
      </c>
      <c r="K196" s="1">
        <v>148869920</v>
      </c>
    </row>
    <row r="197" spans="1:11" x14ac:dyDescent="0.25">
      <c r="A197" s="1" t="s">
        <v>11</v>
      </c>
      <c r="B197" s="1" t="s">
        <v>12</v>
      </c>
      <c r="C197" s="1" t="s">
        <v>26</v>
      </c>
      <c r="D197" s="1" t="s">
        <v>337</v>
      </c>
      <c r="E197" s="1" t="s">
        <v>338</v>
      </c>
      <c r="F197" s="1" t="s">
        <v>14</v>
      </c>
      <c r="G197" s="1">
        <v>481158528.10000002</v>
      </c>
      <c r="H197" s="1">
        <v>0</v>
      </c>
      <c r="I197" s="1">
        <v>850537</v>
      </c>
      <c r="J197" s="1" t="s">
        <v>14</v>
      </c>
      <c r="K197" s="1">
        <v>480307991.10000002</v>
      </c>
    </row>
    <row r="198" spans="1:11" x14ac:dyDescent="0.25">
      <c r="A198" s="1" t="s">
        <v>11</v>
      </c>
      <c r="B198" s="1" t="s">
        <v>12</v>
      </c>
      <c r="C198" s="1" t="s">
        <v>23</v>
      </c>
      <c r="D198" s="1" t="s">
        <v>339</v>
      </c>
      <c r="E198" s="1" t="s">
        <v>340</v>
      </c>
      <c r="F198" s="1" t="s">
        <v>173</v>
      </c>
      <c r="G198" s="1">
        <v>1087145175.27</v>
      </c>
      <c r="H198" s="1">
        <v>0</v>
      </c>
      <c r="I198" s="1">
        <v>0</v>
      </c>
      <c r="J198" s="1" t="s">
        <v>173</v>
      </c>
      <c r="K198" s="1">
        <v>1087145175.27</v>
      </c>
    </row>
    <row r="199" spans="1:11" x14ac:dyDescent="0.25">
      <c r="A199" s="1" t="s">
        <v>11</v>
      </c>
      <c r="B199" s="1" t="s">
        <v>12</v>
      </c>
      <c r="C199" s="1" t="s">
        <v>26</v>
      </c>
      <c r="D199" s="1" t="s">
        <v>341</v>
      </c>
      <c r="E199" s="1" t="s">
        <v>340</v>
      </c>
      <c r="F199" s="1" t="s">
        <v>173</v>
      </c>
      <c r="G199" s="1">
        <v>1087145175.27</v>
      </c>
      <c r="H199" s="1">
        <v>0</v>
      </c>
      <c r="I199" s="1">
        <v>0</v>
      </c>
      <c r="J199" s="1" t="s">
        <v>173</v>
      </c>
      <c r="K199" s="1">
        <v>1087145175.27</v>
      </c>
    </row>
    <row r="200" spans="1:11" x14ac:dyDescent="0.25">
      <c r="A200" s="1" t="s">
        <v>11</v>
      </c>
      <c r="B200" s="1" t="s">
        <v>12</v>
      </c>
      <c r="C200" s="1" t="s">
        <v>18</v>
      </c>
      <c r="D200" s="1" t="s">
        <v>342</v>
      </c>
      <c r="E200" s="1" t="s">
        <v>343</v>
      </c>
      <c r="F200" s="1" t="s">
        <v>14</v>
      </c>
      <c r="G200" s="1">
        <v>179725640.22</v>
      </c>
      <c r="H200" s="1">
        <v>754151.36</v>
      </c>
      <c r="I200" s="1">
        <v>754151.36</v>
      </c>
      <c r="J200" s="1" t="s">
        <v>14</v>
      </c>
      <c r="K200" s="1">
        <v>179725640.22</v>
      </c>
    </row>
    <row r="201" spans="1:11" x14ac:dyDescent="0.25">
      <c r="A201" s="1" t="s">
        <v>11</v>
      </c>
      <c r="B201" s="1" t="s">
        <v>12</v>
      </c>
      <c r="C201" s="1" t="s">
        <v>21</v>
      </c>
      <c r="D201" s="1" t="s">
        <v>344</v>
      </c>
      <c r="E201" s="1" t="s">
        <v>343</v>
      </c>
      <c r="F201" s="1" t="s">
        <v>14</v>
      </c>
      <c r="G201" s="1">
        <v>179725640.22</v>
      </c>
      <c r="H201" s="1">
        <v>754151.36</v>
      </c>
      <c r="I201" s="1">
        <v>754151.36</v>
      </c>
      <c r="J201" s="1" t="s">
        <v>14</v>
      </c>
      <c r="K201" s="1">
        <v>179725640.22</v>
      </c>
    </row>
    <row r="202" spans="1:11" x14ac:dyDescent="0.25">
      <c r="A202" s="1" t="s">
        <v>11</v>
      </c>
      <c r="B202" s="1" t="s">
        <v>12</v>
      </c>
      <c r="C202" s="1" t="s">
        <v>23</v>
      </c>
      <c r="D202" s="1" t="s">
        <v>345</v>
      </c>
      <c r="E202" s="1" t="s">
        <v>343</v>
      </c>
      <c r="F202" s="1" t="s">
        <v>14</v>
      </c>
      <c r="G202" s="1">
        <v>2012833464.4400001</v>
      </c>
      <c r="H202" s="1">
        <v>754151.36</v>
      </c>
      <c r="I202" s="1">
        <v>754151.36</v>
      </c>
      <c r="J202" s="1" t="s">
        <v>14</v>
      </c>
      <c r="K202" s="1">
        <v>2012833464.4400001</v>
      </c>
    </row>
    <row r="203" spans="1:11" x14ac:dyDescent="0.25">
      <c r="A203" s="1" t="s">
        <v>11</v>
      </c>
      <c r="B203" s="1" t="s">
        <v>12</v>
      </c>
      <c r="C203" s="1" t="s">
        <v>26</v>
      </c>
      <c r="D203" s="1" t="s">
        <v>346</v>
      </c>
      <c r="E203" s="1" t="s">
        <v>347</v>
      </c>
      <c r="F203" s="1" t="s">
        <v>14</v>
      </c>
      <c r="G203" s="1">
        <v>82438047</v>
      </c>
      <c r="H203" s="1">
        <v>754151.36</v>
      </c>
      <c r="I203" s="1">
        <v>0</v>
      </c>
      <c r="J203" s="1" t="s">
        <v>14</v>
      </c>
      <c r="K203" s="1">
        <v>83192198.359999999</v>
      </c>
    </row>
    <row r="204" spans="1:11" x14ac:dyDescent="0.25">
      <c r="A204" s="1" t="s">
        <v>11</v>
      </c>
      <c r="B204" s="1" t="s">
        <v>12</v>
      </c>
      <c r="C204" s="1" t="s">
        <v>26</v>
      </c>
      <c r="D204" s="1" t="s">
        <v>348</v>
      </c>
      <c r="E204" s="1" t="s">
        <v>349</v>
      </c>
      <c r="F204" s="1" t="s">
        <v>14</v>
      </c>
      <c r="G204" s="1">
        <v>38777064.939999998</v>
      </c>
      <c r="H204" s="1">
        <v>0</v>
      </c>
      <c r="I204" s="1">
        <v>0</v>
      </c>
      <c r="J204" s="1" t="s">
        <v>14</v>
      </c>
      <c r="K204" s="1">
        <v>38777064.939999998</v>
      </c>
    </row>
    <row r="205" spans="1:11" x14ac:dyDescent="0.25">
      <c r="A205" s="1" t="s">
        <v>11</v>
      </c>
      <c r="B205" s="1" t="s">
        <v>12</v>
      </c>
      <c r="C205" s="1" t="s">
        <v>26</v>
      </c>
      <c r="D205" s="1" t="s">
        <v>350</v>
      </c>
      <c r="E205" s="1" t="s">
        <v>351</v>
      </c>
      <c r="F205" s="1" t="s">
        <v>14</v>
      </c>
      <c r="G205" s="1">
        <v>94933267</v>
      </c>
      <c r="H205" s="1">
        <v>0</v>
      </c>
      <c r="I205" s="1">
        <v>0</v>
      </c>
      <c r="J205" s="1" t="s">
        <v>14</v>
      </c>
      <c r="K205" s="1">
        <v>94933267</v>
      </c>
    </row>
    <row r="206" spans="1:11" x14ac:dyDescent="0.25">
      <c r="A206" s="1" t="s">
        <v>11</v>
      </c>
      <c r="B206" s="1" t="s">
        <v>12</v>
      </c>
      <c r="C206" s="1" t="s">
        <v>26</v>
      </c>
      <c r="D206" s="1" t="s">
        <v>352</v>
      </c>
      <c r="E206" s="1" t="s">
        <v>353</v>
      </c>
      <c r="F206" s="1" t="s">
        <v>14</v>
      </c>
      <c r="G206" s="1">
        <v>33100139.82</v>
      </c>
      <c r="H206" s="1">
        <v>0</v>
      </c>
      <c r="I206" s="1">
        <v>0</v>
      </c>
      <c r="J206" s="1" t="s">
        <v>14</v>
      </c>
      <c r="K206" s="1">
        <v>33100139.82</v>
      </c>
    </row>
    <row r="207" spans="1:11" x14ac:dyDescent="0.25">
      <c r="A207" s="1" t="s">
        <v>11</v>
      </c>
      <c r="B207" s="1" t="s">
        <v>12</v>
      </c>
      <c r="C207" s="1" t="s">
        <v>26</v>
      </c>
      <c r="D207" s="1" t="s">
        <v>354</v>
      </c>
      <c r="E207" s="1" t="s">
        <v>355</v>
      </c>
      <c r="F207" s="1" t="s">
        <v>14</v>
      </c>
      <c r="G207" s="1">
        <v>870143895.17999995</v>
      </c>
      <c r="H207" s="1">
        <v>0</v>
      </c>
      <c r="I207" s="1">
        <v>210000.36</v>
      </c>
      <c r="J207" s="1" t="s">
        <v>14</v>
      </c>
      <c r="K207" s="1">
        <v>869933894.82000005</v>
      </c>
    </row>
    <row r="208" spans="1:11" x14ac:dyDescent="0.25">
      <c r="A208" s="1" t="s">
        <v>11</v>
      </c>
      <c r="B208" s="1" t="s">
        <v>12</v>
      </c>
      <c r="C208" s="1" t="s">
        <v>26</v>
      </c>
      <c r="D208" s="1" t="s">
        <v>356</v>
      </c>
      <c r="E208" s="1" t="s">
        <v>357</v>
      </c>
      <c r="F208" s="1" t="s">
        <v>14</v>
      </c>
      <c r="G208" s="1">
        <v>15516731</v>
      </c>
      <c r="H208" s="1">
        <v>0</v>
      </c>
      <c r="I208" s="1">
        <v>0</v>
      </c>
      <c r="J208" s="1" t="s">
        <v>14</v>
      </c>
      <c r="K208" s="1">
        <v>15516731</v>
      </c>
    </row>
    <row r="209" spans="1:11" x14ac:dyDescent="0.25">
      <c r="A209" s="1" t="s">
        <v>11</v>
      </c>
      <c r="B209" s="1" t="s">
        <v>12</v>
      </c>
      <c r="C209" s="1" t="s">
        <v>26</v>
      </c>
      <c r="D209" s="1" t="s">
        <v>358</v>
      </c>
      <c r="E209" s="1" t="s">
        <v>359</v>
      </c>
      <c r="F209" s="1" t="s">
        <v>14</v>
      </c>
      <c r="G209" s="1">
        <v>21503077</v>
      </c>
      <c r="H209" s="1">
        <v>0</v>
      </c>
      <c r="I209" s="1">
        <v>0</v>
      </c>
      <c r="J209" s="1" t="s">
        <v>14</v>
      </c>
      <c r="K209" s="1">
        <v>21503077</v>
      </c>
    </row>
    <row r="210" spans="1:11" x14ac:dyDescent="0.25">
      <c r="A210" s="1" t="s">
        <v>11</v>
      </c>
      <c r="B210" s="1" t="s">
        <v>12</v>
      </c>
      <c r="C210" s="1" t="s">
        <v>26</v>
      </c>
      <c r="D210" s="1" t="s">
        <v>360</v>
      </c>
      <c r="E210" s="1" t="s">
        <v>361</v>
      </c>
      <c r="F210" s="1" t="s">
        <v>14</v>
      </c>
      <c r="G210" s="1">
        <v>844993284.5</v>
      </c>
      <c r="H210" s="1">
        <v>0</v>
      </c>
      <c r="I210" s="1">
        <v>544151</v>
      </c>
      <c r="J210" s="1" t="s">
        <v>14</v>
      </c>
      <c r="K210" s="1">
        <v>844449133.5</v>
      </c>
    </row>
    <row r="211" spans="1:11" x14ac:dyDescent="0.25">
      <c r="A211" s="1" t="s">
        <v>11</v>
      </c>
      <c r="B211" s="1" t="s">
        <v>12</v>
      </c>
      <c r="C211" s="1" t="s">
        <v>26</v>
      </c>
      <c r="D211" s="1" t="s">
        <v>362</v>
      </c>
      <c r="E211" s="1" t="s">
        <v>363</v>
      </c>
      <c r="F211" s="1" t="s">
        <v>14</v>
      </c>
      <c r="G211" s="1">
        <v>11427958</v>
      </c>
      <c r="H211" s="1">
        <v>0</v>
      </c>
      <c r="I211" s="1">
        <v>0</v>
      </c>
      <c r="J211" s="1" t="s">
        <v>14</v>
      </c>
      <c r="K211" s="1">
        <v>11427958</v>
      </c>
    </row>
    <row r="212" spans="1:11" x14ac:dyDescent="0.25">
      <c r="A212" s="1" t="s">
        <v>11</v>
      </c>
      <c r="B212" s="1" t="s">
        <v>12</v>
      </c>
      <c r="C212" s="1" t="s">
        <v>23</v>
      </c>
      <c r="D212" s="1" t="s">
        <v>364</v>
      </c>
      <c r="E212" s="1" t="s">
        <v>365</v>
      </c>
      <c r="F212" s="1" t="s">
        <v>173</v>
      </c>
      <c r="G212" s="1">
        <v>1833107824.22</v>
      </c>
      <c r="H212" s="1">
        <v>0</v>
      </c>
      <c r="I212" s="1">
        <v>0</v>
      </c>
      <c r="J212" s="1" t="s">
        <v>173</v>
      </c>
      <c r="K212" s="1">
        <v>1833107824.22</v>
      </c>
    </row>
    <row r="213" spans="1:11" x14ac:dyDescent="0.25">
      <c r="A213" s="1" t="s">
        <v>11</v>
      </c>
      <c r="B213" s="1" t="s">
        <v>12</v>
      </c>
      <c r="C213" s="1" t="s">
        <v>26</v>
      </c>
      <c r="D213" s="1" t="s">
        <v>366</v>
      </c>
      <c r="E213" s="1" t="s">
        <v>365</v>
      </c>
      <c r="F213" s="1" t="s">
        <v>173</v>
      </c>
      <c r="G213" s="1">
        <v>1651778213.4300001</v>
      </c>
      <c r="H213" s="1">
        <v>0</v>
      </c>
      <c r="I213" s="1">
        <v>0</v>
      </c>
      <c r="J213" s="1" t="s">
        <v>173</v>
      </c>
      <c r="K213" s="1">
        <v>1651778213.4300001</v>
      </c>
    </row>
    <row r="214" spans="1:11" x14ac:dyDescent="0.25">
      <c r="A214" s="1" t="s">
        <v>11</v>
      </c>
      <c r="B214" s="1" t="s">
        <v>12</v>
      </c>
      <c r="C214" s="1" t="s">
        <v>26</v>
      </c>
      <c r="D214" s="1" t="s">
        <v>367</v>
      </c>
      <c r="E214" s="1" t="s">
        <v>368</v>
      </c>
      <c r="F214" s="1" t="s">
        <v>173</v>
      </c>
      <c r="G214" s="1">
        <v>181329610.78999999</v>
      </c>
      <c r="H214" s="1">
        <v>0</v>
      </c>
      <c r="I214" s="1">
        <v>0</v>
      </c>
      <c r="J214" s="1" t="s">
        <v>173</v>
      </c>
      <c r="K214" s="1">
        <v>181329610.78999999</v>
      </c>
    </row>
    <row r="215" spans="1:11" x14ac:dyDescent="0.25">
      <c r="A215" s="1" t="s">
        <v>11</v>
      </c>
      <c r="B215" s="1" t="s">
        <v>12</v>
      </c>
      <c r="C215" s="1" t="s">
        <v>18</v>
      </c>
      <c r="D215" s="1" t="s">
        <v>369</v>
      </c>
      <c r="E215" s="1" t="s">
        <v>370</v>
      </c>
      <c r="F215" s="1" t="s">
        <v>14</v>
      </c>
      <c r="G215" s="1">
        <v>3049718016.5599999</v>
      </c>
      <c r="H215" s="1">
        <v>395014.08</v>
      </c>
      <c r="I215" s="1">
        <v>395014.08</v>
      </c>
      <c r="J215" s="1" t="s">
        <v>14</v>
      </c>
      <c r="K215" s="1">
        <v>3049718016.5599999</v>
      </c>
    </row>
    <row r="216" spans="1:11" x14ac:dyDescent="0.25">
      <c r="A216" s="1" t="s">
        <v>11</v>
      </c>
      <c r="B216" s="1" t="s">
        <v>12</v>
      </c>
      <c r="C216" s="1" t="s">
        <v>21</v>
      </c>
      <c r="D216" s="1" t="s">
        <v>371</v>
      </c>
      <c r="E216" s="1" t="s">
        <v>370</v>
      </c>
      <c r="F216" s="1" t="s">
        <v>14</v>
      </c>
      <c r="G216" s="1">
        <v>3049718016.5599999</v>
      </c>
      <c r="H216" s="1">
        <v>395014.08</v>
      </c>
      <c r="I216" s="1">
        <v>395014.08</v>
      </c>
      <c r="J216" s="1" t="s">
        <v>14</v>
      </c>
      <c r="K216" s="1">
        <v>3049718016.5599999</v>
      </c>
    </row>
    <row r="217" spans="1:11" x14ac:dyDescent="0.25">
      <c r="A217" s="1" t="s">
        <v>11</v>
      </c>
      <c r="B217" s="1" t="s">
        <v>12</v>
      </c>
      <c r="C217" s="1" t="s">
        <v>23</v>
      </c>
      <c r="D217" s="1" t="s">
        <v>372</v>
      </c>
      <c r="E217" s="1" t="s">
        <v>370</v>
      </c>
      <c r="F217" s="1" t="s">
        <v>14</v>
      </c>
      <c r="G217" s="1">
        <v>14093608347.08</v>
      </c>
      <c r="H217" s="1">
        <v>395014.08</v>
      </c>
      <c r="I217" s="1">
        <v>395014.08</v>
      </c>
      <c r="J217" s="1" t="s">
        <v>14</v>
      </c>
      <c r="K217" s="1">
        <v>14093608347.08</v>
      </c>
    </row>
    <row r="218" spans="1:11" x14ac:dyDescent="0.25">
      <c r="A218" s="1" t="s">
        <v>11</v>
      </c>
      <c r="B218" s="1" t="s">
        <v>12</v>
      </c>
      <c r="C218" s="1" t="s">
        <v>26</v>
      </c>
      <c r="D218" s="1" t="s">
        <v>373</v>
      </c>
      <c r="E218" s="1" t="s">
        <v>374</v>
      </c>
      <c r="F218" s="1" t="s">
        <v>14</v>
      </c>
      <c r="G218" s="1">
        <v>273676384.07999998</v>
      </c>
      <c r="H218" s="1">
        <v>0</v>
      </c>
      <c r="I218" s="1">
        <v>395014.08</v>
      </c>
      <c r="J218" s="1" t="s">
        <v>14</v>
      </c>
      <c r="K218" s="1">
        <v>273281370</v>
      </c>
    </row>
    <row r="219" spans="1:11" x14ac:dyDescent="0.25">
      <c r="A219" s="1" t="s">
        <v>11</v>
      </c>
      <c r="B219" s="1" t="s">
        <v>12</v>
      </c>
      <c r="C219" s="1" t="s">
        <v>26</v>
      </c>
      <c r="D219" s="1" t="s">
        <v>375</v>
      </c>
      <c r="E219" s="1" t="s">
        <v>376</v>
      </c>
      <c r="F219" s="1" t="s">
        <v>14</v>
      </c>
      <c r="G219" s="1">
        <v>69898962</v>
      </c>
      <c r="H219" s="1">
        <v>0</v>
      </c>
      <c r="I219" s="1">
        <v>0</v>
      </c>
      <c r="J219" s="1" t="s">
        <v>14</v>
      </c>
      <c r="K219" s="1">
        <v>69898962</v>
      </c>
    </row>
    <row r="220" spans="1:11" x14ac:dyDescent="0.25">
      <c r="A220" s="1" t="s">
        <v>11</v>
      </c>
      <c r="B220" s="1" t="s">
        <v>12</v>
      </c>
      <c r="C220" s="1" t="s">
        <v>26</v>
      </c>
      <c r="D220" s="1" t="s">
        <v>377</v>
      </c>
      <c r="E220" s="1" t="s">
        <v>378</v>
      </c>
      <c r="F220" s="1" t="s">
        <v>14</v>
      </c>
      <c r="G220" s="1">
        <v>3185436280</v>
      </c>
      <c r="H220" s="1">
        <v>395014.08</v>
      </c>
      <c r="I220" s="1">
        <v>0</v>
      </c>
      <c r="J220" s="1" t="s">
        <v>14</v>
      </c>
      <c r="K220" s="1">
        <v>3185831294.0799999</v>
      </c>
    </row>
    <row r="221" spans="1:11" x14ac:dyDescent="0.25">
      <c r="A221" s="1" t="s">
        <v>11</v>
      </c>
      <c r="B221" s="1" t="s">
        <v>12</v>
      </c>
      <c r="C221" s="1" t="s">
        <v>26</v>
      </c>
      <c r="D221" s="1" t="s">
        <v>379</v>
      </c>
      <c r="E221" s="1" t="s">
        <v>380</v>
      </c>
      <c r="F221" s="1" t="s">
        <v>14</v>
      </c>
      <c r="G221" s="1">
        <v>4828389059</v>
      </c>
      <c r="H221" s="1">
        <v>0</v>
      </c>
      <c r="I221" s="1">
        <v>0</v>
      </c>
      <c r="J221" s="1" t="s">
        <v>14</v>
      </c>
      <c r="K221" s="1">
        <v>4828389059</v>
      </c>
    </row>
    <row r="222" spans="1:11" x14ac:dyDescent="0.25">
      <c r="A222" s="1" t="s">
        <v>11</v>
      </c>
      <c r="B222" s="1" t="s">
        <v>12</v>
      </c>
      <c r="C222" s="1" t="s">
        <v>26</v>
      </c>
      <c r="D222" s="1" t="s">
        <v>381</v>
      </c>
      <c r="E222" s="1" t="s">
        <v>382</v>
      </c>
      <c r="F222" s="1" t="s">
        <v>14</v>
      </c>
      <c r="G222" s="1">
        <v>5473132595</v>
      </c>
      <c r="H222" s="1">
        <v>0</v>
      </c>
      <c r="I222" s="1">
        <v>0</v>
      </c>
      <c r="J222" s="1" t="s">
        <v>14</v>
      </c>
      <c r="K222" s="1">
        <v>5473132595</v>
      </c>
    </row>
    <row r="223" spans="1:11" x14ac:dyDescent="0.25">
      <c r="A223" s="1" t="s">
        <v>11</v>
      </c>
      <c r="B223" s="1" t="s">
        <v>12</v>
      </c>
      <c r="C223" s="1" t="s">
        <v>26</v>
      </c>
      <c r="D223" s="1" t="s">
        <v>383</v>
      </c>
      <c r="E223" s="1" t="s">
        <v>384</v>
      </c>
      <c r="F223" s="1" t="s">
        <v>14</v>
      </c>
      <c r="G223" s="1">
        <v>6876684</v>
      </c>
      <c r="H223" s="1">
        <v>0</v>
      </c>
      <c r="I223" s="1">
        <v>0</v>
      </c>
      <c r="J223" s="1" t="s">
        <v>14</v>
      </c>
      <c r="K223" s="1">
        <v>6876684</v>
      </c>
    </row>
    <row r="224" spans="1:11" x14ac:dyDescent="0.25">
      <c r="A224" s="1" t="s">
        <v>11</v>
      </c>
      <c r="B224" s="1" t="s">
        <v>12</v>
      </c>
      <c r="C224" s="1" t="s">
        <v>26</v>
      </c>
      <c r="D224" s="1" t="s">
        <v>385</v>
      </c>
      <c r="E224" s="1" t="s">
        <v>386</v>
      </c>
      <c r="F224" s="1" t="s">
        <v>14</v>
      </c>
      <c r="G224" s="1">
        <v>11783719</v>
      </c>
      <c r="H224" s="1">
        <v>0</v>
      </c>
      <c r="I224" s="1">
        <v>0</v>
      </c>
      <c r="J224" s="1" t="s">
        <v>14</v>
      </c>
      <c r="K224" s="1">
        <v>11783719</v>
      </c>
    </row>
    <row r="225" spans="1:11" x14ac:dyDescent="0.25">
      <c r="A225" s="1" t="s">
        <v>11</v>
      </c>
      <c r="B225" s="1" t="s">
        <v>12</v>
      </c>
      <c r="C225" s="1" t="s">
        <v>26</v>
      </c>
      <c r="D225" s="1" t="s">
        <v>387</v>
      </c>
      <c r="E225" s="1" t="s">
        <v>388</v>
      </c>
      <c r="F225" s="1" t="s">
        <v>14</v>
      </c>
      <c r="G225" s="1">
        <v>176852795</v>
      </c>
      <c r="H225" s="1">
        <v>0</v>
      </c>
      <c r="I225" s="1">
        <v>0</v>
      </c>
      <c r="J225" s="1" t="s">
        <v>14</v>
      </c>
      <c r="K225" s="1">
        <v>176852795</v>
      </c>
    </row>
    <row r="226" spans="1:11" x14ac:dyDescent="0.25">
      <c r="A226" s="1" t="s">
        <v>11</v>
      </c>
      <c r="B226" s="1" t="s">
        <v>12</v>
      </c>
      <c r="C226" s="1" t="s">
        <v>26</v>
      </c>
      <c r="D226" s="1" t="s">
        <v>389</v>
      </c>
      <c r="E226" s="1" t="s">
        <v>390</v>
      </c>
      <c r="F226" s="1" t="s">
        <v>14</v>
      </c>
      <c r="G226" s="1">
        <v>67561869</v>
      </c>
      <c r="H226" s="1">
        <v>0</v>
      </c>
      <c r="I226" s="1">
        <v>0</v>
      </c>
      <c r="J226" s="1" t="s">
        <v>14</v>
      </c>
      <c r="K226" s="1">
        <v>67561869</v>
      </c>
    </row>
    <row r="227" spans="1:11" x14ac:dyDescent="0.25">
      <c r="A227" s="1" t="s">
        <v>11</v>
      </c>
      <c r="B227" s="1" t="s">
        <v>12</v>
      </c>
      <c r="C227" s="1" t="s">
        <v>23</v>
      </c>
      <c r="D227" s="1" t="s">
        <v>391</v>
      </c>
      <c r="E227" s="1" t="s">
        <v>392</v>
      </c>
      <c r="F227" s="1" t="s">
        <v>173</v>
      </c>
      <c r="G227" s="1">
        <v>11043890330.52</v>
      </c>
      <c r="H227" s="1">
        <v>0</v>
      </c>
      <c r="I227" s="1">
        <v>0</v>
      </c>
      <c r="J227" s="1" t="s">
        <v>173</v>
      </c>
      <c r="K227" s="1">
        <v>11043890330.52</v>
      </c>
    </row>
    <row r="228" spans="1:11" x14ac:dyDescent="0.25">
      <c r="A228" s="1" t="s">
        <v>11</v>
      </c>
      <c r="B228" s="1" t="s">
        <v>12</v>
      </c>
      <c r="C228" s="1" t="s">
        <v>26</v>
      </c>
      <c r="D228" s="1" t="s">
        <v>393</v>
      </c>
      <c r="E228" s="1" t="s">
        <v>392</v>
      </c>
      <c r="F228" s="1" t="s">
        <v>173</v>
      </c>
      <c r="G228" s="1">
        <v>10855919286.389999</v>
      </c>
      <c r="H228" s="1">
        <v>0</v>
      </c>
      <c r="I228" s="1">
        <v>0</v>
      </c>
      <c r="J228" s="1" t="s">
        <v>173</v>
      </c>
      <c r="K228" s="1">
        <v>10855919286.389999</v>
      </c>
    </row>
    <row r="229" spans="1:11" x14ac:dyDescent="0.25">
      <c r="A229" s="1" t="s">
        <v>11</v>
      </c>
      <c r="B229" s="1" t="s">
        <v>12</v>
      </c>
      <c r="C229" s="1" t="s">
        <v>26</v>
      </c>
      <c r="D229" s="1" t="s">
        <v>394</v>
      </c>
      <c r="E229" s="1" t="s">
        <v>395</v>
      </c>
      <c r="F229" s="1" t="s">
        <v>173</v>
      </c>
      <c r="G229" s="1">
        <v>187971044.13</v>
      </c>
      <c r="H229" s="1">
        <v>0</v>
      </c>
      <c r="I229" s="1">
        <v>0</v>
      </c>
      <c r="J229" s="1" t="s">
        <v>173</v>
      </c>
      <c r="K229" s="1">
        <v>187971044.13</v>
      </c>
    </row>
    <row r="230" spans="1:11" x14ac:dyDescent="0.25">
      <c r="A230" s="1" t="s">
        <v>11</v>
      </c>
      <c r="B230" s="1" t="s">
        <v>12</v>
      </c>
      <c r="C230" s="1" t="s">
        <v>18</v>
      </c>
      <c r="D230" s="1" t="s">
        <v>396</v>
      </c>
      <c r="E230" s="1" t="s">
        <v>397</v>
      </c>
      <c r="F230" s="1" t="s">
        <v>14</v>
      </c>
      <c r="G230" s="1">
        <v>33426226.460000001</v>
      </c>
      <c r="H230" s="1">
        <v>0</v>
      </c>
      <c r="I230" s="1">
        <v>0</v>
      </c>
      <c r="J230" s="1" t="s">
        <v>14</v>
      </c>
      <c r="K230" s="1">
        <v>33426226.460000001</v>
      </c>
    </row>
    <row r="231" spans="1:11" x14ac:dyDescent="0.25">
      <c r="A231" s="1" t="s">
        <v>11</v>
      </c>
      <c r="B231" s="1" t="s">
        <v>12</v>
      </c>
      <c r="C231" s="1" t="s">
        <v>21</v>
      </c>
      <c r="D231" s="1" t="s">
        <v>398</v>
      </c>
      <c r="E231" s="1" t="s">
        <v>397</v>
      </c>
      <c r="F231" s="1" t="s">
        <v>14</v>
      </c>
      <c r="G231" s="1">
        <v>33426226.460000001</v>
      </c>
      <c r="H231" s="1">
        <v>0</v>
      </c>
      <c r="I231" s="1">
        <v>0</v>
      </c>
      <c r="J231" s="1" t="s">
        <v>14</v>
      </c>
      <c r="K231" s="1">
        <v>33426226.460000001</v>
      </c>
    </row>
    <row r="232" spans="1:11" x14ac:dyDescent="0.25">
      <c r="A232" s="1" t="s">
        <v>11</v>
      </c>
      <c r="B232" s="1" t="s">
        <v>12</v>
      </c>
      <c r="C232" s="1" t="s">
        <v>23</v>
      </c>
      <c r="D232" s="1" t="s">
        <v>399</v>
      </c>
      <c r="E232" s="1" t="s">
        <v>400</v>
      </c>
      <c r="F232" s="1" t="s">
        <v>14</v>
      </c>
      <c r="G232" s="1">
        <v>69865550</v>
      </c>
      <c r="H232" s="1">
        <v>0</v>
      </c>
      <c r="I232" s="1">
        <v>0</v>
      </c>
      <c r="J232" s="1" t="s">
        <v>14</v>
      </c>
      <c r="K232" s="1">
        <v>69865550</v>
      </c>
    </row>
    <row r="233" spans="1:11" x14ac:dyDescent="0.25">
      <c r="A233" s="1" t="s">
        <v>11</v>
      </c>
      <c r="B233" s="1" t="s">
        <v>12</v>
      </c>
      <c r="C233" s="1" t="s">
        <v>26</v>
      </c>
      <c r="D233" s="1" t="s">
        <v>401</v>
      </c>
      <c r="E233" s="1" t="s">
        <v>402</v>
      </c>
      <c r="F233" s="1" t="s">
        <v>14</v>
      </c>
      <c r="G233" s="1">
        <v>69865550</v>
      </c>
      <c r="H233" s="1">
        <v>0</v>
      </c>
      <c r="I233" s="1">
        <v>0</v>
      </c>
      <c r="J233" s="1" t="s">
        <v>14</v>
      </c>
      <c r="K233" s="1">
        <v>69865550</v>
      </c>
    </row>
    <row r="234" spans="1:11" x14ac:dyDescent="0.25">
      <c r="A234" s="1" t="s">
        <v>11</v>
      </c>
      <c r="B234" s="1" t="s">
        <v>12</v>
      </c>
      <c r="C234" s="1" t="s">
        <v>23</v>
      </c>
      <c r="D234" s="1" t="s">
        <v>403</v>
      </c>
      <c r="E234" s="1" t="s">
        <v>404</v>
      </c>
      <c r="F234" s="1" t="s">
        <v>173</v>
      </c>
      <c r="G234" s="1">
        <v>36439323.539999999</v>
      </c>
      <c r="H234" s="1">
        <v>0</v>
      </c>
      <c r="I234" s="1">
        <v>0</v>
      </c>
      <c r="J234" s="1" t="s">
        <v>173</v>
      </c>
      <c r="K234" s="1">
        <v>36439323.539999999</v>
      </c>
    </row>
    <row r="235" spans="1:11" x14ac:dyDescent="0.25">
      <c r="A235" s="1" t="s">
        <v>11</v>
      </c>
      <c r="B235" s="1" t="s">
        <v>12</v>
      </c>
      <c r="C235" s="1" t="s">
        <v>26</v>
      </c>
      <c r="D235" s="1" t="s">
        <v>405</v>
      </c>
      <c r="E235" s="1" t="s">
        <v>406</v>
      </c>
      <c r="F235" s="1" t="s">
        <v>173</v>
      </c>
      <c r="G235" s="1">
        <v>36439323.539999999</v>
      </c>
      <c r="H235" s="1">
        <v>0</v>
      </c>
      <c r="I235" s="1">
        <v>0</v>
      </c>
      <c r="J235" s="1" t="s">
        <v>173</v>
      </c>
      <c r="K235" s="1">
        <v>36439323.539999999</v>
      </c>
    </row>
    <row r="236" spans="1:11" x14ac:dyDescent="0.25">
      <c r="A236" s="1" t="s">
        <v>11</v>
      </c>
      <c r="B236" s="1" t="s">
        <v>12</v>
      </c>
      <c r="C236" s="1" t="s">
        <v>15</v>
      </c>
      <c r="D236" s="1" t="s">
        <v>407</v>
      </c>
      <c r="E236" s="1" t="s">
        <v>408</v>
      </c>
      <c r="F236" s="1" t="s">
        <v>14</v>
      </c>
      <c r="G236" s="1">
        <v>566264067</v>
      </c>
      <c r="H236" s="1">
        <v>0</v>
      </c>
      <c r="I236" s="1">
        <v>12510574</v>
      </c>
      <c r="J236" s="1" t="s">
        <v>14</v>
      </c>
      <c r="K236" s="1">
        <v>553753493</v>
      </c>
    </row>
    <row r="237" spans="1:11" x14ac:dyDescent="0.25">
      <c r="A237" s="1" t="s">
        <v>11</v>
      </c>
      <c r="B237" s="1" t="s">
        <v>12</v>
      </c>
      <c r="C237" s="1" t="s">
        <v>18</v>
      </c>
      <c r="D237" s="1" t="s">
        <v>409</v>
      </c>
      <c r="E237" s="1" t="s">
        <v>410</v>
      </c>
      <c r="F237" s="1" t="s">
        <v>14</v>
      </c>
      <c r="G237" s="1">
        <v>566264067</v>
      </c>
      <c r="H237" s="1">
        <v>0</v>
      </c>
      <c r="I237" s="1">
        <v>12510574</v>
      </c>
      <c r="J237" s="1" t="s">
        <v>14</v>
      </c>
      <c r="K237" s="1">
        <v>553753493</v>
      </c>
    </row>
    <row r="238" spans="1:11" x14ac:dyDescent="0.25">
      <c r="A238" s="1" t="s">
        <v>11</v>
      </c>
      <c r="B238" s="1" t="s">
        <v>12</v>
      </c>
      <c r="C238" s="1" t="s">
        <v>21</v>
      </c>
      <c r="D238" s="1" t="s">
        <v>411</v>
      </c>
      <c r="E238" s="1" t="s">
        <v>412</v>
      </c>
      <c r="F238" s="1" t="s">
        <v>14</v>
      </c>
      <c r="G238" s="1">
        <v>357247699</v>
      </c>
      <c r="H238" s="1">
        <v>0</v>
      </c>
      <c r="I238" s="1">
        <v>10575238</v>
      </c>
      <c r="J238" s="1" t="s">
        <v>14</v>
      </c>
      <c r="K238" s="1">
        <v>346672461</v>
      </c>
    </row>
    <row r="239" spans="1:11" x14ac:dyDescent="0.25">
      <c r="A239" s="1" t="s">
        <v>11</v>
      </c>
      <c r="B239" s="1" t="s">
        <v>12</v>
      </c>
      <c r="C239" s="1" t="s">
        <v>23</v>
      </c>
      <c r="D239" s="1" t="s">
        <v>413</v>
      </c>
      <c r="E239" s="1" t="s">
        <v>412</v>
      </c>
      <c r="F239" s="1" t="s">
        <v>14</v>
      </c>
      <c r="G239" s="1">
        <v>787635521</v>
      </c>
      <c r="H239" s="1">
        <v>0</v>
      </c>
      <c r="I239" s="1">
        <v>0</v>
      </c>
      <c r="J239" s="1" t="s">
        <v>14</v>
      </c>
      <c r="K239" s="1">
        <v>787635521</v>
      </c>
    </row>
    <row r="240" spans="1:11" x14ac:dyDescent="0.25">
      <c r="A240" s="1" t="s">
        <v>11</v>
      </c>
      <c r="B240" s="1" t="s">
        <v>12</v>
      </c>
      <c r="C240" s="1" t="s">
        <v>26</v>
      </c>
      <c r="D240" s="1" t="s">
        <v>414</v>
      </c>
      <c r="E240" s="1" t="s">
        <v>412</v>
      </c>
      <c r="F240" s="1" t="s">
        <v>14</v>
      </c>
      <c r="G240" s="1">
        <v>581324192</v>
      </c>
      <c r="H240" s="1">
        <v>0</v>
      </c>
      <c r="I240" s="1">
        <v>0</v>
      </c>
      <c r="J240" s="1" t="s">
        <v>14</v>
      </c>
      <c r="K240" s="1">
        <v>581324192</v>
      </c>
    </row>
    <row r="241" spans="1:11" x14ac:dyDescent="0.25">
      <c r="A241" s="1" t="s">
        <v>11</v>
      </c>
      <c r="B241" s="1" t="s">
        <v>12</v>
      </c>
      <c r="C241" s="1" t="s">
        <v>26</v>
      </c>
      <c r="D241" s="1" t="s">
        <v>415</v>
      </c>
      <c r="E241" s="1" t="s">
        <v>416</v>
      </c>
      <c r="F241" s="1" t="s">
        <v>14</v>
      </c>
      <c r="G241" s="1">
        <v>206311329</v>
      </c>
      <c r="H241" s="1">
        <v>0</v>
      </c>
      <c r="I241" s="1">
        <v>0</v>
      </c>
      <c r="J241" s="1" t="s">
        <v>14</v>
      </c>
      <c r="K241" s="1">
        <v>206311329</v>
      </c>
    </row>
    <row r="242" spans="1:11" x14ac:dyDescent="0.25">
      <c r="A242" s="1" t="s">
        <v>11</v>
      </c>
      <c r="B242" s="1" t="s">
        <v>12</v>
      </c>
      <c r="C242" s="1" t="s">
        <v>23</v>
      </c>
      <c r="D242" s="1" t="s">
        <v>417</v>
      </c>
      <c r="E242" s="1" t="s">
        <v>418</v>
      </c>
      <c r="F242" s="1" t="s">
        <v>173</v>
      </c>
      <c r="G242" s="1">
        <v>-430387822</v>
      </c>
      <c r="H242" s="1">
        <v>0</v>
      </c>
      <c r="I242" s="1">
        <v>10575238</v>
      </c>
      <c r="J242" s="1" t="s">
        <v>173</v>
      </c>
      <c r="K242" s="1">
        <v>-440963060</v>
      </c>
    </row>
    <row r="243" spans="1:11" x14ac:dyDescent="0.25">
      <c r="A243" s="1" t="s">
        <v>11</v>
      </c>
      <c r="B243" s="1" t="s">
        <v>12</v>
      </c>
      <c r="C243" s="1" t="s">
        <v>26</v>
      </c>
      <c r="D243" s="1" t="s">
        <v>419</v>
      </c>
      <c r="E243" s="1" t="s">
        <v>418</v>
      </c>
      <c r="F243" s="1" t="s">
        <v>173</v>
      </c>
      <c r="G243" s="1">
        <v>-310039552</v>
      </c>
      <c r="H243" s="1">
        <v>0</v>
      </c>
      <c r="I243" s="1">
        <v>4844368</v>
      </c>
      <c r="J243" s="1" t="s">
        <v>173</v>
      </c>
      <c r="K243" s="1">
        <v>-314883920</v>
      </c>
    </row>
    <row r="244" spans="1:11" x14ac:dyDescent="0.25">
      <c r="A244" s="1" t="s">
        <v>11</v>
      </c>
      <c r="B244" s="1" t="s">
        <v>12</v>
      </c>
      <c r="C244" s="1" t="s">
        <v>26</v>
      </c>
      <c r="D244" s="1" t="s">
        <v>420</v>
      </c>
      <c r="E244" s="1" t="s">
        <v>421</v>
      </c>
      <c r="F244" s="1" t="s">
        <v>173</v>
      </c>
      <c r="G244" s="1">
        <v>-120348270</v>
      </c>
      <c r="H244" s="1">
        <v>0</v>
      </c>
      <c r="I244" s="1">
        <v>5730870</v>
      </c>
      <c r="J244" s="1" t="s">
        <v>173</v>
      </c>
      <c r="K244" s="1">
        <v>-126079140</v>
      </c>
    </row>
    <row r="245" spans="1:11" x14ac:dyDescent="0.25">
      <c r="A245" s="1" t="s">
        <v>11</v>
      </c>
      <c r="B245" s="1" t="s">
        <v>12</v>
      </c>
      <c r="C245" s="1" t="s">
        <v>21</v>
      </c>
      <c r="D245" s="1" t="s">
        <v>422</v>
      </c>
      <c r="E245" s="1" t="s">
        <v>423</v>
      </c>
      <c r="F245" s="1" t="s">
        <v>14</v>
      </c>
      <c r="G245" s="1">
        <v>209016368</v>
      </c>
      <c r="H245" s="1">
        <v>0</v>
      </c>
      <c r="I245" s="1">
        <v>1935336</v>
      </c>
      <c r="J245" s="1" t="s">
        <v>14</v>
      </c>
      <c r="K245" s="1">
        <v>207081032</v>
      </c>
    </row>
    <row r="246" spans="1:11" x14ac:dyDescent="0.25">
      <c r="A246" s="1" t="s">
        <v>11</v>
      </c>
      <c r="B246" s="1" t="s">
        <v>12</v>
      </c>
      <c r="C246" s="1" t="s">
        <v>23</v>
      </c>
      <c r="D246" s="1" t="s">
        <v>424</v>
      </c>
      <c r="E246" s="1" t="s">
        <v>423</v>
      </c>
      <c r="F246" s="1" t="s">
        <v>14</v>
      </c>
      <c r="G246" s="1">
        <v>232240400</v>
      </c>
      <c r="H246" s="1">
        <v>0</v>
      </c>
      <c r="I246" s="1">
        <v>0</v>
      </c>
      <c r="J246" s="1" t="s">
        <v>14</v>
      </c>
      <c r="K246" s="1">
        <v>232240400</v>
      </c>
    </row>
    <row r="247" spans="1:11" x14ac:dyDescent="0.25">
      <c r="A247" s="1" t="s">
        <v>11</v>
      </c>
      <c r="B247" s="1" t="s">
        <v>12</v>
      </c>
      <c r="C247" s="1" t="s">
        <v>26</v>
      </c>
      <c r="D247" s="1" t="s">
        <v>425</v>
      </c>
      <c r="E247" s="1" t="s">
        <v>282</v>
      </c>
      <c r="F247" s="1" t="s">
        <v>14</v>
      </c>
      <c r="G247" s="1">
        <v>232240400</v>
      </c>
      <c r="H247" s="1">
        <v>0</v>
      </c>
      <c r="I247" s="1">
        <v>0</v>
      </c>
      <c r="J247" s="1" t="s">
        <v>14</v>
      </c>
      <c r="K247" s="1">
        <v>232240400</v>
      </c>
    </row>
    <row r="248" spans="1:11" x14ac:dyDescent="0.25">
      <c r="A248" s="1" t="s">
        <v>11</v>
      </c>
      <c r="B248" s="1" t="s">
        <v>12</v>
      </c>
      <c r="C248" s="1" t="s">
        <v>23</v>
      </c>
      <c r="D248" s="1" t="s">
        <v>426</v>
      </c>
      <c r="E248" s="1" t="s">
        <v>427</v>
      </c>
      <c r="F248" s="1" t="s">
        <v>173</v>
      </c>
      <c r="G248" s="1">
        <v>-23224032</v>
      </c>
      <c r="H248" s="1">
        <v>0</v>
      </c>
      <c r="I248" s="1">
        <v>1935336</v>
      </c>
      <c r="J248" s="1" t="s">
        <v>173</v>
      </c>
      <c r="K248" s="1">
        <v>-25159368</v>
      </c>
    </row>
    <row r="249" spans="1:11" x14ac:dyDescent="0.25">
      <c r="A249" s="1" t="s">
        <v>11</v>
      </c>
      <c r="B249" s="1" t="s">
        <v>12</v>
      </c>
      <c r="C249" s="1" t="s">
        <v>26</v>
      </c>
      <c r="D249" s="1" t="s">
        <v>428</v>
      </c>
      <c r="E249" s="1" t="s">
        <v>429</v>
      </c>
      <c r="F249" s="1" t="s">
        <v>173</v>
      </c>
      <c r="G249" s="1">
        <v>-23224032</v>
      </c>
      <c r="H249" s="1">
        <v>0</v>
      </c>
      <c r="I249" s="1">
        <v>1935336</v>
      </c>
      <c r="J249" s="1" t="s">
        <v>173</v>
      </c>
      <c r="K249" s="1">
        <v>-25159368</v>
      </c>
    </row>
    <row r="250" spans="1:11" x14ac:dyDescent="0.25">
      <c r="A250" s="1" t="s">
        <v>11</v>
      </c>
      <c r="B250" s="1" t="s">
        <v>12</v>
      </c>
      <c r="C250" s="1" t="s">
        <v>15</v>
      </c>
      <c r="D250" s="1" t="s">
        <v>430</v>
      </c>
      <c r="E250" s="1" t="s">
        <v>431</v>
      </c>
      <c r="F250" s="1" t="s">
        <v>14</v>
      </c>
      <c r="G250" s="1">
        <v>136359121</v>
      </c>
      <c r="H250" s="1">
        <v>133158000</v>
      </c>
      <c r="I250" s="1">
        <v>182096914</v>
      </c>
      <c r="J250" s="1" t="s">
        <v>14</v>
      </c>
      <c r="K250" s="1">
        <v>87420207</v>
      </c>
    </row>
    <row r="251" spans="1:11" x14ac:dyDescent="0.25">
      <c r="A251" s="1" t="s">
        <v>11</v>
      </c>
      <c r="B251" s="1" t="s">
        <v>12</v>
      </c>
      <c r="C251" s="1" t="s">
        <v>18</v>
      </c>
      <c r="D251" s="1" t="s">
        <v>432</v>
      </c>
      <c r="E251" s="1" t="s">
        <v>431</v>
      </c>
      <c r="F251" s="1" t="s">
        <v>14</v>
      </c>
      <c r="G251" s="1">
        <v>136359121</v>
      </c>
      <c r="H251" s="1">
        <v>133158000</v>
      </c>
      <c r="I251" s="1">
        <v>182096914</v>
      </c>
      <c r="J251" s="1" t="s">
        <v>14</v>
      </c>
      <c r="K251" s="1">
        <v>87420207</v>
      </c>
    </row>
    <row r="252" spans="1:11" x14ac:dyDescent="0.25">
      <c r="A252" s="1" t="s">
        <v>11</v>
      </c>
      <c r="B252" s="1" t="s">
        <v>12</v>
      </c>
      <c r="C252" s="1" t="s">
        <v>21</v>
      </c>
      <c r="D252" s="1" t="s">
        <v>433</v>
      </c>
      <c r="E252" s="1" t="s">
        <v>434</v>
      </c>
      <c r="F252" s="1" t="s">
        <v>14</v>
      </c>
      <c r="G252" s="1">
        <v>136359121</v>
      </c>
      <c r="H252" s="1">
        <v>133158000</v>
      </c>
      <c r="I252" s="1">
        <v>182096914</v>
      </c>
      <c r="J252" s="1" t="s">
        <v>14</v>
      </c>
      <c r="K252" s="1">
        <v>87420207</v>
      </c>
    </row>
    <row r="253" spans="1:11" x14ac:dyDescent="0.25">
      <c r="A253" s="1" t="s">
        <v>11</v>
      </c>
      <c r="B253" s="1" t="s">
        <v>12</v>
      </c>
      <c r="C253" s="1" t="s">
        <v>23</v>
      </c>
      <c r="D253" s="1" t="s">
        <v>435</v>
      </c>
      <c r="E253" s="1" t="s">
        <v>434</v>
      </c>
      <c r="F253" s="1" t="s">
        <v>14</v>
      </c>
      <c r="G253" s="1">
        <v>136359121</v>
      </c>
      <c r="H253" s="1">
        <v>133158000</v>
      </c>
      <c r="I253" s="1">
        <v>182096914</v>
      </c>
      <c r="J253" s="1" t="s">
        <v>14</v>
      </c>
      <c r="K253" s="1">
        <v>87420207</v>
      </c>
    </row>
    <row r="254" spans="1:11" x14ac:dyDescent="0.25">
      <c r="A254" s="1" t="s">
        <v>11</v>
      </c>
      <c r="B254" s="1" t="s">
        <v>12</v>
      </c>
      <c r="C254" s="1" t="s">
        <v>26</v>
      </c>
      <c r="D254" s="1" t="s">
        <v>436</v>
      </c>
      <c r="E254" s="1" t="s">
        <v>437</v>
      </c>
      <c r="F254" s="1" t="s">
        <v>14</v>
      </c>
      <c r="G254" s="1">
        <v>362000</v>
      </c>
      <c r="H254" s="1">
        <v>0</v>
      </c>
      <c r="I254" s="1">
        <v>181000</v>
      </c>
      <c r="J254" s="1" t="s">
        <v>14</v>
      </c>
      <c r="K254" s="1">
        <v>181000</v>
      </c>
    </row>
    <row r="255" spans="1:11" x14ac:dyDescent="0.25">
      <c r="A255" s="1" t="s">
        <v>11</v>
      </c>
      <c r="B255" s="1" t="s">
        <v>12</v>
      </c>
      <c r="C255" s="1" t="s">
        <v>26</v>
      </c>
      <c r="D255" s="1" t="s">
        <v>438</v>
      </c>
      <c r="E255" s="1" t="s">
        <v>439</v>
      </c>
      <c r="F255" s="1" t="s">
        <v>14</v>
      </c>
      <c r="G255" s="1">
        <v>8139250</v>
      </c>
      <c r="H255" s="1">
        <v>133158000</v>
      </c>
      <c r="I255" s="1">
        <v>117986490</v>
      </c>
      <c r="J255" s="1" t="s">
        <v>14</v>
      </c>
      <c r="K255" s="1">
        <v>23310760</v>
      </c>
    </row>
    <row r="256" spans="1:11" x14ac:dyDescent="0.25">
      <c r="A256" s="1" t="s">
        <v>11</v>
      </c>
      <c r="B256" s="1" t="s">
        <v>12</v>
      </c>
      <c r="C256" s="1" t="s">
        <v>26</v>
      </c>
      <c r="D256" s="1" t="s">
        <v>440</v>
      </c>
      <c r="E256" s="1" t="s">
        <v>441</v>
      </c>
      <c r="F256" s="1" t="s">
        <v>14</v>
      </c>
      <c r="G256" s="1">
        <v>127857871</v>
      </c>
      <c r="H256" s="1">
        <v>0</v>
      </c>
      <c r="I256" s="1">
        <v>63929424</v>
      </c>
      <c r="J256" s="1" t="s">
        <v>14</v>
      </c>
      <c r="K256" s="1">
        <v>63928447</v>
      </c>
    </row>
    <row r="257" spans="1:11" x14ac:dyDescent="0.25">
      <c r="A257" s="1" t="s">
        <v>11</v>
      </c>
      <c r="B257" s="1" t="s">
        <v>442</v>
      </c>
      <c r="C257" s="1" t="s">
        <v>13</v>
      </c>
      <c r="D257" s="1" t="s">
        <v>15</v>
      </c>
      <c r="E257" s="1" t="s">
        <v>442</v>
      </c>
      <c r="F257" s="1" t="s">
        <v>173</v>
      </c>
      <c r="G257" s="1">
        <v>51537243882.540001</v>
      </c>
      <c r="H257" s="1">
        <v>9583477858.1800003</v>
      </c>
      <c r="I257" s="1">
        <v>6303311011.71</v>
      </c>
      <c r="J257" s="1" t="s">
        <v>173</v>
      </c>
      <c r="K257" s="1">
        <v>48257077036.07</v>
      </c>
    </row>
    <row r="258" spans="1:11" x14ac:dyDescent="0.25">
      <c r="A258" s="1" t="s">
        <v>11</v>
      </c>
      <c r="B258" s="1" t="s">
        <v>442</v>
      </c>
      <c r="C258" s="1" t="s">
        <v>15</v>
      </c>
      <c r="D258" s="1" t="s">
        <v>443</v>
      </c>
      <c r="E258" s="1" t="s">
        <v>444</v>
      </c>
      <c r="F258" s="1" t="s">
        <v>173</v>
      </c>
      <c r="G258" s="1">
        <v>4755355361.4099998</v>
      </c>
      <c r="H258" s="1">
        <v>590939575</v>
      </c>
      <c r="I258" s="1">
        <v>286490311</v>
      </c>
      <c r="J258" s="1" t="s">
        <v>173</v>
      </c>
      <c r="K258" s="1">
        <v>4450906097.4099998</v>
      </c>
    </row>
    <row r="259" spans="1:11" x14ac:dyDescent="0.25">
      <c r="A259" s="1" t="s">
        <v>11</v>
      </c>
      <c r="B259" s="1" t="s">
        <v>442</v>
      </c>
      <c r="C259" s="1" t="s">
        <v>18</v>
      </c>
      <c r="D259" s="1" t="s">
        <v>445</v>
      </c>
      <c r="E259" s="1" t="s">
        <v>446</v>
      </c>
      <c r="F259" s="1" t="s">
        <v>173</v>
      </c>
      <c r="G259" s="1">
        <v>4755355361.4099998</v>
      </c>
      <c r="H259" s="1">
        <v>590939575</v>
      </c>
      <c r="I259" s="1">
        <v>286490311</v>
      </c>
      <c r="J259" s="1" t="s">
        <v>173</v>
      </c>
      <c r="K259" s="1">
        <v>4450906097.4099998</v>
      </c>
    </row>
    <row r="260" spans="1:11" x14ac:dyDescent="0.25">
      <c r="A260" s="1" t="s">
        <v>11</v>
      </c>
      <c r="B260" s="1" t="s">
        <v>442</v>
      </c>
      <c r="C260" s="1" t="s">
        <v>21</v>
      </c>
      <c r="D260" s="1" t="s">
        <v>447</v>
      </c>
      <c r="E260" s="1" t="s">
        <v>446</v>
      </c>
      <c r="F260" s="1" t="s">
        <v>173</v>
      </c>
      <c r="G260" s="1">
        <v>4755355361.4099998</v>
      </c>
      <c r="H260" s="1">
        <v>590939575</v>
      </c>
      <c r="I260" s="1">
        <v>286490311</v>
      </c>
      <c r="J260" s="1" t="s">
        <v>173</v>
      </c>
      <c r="K260" s="1">
        <v>4450906097.4099998</v>
      </c>
    </row>
    <row r="261" spans="1:11" x14ac:dyDescent="0.25">
      <c r="A261" s="1" t="s">
        <v>11</v>
      </c>
      <c r="B261" s="1" t="s">
        <v>442</v>
      </c>
      <c r="C261" s="1" t="s">
        <v>23</v>
      </c>
      <c r="D261" s="1" t="s">
        <v>448</v>
      </c>
      <c r="E261" s="1" t="s">
        <v>449</v>
      </c>
      <c r="F261" s="1" t="s">
        <v>173</v>
      </c>
      <c r="G261" s="1">
        <v>1684750562.3900001</v>
      </c>
      <c r="H261" s="1">
        <v>578928779</v>
      </c>
      <c r="I261" s="1">
        <v>286490311</v>
      </c>
      <c r="J261" s="1" t="s">
        <v>173</v>
      </c>
      <c r="K261" s="1">
        <v>1392312094.3900001</v>
      </c>
    </row>
    <row r="262" spans="1:11" x14ac:dyDescent="0.25">
      <c r="A262" s="1" t="s">
        <v>11</v>
      </c>
      <c r="B262" s="1" t="s">
        <v>442</v>
      </c>
      <c r="C262" s="1" t="s">
        <v>26</v>
      </c>
      <c r="D262" s="1" t="s">
        <v>450</v>
      </c>
      <c r="E262" s="1" t="s">
        <v>451</v>
      </c>
      <c r="F262" s="1" t="s">
        <v>173</v>
      </c>
      <c r="G262" s="1">
        <v>301194167.99000001</v>
      </c>
      <c r="H262" s="1">
        <v>150527502</v>
      </c>
      <c r="I262" s="1">
        <v>110000000</v>
      </c>
      <c r="J262" s="1" t="s">
        <v>173</v>
      </c>
      <c r="K262" s="1">
        <v>260666665.99000001</v>
      </c>
    </row>
    <row r="263" spans="1:11" x14ac:dyDescent="0.25">
      <c r="A263" s="1" t="s">
        <v>11</v>
      </c>
      <c r="B263" s="1" t="s">
        <v>442</v>
      </c>
      <c r="C263" s="1" t="s">
        <v>26</v>
      </c>
      <c r="D263" s="1" t="s">
        <v>452</v>
      </c>
      <c r="E263" s="1" t="s">
        <v>453</v>
      </c>
      <c r="F263" s="1" t="s">
        <v>173</v>
      </c>
      <c r="G263" s="1">
        <v>9900810.5999999996</v>
      </c>
      <c r="H263" s="1">
        <v>4133009</v>
      </c>
      <c r="I263" s="1">
        <v>0</v>
      </c>
      <c r="J263" s="1" t="s">
        <v>173</v>
      </c>
      <c r="K263" s="1">
        <v>5767801.5999999996</v>
      </c>
    </row>
    <row r="264" spans="1:11" x14ac:dyDescent="0.25">
      <c r="A264" s="1" t="s">
        <v>11</v>
      </c>
      <c r="B264" s="1" t="s">
        <v>442</v>
      </c>
      <c r="C264" s="1" t="s">
        <v>26</v>
      </c>
      <c r="D264" s="1" t="s">
        <v>454</v>
      </c>
      <c r="E264" s="1" t="s">
        <v>455</v>
      </c>
      <c r="F264" s="1" t="s">
        <v>173</v>
      </c>
      <c r="G264" s="1">
        <v>516032713</v>
      </c>
      <c r="H264" s="1">
        <v>100079000</v>
      </c>
      <c r="I264" s="1">
        <v>176490311</v>
      </c>
      <c r="J264" s="1" t="s">
        <v>173</v>
      </c>
      <c r="K264" s="1">
        <v>592444024</v>
      </c>
    </row>
    <row r="265" spans="1:11" x14ac:dyDescent="0.25">
      <c r="A265" s="1" t="s">
        <v>11</v>
      </c>
      <c r="B265" s="1" t="s">
        <v>442</v>
      </c>
      <c r="C265" s="1" t="s">
        <v>26</v>
      </c>
      <c r="D265" s="1" t="s">
        <v>456</v>
      </c>
      <c r="E265" s="1" t="s">
        <v>457</v>
      </c>
      <c r="F265" s="1" t="s">
        <v>173</v>
      </c>
      <c r="G265" s="1">
        <v>102870000</v>
      </c>
      <c r="H265" s="1">
        <v>51435000</v>
      </c>
      <c r="I265" s="1">
        <v>0</v>
      </c>
      <c r="J265" s="1" t="s">
        <v>173</v>
      </c>
      <c r="K265" s="1">
        <v>51435000</v>
      </c>
    </row>
    <row r="266" spans="1:11" x14ac:dyDescent="0.25">
      <c r="A266" s="1" t="s">
        <v>11</v>
      </c>
      <c r="B266" s="1" t="s">
        <v>442</v>
      </c>
      <c r="C266" s="1" t="s">
        <v>26</v>
      </c>
      <c r="D266" s="1" t="s">
        <v>458</v>
      </c>
      <c r="E266" s="1" t="s">
        <v>459</v>
      </c>
      <c r="F266" s="1" t="s">
        <v>173</v>
      </c>
      <c r="G266" s="1">
        <v>27775333.300000001</v>
      </c>
      <c r="H266" s="1">
        <v>0</v>
      </c>
      <c r="I266" s="1">
        <v>0</v>
      </c>
      <c r="J266" s="1" t="s">
        <v>173</v>
      </c>
      <c r="K266" s="1">
        <v>27775333.300000001</v>
      </c>
    </row>
    <row r="267" spans="1:11" x14ac:dyDescent="0.25">
      <c r="A267" s="1" t="s">
        <v>11</v>
      </c>
      <c r="B267" s="1" t="s">
        <v>442</v>
      </c>
      <c r="C267" s="1" t="s">
        <v>26</v>
      </c>
      <c r="D267" s="1" t="s">
        <v>460</v>
      </c>
      <c r="E267" s="1" t="s">
        <v>461</v>
      </c>
      <c r="F267" s="1" t="s">
        <v>173</v>
      </c>
      <c r="G267" s="1">
        <v>8326800</v>
      </c>
      <c r="H267" s="1">
        <v>4167000</v>
      </c>
      <c r="I267" s="1">
        <v>0</v>
      </c>
      <c r="J267" s="1" t="s">
        <v>173</v>
      </c>
      <c r="K267" s="1">
        <v>4159800</v>
      </c>
    </row>
    <row r="268" spans="1:11" x14ac:dyDescent="0.25">
      <c r="A268" s="1" t="s">
        <v>11</v>
      </c>
      <c r="B268" s="1" t="s">
        <v>442</v>
      </c>
      <c r="C268" s="1" t="s">
        <v>26</v>
      </c>
      <c r="D268" s="1" t="s">
        <v>462</v>
      </c>
      <c r="E268" s="1" t="s">
        <v>463</v>
      </c>
      <c r="F268" s="1" t="s">
        <v>173</v>
      </c>
      <c r="G268" s="1">
        <v>181668000</v>
      </c>
      <c r="H268" s="1">
        <v>90833000</v>
      </c>
      <c r="I268" s="1">
        <v>0</v>
      </c>
      <c r="J268" s="1" t="s">
        <v>173</v>
      </c>
      <c r="K268" s="1">
        <v>90835000</v>
      </c>
    </row>
    <row r="269" spans="1:11" x14ac:dyDescent="0.25">
      <c r="A269" s="1" t="s">
        <v>11</v>
      </c>
      <c r="B269" s="1" t="s">
        <v>442</v>
      </c>
      <c r="C269" s="1" t="s">
        <v>26</v>
      </c>
      <c r="D269" s="1" t="s">
        <v>464</v>
      </c>
      <c r="E269" s="1" t="s">
        <v>465</v>
      </c>
      <c r="F269" s="1" t="s">
        <v>173</v>
      </c>
      <c r="G269" s="1">
        <v>83328220.040000007</v>
      </c>
      <c r="H269" s="1">
        <v>35625000</v>
      </c>
      <c r="I269" s="1">
        <v>0</v>
      </c>
      <c r="J269" s="1" t="s">
        <v>173</v>
      </c>
      <c r="K269" s="1">
        <v>47703220.039999999</v>
      </c>
    </row>
    <row r="270" spans="1:11" x14ac:dyDescent="0.25">
      <c r="A270" s="1" t="s">
        <v>11</v>
      </c>
      <c r="B270" s="1" t="s">
        <v>442</v>
      </c>
      <c r="C270" s="1" t="s">
        <v>26</v>
      </c>
      <c r="D270" s="1" t="s">
        <v>466</v>
      </c>
      <c r="E270" s="1" t="s">
        <v>467</v>
      </c>
      <c r="F270" s="1" t="s">
        <v>173</v>
      </c>
      <c r="G270" s="1">
        <v>137789293</v>
      </c>
      <c r="H270" s="1">
        <v>34447322</v>
      </c>
      <c r="I270" s="1">
        <v>0</v>
      </c>
      <c r="J270" s="1" t="s">
        <v>173</v>
      </c>
      <c r="K270" s="1">
        <v>103341971</v>
      </c>
    </row>
    <row r="271" spans="1:11" x14ac:dyDescent="0.25">
      <c r="A271" s="1" t="s">
        <v>11</v>
      </c>
      <c r="B271" s="1" t="s">
        <v>442</v>
      </c>
      <c r="C271" s="1" t="s">
        <v>26</v>
      </c>
      <c r="D271" s="1" t="s">
        <v>468</v>
      </c>
      <c r="E271" s="1" t="s">
        <v>469</v>
      </c>
      <c r="F271" s="1" t="s">
        <v>173</v>
      </c>
      <c r="G271" s="1">
        <v>190688746</v>
      </c>
      <c r="H271" s="1">
        <v>47672187</v>
      </c>
      <c r="I271" s="1">
        <v>0</v>
      </c>
      <c r="J271" s="1" t="s">
        <v>173</v>
      </c>
      <c r="K271" s="1">
        <v>143016559</v>
      </c>
    </row>
    <row r="272" spans="1:11" x14ac:dyDescent="0.25">
      <c r="A272" s="1" t="s">
        <v>11</v>
      </c>
      <c r="B272" s="1" t="s">
        <v>442</v>
      </c>
      <c r="C272" s="1" t="s">
        <v>26</v>
      </c>
      <c r="D272" s="1" t="s">
        <v>470</v>
      </c>
      <c r="E272" s="1" t="s">
        <v>471</v>
      </c>
      <c r="F272" s="1" t="s">
        <v>173</v>
      </c>
      <c r="G272" s="1">
        <v>17192580.899999999</v>
      </c>
      <c r="H272" s="1">
        <v>8596287</v>
      </c>
      <c r="I272" s="1">
        <v>0</v>
      </c>
      <c r="J272" s="1" t="s">
        <v>173</v>
      </c>
      <c r="K272" s="1">
        <v>8596293.9000000004</v>
      </c>
    </row>
    <row r="273" spans="1:11" x14ac:dyDescent="0.25">
      <c r="A273" s="1" t="s">
        <v>11</v>
      </c>
      <c r="B273" s="1" t="s">
        <v>442</v>
      </c>
      <c r="C273" s="1" t="s">
        <v>26</v>
      </c>
      <c r="D273" s="1" t="s">
        <v>472</v>
      </c>
      <c r="E273" s="1" t="s">
        <v>473</v>
      </c>
      <c r="F273" s="1" t="s">
        <v>173</v>
      </c>
      <c r="G273" s="1">
        <v>55547148.450000003</v>
      </c>
      <c r="H273" s="1">
        <v>31323000</v>
      </c>
      <c r="I273" s="1">
        <v>0</v>
      </c>
      <c r="J273" s="1" t="s">
        <v>173</v>
      </c>
      <c r="K273" s="1">
        <v>24224148.449999999</v>
      </c>
    </row>
    <row r="274" spans="1:11" x14ac:dyDescent="0.25">
      <c r="A274" s="1" t="s">
        <v>11</v>
      </c>
      <c r="B274" s="1" t="s">
        <v>442</v>
      </c>
      <c r="C274" s="1" t="s">
        <v>26</v>
      </c>
      <c r="D274" s="1" t="s">
        <v>474</v>
      </c>
      <c r="E274" s="1" t="s">
        <v>475</v>
      </c>
      <c r="F274" s="1" t="s">
        <v>173</v>
      </c>
      <c r="G274" s="1">
        <v>27848614.800000001</v>
      </c>
      <c r="H274" s="1">
        <v>9787471</v>
      </c>
      <c r="I274" s="1">
        <v>0</v>
      </c>
      <c r="J274" s="1" t="s">
        <v>173</v>
      </c>
      <c r="K274" s="1">
        <v>18061143.800000001</v>
      </c>
    </row>
    <row r="275" spans="1:11" x14ac:dyDescent="0.25">
      <c r="A275" s="1" t="s">
        <v>11</v>
      </c>
      <c r="B275" s="1" t="s">
        <v>442</v>
      </c>
      <c r="C275" s="1" t="s">
        <v>26</v>
      </c>
      <c r="D275" s="1" t="s">
        <v>476</v>
      </c>
      <c r="E275" s="1" t="s">
        <v>477</v>
      </c>
      <c r="F275" s="1" t="s">
        <v>173</v>
      </c>
      <c r="G275" s="1">
        <v>10690028.960000001</v>
      </c>
      <c r="H275" s="1">
        <v>3359001</v>
      </c>
      <c r="I275" s="1">
        <v>0</v>
      </c>
      <c r="J275" s="1" t="s">
        <v>173</v>
      </c>
      <c r="K275" s="1">
        <v>7331027.96</v>
      </c>
    </row>
    <row r="276" spans="1:11" x14ac:dyDescent="0.25">
      <c r="A276" s="1" t="s">
        <v>11</v>
      </c>
      <c r="B276" s="1" t="s">
        <v>442</v>
      </c>
      <c r="C276" s="1" t="s">
        <v>26</v>
      </c>
      <c r="D276" s="1" t="s">
        <v>478</v>
      </c>
      <c r="E276" s="1" t="s">
        <v>479</v>
      </c>
      <c r="F276" s="1" t="s">
        <v>173</v>
      </c>
      <c r="G276" s="1">
        <v>13898105.35</v>
      </c>
      <c r="H276" s="1">
        <v>6944000</v>
      </c>
      <c r="I276" s="1">
        <v>0</v>
      </c>
      <c r="J276" s="1" t="s">
        <v>173</v>
      </c>
      <c r="K276" s="1">
        <v>6954105.3499999996</v>
      </c>
    </row>
    <row r="277" spans="1:11" x14ac:dyDescent="0.25">
      <c r="A277" s="1" t="s">
        <v>11</v>
      </c>
      <c r="B277" s="1" t="s">
        <v>442</v>
      </c>
      <c r="C277" s="1" t="s">
        <v>23</v>
      </c>
      <c r="D277" s="1" t="s">
        <v>480</v>
      </c>
      <c r="E277" s="1" t="s">
        <v>481</v>
      </c>
      <c r="F277" s="1" t="s">
        <v>173</v>
      </c>
      <c r="G277" s="1">
        <v>3058594003.02</v>
      </c>
      <c r="H277" s="1">
        <v>0</v>
      </c>
      <c r="I277" s="1">
        <v>0</v>
      </c>
      <c r="J277" s="1" t="s">
        <v>173</v>
      </c>
      <c r="K277" s="1">
        <v>3058594003.02</v>
      </c>
    </row>
    <row r="278" spans="1:11" x14ac:dyDescent="0.25">
      <c r="A278" s="1" t="s">
        <v>11</v>
      </c>
      <c r="B278" s="1" t="s">
        <v>442</v>
      </c>
      <c r="C278" s="1" t="s">
        <v>26</v>
      </c>
      <c r="D278" s="1" t="s">
        <v>482</v>
      </c>
      <c r="E278" s="1" t="s">
        <v>453</v>
      </c>
      <c r="F278" s="1" t="s">
        <v>173</v>
      </c>
      <c r="G278" s="1">
        <v>7903721.4000000004</v>
      </c>
      <c r="H278" s="1">
        <v>0</v>
      </c>
      <c r="I278" s="1">
        <v>0</v>
      </c>
      <c r="J278" s="1" t="s">
        <v>173</v>
      </c>
      <c r="K278" s="1">
        <v>7903721.4000000004</v>
      </c>
    </row>
    <row r="279" spans="1:11" x14ac:dyDescent="0.25">
      <c r="A279" s="1" t="s">
        <v>11</v>
      </c>
      <c r="B279" s="1" t="s">
        <v>442</v>
      </c>
      <c r="C279" s="1" t="s">
        <v>26</v>
      </c>
      <c r="D279" s="1" t="s">
        <v>483</v>
      </c>
      <c r="E279" s="1" t="s">
        <v>471</v>
      </c>
      <c r="F279" s="1" t="s">
        <v>173</v>
      </c>
      <c r="G279" s="1">
        <v>17192575.100000001</v>
      </c>
      <c r="H279" s="1">
        <v>0</v>
      </c>
      <c r="I279" s="1">
        <v>0</v>
      </c>
      <c r="J279" s="1" t="s">
        <v>173</v>
      </c>
      <c r="K279" s="1">
        <v>17192575.100000001</v>
      </c>
    </row>
    <row r="280" spans="1:11" x14ac:dyDescent="0.25">
      <c r="A280" s="1" t="s">
        <v>11</v>
      </c>
      <c r="B280" s="1" t="s">
        <v>442</v>
      </c>
      <c r="C280" s="1" t="s">
        <v>26</v>
      </c>
      <c r="D280" s="1" t="s">
        <v>484</v>
      </c>
      <c r="E280" s="1" t="s">
        <v>457</v>
      </c>
      <c r="F280" s="1" t="s">
        <v>173</v>
      </c>
      <c r="G280" s="1">
        <v>308610000</v>
      </c>
      <c r="H280" s="1">
        <v>0</v>
      </c>
      <c r="I280" s="1">
        <v>0</v>
      </c>
      <c r="J280" s="1" t="s">
        <v>173</v>
      </c>
      <c r="K280" s="1">
        <v>308610000</v>
      </c>
    </row>
    <row r="281" spans="1:11" x14ac:dyDescent="0.25">
      <c r="A281" s="1" t="s">
        <v>11</v>
      </c>
      <c r="B281" s="1" t="s">
        <v>442</v>
      </c>
      <c r="C281" s="1" t="s">
        <v>26</v>
      </c>
      <c r="D281" s="1" t="s">
        <v>485</v>
      </c>
      <c r="E281" s="1" t="s">
        <v>486</v>
      </c>
      <c r="F281" s="1" t="s">
        <v>173</v>
      </c>
      <c r="G281" s="1">
        <v>83332666.700000003</v>
      </c>
      <c r="H281" s="1">
        <v>0</v>
      </c>
      <c r="I281" s="1">
        <v>0</v>
      </c>
      <c r="J281" s="1" t="s">
        <v>173</v>
      </c>
      <c r="K281" s="1">
        <v>83332666.700000003</v>
      </c>
    </row>
    <row r="282" spans="1:11" x14ac:dyDescent="0.25">
      <c r="A282" s="1" t="s">
        <v>11</v>
      </c>
      <c r="B282" s="1" t="s">
        <v>442</v>
      </c>
      <c r="C282" s="1" t="s">
        <v>26</v>
      </c>
      <c r="D282" s="1" t="s">
        <v>487</v>
      </c>
      <c r="E282" s="1" t="s">
        <v>461</v>
      </c>
      <c r="F282" s="1" t="s">
        <v>173</v>
      </c>
      <c r="G282" s="1">
        <v>33331200</v>
      </c>
      <c r="H282" s="1">
        <v>0</v>
      </c>
      <c r="I282" s="1">
        <v>0</v>
      </c>
      <c r="J282" s="1" t="s">
        <v>173</v>
      </c>
      <c r="K282" s="1">
        <v>33331200</v>
      </c>
    </row>
    <row r="283" spans="1:11" x14ac:dyDescent="0.25">
      <c r="A283" s="1" t="s">
        <v>11</v>
      </c>
      <c r="B283" s="1" t="s">
        <v>442</v>
      </c>
      <c r="C283" s="1" t="s">
        <v>26</v>
      </c>
      <c r="D283" s="1" t="s">
        <v>488</v>
      </c>
      <c r="E283" s="1" t="s">
        <v>465</v>
      </c>
      <c r="F283" s="1" t="s">
        <v>173</v>
      </c>
      <c r="G283" s="1">
        <v>666666667</v>
      </c>
      <c r="H283" s="1">
        <v>0</v>
      </c>
      <c r="I283" s="1">
        <v>0</v>
      </c>
      <c r="J283" s="1" t="s">
        <v>173</v>
      </c>
      <c r="K283" s="1">
        <v>666666667</v>
      </c>
    </row>
    <row r="284" spans="1:11" x14ac:dyDescent="0.25">
      <c r="A284" s="1" t="s">
        <v>11</v>
      </c>
      <c r="B284" s="1" t="s">
        <v>442</v>
      </c>
      <c r="C284" s="1" t="s">
        <v>26</v>
      </c>
      <c r="D284" s="1" t="s">
        <v>489</v>
      </c>
      <c r="E284" s="1" t="s">
        <v>490</v>
      </c>
      <c r="F284" s="1" t="s">
        <v>173</v>
      </c>
      <c r="G284" s="1">
        <v>1500000000</v>
      </c>
      <c r="H284" s="1">
        <v>0</v>
      </c>
      <c r="I284" s="1">
        <v>0</v>
      </c>
      <c r="J284" s="1" t="s">
        <v>173</v>
      </c>
      <c r="K284" s="1">
        <v>1500000000</v>
      </c>
    </row>
    <row r="285" spans="1:11" x14ac:dyDescent="0.25">
      <c r="A285" s="1" t="s">
        <v>11</v>
      </c>
      <c r="B285" s="1" t="s">
        <v>442</v>
      </c>
      <c r="C285" s="1" t="s">
        <v>26</v>
      </c>
      <c r="D285" s="1" t="s">
        <v>491</v>
      </c>
      <c r="E285" s="1" t="s">
        <v>475</v>
      </c>
      <c r="F285" s="1" t="s">
        <v>173</v>
      </c>
      <c r="G285" s="1">
        <v>98157043.200000003</v>
      </c>
      <c r="H285" s="1">
        <v>0</v>
      </c>
      <c r="I285" s="1">
        <v>0</v>
      </c>
      <c r="J285" s="1" t="s">
        <v>173</v>
      </c>
      <c r="K285" s="1">
        <v>98157043.200000003</v>
      </c>
    </row>
    <row r="286" spans="1:11" x14ac:dyDescent="0.25">
      <c r="A286" s="1" t="s">
        <v>11</v>
      </c>
      <c r="B286" s="1" t="s">
        <v>442</v>
      </c>
      <c r="C286" s="1" t="s">
        <v>26</v>
      </c>
      <c r="D286" s="1" t="s">
        <v>492</v>
      </c>
      <c r="E286" s="1" t="s">
        <v>477</v>
      </c>
      <c r="F286" s="1" t="s">
        <v>173</v>
      </c>
      <c r="G286" s="1">
        <v>44788849.039999999</v>
      </c>
      <c r="H286" s="1">
        <v>0</v>
      </c>
      <c r="I286" s="1">
        <v>0</v>
      </c>
      <c r="J286" s="1" t="s">
        <v>173</v>
      </c>
      <c r="K286" s="1">
        <v>44788849.039999999</v>
      </c>
    </row>
    <row r="287" spans="1:11" x14ac:dyDescent="0.25">
      <c r="A287" s="1" t="s">
        <v>11</v>
      </c>
      <c r="B287" s="1" t="s">
        <v>442</v>
      </c>
      <c r="C287" s="1" t="s">
        <v>26</v>
      </c>
      <c r="D287" s="1" t="s">
        <v>493</v>
      </c>
      <c r="E287" s="1" t="s">
        <v>473</v>
      </c>
      <c r="F287" s="1" t="s">
        <v>173</v>
      </c>
      <c r="G287" s="1">
        <v>249997385.93000001</v>
      </c>
      <c r="H287" s="1">
        <v>0</v>
      </c>
      <c r="I287" s="1">
        <v>0</v>
      </c>
      <c r="J287" s="1" t="s">
        <v>173</v>
      </c>
      <c r="K287" s="1">
        <v>249997385.93000001</v>
      </c>
    </row>
    <row r="288" spans="1:11" x14ac:dyDescent="0.25">
      <c r="A288" s="1" t="s">
        <v>11</v>
      </c>
      <c r="B288" s="1" t="s">
        <v>442</v>
      </c>
      <c r="C288" s="1" t="s">
        <v>26</v>
      </c>
      <c r="D288" s="1" t="s">
        <v>494</v>
      </c>
      <c r="E288" s="1" t="s">
        <v>479</v>
      </c>
      <c r="F288" s="1" t="s">
        <v>173</v>
      </c>
      <c r="G288" s="1">
        <v>48613894.649999999</v>
      </c>
      <c r="H288" s="1">
        <v>0</v>
      </c>
      <c r="I288" s="1">
        <v>0</v>
      </c>
      <c r="J288" s="1" t="s">
        <v>173</v>
      </c>
      <c r="K288" s="1">
        <v>48613894.649999999</v>
      </c>
    </row>
    <row r="289" spans="1:11" x14ac:dyDescent="0.25">
      <c r="A289" s="1" t="s">
        <v>11</v>
      </c>
      <c r="B289" s="1" t="s">
        <v>442</v>
      </c>
      <c r="C289" s="1" t="s">
        <v>23</v>
      </c>
      <c r="D289" s="1" t="s">
        <v>495</v>
      </c>
      <c r="E289" s="1" t="s">
        <v>496</v>
      </c>
      <c r="F289" s="1" t="s">
        <v>173</v>
      </c>
      <c r="G289" s="1">
        <v>12010796</v>
      </c>
      <c r="H289" s="1">
        <v>12010796</v>
      </c>
      <c r="I289" s="1">
        <v>0</v>
      </c>
      <c r="J289" s="1" t="s">
        <v>173</v>
      </c>
      <c r="K289" s="1">
        <v>0</v>
      </c>
    </row>
    <row r="290" spans="1:11" x14ac:dyDescent="0.25">
      <c r="A290" s="1" t="s">
        <v>11</v>
      </c>
      <c r="B290" s="1" t="s">
        <v>442</v>
      </c>
      <c r="C290" s="1" t="s">
        <v>26</v>
      </c>
      <c r="D290" s="1" t="s">
        <v>497</v>
      </c>
      <c r="E290" s="1" t="s">
        <v>498</v>
      </c>
      <c r="F290" s="1" t="s">
        <v>173</v>
      </c>
      <c r="G290" s="1">
        <v>7033596</v>
      </c>
      <c r="H290" s="1">
        <v>7033596</v>
      </c>
      <c r="I290" s="1">
        <v>0</v>
      </c>
      <c r="J290" s="1" t="s">
        <v>173</v>
      </c>
      <c r="K290" s="1">
        <v>0</v>
      </c>
    </row>
    <row r="291" spans="1:11" x14ac:dyDescent="0.25">
      <c r="A291" s="1" t="s">
        <v>11</v>
      </c>
      <c r="B291" s="1" t="s">
        <v>442</v>
      </c>
      <c r="C291" s="1" t="s">
        <v>26</v>
      </c>
      <c r="D291" s="1" t="s">
        <v>499</v>
      </c>
      <c r="E291" s="1" t="s">
        <v>500</v>
      </c>
      <c r="F291" s="1" t="s">
        <v>173</v>
      </c>
      <c r="G291" s="1">
        <v>4977200</v>
      </c>
      <c r="H291" s="1">
        <v>4977200</v>
      </c>
      <c r="I291" s="1">
        <v>0</v>
      </c>
      <c r="J291" s="1" t="s">
        <v>173</v>
      </c>
      <c r="K291" s="1">
        <v>0</v>
      </c>
    </row>
    <row r="292" spans="1:11" x14ac:dyDescent="0.25">
      <c r="A292" s="1" t="s">
        <v>11</v>
      </c>
      <c r="B292" s="1" t="s">
        <v>442</v>
      </c>
      <c r="C292" s="1" t="s">
        <v>15</v>
      </c>
      <c r="D292" s="1" t="s">
        <v>501</v>
      </c>
      <c r="E292" s="1" t="s">
        <v>502</v>
      </c>
      <c r="F292" s="1" t="s">
        <v>173</v>
      </c>
      <c r="G292" s="1">
        <v>7362093874.0799999</v>
      </c>
      <c r="H292" s="1">
        <v>806756991.12</v>
      </c>
      <c r="I292" s="1">
        <v>566025059.65999997</v>
      </c>
      <c r="J292" s="1" t="s">
        <v>173</v>
      </c>
      <c r="K292" s="1">
        <v>7121361942.6199999</v>
      </c>
    </row>
    <row r="293" spans="1:11" x14ac:dyDescent="0.25">
      <c r="A293" s="1" t="s">
        <v>11</v>
      </c>
      <c r="B293" s="1" t="s">
        <v>442</v>
      </c>
      <c r="C293" s="1" t="s">
        <v>18</v>
      </c>
      <c r="D293" s="1" t="s">
        <v>503</v>
      </c>
      <c r="E293" s="1" t="s">
        <v>504</v>
      </c>
      <c r="F293" s="1" t="s">
        <v>173</v>
      </c>
      <c r="G293" s="1">
        <v>7362093874.0799999</v>
      </c>
      <c r="H293" s="1">
        <v>806756991.12</v>
      </c>
      <c r="I293" s="1">
        <v>566025059.65999997</v>
      </c>
      <c r="J293" s="1" t="s">
        <v>173</v>
      </c>
      <c r="K293" s="1">
        <v>7121361942.6199999</v>
      </c>
    </row>
    <row r="294" spans="1:11" x14ac:dyDescent="0.25">
      <c r="A294" s="1" t="s">
        <v>11</v>
      </c>
      <c r="B294" s="1" t="s">
        <v>442</v>
      </c>
      <c r="C294" s="1" t="s">
        <v>21</v>
      </c>
      <c r="D294" s="1" t="s">
        <v>505</v>
      </c>
      <c r="E294" s="1" t="s">
        <v>506</v>
      </c>
      <c r="F294" s="1" t="s">
        <v>173</v>
      </c>
      <c r="G294" s="1">
        <v>7362093874.0799999</v>
      </c>
      <c r="H294" s="1">
        <v>806756991.12</v>
      </c>
      <c r="I294" s="1">
        <v>566025059.65999997</v>
      </c>
      <c r="J294" s="1" t="s">
        <v>173</v>
      </c>
      <c r="K294" s="1">
        <v>7121361942.6199999</v>
      </c>
    </row>
    <row r="295" spans="1:11" x14ac:dyDescent="0.25">
      <c r="A295" s="1" t="s">
        <v>11</v>
      </c>
      <c r="B295" s="1" t="s">
        <v>442</v>
      </c>
      <c r="C295" s="1" t="s">
        <v>23</v>
      </c>
      <c r="D295" s="1" t="s">
        <v>507</v>
      </c>
      <c r="E295" s="1" t="s">
        <v>506</v>
      </c>
      <c r="F295" s="1" t="s">
        <v>173</v>
      </c>
      <c r="G295" s="1">
        <v>7362093874.0799999</v>
      </c>
      <c r="H295" s="1">
        <v>806756991.12</v>
      </c>
      <c r="I295" s="1">
        <v>566025059.65999997</v>
      </c>
      <c r="J295" s="1" t="s">
        <v>173</v>
      </c>
      <c r="K295" s="1">
        <v>7121361942.6199999</v>
      </c>
    </row>
    <row r="296" spans="1:11" x14ac:dyDescent="0.25">
      <c r="A296" s="1" t="s">
        <v>11</v>
      </c>
      <c r="B296" s="1" t="s">
        <v>442</v>
      </c>
      <c r="C296" s="1" t="s">
        <v>26</v>
      </c>
      <c r="D296" s="1" t="s">
        <v>508</v>
      </c>
      <c r="E296" s="1" t="s">
        <v>509</v>
      </c>
      <c r="F296" s="1" t="s">
        <v>173</v>
      </c>
      <c r="G296" s="1">
        <v>7333085111.0799999</v>
      </c>
      <c r="H296" s="1">
        <v>783014203.12</v>
      </c>
      <c r="I296" s="1">
        <v>541741077.65999997</v>
      </c>
      <c r="J296" s="1" t="s">
        <v>173</v>
      </c>
      <c r="K296" s="1">
        <v>7091811985.6199999</v>
      </c>
    </row>
    <row r="297" spans="1:11" x14ac:dyDescent="0.25">
      <c r="A297" s="1" t="s">
        <v>11</v>
      </c>
      <c r="B297" s="1" t="s">
        <v>442</v>
      </c>
      <c r="C297" s="1" t="s">
        <v>26</v>
      </c>
      <c r="D297" s="1" t="s">
        <v>510</v>
      </c>
      <c r="E297" s="1" t="s">
        <v>511</v>
      </c>
      <c r="F297" s="1" t="s">
        <v>173</v>
      </c>
      <c r="G297" s="1">
        <v>29008763</v>
      </c>
      <c r="H297" s="1">
        <v>23742788</v>
      </c>
      <c r="I297" s="1">
        <v>24283982</v>
      </c>
      <c r="J297" s="1" t="s">
        <v>173</v>
      </c>
      <c r="K297" s="1">
        <v>29549957</v>
      </c>
    </row>
    <row r="298" spans="1:11" x14ac:dyDescent="0.25">
      <c r="A298" s="1" t="s">
        <v>11</v>
      </c>
      <c r="B298" s="1" t="s">
        <v>442</v>
      </c>
      <c r="C298" s="1" t="s">
        <v>15</v>
      </c>
      <c r="D298" s="1" t="s">
        <v>512</v>
      </c>
      <c r="E298" s="1" t="s">
        <v>513</v>
      </c>
      <c r="F298" s="1" t="s">
        <v>173</v>
      </c>
      <c r="G298" s="1">
        <v>30980135075.75</v>
      </c>
      <c r="H298" s="1">
        <v>2177012586.6700001</v>
      </c>
      <c r="I298" s="1">
        <v>1459996602.6600001</v>
      </c>
      <c r="J298" s="1" t="s">
        <v>173</v>
      </c>
      <c r="K298" s="1">
        <v>30263119091.740002</v>
      </c>
    </row>
    <row r="299" spans="1:11" x14ac:dyDescent="0.25">
      <c r="A299" s="1" t="s">
        <v>11</v>
      </c>
      <c r="B299" s="1" t="s">
        <v>442</v>
      </c>
      <c r="C299" s="1" t="s">
        <v>18</v>
      </c>
      <c r="D299" s="1" t="s">
        <v>514</v>
      </c>
      <c r="E299" s="1" t="s">
        <v>515</v>
      </c>
      <c r="F299" s="1" t="s">
        <v>173</v>
      </c>
      <c r="G299" s="1">
        <v>18878156707.07</v>
      </c>
      <c r="H299" s="1">
        <v>100697855</v>
      </c>
      <c r="I299" s="1">
        <v>491373972.68000001</v>
      </c>
      <c r="J299" s="1" t="s">
        <v>173</v>
      </c>
      <c r="K299" s="1">
        <v>19268832824.75</v>
      </c>
    </row>
    <row r="300" spans="1:11" x14ac:dyDescent="0.25">
      <c r="A300" s="1" t="s">
        <v>11</v>
      </c>
      <c r="B300" s="1" t="s">
        <v>442</v>
      </c>
      <c r="C300" s="1" t="s">
        <v>21</v>
      </c>
      <c r="D300" s="1" t="s">
        <v>516</v>
      </c>
      <c r="E300" s="1" t="s">
        <v>517</v>
      </c>
      <c r="F300" s="1" t="s">
        <v>173</v>
      </c>
      <c r="G300" s="1">
        <v>4978721641.3699999</v>
      </c>
      <c r="H300" s="1">
        <v>100697855</v>
      </c>
      <c r="I300" s="1">
        <v>491373972.68000001</v>
      </c>
      <c r="J300" s="1" t="s">
        <v>173</v>
      </c>
      <c r="K300" s="1">
        <v>5369397759.0500002</v>
      </c>
    </row>
    <row r="301" spans="1:11" x14ac:dyDescent="0.25">
      <c r="A301" s="1" t="s">
        <v>11</v>
      </c>
      <c r="B301" s="1" t="s">
        <v>442</v>
      </c>
      <c r="C301" s="1" t="s">
        <v>23</v>
      </c>
      <c r="D301" s="1" t="s">
        <v>518</v>
      </c>
      <c r="E301" s="1" t="s">
        <v>187</v>
      </c>
      <c r="F301" s="1" t="s">
        <v>173</v>
      </c>
      <c r="G301" s="1">
        <v>4654567124.4899998</v>
      </c>
      <c r="H301" s="1">
        <v>5697855</v>
      </c>
      <c r="I301" s="1">
        <v>420257287.68000001</v>
      </c>
      <c r="J301" s="1" t="s">
        <v>173</v>
      </c>
      <c r="K301" s="1">
        <v>5069126557.1700001</v>
      </c>
    </row>
    <row r="302" spans="1:11" x14ac:dyDescent="0.25">
      <c r="A302" s="1" t="s">
        <v>11</v>
      </c>
      <c r="B302" s="1" t="s">
        <v>442</v>
      </c>
      <c r="C302" s="1" t="s">
        <v>26</v>
      </c>
      <c r="D302" s="1" t="s">
        <v>519</v>
      </c>
      <c r="E302" s="1" t="s">
        <v>520</v>
      </c>
      <c r="F302" s="1" t="s">
        <v>173</v>
      </c>
      <c r="G302" s="1">
        <v>1103527690.1400001</v>
      </c>
      <c r="H302" s="1">
        <v>0</v>
      </c>
      <c r="I302" s="1">
        <v>113466181.68000001</v>
      </c>
      <c r="J302" s="1" t="s">
        <v>173</v>
      </c>
      <c r="K302" s="1">
        <v>1216993871.8199999</v>
      </c>
    </row>
    <row r="303" spans="1:11" x14ac:dyDescent="0.25">
      <c r="A303" s="1" t="s">
        <v>11</v>
      </c>
      <c r="B303" s="1" t="s">
        <v>442</v>
      </c>
      <c r="C303" s="1" t="s">
        <v>26</v>
      </c>
      <c r="D303" s="1" t="s">
        <v>521</v>
      </c>
      <c r="E303" s="1" t="s">
        <v>522</v>
      </c>
      <c r="F303" s="1" t="s">
        <v>173</v>
      </c>
      <c r="G303" s="1">
        <v>3547764401.3499999</v>
      </c>
      <c r="H303" s="1">
        <v>655412</v>
      </c>
      <c r="I303" s="1">
        <v>300327706</v>
      </c>
      <c r="J303" s="1" t="s">
        <v>173</v>
      </c>
      <c r="K303" s="1">
        <v>3847436695.3499999</v>
      </c>
    </row>
    <row r="304" spans="1:11" x14ac:dyDescent="0.25">
      <c r="A304" s="1" t="s">
        <v>11</v>
      </c>
      <c r="B304" s="1" t="s">
        <v>442</v>
      </c>
      <c r="C304" s="1" t="s">
        <v>26</v>
      </c>
      <c r="D304" s="1" t="s">
        <v>523</v>
      </c>
      <c r="E304" s="1" t="s">
        <v>524</v>
      </c>
      <c r="F304" s="1" t="s">
        <v>173</v>
      </c>
      <c r="G304" s="1">
        <v>43333</v>
      </c>
      <c r="H304" s="1">
        <v>43333</v>
      </c>
      <c r="I304" s="1">
        <v>0</v>
      </c>
      <c r="J304" s="1" t="s">
        <v>173</v>
      </c>
      <c r="K304" s="1">
        <v>0</v>
      </c>
    </row>
    <row r="305" spans="1:11" x14ac:dyDescent="0.25">
      <c r="A305" s="1" t="s">
        <v>11</v>
      </c>
      <c r="B305" s="1" t="s">
        <v>442</v>
      </c>
      <c r="C305" s="1" t="s">
        <v>26</v>
      </c>
      <c r="D305" s="1" t="s">
        <v>525</v>
      </c>
      <c r="E305" s="1" t="s">
        <v>526</v>
      </c>
      <c r="F305" s="1" t="s">
        <v>173</v>
      </c>
      <c r="G305" s="1">
        <v>3231700</v>
      </c>
      <c r="H305" s="1">
        <v>4999110</v>
      </c>
      <c r="I305" s="1">
        <v>6463400</v>
      </c>
      <c r="J305" s="1" t="s">
        <v>173</v>
      </c>
      <c r="K305" s="1">
        <v>4695990</v>
      </c>
    </row>
    <row r="306" spans="1:11" x14ac:dyDescent="0.25">
      <c r="A306" s="1" t="s">
        <v>11</v>
      </c>
      <c r="B306" s="1" t="s">
        <v>442</v>
      </c>
      <c r="C306" s="1" t="s">
        <v>23</v>
      </c>
      <c r="D306" s="1" t="s">
        <v>527</v>
      </c>
      <c r="E306" s="1" t="s">
        <v>195</v>
      </c>
      <c r="F306" s="1" t="s">
        <v>173</v>
      </c>
      <c r="G306" s="1">
        <v>0</v>
      </c>
      <c r="H306" s="1">
        <v>0</v>
      </c>
      <c r="I306" s="1">
        <v>1116685</v>
      </c>
      <c r="J306" s="1" t="s">
        <v>173</v>
      </c>
      <c r="K306" s="1">
        <v>1116685</v>
      </c>
    </row>
    <row r="307" spans="1:11" x14ac:dyDescent="0.25">
      <c r="A307" s="1" t="s">
        <v>11</v>
      </c>
      <c r="B307" s="1" t="s">
        <v>442</v>
      </c>
      <c r="C307" s="1" t="s">
        <v>26</v>
      </c>
      <c r="D307" s="1" t="s">
        <v>528</v>
      </c>
      <c r="E307" s="1" t="s">
        <v>197</v>
      </c>
      <c r="F307" s="1" t="s">
        <v>173</v>
      </c>
      <c r="G307" s="1">
        <v>0</v>
      </c>
      <c r="H307" s="1">
        <v>0</v>
      </c>
      <c r="I307" s="1">
        <v>1116685</v>
      </c>
      <c r="J307" s="1" t="s">
        <v>173</v>
      </c>
      <c r="K307" s="1">
        <v>1116685</v>
      </c>
    </row>
    <row r="308" spans="1:11" x14ac:dyDescent="0.25">
      <c r="A308" s="1" t="s">
        <v>11</v>
      </c>
      <c r="B308" s="1" t="s">
        <v>442</v>
      </c>
      <c r="C308" s="1" t="s">
        <v>23</v>
      </c>
      <c r="D308" s="1" t="s">
        <v>529</v>
      </c>
      <c r="E308" s="1" t="s">
        <v>530</v>
      </c>
      <c r="F308" s="1" t="s">
        <v>173</v>
      </c>
      <c r="G308" s="1">
        <v>322156207</v>
      </c>
      <c r="H308" s="1">
        <v>95000000</v>
      </c>
      <c r="I308" s="1">
        <v>70000000</v>
      </c>
      <c r="J308" s="1" t="s">
        <v>173</v>
      </c>
      <c r="K308" s="1">
        <v>297156207</v>
      </c>
    </row>
    <row r="309" spans="1:11" x14ac:dyDescent="0.25">
      <c r="A309" s="1" t="s">
        <v>11</v>
      </c>
      <c r="B309" s="1" t="s">
        <v>442</v>
      </c>
      <c r="C309" s="1" t="s">
        <v>26</v>
      </c>
      <c r="D309" s="1" t="s">
        <v>531</v>
      </c>
      <c r="E309" s="1" t="s">
        <v>532</v>
      </c>
      <c r="F309" s="1" t="s">
        <v>173</v>
      </c>
      <c r="G309" s="1">
        <v>322156207</v>
      </c>
      <c r="H309" s="1">
        <v>95000000</v>
      </c>
      <c r="I309" s="1">
        <v>70000000</v>
      </c>
      <c r="J309" s="1" t="s">
        <v>173</v>
      </c>
      <c r="K309" s="1">
        <v>297156207</v>
      </c>
    </row>
    <row r="310" spans="1:11" x14ac:dyDescent="0.25">
      <c r="A310" s="1" t="s">
        <v>11</v>
      </c>
      <c r="B310" s="1" t="s">
        <v>442</v>
      </c>
      <c r="C310" s="1" t="s">
        <v>23</v>
      </c>
      <c r="D310" s="1" t="s">
        <v>533</v>
      </c>
      <c r="E310" s="1" t="s">
        <v>534</v>
      </c>
      <c r="F310" s="1" t="s">
        <v>173</v>
      </c>
      <c r="G310" s="1">
        <v>1998309.88</v>
      </c>
      <c r="H310" s="1">
        <v>0</v>
      </c>
      <c r="I310" s="1">
        <v>0</v>
      </c>
      <c r="J310" s="1" t="s">
        <v>173</v>
      </c>
      <c r="K310" s="1">
        <v>1998309.88</v>
      </c>
    </row>
    <row r="311" spans="1:11" x14ac:dyDescent="0.25">
      <c r="A311" s="1" t="s">
        <v>11</v>
      </c>
      <c r="B311" s="1" t="s">
        <v>442</v>
      </c>
      <c r="C311" s="1" t="s">
        <v>26</v>
      </c>
      <c r="D311" s="1" t="s">
        <v>535</v>
      </c>
      <c r="E311" s="1" t="s">
        <v>536</v>
      </c>
      <c r="F311" s="1" t="s">
        <v>173</v>
      </c>
      <c r="G311" s="1">
        <v>1998309.88</v>
      </c>
      <c r="H311" s="1">
        <v>0</v>
      </c>
      <c r="I311" s="1">
        <v>0</v>
      </c>
      <c r="J311" s="1" t="s">
        <v>173</v>
      </c>
      <c r="K311" s="1">
        <v>1998309.88</v>
      </c>
    </row>
    <row r="312" spans="1:11" x14ac:dyDescent="0.25">
      <c r="A312" s="1" t="s">
        <v>11</v>
      </c>
      <c r="B312" s="1" t="s">
        <v>442</v>
      </c>
      <c r="C312" s="1" t="s">
        <v>21</v>
      </c>
      <c r="D312" s="1" t="s">
        <v>537</v>
      </c>
      <c r="E312" s="1" t="s">
        <v>538</v>
      </c>
      <c r="F312" s="1" t="s">
        <v>173</v>
      </c>
      <c r="G312" s="1">
        <v>13899435065.700001</v>
      </c>
      <c r="H312" s="1">
        <v>0</v>
      </c>
      <c r="I312" s="1">
        <v>0</v>
      </c>
      <c r="J312" s="1" t="s">
        <v>173</v>
      </c>
      <c r="K312" s="1">
        <v>13899435065.700001</v>
      </c>
    </row>
    <row r="313" spans="1:11" x14ac:dyDescent="0.25">
      <c r="A313" s="1" t="s">
        <v>11</v>
      </c>
      <c r="B313" s="1" t="s">
        <v>442</v>
      </c>
      <c r="C313" s="1" t="s">
        <v>23</v>
      </c>
      <c r="D313" s="1" t="s">
        <v>539</v>
      </c>
      <c r="E313" s="1" t="s">
        <v>187</v>
      </c>
      <c r="F313" s="1" t="s">
        <v>173</v>
      </c>
      <c r="G313" s="1">
        <v>13899435065.700001</v>
      </c>
      <c r="H313" s="1">
        <v>0</v>
      </c>
      <c r="I313" s="1">
        <v>0</v>
      </c>
      <c r="J313" s="1" t="s">
        <v>173</v>
      </c>
      <c r="K313" s="1">
        <v>13899435065.700001</v>
      </c>
    </row>
    <row r="314" spans="1:11" x14ac:dyDescent="0.25">
      <c r="A314" s="1" t="s">
        <v>11</v>
      </c>
      <c r="B314" s="1" t="s">
        <v>442</v>
      </c>
      <c r="C314" s="1" t="s">
        <v>26</v>
      </c>
      <c r="D314" s="1" t="s">
        <v>540</v>
      </c>
      <c r="E314" s="1" t="s">
        <v>541</v>
      </c>
      <c r="F314" s="1" t="s">
        <v>173</v>
      </c>
      <c r="G314" s="1">
        <v>13899435065.700001</v>
      </c>
      <c r="H314" s="1">
        <v>0</v>
      </c>
      <c r="I314" s="1">
        <v>0</v>
      </c>
      <c r="J314" s="1" t="s">
        <v>173</v>
      </c>
      <c r="K314" s="1">
        <v>13899435065.700001</v>
      </c>
    </row>
    <row r="315" spans="1:11" x14ac:dyDescent="0.25">
      <c r="A315" s="1" t="s">
        <v>11</v>
      </c>
      <c r="B315" s="1" t="s">
        <v>442</v>
      </c>
      <c r="C315" s="1" t="s">
        <v>18</v>
      </c>
      <c r="D315" s="1" t="s">
        <v>542</v>
      </c>
      <c r="E315" s="1" t="s">
        <v>543</v>
      </c>
      <c r="F315" s="1" t="s">
        <v>173</v>
      </c>
      <c r="G315" s="1">
        <v>12101978368.68</v>
      </c>
      <c r="H315" s="1">
        <v>2076314731.6700001</v>
      </c>
      <c r="I315" s="1">
        <v>968622629.98000002</v>
      </c>
      <c r="J315" s="1" t="s">
        <v>173</v>
      </c>
      <c r="K315" s="1">
        <v>10994286266.99</v>
      </c>
    </row>
    <row r="316" spans="1:11" x14ac:dyDescent="0.25">
      <c r="A316" s="1" t="s">
        <v>11</v>
      </c>
      <c r="B316" s="1" t="s">
        <v>442</v>
      </c>
      <c r="C316" s="1" t="s">
        <v>21</v>
      </c>
      <c r="D316" s="1" t="s">
        <v>544</v>
      </c>
      <c r="E316" s="1" t="s">
        <v>543</v>
      </c>
      <c r="F316" s="1" t="s">
        <v>173</v>
      </c>
      <c r="G316" s="1">
        <v>12101978368.68</v>
      </c>
      <c r="H316" s="1">
        <v>2076314731.6700001</v>
      </c>
      <c r="I316" s="1">
        <v>968622629.98000002</v>
      </c>
      <c r="J316" s="1" t="s">
        <v>173</v>
      </c>
      <c r="K316" s="1">
        <v>10994286266.99</v>
      </c>
    </row>
    <row r="317" spans="1:11" x14ac:dyDescent="0.25">
      <c r="A317" s="1" t="s">
        <v>11</v>
      </c>
      <c r="B317" s="1" t="s">
        <v>442</v>
      </c>
      <c r="C317" s="1" t="s">
        <v>23</v>
      </c>
      <c r="D317" s="1" t="s">
        <v>545</v>
      </c>
      <c r="E317" s="1" t="s">
        <v>543</v>
      </c>
      <c r="F317" s="1" t="s">
        <v>173</v>
      </c>
      <c r="G317" s="1">
        <v>487786403.06</v>
      </c>
      <c r="H317" s="1">
        <v>106690970</v>
      </c>
      <c r="I317" s="1">
        <v>139593590</v>
      </c>
      <c r="J317" s="1" t="s">
        <v>173</v>
      </c>
      <c r="K317" s="1">
        <v>520689023.06</v>
      </c>
    </row>
    <row r="318" spans="1:11" x14ac:dyDescent="0.25">
      <c r="A318" s="1" t="s">
        <v>11</v>
      </c>
      <c r="B318" s="1" t="s">
        <v>442</v>
      </c>
      <c r="C318" s="1" t="s">
        <v>26</v>
      </c>
      <c r="D318" s="1" t="s">
        <v>546</v>
      </c>
      <c r="E318" s="1" t="s">
        <v>543</v>
      </c>
      <c r="F318" s="1" t="s">
        <v>173</v>
      </c>
      <c r="G318" s="1">
        <v>487786403.06</v>
      </c>
      <c r="H318" s="1">
        <v>106690970</v>
      </c>
      <c r="I318" s="1">
        <v>139593590</v>
      </c>
      <c r="J318" s="1" t="s">
        <v>173</v>
      </c>
      <c r="K318" s="1">
        <v>520689023.06</v>
      </c>
    </row>
    <row r="319" spans="1:11" x14ac:dyDescent="0.25">
      <c r="A319" s="1" t="s">
        <v>11</v>
      </c>
      <c r="B319" s="1" t="s">
        <v>442</v>
      </c>
      <c r="C319" s="1" t="s">
        <v>23</v>
      </c>
      <c r="D319" s="1" t="s">
        <v>547</v>
      </c>
      <c r="E319" s="1" t="s">
        <v>548</v>
      </c>
      <c r="F319" s="1" t="s">
        <v>173</v>
      </c>
      <c r="G319" s="1">
        <v>45454498</v>
      </c>
      <c r="H319" s="1">
        <v>3851458</v>
      </c>
      <c r="I319" s="1">
        <v>1000000</v>
      </c>
      <c r="J319" s="1" t="s">
        <v>173</v>
      </c>
      <c r="K319" s="1">
        <v>42603040</v>
      </c>
    </row>
    <row r="320" spans="1:11" x14ac:dyDescent="0.25">
      <c r="A320" s="1" t="s">
        <v>11</v>
      </c>
      <c r="B320" s="1" t="s">
        <v>442</v>
      </c>
      <c r="C320" s="1" t="s">
        <v>26</v>
      </c>
      <c r="D320" s="1" t="s">
        <v>549</v>
      </c>
      <c r="E320" s="1" t="s">
        <v>550</v>
      </c>
      <c r="F320" s="1" t="s">
        <v>173</v>
      </c>
      <c r="G320" s="1">
        <v>45454498</v>
      </c>
      <c r="H320" s="1">
        <v>2851458</v>
      </c>
      <c r="I320" s="1">
        <v>0</v>
      </c>
      <c r="J320" s="1" t="s">
        <v>173</v>
      </c>
      <c r="K320" s="1">
        <v>42603040</v>
      </c>
    </row>
    <row r="321" spans="1:11" x14ac:dyDescent="0.25">
      <c r="A321" s="1" t="s">
        <v>11</v>
      </c>
      <c r="B321" s="1" t="s">
        <v>442</v>
      </c>
      <c r="C321" s="1" t="s">
        <v>26</v>
      </c>
      <c r="D321" s="1" t="s">
        <v>551</v>
      </c>
      <c r="E321" s="1" t="s">
        <v>552</v>
      </c>
      <c r="F321" s="1" t="s">
        <v>173</v>
      </c>
      <c r="G321" s="1">
        <v>0</v>
      </c>
      <c r="H321" s="1">
        <v>1000000</v>
      </c>
      <c r="I321" s="1">
        <v>1000000</v>
      </c>
      <c r="J321" s="1" t="s">
        <v>173</v>
      </c>
      <c r="K321" s="1">
        <v>0</v>
      </c>
    </row>
    <row r="322" spans="1:11" x14ac:dyDescent="0.25">
      <c r="A322" s="1" t="s">
        <v>11</v>
      </c>
      <c r="B322" s="1" t="s">
        <v>442</v>
      </c>
      <c r="C322" s="1" t="s">
        <v>23</v>
      </c>
      <c r="D322" s="1" t="s">
        <v>553</v>
      </c>
      <c r="E322" s="1" t="s">
        <v>554</v>
      </c>
      <c r="F322" s="1" t="s">
        <v>173</v>
      </c>
      <c r="G322" s="1">
        <v>7721997417.5</v>
      </c>
      <c r="H322" s="1">
        <v>723696436</v>
      </c>
      <c r="I322" s="1">
        <v>180060215</v>
      </c>
      <c r="J322" s="1" t="s">
        <v>173</v>
      </c>
      <c r="K322" s="1">
        <v>7178361196.5</v>
      </c>
    </row>
    <row r="323" spans="1:11" x14ac:dyDescent="0.25">
      <c r="A323" s="1" t="s">
        <v>11</v>
      </c>
      <c r="B323" s="1" t="s">
        <v>442</v>
      </c>
      <c r="C323" s="1" t="s">
        <v>26</v>
      </c>
      <c r="D323" s="1" t="s">
        <v>555</v>
      </c>
      <c r="E323" s="1" t="s">
        <v>554</v>
      </c>
      <c r="F323" s="1" t="s">
        <v>173</v>
      </c>
      <c r="G323" s="1">
        <v>6279260716.5</v>
      </c>
      <c r="H323" s="1">
        <v>713242941</v>
      </c>
      <c r="I323" s="1">
        <v>178119438</v>
      </c>
      <c r="J323" s="1" t="s">
        <v>173</v>
      </c>
      <c r="K323" s="1">
        <v>5744137213.5</v>
      </c>
    </row>
    <row r="324" spans="1:11" x14ac:dyDescent="0.25">
      <c r="A324" s="1" t="s">
        <v>11</v>
      </c>
      <c r="B324" s="1" t="s">
        <v>442</v>
      </c>
      <c r="C324" s="1" t="s">
        <v>26</v>
      </c>
      <c r="D324" s="1" t="s">
        <v>556</v>
      </c>
      <c r="E324" s="1" t="s">
        <v>557</v>
      </c>
      <c r="F324" s="1" t="s">
        <v>173</v>
      </c>
      <c r="G324" s="1">
        <v>1442736701</v>
      </c>
      <c r="H324" s="1">
        <v>10453495</v>
      </c>
      <c r="I324" s="1">
        <v>1940777</v>
      </c>
      <c r="J324" s="1" t="s">
        <v>173</v>
      </c>
      <c r="K324" s="1">
        <v>1434223983</v>
      </c>
    </row>
    <row r="325" spans="1:11" x14ac:dyDescent="0.25">
      <c r="A325" s="1" t="s">
        <v>11</v>
      </c>
      <c r="B325" s="1" t="s">
        <v>442</v>
      </c>
      <c r="C325" s="1" t="s">
        <v>23</v>
      </c>
      <c r="D325" s="1" t="s">
        <v>558</v>
      </c>
      <c r="E325" s="1" t="s">
        <v>543</v>
      </c>
      <c r="F325" s="1" t="s">
        <v>173</v>
      </c>
      <c r="G325" s="1">
        <v>3007296206.3099999</v>
      </c>
      <c r="H325" s="1">
        <v>838813016.32000005</v>
      </c>
      <c r="I325" s="1">
        <v>370449190.92000002</v>
      </c>
      <c r="J325" s="1" t="s">
        <v>173</v>
      </c>
      <c r="K325" s="1">
        <v>2538932380.9099998</v>
      </c>
    </row>
    <row r="326" spans="1:11" x14ac:dyDescent="0.25">
      <c r="A326" s="1" t="s">
        <v>11</v>
      </c>
      <c r="B326" s="1" t="s">
        <v>442</v>
      </c>
      <c r="C326" s="1" t="s">
        <v>26</v>
      </c>
      <c r="D326" s="1" t="s">
        <v>559</v>
      </c>
      <c r="E326" s="1" t="s">
        <v>560</v>
      </c>
      <c r="F326" s="1" t="s">
        <v>173</v>
      </c>
      <c r="G326" s="1">
        <v>492965024.19</v>
      </c>
      <c r="H326" s="1">
        <v>104410033</v>
      </c>
      <c r="I326" s="1">
        <v>7347589</v>
      </c>
      <c r="J326" s="1" t="s">
        <v>173</v>
      </c>
      <c r="K326" s="1">
        <v>395902580.19</v>
      </c>
    </row>
    <row r="327" spans="1:11" x14ac:dyDescent="0.25">
      <c r="A327" s="1" t="s">
        <v>11</v>
      </c>
      <c r="B327" s="1" t="s">
        <v>442</v>
      </c>
      <c r="C327" s="1" t="s">
        <v>26</v>
      </c>
      <c r="D327" s="1" t="s">
        <v>561</v>
      </c>
      <c r="E327" s="1" t="s">
        <v>562</v>
      </c>
      <c r="F327" s="1" t="s">
        <v>173</v>
      </c>
      <c r="G327" s="1">
        <v>1520235</v>
      </c>
      <c r="H327" s="1">
        <v>0</v>
      </c>
      <c r="I327" s="1">
        <v>0</v>
      </c>
      <c r="J327" s="1" t="s">
        <v>173</v>
      </c>
      <c r="K327" s="1">
        <v>1520235</v>
      </c>
    </row>
    <row r="328" spans="1:11" x14ac:dyDescent="0.25">
      <c r="A328" s="1" t="s">
        <v>11</v>
      </c>
      <c r="B328" s="1" t="s">
        <v>442</v>
      </c>
      <c r="C328" s="1" t="s">
        <v>26</v>
      </c>
      <c r="D328" s="1" t="s">
        <v>563</v>
      </c>
      <c r="E328" s="1" t="s">
        <v>227</v>
      </c>
      <c r="F328" s="1" t="s">
        <v>173</v>
      </c>
      <c r="G328" s="1">
        <v>165096965</v>
      </c>
      <c r="H328" s="1">
        <v>58436410</v>
      </c>
      <c r="I328" s="1">
        <v>23947349</v>
      </c>
      <c r="J328" s="1" t="s">
        <v>173</v>
      </c>
      <c r="K328" s="1">
        <v>130607904</v>
      </c>
    </row>
    <row r="329" spans="1:11" x14ac:dyDescent="0.25">
      <c r="A329" s="1" t="s">
        <v>11</v>
      </c>
      <c r="B329" s="1" t="s">
        <v>442</v>
      </c>
      <c r="C329" s="1" t="s">
        <v>26</v>
      </c>
      <c r="D329" s="1" t="s">
        <v>564</v>
      </c>
      <c r="E329" s="1" t="s">
        <v>437</v>
      </c>
      <c r="F329" s="1" t="s">
        <v>173</v>
      </c>
      <c r="G329" s="1">
        <v>965890</v>
      </c>
      <c r="H329" s="1">
        <v>182437</v>
      </c>
      <c r="I329" s="1">
        <v>182437</v>
      </c>
      <c r="J329" s="1" t="s">
        <v>173</v>
      </c>
      <c r="K329" s="1">
        <v>965890</v>
      </c>
    </row>
    <row r="330" spans="1:11" x14ac:dyDescent="0.25">
      <c r="A330" s="1" t="s">
        <v>11</v>
      </c>
      <c r="B330" s="1" t="s">
        <v>442</v>
      </c>
      <c r="C330" s="1" t="s">
        <v>26</v>
      </c>
      <c r="D330" s="1" t="s">
        <v>565</v>
      </c>
      <c r="E330" s="1" t="s">
        <v>566</v>
      </c>
      <c r="F330" s="1" t="s">
        <v>173</v>
      </c>
      <c r="G330" s="1">
        <v>5254611</v>
      </c>
      <c r="H330" s="1">
        <v>89454651</v>
      </c>
      <c r="I330" s="1">
        <v>84204070</v>
      </c>
      <c r="J330" s="1" t="s">
        <v>173</v>
      </c>
      <c r="K330" s="1">
        <v>4030</v>
      </c>
    </row>
    <row r="331" spans="1:11" x14ac:dyDescent="0.25">
      <c r="A331" s="1" t="s">
        <v>11</v>
      </c>
      <c r="B331" s="1" t="s">
        <v>442</v>
      </c>
      <c r="C331" s="1" t="s">
        <v>26</v>
      </c>
      <c r="D331" s="1" t="s">
        <v>567</v>
      </c>
      <c r="E331" s="1" t="s">
        <v>568</v>
      </c>
      <c r="F331" s="1" t="s">
        <v>173</v>
      </c>
      <c r="G331" s="1">
        <v>440568654.62</v>
      </c>
      <c r="H331" s="1">
        <v>130357649.31999999</v>
      </c>
      <c r="I331" s="1">
        <v>52259700.920000002</v>
      </c>
      <c r="J331" s="1" t="s">
        <v>173</v>
      </c>
      <c r="K331" s="1">
        <v>362470706.22000003</v>
      </c>
    </row>
    <row r="332" spans="1:11" x14ac:dyDescent="0.25">
      <c r="A332" s="1" t="s">
        <v>11</v>
      </c>
      <c r="B332" s="1" t="s">
        <v>442</v>
      </c>
      <c r="C332" s="1" t="s">
        <v>26</v>
      </c>
      <c r="D332" s="1" t="s">
        <v>569</v>
      </c>
      <c r="E332" s="1" t="s">
        <v>570</v>
      </c>
      <c r="F332" s="1" t="s">
        <v>173</v>
      </c>
      <c r="G332" s="1">
        <v>31687435</v>
      </c>
      <c r="H332" s="1">
        <v>0</v>
      </c>
      <c r="I332" s="1">
        <v>0</v>
      </c>
      <c r="J332" s="1" t="s">
        <v>173</v>
      </c>
      <c r="K332" s="1">
        <v>31687435</v>
      </c>
    </row>
    <row r="333" spans="1:11" x14ac:dyDescent="0.25">
      <c r="A333" s="1" t="s">
        <v>11</v>
      </c>
      <c r="B333" s="1" t="s">
        <v>442</v>
      </c>
      <c r="C333" s="1" t="s">
        <v>26</v>
      </c>
      <c r="D333" s="1" t="s">
        <v>571</v>
      </c>
      <c r="E333" s="1" t="s">
        <v>572</v>
      </c>
      <c r="F333" s="1" t="s">
        <v>173</v>
      </c>
      <c r="G333" s="1">
        <v>1869237391.5</v>
      </c>
      <c r="H333" s="1">
        <v>455971836</v>
      </c>
      <c r="I333" s="1">
        <v>202508045</v>
      </c>
      <c r="J333" s="1" t="s">
        <v>173</v>
      </c>
      <c r="K333" s="1">
        <v>1615773600.5</v>
      </c>
    </row>
    <row r="334" spans="1:11" x14ac:dyDescent="0.25">
      <c r="A334" s="1" t="s">
        <v>11</v>
      </c>
      <c r="B334" s="1" t="s">
        <v>442</v>
      </c>
      <c r="C334" s="1" t="s">
        <v>23</v>
      </c>
      <c r="D334" s="1" t="s">
        <v>573</v>
      </c>
      <c r="E334" s="1" t="s">
        <v>574</v>
      </c>
      <c r="F334" s="1" t="s">
        <v>173</v>
      </c>
      <c r="G334" s="1">
        <v>839443843.80999994</v>
      </c>
      <c r="H334" s="1">
        <v>403262851.35000002</v>
      </c>
      <c r="I334" s="1">
        <v>277519634.06</v>
      </c>
      <c r="J334" s="1" t="s">
        <v>173</v>
      </c>
      <c r="K334" s="1">
        <v>713700626.51999998</v>
      </c>
    </row>
    <row r="335" spans="1:11" x14ac:dyDescent="0.25">
      <c r="A335" s="1" t="s">
        <v>11</v>
      </c>
      <c r="B335" s="1" t="s">
        <v>442</v>
      </c>
      <c r="C335" s="1" t="s">
        <v>26</v>
      </c>
      <c r="D335" s="1" t="s">
        <v>575</v>
      </c>
      <c r="E335" s="1" t="s">
        <v>576</v>
      </c>
      <c r="F335" s="1" t="s">
        <v>173</v>
      </c>
      <c r="G335" s="1">
        <v>262590937.81</v>
      </c>
      <c r="H335" s="1">
        <v>286897891.35000002</v>
      </c>
      <c r="I335" s="1">
        <v>247475101.06</v>
      </c>
      <c r="J335" s="1" t="s">
        <v>173</v>
      </c>
      <c r="K335" s="1">
        <v>223168147.52000001</v>
      </c>
    </row>
    <row r="336" spans="1:11" x14ac:dyDescent="0.25">
      <c r="A336" s="1" t="s">
        <v>11</v>
      </c>
      <c r="B336" s="1" t="s">
        <v>442</v>
      </c>
      <c r="C336" s="1" t="s">
        <v>26</v>
      </c>
      <c r="D336" s="1" t="s">
        <v>577</v>
      </c>
      <c r="E336" s="1" t="s">
        <v>578</v>
      </c>
      <c r="F336" s="1" t="s">
        <v>173</v>
      </c>
      <c r="G336" s="1">
        <v>15674501</v>
      </c>
      <c r="H336" s="1">
        <v>2448096</v>
      </c>
      <c r="I336" s="1">
        <v>11058389</v>
      </c>
      <c r="J336" s="1" t="s">
        <v>173</v>
      </c>
      <c r="K336" s="1">
        <v>24284794</v>
      </c>
    </row>
    <row r="337" spans="1:11" x14ac:dyDescent="0.25">
      <c r="A337" s="1" t="s">
        <v>11</v>
      </c>
      <c r="B337" s="1" t="s">
        <v>442</v>
      </c>
      <c r="C337" s="1" t="s">
        <v>26</v>
      </c>
      <c r="D337" s="1" t="s">
        <v>579</v>
      </c>
      <c r="E337" s="1" t="s">
        <v>554</v>
      </c>
      <c r="F337" s="1" t="s">
        <v>173</v>
      </c>
      <c r="G337" s="1">
        <v>284669052</v>
      </c>
      <c r="H337" s="1">
        <v>0</v>
      </c>
      <c r="I337" s="1">
        <v>0</v>
      </c>
      <c r="J337" s="1" t="s">
        <v>173</v>
      </c>
      <c r="K337" s="1">
        <v>284669052</v>
      </c>
    </row>
    <row r="338" spans="1:11" x14ac:dyDescent="0.25">
      <c r="A338" s="1" t="s">
        <v>11</v>
      </c>
      <c r="B338" s="1" t="s">
        <v>442</v>
      </c>
      <c r="C338" s="1" t="s">
        <v>26</v>
      </c>
      <c r="D338" s="1" t="s">
        <v>580</v>
      </c>
      <c r="E338" s="1" t="s">
        <v>581</v>
      </c>
      <c r="F338" s="1" t="s">
        <v>173</v>
      </c>
      <c r="G338" s="1">
        <v>276509353</v>
      </c>
      <c r="H338" s="1">
        <v>113916864</v>
      </c>
      <c r="I338" s="1">
        <v>18986144</v>
      </c>
      <c r="J338" s="1" t="s">
        <v>173</v>
      </c>
      <c r="K338" s="1">
        <v>181578633</v>
      </c>
    </row>
    <row r="339" spans="1:11" x14ac:dyDescent="0.25">
      <c r="A339" s="1" t="s">
        <v>11</v>
      </c>
      <c r="B339" s="1" t="s">
        <v>442</v>
      </c>
      <c r="C339" s="1" t="s">
        <v>15</v>
      </c>
      <c r="D339" s="1" t="s">
        <v>582</v>
      </c>
      <c r="E339" s="1" t="s">
        <v>583</v>
      </c>
      <c r="F339" s="1" t="s">
        <v>173</v>
      </c>
      <c r="G339" s="1">
        <v>141762263.71000001</v>
      </c>
      <c r="H339" s="1">
        <v>113826280.68000001</v>
      </c>
      <c r="I339" s="1">
        <v>27698477.16</v>
      </c>
      <c r="J339" s="1" t="s">
        <v>173</v>
      </c>
      <c r="K339" s="1">
        <v>55634460.189999998</v>
      </c>
    </row>
    <row r="340" spans="1:11" x14ac:dyDescent="0.25">
      <c r="A340" s="1" t="s">
        <v>11</v>
      </c>
      <c r="B340" s="1" t="s">
        <v>442</v>
      </c>
      <c r="C340" s="1" t="s">
        <v>18</v>
      </c>
      <c r="D340" s="1" t="s">
        <v>584</v>
      </c>
      <c r="E340" s="1" t="s">
        <v>585</v>
      </c>
      <c r="F340" s="1" t="s">
        <v>173</v>
      </c>
      <c r="G340" s="1">
        <v>932286.93</v>
      </c>
      <c r="H340" s="1">
        <v>932286.68</v>
      </c>
      <c r="I340" s="1">
        <v>6035.16</v>
      </c>
      <c r="J340" s="1" t="s">
        <v>173</v>
      </c>
      <c r="K340" s="1">
        <v>6035.41</v>
      </c>
    </row>
    <row r="341" spans="1:11" x14ac:dyDescent="0.25">
      <c r="A341" s="1" t="s">
        <v>11</v>
      </c>
      <c r="B341" s="1" t="s">
        <v>442</v>
      </c>
      <c r="C341" s="1" t="s">
        <v>21</v>
      </c>
      <c r="D341" s="1" t="s">
        <v>586</v>
      </c>
      <c r="E341" s="1" t="s">
        <v>585</v>
      </c>
      <c r="F341" s="1" t="s">
        <v>173</v>
      </c>
      <c r="G341" s="1">
        <v>932286.93</v>
      </c>
      <c r="H341" s="1">
        <v>932286.68</v>
      </c>
      <c r="I341" s="1">
        <v>6035.16</v>
      </c>
      <c r="J341" s="1" t="s">
        <v>173</v>
      </c>
      <c r="K341" s="1">
        <v>6035.41</v>
      </c>
    </row>
    <row r="342" spans="1:11" x14ac:dyDescent="0.25">
      <c r="A342" s="1" t="s">
        <v>11</v>
      </c>
      <c r="B342" s="1" t="s">
        <v>442</v>
      </c>
      <c r="C342" s="1" t="s">
        <v>23</v>
      </c>
      <c r="D342" s="1" t="s">
        <v>587</v>
      </c>
      <c r="E342" s="1" t="s">
        <v>588</v>
      </c>
      <c r="F342" s="1" t="s">
        <v>173</v>
      </c>
      <c r="G342" s="1">
        <v>932286.68</v>
      </c>
      <c r="H342" s="1">
        <v>932286.68</v>
      </c>
      <c r="I342" s="1">
        <v>6035.16</v>
      </c>
      <c r="J342" s="1" t="s">
        <v>173</v>
      </c>
      <c r="K342" s="1">
        <v>6035.16</v>
      </c>
    </row>
    <row r="343" spans="1:11" x14ac:dyDescent="0.25">
      <c r="A343" s="1" t="s">
        <v>11</v>
      </c>
      <c r="B343" s="1" t="s">
        <v>442</v>
      </c>
      <c r="C343" s="1" t="s">
        <v>26</v>
      </c>
      <c r="D343" s="1" t="s">
        <v>589</v>
      </c>
      <c r="E343" s="1" t="s">
        <v>590</v>
      </c>
      <c r="F343" s="1" t="s">
        <v>173</v>
      </c>
      <c r="G343" s="1">
        <v>932286.68</v>
      </c>
      <c r="H343" s="1">
        <v>932286.68</v>
      </c>
      <c r="I343" s="1">
        <v>6035.16</v>
      </c>
      <c r="J343" s="1" t="s">
        <v>173</v>
      </c>
      <c r="K343" s="1">
        <v>6035.16</v>
      </c>
    </row>
    <row r="344" spans="1:11" x14ac:dyDescent="0.25">
      <c r="A344" s="1" t="s">
        <v>11</v>
      </c>
      <c r="B344" s="1" t="s">
        <v>442</v>
      </c>
      <c r="C344" s="1" t="s">
        <v>23</v>
      </c>
      <c r="D344" s="1" t="s">
        <v>591</v>
      </c>
      <c r="E344" s="1" t="s">
        <v>592</v>
      </c>
      <c r="F344" s="1" t="s">
        <v>173</v>
      </c>
      <c r="G344" s="1">
        <v>0.25</v>
      </c>
      <c r="H344" s="1">
        <v>0</v>
      </c>
      <c r="I344" s="1">
        <v>0</v>
      </c>
      <c r="J344" s="1" t="s">
        <v>173</v>
      </c>
      <c r="K344" s="1">
        <v>0.25</v>
      </c>
    </row>
    <row r="345" spans="1:11" x14ac:dyDescent="0.25">
      <c r="A345" s="1" t="s">
        <v>11</v>
      </c>
      <c r="B345" s="1" t="s">
        <v>442</v>
      </c>
      <c r="C345" s="1" t="s">
        <v>26</v>
      </c>
      <c r="D345" s="1" t="s">
        <v>593</v>
      </c>
      <c r="E345" s="1" t="s">
        <v>594</v>
      </c>
      <c r="F345" s="1" t="s">
        <v>173</v>
      </c>
      <c r="G345" s="1">
        <v>0.25</v>
      </c>
      <c r="H345" s="1">
        <v>0</v>
      </c>
      <c r="I345" s="1">
        <v>0</v>
      </c>
      <c r="J345" s="1" t="s">
        <v>173</v>
      </c>
      <c r="K345" s="1">
        <v>0.25</v>
      </c>
    </row>
    <row r="346" spans="1:11" x14ac:dyDescent="0.25">
      <c r="A346" s="1" t="s">
        <v>11</v>
      </c>
      <c r="B346" s="1" t="s">
        <v>442</v>
      </c>
      <c r="C346" s="1" t="s">
        <v>18</v>
      </c>
      <c r="D346" s="1" t="s">
        <v>595</v>
      </c>
      <c r="E346" s="1" t="s">
        <v>596</v>
      </c>
      <c r="F346" s="1" t="s">
        <v>173</v>
      </c>
      <c r="G346" s="1">
        <v>28296080.870000001</v>
      </c>
      <c r="H346" s="1">
        <v>0</v>
      </c>
      <c r="I346" s="1">
        <v>0</v>
      </c>
      <c r="J346" s="1" t="s">
        <v>173</v>
      </c>
      <c r="K346" s="1">
        <v>28296080.870000001</v>
      </c>
    </row>
    <row r="347" spans="1:11" x14ac:dyDescent="0.25">
      <c r="A347" s="1" t="s">
        <v>11</v>
      </c>
      <c r="B347" s="1" t="s">
        <v>442</v>
      </c>
      <c r="C347" s="1" t="s">
        <v>21</v>
      </c>
      <c r="D347" s="1" t="s">
        <v>597</v>
      </c>
      <c r="E347" s="1" t="s">
        <v>596</v>
      </c>
      <c r="F347" s="1" t="s">
        <v>173</v>
      </c>
      <c r="G347" s="1">
        <v>28296080.870000001</v>
      </c>
      <c r="H347" s="1">
        <v>0</v>
      </c>
      <c r="I347" s="1">
        <v>0</v>
      </c>
      <c r="J347" s="1" t="s">
        <v>173</v>
      </c>
      <c r="K347" s="1">
        <v>28296080.870000001</v>
      </c>
    </row>
    <row r="348" spans="1:11" x14ac:dyDescent="0.25">
      <c r="A348" s="1" t="s">
        <v>11</v>
      </c>
      <c r="B348" s="1" t="s">
        <v>442</v>
      </c>
      <c r="C348" s="1" t="s">
        <v>23</v>
      </c>
      <c r="D348" s="1" t="s">
        <v>598</v>
      </c>
      <c r="E348" s="1" t="s">
        <v>599</v>
      </c>
      <c r="F348" s="1" t="s">
        <v>173</v>
      </c>
      <c r="G348" s="1">
        <v>28296080.870000001</v>
      </c>
      <c r="H348" s="1">
        <v>0</v>
      </c>
      <c r="I348" s="1">
        <v>0</v>
      </c>
      <c r="J348" s="1" t="s">
        <v>173</v>
      </c>
      <c r="K348" s="1">
        <v>28296080.870000001</v>
      </c>
    </row>
    <row r="349" spans="1:11" x14ac:dyDescent="0.25">
      <c r="A349" s="1" t="s">
        <v>11</v>
      </c>
      <c r="B349" s="1" t="s">
        <v>442</v>
      </c>
      <c r="C349" s="1" t="s">
        <v>26</v>
      </c>
      <c r="D349" s="1" t="s">
        <v>600</v>
      </c>
      <c r="E349" s="1" t="s">
        <v>599</v>
      </c>
      <c r="F349" s="1" t="s">
        <v>173</v>
      </c>
      <c r="G349" s="1">
        <v>28296080.870000001</v>
      </c>
      <c r="H349" s="1">
        <v>0</v>
      </c>
      <c r="I349" s="1">
        <v>0</v>
      </c>
      <c r="J349" s="1" t="s">
        <v>173</v>
      </c>
      <c r="K349" s="1">
        <v>28296080.870000001</v>
      </c>
    </row>
    <row r="350" spans="1:11" x14ac:dyDescent="0.25">
      <c r="A350" s="1" t="s">
        <v>11</v>
      </c>
      <c r="B350" s="1" t="s">
        <v>442</v>
      </c>
      <c r="C350" s="1" t="s">
        <v>18</v>
      </c>
      <c r="D350" s="1" t="s">
        <v>601</v>
      </c>
      <c r="E350" s="1" t="s">
        <v>602</v>
      </c>
      <c r="F350" s="1" t="s">
        <v>173</v>
      </c>
      <c r="G350" s="1">
        <v>103560058.2</v>
      </c>
      <c r="H350" s="1">
        <v>103903995</v>
      </c>
      <c r="I350" s="1">
        <v>24941713</v>
      </c>
      <c r="J350" s="1" t="s">
        <v>173</v>
      </c>
      <c r="K350" s="1">
        <v>24597776.199999999</v>
      </c>
    </row>
    <row r="351" spans="1:11" x14ac:dyDescent="0.25">
      <c r="A351" s="1" t="s">
        <v>11</v>
      </c>
      <c r="B351" s="1" t="s">
        <v>442</v>
      </c>
      <c r="C351" s="1" t="s">
        <v>21</v>
      </c>
      <c r="D351" s="1" t="s">
        <v>603</v>
      </c>
      <c r="E351" s="1" t="s">
        <v>602</v>
      </c>
      <c r="F351" s="1" t="s">
        <v>173</v>
      </c>
      <c r="G351" s="1">
        <v>103560058.2</v>
      </c>
      <c r="H351" s="1">
        <v>103903995</v>
      </c>
      <c r="I351" s="1">
        <v>24941713</v>
      </c>
      <c r="J351" s="1" t="s">
        <v>173</v>
      </c>
      <c r="K351" s="1">
        <v>24597776.199999999</v>
      </c>
    </row>
    <row r="352" spans="1:11" x14ac:dyDescent="0.25">
      <c r="A352" s="1" t="s">
        <v>11</v>
      </c>
      <c r="B352" s="1" t="s">
        <v>442</v>
      </c>
      <c r="C352" s="1" t="s">
        <v>23</v>
      </c>
      <c r="D352" s="1" t="s">
        <v>604</v>
      </c>
      <c r="E352" s="1" t="s">
        <v>605</v>
      </c>
      <c r="F352" s="1" t="s">
        <v>173</v>
      </c>
      <c r="G352" s="1">
        <v>58774000.020000003</v>
      </c>
      <c r="H352" s="1">
        <v>58774000</v>
      </c>
      <c r="I352" s="1">
        <v>0</v>
      </c>
      <c r="J352" s="1" t="s">
        <v>173</v>
      </c>
      <c r="K352" s="1">
        <v>0.02</v>
      </c>
    </row>
    <row r="353" spans="1:11" x14ac:dyDescent="0.25">
      <c r="A353" s="1" t="s">
        <v>11</v>
      </c>
      <c r="B353" s="1" t="s">
        <v>442</v>
      </c>
      <c r="C353" s="1" t="s">
        <v>26</v>
      </c>
      <c r="D353" s="1" t="s">
        <v>606</v>
      </c>
      <c r="E353" s="1" t="s">
        <v>605</v>
      </c>
      <c r="F353" s="1" t="s">
        <v>173</v>
      </c>
      <c r="G353" s="1">
        <v>58774000.020000003</v>
      </c>
      <c r="H353" s="1">
        <v>58774000</v>
      </c>
      <c r="I353" s="1">
        <v>0</v>
      </c>
      <c r="J353" s="1" t="s">
        <v>173</v>
      </c>
      <c r="K353" s="1">
        <v>0.02</v>
      </c>
    </row>
    <row r="354" spans="1:11" x14ac:dyDescent="0.25">
      <c r="A354" s="1" t="s">
        <v>11</v>
      </c>
      <c r="B354" s="1" t="s">
        <v>442</v>
      </c>
      <c r="C354" s="1" t="s">
        <v>23</v>
      </c>
      <c r="D354" s="1" t="s">
        <v>607</v>
      </c>
      <c r="E354" s="1" t="s">
        <v>548</v>
      </c>
      <c r="F354" s="1" t="s">
        <v>173</v>
      </c>
      <c r="G354" s="1">
        <v>26410303.899999999</v>
      </c>
      <c r="H354" s="1">
        <v>26410304</v>
      </c>
      <c r="I354" s="1">
        <v>9518656</v>
      </c>
      <c r="J354" s="1" t="s">
        <v>173</v>
      </c>
      <c r="K354" s="1">
        <v>9518655.9000000004</v>
      </c>
    </row>
    <row r="355" spans="1:11" x14ac:dyDescent="0.25">
      <c r="A355" s="1" t="s">
        <v>11</v>
      </c>
      <c r="B355" s="1" t="s">
        <v>442</v>
      </c>
      <c r="C355" s="1" t="s">
        <v>26</v>
      </c>
      <c r="D355" s="1" t="s">
        <v>608</v>
      </c>
      <c r="E355" s="1" t="s">
        <v>609</v>
      </c>
      <c r="F355" s="1" t="s">
        <v>173</v>
      </c>
      <c r="G355" s="1">
        <v>200000</v>
      </c>
      <c r="H355" s="1">
        <v>200000</v>
      </c>
      <c r="I355" s="1">
        <v>112317</v>
      </c>
      <c r="J355" s="1" t="s">
        <v>173</v>
      </c>
      <c r="K355" s="1">
        <v>112317</v>
      </c>
    </row>
    <row r="356" spans="1:11" x14ac:dyDescent="0.25">
      <c r="A356" s="1" t="s">
        <v>11</v>
      </c>
      <c r="B356" s="1" t="s">
        <v>442</v>
      </c>
      <c r="C356" s="1" t="s">
        <v>26</v>
      </c>
      <c r="D356" s="1" t="s">
        <v>610</v>
      </c>
      <c r="E356" s="1" t="s">
        <v>611</v>
      </c>
      <c r="F356" s="1" t="s">
        <v>173</v>
      </c>
      <c r="G356" s="1">
        <v>25693955</v>
      </c>
      <c r="H356" s="1">
        <v>25693955</v>
      </c>
      <c r="I356" s="1">
        <v>8889991</v>
      </c>
      <c r="J356" s="1" t="s">
        <v>173</v>
      </c>
      <c r="K356" s="1">
        <v>8889991</v>
      </c>
    </row>
    <row r="357" spans="1:11" x14ac:dyDescent="0.25">
      <c r="A357" s="1" t="s">
        <v>11</v>
      </c>
      <c r="B357" s="1" t="s">
        <v>442</v>
      </c>
      <c r="C357" s="1" t="s">
        <v>26</v>
      </c>
      <c r="D357" s="1" t="s">
        <v>612</v>
      </c>
      <c r="E357" s="1" t="s">
        <v>613</v>
      </c>
      <c r="F357" s="1" t="s">
        <v>14</v>
      </c>
      <c r="G357" s="1">
        <v>-0.1</v>
      </c>
      <c r="H357" s="1">
        <v>0</v>
      </c>
      <c r="I357" s="1">
        <v>0</v>
      </c>
      <c r="J357" s="1" t="s">
        <v>14</v>
      </c>
      <c r="K357" s="1">
        <v>-0.1</v>
      </c>
    </row>
    <row r="358" spans="1:11" x14ac:dyDescent="0.25">
      <c r="A358" s="1" t="s">
        <v>11</v>
      </c>
      <c r="B358" s="1" t="s">
        <v>442</v>
      </c>
      <c r="C358" s="1" t="s">
        <v>26</v>
      </c>
      <c r="D358" s="1" t="s">
        <v>614</v>
      </c>
      <c r="E358" s="1" t="s">
        <v>615</v>
      </c>
      <c r="F358" s="1" t="s">
        <v>173</v>
      </c>
      <c r="G358" s="1">
        <v>516349</v>
      </c>
      <c r="H358" s="1">
        <v>516349</v>
      </c>
      <c r="I358" s="1">
        <v>516348</v>
      </c>
      <c r="J358" s="1" t="s">
        <v>173</v>
      </c>
      <c r="K358" s="1">
        <v>516348</v>
      </c>
    </row>
    <row r="359" spans="1:11" x14ac:dyDescent="0.25">
      <c r="A359" s="1" t="s">
        <v>11</v>
      </c>
      <c r="B359" s="1" t="s">
        <v>442</v>
      </c>
      <c r="C359" s="1" t="s">
        <v>23</v>
      </c>
      <c r="D359" s="1" t="s">
        <v>616</v>
      </c>
      <c r="E359" s="1" t="s">
        <v>617</v>
      </c>
      <c r="F359" s="1" t="s">
        <v>173</v>
      </c>
      <c r="G359" s="1">
        <v>3185259</v>
      </c>
      <c r="H359" s="1">
        <v>3185259</v>
      </c>
      <c r="I359" s="1">
        <v>2207996</v>
      </c>
      <c r="J359" s="1" t="s">
        <v>173</v>
      </c>
      <c r="K359" s="1">
        <v>2207996</v>
      </c>
    </row>
    <row r="360" spans="1:11" x14ac:dyDescent="0.25">
      <c r="A360" s="1" t="s">
        <v>11</v>
      </c>
      <c r="B360" s="1" t="s">
        <v>442</v>
      </c>
      <c r="C360" s="1" t="s">
        <v>26</v>
      </c>
      <c r="D360" s="1" t="s">
        <v>618</v>
      </c>
      <c r="E360" s="1" t="s">
        <v>619</v>
      </c>
      <c r="F360" s="1" t="s">
        <v>173</v>
      </c>
      <c r="G360" s="1">
        <v>17205</v>
      </c>
      <c r="H360" s="1">
        <v>17205</v>
      </c>
      <c r="I360" s="1">
        <v>16275</v>
      </c>
      <c r="J360" s="1" t="s">
        <v>173</v>
      </c>
      <c r="K360" s="1">
        <v>16275</v>
      </c>
    </row>
    <row r="361" spans="1:11" x14ac:dyDescent="0.25">
      <c r="A361" s="1" t="s">
        <v>11</v>
      </c>
      <c r="B361" s="1" t="s">
        <v>442</v>
      </c>
      <c r="C361" s="1" t="s">
        <v>26</v>
      </c>
      <c r="D361" s="1" t="s">
        <v>620</v>
      </c>
      <c r="E361" s="1" t="s">
        <v>621</v>
      </c>
      <c r="F361" s="1" t="s">
        <v>173</v>
      </c>
      <c r="G361" s="1">
        <v>687360</v>
      </c>
      <c r="H361" s="1">
        <v>687360</v>
      </c>
      <c r="I361" s="1">
        <v>254997</v>
      </c>
      <c r="J361" s="1" t="s">
        <v>173</v>
      </c>
      <c r="K361" s="1">
        <v>254997</v>
      </c>
    </row>
    <row r="362" spans="1:11" x14ac:dyDescent="0.25">
      <c r="A362" s="1" t="s">
        <v>11</v>
      </c>
      <c r="B362" s="1" t="s">
        <v>442</v>
      </c>
      <c r="C362" s="1" t="s">
        <v>26</v>
      </c>
      <c r="D362" s="1" t="s">
        <v>622</v>
      </c>
      <c r="E362" s="1" t="s">
        <v>623</v>
      </c>
      <c r="F362" s="1" t="s">
        <v>173</v>
      </c>
      <c r="G362" s="1">
        <v>2450575</v>
      </c>
      <c r="H362" s="1">
        <v>2450575</v>
      </c>
      <c r="I362" s="1">
        <v>1936724</v>
      </c>
      <c r="J362" s="1" t="s">
        <v>173</v>
      </c>
      <c r="K362" s="1">
        <v>1936724</v>
      </c>
    </row>
    <row r="363" spans="1:11" x14ac:dyDescent="0.25">
      <c r="A363" s="1" t="s">
        <v>11</v>
      </c>
      <c r="B363" s="1" t="s">
        <v>442</v>
      </c>
      <c r="C363" s="1" t="s">
        <v>26</v>
      </c>
      <c r="D363" s="1" t="s">
        <v>624</v>
      </c>
      <c r="E363" s="1" t="s">
        <v>625</v>
      </c>
      <c r="F363" s="1" t="s">
        <v>173</v>
      </c>
      <c r="G363" s="1">
        <v>30119</v>
      </c>
      <c r="H363" s="1">
        <v>30119</v>
      </c>
      <c r="I363" s="1">
        <v>0</v>
      </c>
      <c r="J363" s="1" t="s">
        <v>173</v>
      </c>
      <c r="K363" s="1">
        <v>0</v>
      </c>
    </row>
    <row r="364" spans="1:11" x14ac:dyDescent="0.25">
      <c r="A364" s="1" t="s">
        <v>11</v>
      </c>
      <c r="B364" s="1" t="s">
        <v>442</v>
      </c>
      <c r="C364" s="1" t="s">
        <v>23</v>
      </c>
      <c r="D364" s="1" t="s">
        <v>626</v>
      </c>
      <c r="E364" s="1" t="s">
        <v>227</v>
      </c>
      <c r="F364" s="1" t="s">
        <v>173</v>
      </c>
      <c r="G364" s="1">
        <v>694124</v>
      </c>
      <c r="H364" s="1">
        <v>694124</v>
      </c>
      <c r="I364" s="1">
        <v>835604</v>
      </c>
      <c r="J364" s="1" t="s">
        <v>173</v>
      </c>
      <c r="K364" s="1">
        <v>835604</v>
      </c>
    </row>
    <row r="365" spans="1:11" x14ac:dyDescent="0.25">
      <c r="A365" s="1" t="s">
        <v>11</v>
      </c>
      <c r="B365" s="1" t="s">
        <v>442</v>
      </c>
      <c r="C365" s="1" t="s">
        <v>26</v>
      </c>
      <c r="D365" s="1" t="s">
        <v>627</v>
      </c>
      <c r="E365" s="1" t="s">
        <v>628</v>
      </c>
      <c r="F365" s="1" t="s">
        <v>173</v>
      </c>
      <c r="G365" s="1">
        <v>694124</v>
      </c>
      <c r="H365" s="1">
        <v>694124</v>
      </c>
      <c r="I365" s="1">
        <v>835604</v>
      </c>
      <c r="J365" s="1" t="s">
        <v>173</v>
      </c>
      <c r="K365" s="1">
        <v>835604</v>
      </c>
    </row>
    <row r="366" spans="1:11" x14ac:dyDescent="0.25">
      <c r="A366" s="1" t="s">
        <v>11</v>
      </c>
      <c r="B366" s="1" t="s">
        <v>442</v>
      </c>
      <c r="C366" s="1" t="s">
        <v>23</v>
      </c>
      <c r="D366" s="1" t="s">
        <v>629</v>
      </c>
      <c r="E366" s="1" t="s">
        <v>630</v>
      </c>
      <c r="F366" s="1" t="s">
        <v>173</v>
      </c>
      <c r="G366" s="1">
        <v>14496371.279999999</v>
      </c>
      <c r="H366" s="1">
        <v>14840308</v>
      </c>
      <c r="I366" s="1">
        <v>12379457</v>
      </c>
      <c r="J366" s="1" t="s">
        <v>173</v>
      </c>
      <c r="K366" s="1">
        <v>12035520.279999999</v>
      </c>
    </row>
    <row r="367" spans="1:11" x14ac:dyDescent="0.25">
      <c r="A367" s="1" t="s">
        <v>11</v>
      </c>
      <c r="B367" s="1" t="s">
        <v>442</v>
      </c>
      <c r="C367" s="1" t="s">
        <v>26</v>
      </c>
      <c r="D367" s="1" t="s">
        <v>631</v>
      </c>
      <c r="E367" s="1" t="s">
        <v>632</v>
      </c>
      <c r="F367" s="1" t="s">
        <v>173</v>
      </c>
      <c r="G367" s="1">
        <v>237455</v>
      </c>
      <c r="H367" s="1">
        <v>237455</v>
      </c>
      <c r="I367" s="1">
        <v>214531</v>
      </c>
      <c r="J367" s="1" t="s">
        <v>173</v>
      </c>
      <c r="K367" s="1">
        <v>214531</v>
      </c>
    </row>
    <row r="368" spans="1:11" x14ac:dyDescent="0.25">
      <c r="A368" s="1" t="s">
        <v>11</v>
      </c>
      <c r="B368" s="1" t="s">
        <v>442</v>
      </c>
      <c r="C368" s="1" t="s">
        <v>26</v>
      </c>
      <c r="D368" s="1" t="s">
        <v>633</v>
      </c>
      <c r="E368" s="1" t="s">
        <v>634</v>
      </c>
      <c r="F368" s="1" t="s">
        <v>173</v>
      </c>
      <c r="G368" s="1">
        <v>11598549.279999999</v>
      </c>
      <c r="H368" s="1">
        <v>11942486</v>
      </c>
      <c r="I368" s="1">
        <v>11665791</v>
      </c>
      <c r="J368" s="1" t="s">
        <v>173</v>
      </c>
      <c r="K368" s="1">
        <v>11321854.279999999</v>
      </c>
    </row>
    <row r="369" spans="1:11" x14ac:dyDescent="0.25">
      <c r="A369" s="1" t="s">
        <v>11</v>
      </c>
      <c r="B369" s="1" t="s">
        <v>442</v>
      </c>
      <c r="C369" s="1" t="s">
        <v>26</v>
      </c>
      <c r="D369" s="1" t="s">
        <v>635</v>
      </c>
      <c r="E369" s="1" t="s">
        <v>636</v>
      </c>
      <c r="F369" s="1" t="s">
        <v>173</v>
      </c>
      <c r="G369" s="1">
        <v>2660367</v>
      </c>
      <c r="H369" s="1">
        <v>2660367</v>
      </c>
      <c r="I369" s="1">
        <v>499135</v>
      </c>
      <c r="J369" s="1" t="s">
        <v>173</v>
      </c>
      <c r="K369" s="1">
        <v>499135</v>
      </c>
    </row>
    <row r="370" spans="1:11" x14ac:dyDescent="0.25">
      <c r="A370" s="1" t="s">
        <v>11</v>
      </c>
      <c r="B370" s="1" t="s">
        <v>442</v>
      </c>
      <c r="C370" s="1" t="s">
        <v>18</v>
      </c>
      <c r="D370" s="1" t="s">
        <v>637</v>
      </c>
      <c r="E370" s="1" t="s">
        <v>638</v>
      </c>
      <c r="F370" s="1" t="s">
        <v>173</v>
      </c>
      <c r="G370" s="1">
        <v>348923</v>
      </c>
      <c r="H370" s="1">
        <v>362527</v>
      </c>
      <c r="I370" s="1">
        <v>241986</v>
      </c>
      <c r="J370" s="1" t="s">
        <v>173</v>
      </c>
      <c r="K370" s="1">
        <v>228382</v>
      </c>
    </row>
    <row r="371" spans="1:11" x14ac:dyDescent="0.25">
      <c r="A371" s="1" t="s">
        <v>11</v>
      </c>
      <c r="B371" s="1" t="s">
        <v>442</v>
      </c>
      <c r="C371" s="1" t="s">
        <v>21</v>
      </c>
      <c r="D371" s="1" t="s">
        <v>639</v>
      </c>
      <c r="E371" s="1" t="s">
        <v>638</v>
      </c>
      <c r="F371" s="1" t="s">
        <v>173</v>
      </c>
      <c r="G371" s="1">
        <v>348923</v>
      </c>
      <c r="H371" s="1">
        <v>362527</v>
      </c>
      <c r="I371" s="1">
        <v>241986</v>
      </c>
      <c r="J371" s="1" t="s">
        <v>173</v>
      </c>
      <c r="K371" s="1">
        <v>228382</v>
      </c>
    </row>
    <row r="372" spans="1:11" x14ac:dyDescent="0.25">
      <c r="A372" s="1" t="s">
        <v>11</v>
      </c>
      <c r="B372" s="1" t="s">
        <v>442</v>
      </c>
      <c r="C372" s="1" t="s">
        <v>23</v>
      </c>
      <c r="D372" s="1" t="s">
        <v>640</v>
      </c>
      <c r="E372" s="1" t="s">
        <v>641</v>
      </c>
      <c r="F372" s="1" t="s">
        <v>173</v>
      </c>
      <c r="G372" s="1">
        <v>348923</v>
      </c>
      <c r="H372" s="1">
        <v>362527</v>
      </c>
      <c r="I372" s="1">
        <v>241986</v>
      </c>
      <c r="J372" s="1" t="s">
        <v>173</v>
      </c>
      <c r="K372" s="1">
        <v>228382</v>
      </c>
    </row>
    <row r="373" spans="1:11" x14ac:dyDescent="0.25">
      <c r="A373" s="1" t="s">
        <v>11</v>
      </c>
      <c r="B373" s="1" t="s">
        <v>442</v>
      </c>
      <c r="C373" s="1" t="s">
        <v>26</v>
      </c>
      <c r="D373" s="1" t="s">
        <v>642</v>
      </c>
      <c r="E373" s="1" t="s">
        <v>643</v>
      </c>
      <c r="F373" s="1" t="s">
        <v>173</v>
      </c>
      <c r="G373" s="1">
        <v>348923</v>
      </c>
      <c r="H373" s="1">
        <v>362527</v>
      </c>
      <c r="I373" s="1">
        <v>241986</v>
      </c>
      <c r="J373" s="1" t="s">
        <v>173</v>
      </c>
      <c r="K373" s="1">
        <v>228382</v>
      </c>
    </row>
    <row r="374" spans="1:11" x14ac:dyDescent="0.25">
      <c r="A374" s="1" t="s">
        <v>11</v>
      </c>
      <c r="B374" s="1" t="s">
        <v>442</v>
      </c>
      <c r="C374" s="1" t="s">
        <v>18</v>
      </c>
      <c r="D374" s="1" t="s">
        <v>644</v>
      </c>
      <c r="E374" s="1" t="s">
        <v>645</v>
      </c>
      <c r="F374" s="1" t="s">
        <v>173</v>
      </c>
      <c r="G374" s="1">
        <v>8624914.7100000009</v>
      </c>
      <c r="H374" s="1">
        <v>8627472</v>
      </c>
      <c r="I374" s="1">
        <v>2508743</v>
      </c>
      <c r="J374" s="1" t="s">
        <v>173</v>
      </c>
      <c r="K374" s="1">
        <v>2506185.71</v>
      </c>
    </row>
    <row r="375" spans="1:11" x14ac:dyDescent="0.25">
      <c r="A375" s="1" t="s">
        <v>11</v>
      </c>
      <c r="B375" s="1" t="s">
        <v>442</v>
      </c>
      <c r="C375" s="1" t="s">
        <v>21</v>
      </c>
      <c r="D375" s="1" t="s">
        <v>646</v>
      </c>
      <c r="E375" s="1" t="s">
        <v>645</v>
      </c>
      <c r="F375" s="1" t="s">
        <v>173</v>
      </c>
      <c r="G375" s="1">
        <v>8624914.7100000009</v>
      </c>
      <c r="H375" s="1">
        <v>8627472</v>
      </c>
      <c r="I375" s="1">
        <v>2508743</v>
      </c>
      <c r="J375" s="1" t="s">
        <v>173</v>
      </c>
      <c r="K375" s="1">
        <v>2506185.71</v>
      </c>
    </row>
    <row r="376" spans="1:11" x14ac:dyDescent="0.25">
      <c r="A376" s="1" t="s">
        <v>11</v>
      </c>
      <c r="B376" s="1" t="s">
        <v>442</v>
      </c>
      <c r="C376" s="1" t="s">
        <v>23</v>
      </c>
      <c r="D376" s="1" t="s">
        <v>647</v>
      </c>
      <c r="E376" s="1" t="s">
        <v>648</v>
      </c>
      <c r="F376" s="1" t="s">
        <v>173</v>
      </c>
      <c r="G376" s="1">
        <v>8624914.7100000009</v>
      </c>
      <c r="H376" s="1">
        <v>8627472</v>
      </c>
      <c r="I376" s="1">
        <v>2508743</v>
      </c>
      <c r="J376" s="1" t="s">
        <v>173</v>
      </c>
      <c r="K376" s="1">
        <v>2506185.71</v>
      </c>
    </row>
    <row r="377" spans="1:11" x14ac:dyDescent="0.25">
      <c r="A377" s="1" t="s">
        <v>11</v>
      </c>
      <c r="B377" s="1" t="s">
        <v>442</v>
      </c>
      <c r="C377" s="1" t="s">
        <v>26</v>
      </c>
      <c r="D377" s="1" t="s">
        <v>649</v>
      </c>
      <c r="E377" s="1" t="s">
        <v>650</v>
      </c>
      <c r="F377" s="1" t="s">
        <v>173</v>
      </c>
      <c r="G377" s="1">
        <v>708949.13</v>
      </c>
      <c r="H377" s="1">
        <v>709030</v>
      </c>
      <c r="I377" s="1">
        <v>149779</v>
      </c>
      <c r="J377" s="1" t="s">
        <v>173</v>
      </c>
      <c r="K377" s="1">
        <v>149698.13</v>
      </c>
    </row>
    <row r="378" spans="1:11" x14ac:dyDescent="0.25">
      <c r="A378" s="1" t="s">
        <v>11</v>
      </c>
      <c r="B378" s="1" t="s">
        <v>442</v>
      </c>
      <c r="C378" s="1" t="s">
        <v>26</v>
      </c>
      <c r="D378" s="1" t="s">
        <v>651</v>
      </c>
      <c r="E378" s="1" t="s">
        <v>652</v>
      </c>
      <c r="F378" s="1" t="s">
        <v>173</v>
      </c>
      <c r="G378" s="1">
        <v>5886608</v>
      </c>
      <c r="H378" s="1">
        <v>5886608</v>
      </c>
      <c r="I378" s="1">
        <v>1507299</v>
      </c>
      <c r="J378" s="1" t="s">
        <v>173</v>
      </c>
      <c r="K378" s="1">
        <v>1507299</v>
      </c>
    </row>
    <row r="379" spans="1:11" x14ac:dyDescent="0.25">
      <c r="A379" s="1" t="s">
        <v>11</v>
      </c>
      <c r="B379" s="1" t="s">
        <v>442</v>
      </c>
      <c r="C379" s="1" t="s">
        <v>26</v>
      </c>
      <c r="D379" s="1" t="s">
        <v>653</v>
      </c>
      <c r="E379" s="1" t="s">
        <v>654</v>
      </c>
      <c r="F379" s="1" t="s">
        <v>173</v>
      </c>
      <c r="G379" s="1">
        <v>2018324.58</v>
      </c>
      <c r="H379" s="1">
        <v>2020801</v>
      </c>
      <c r="I379" s="1">
        <v>851665</v>
      </c>
      <c r="J379" s="1" t="s">
        <v>173</v>
      </c>
      <c r="K379" s="1">
        <v>849188.58</v>
      </c>
    </row>
    <row r="380" spans="1:11" x14ac:dyDescent="0.25">
      <c r="A380" s="1" t="s">
        <v>11</v>
      </c>
      <c r="B380" s="1" t="s">
        <v>442</v>
      </c>
      <c r="C380" s="1" t="s">
        <v>26</v>
      </c>
      <c r="D380" s="1" t="s">
        <v>655</v>
      </c>
      <c r="E380" s="1" t="s">
        <v>656</v>
      </c>
      <c r="F380" s="1" t="s">
        <v>173</v>
      </c>
      <c r="G380" s="1">
        <v>11033</v>
      </c>
      <c r="H380" s="1">
        <v>11033</v>
      </c>
      <c r="I380" s="1">
        <v>0</v>
      </c>
      <c r="J380" s="1" t="s">
        <v>173</v>
      </c>
      <c r="K380" s="1">
        <v>0</v>
      </c>
    </row>
    <row r="381" spans="1:11" x14ac:dyDescent="0.25">
      <c r="A381" s="1" t="s">
        <v>11</v>
      </c>
      <c r="B381" s="1" t="s">
        <v>442</v>
      </c>
      <c r="C381" s="1" t="s">
        <v>15</v>
      </c>
      <c r="D381" s="1" t="s">
        <v>657</v>
      </c>
      <c r="E381" s="1" t="s">
        <v>658</v>
      </c>
      <c r="F381" s="1" t="s">
        <v>173</v>
      </c>
      <c r="G381" s="1">
        <v>4033319567.1399999</v>
      </c>
      <c r="H381" s="1">
        <v>2237884553</v>
      </c>
      <c r="I381" s="1">
        <v>32608282.43</v>
      </c>
      <c r="J381" s="1" t="s">
        <v>173</v>
      </c>
      <c r="K381" s="1">
        <v>1828043296.5699999</v>
      </c>
    </row>
    <row r="382" spans="1:11" x14ac:dyDescent="0.25">
      <c r="A382" s="1" t="s">
        <v>11</v>
      </c>
      <c r="B382" s="1" t="s">
        <v>442</v>
      </c>
      <c r="C382" s="1" t="s">
        <v>18</v>
      </c>
      <c r="D382" s="1" t="s">
        <v>659</v>
      </c>
      <c r="E382" s="1" t="s">
        <v>660</v>
      </c>
      <c r="F382" s="1" t="s">
        <v>173</v>
      </c>
      <c r="G382" s="1">
        <v>1462366490</v>
      </c>
      <c r="H382" s="1">
        <v>1487906961</v>
      </c>
      <c r="I382" s="1">
        <v>29001483</v>
      </c>
      <c r="J382" s="1" t="s">
        <v>173</v>
      </c>
      <c r="K382" s="1">
        <v>3461012</v>
      </c>
    </row>
    <row r="383" spans="1:11" x14ac:dyDescent="0.25">
      <c r="A383" s="1" t="s">
        <v>11</v>
      </c>
      <c r="B383" s="1" t="s">
        <v>442</v>
      </c>
      <c r="C383" s="1" t="s">
        <v>21</v>
      </c>
      <c r="D383" s="1" t="s">
        <v>661</v>
      </c>
      <c r="E383" s="1" t="s">
        <v>660</v>
      </c>
      <c r="F383" s="1" t="s">
        <v>173</v>
      </c>
      <c r="G383" s="1">
        <v>1462366490</v>
      </c>
      <c r="H383" s="1">
        <v>1487906961</v>
      </c>
      <c r="I383" s="1">
        <v>29001483</v>
      </c>
      <c r="J383" s="1" t="s">
        <v>173</v>
      </c>
      <c r="K383" s="1">
        <v>3461012</v>
      </c>
    </row>
    <row r="384" spans="1:11" x14ac:dyDescent="0.25">
      <c r="A384" s="1" t="s">
        <v>11</v>
      </c>
      <c r="B384" s="1" t="s">
        <v>442</v>
      </c>
      <c r="C384" s="1" t="s">
        <v>23</v>
      </c>
      <c r="D384" s="1" t="s">
        <v>662</v>
      </c>
      <c r="E384" s="1" t="s">
        <v>660</v>
      </c>
      <c r="F384" s="1" t="s">
        <v>173</v>
      </c>
      <c r="G384" s="1">
        <v>1462366490</v>
      </c>
      <c r="H384" s="1">
        <v>1487906961</v>
      </c>
      <c r="I384" s="1">
        <v>29001483</v>
      </c>
      <c r="J384" s="1" t="s">
        <v>173</v>
      </c>
      <c r="K384" s="1">
        <v>3461012</v>
      </c>
    </row>
    <row r="385" spans="1:11" x14ac:dyDescent="0.25">
      <c r="A385" s="1" t="s">
        <v>11</v>
      </c>
      <c r="B385" s="1" t="s">
        <v>442</v>
      </c>
      <c r="C385" s="1" t="s">
        <v>26</v>
      </c>
      <c r="D385" s="1" t="s">
        <v>663</v>
      </c>
      <c r="E385" s="1" t="s">
        <v>660</v>
      </c>
      <c r="F385" s="1" t="s">
        <v>173</v>
      </c>
      <c r="G385" s="1">
        <v>1458905478</v>
      </c>
      <c r="H385" s="1">
        <v>1487906961</v>
      </c>
      <c r="I385" s="1">
        <v>29001483</v>
      </c>
      <c r="J385" s="1" t="s">
        <v>173</v>
      </c>
      <c r="K385" s="1">
        <v>0</v>
      </c>
    </row>
    <row r="386" spans="1:11" x14ac:dyDescent="0.25">
      <c r="A386" s="1" t="s">
        <v>11</v>
      </c>
      <c r="B386" s="1" t="s">
        <v>442</v>
      </c>
      <c r="C386" s="1" t="s">
        <v>26</v>
      </c>
      <c r="D386" s="1" t="s">
        <v>664</v>
      </c>
      <c r="E386" s="1" t="s">
        <v>665</v>
      </c>
      <c r="F386" s="1" t="s">
        <v>173</v>
      </c>
      <c r="G386" s="1">
        <v>3461012</v>
      </c>
      <c r="H386" s="1">
        <v>0</v>
      </c>
      <c r="I386" s="1">
        <v>0</v>
      </c>
      <c r="J386" s="1" t="s">
        <v>173</v>
      </c>
      <c r="K386" s="1">
        <v>3461012</v>
      </c>
    </row>
    <row r="387" spans="1:11" x14ac:dyDescent="0.25">
      <c r="A387" s="1" t="s">
        <v>11</v>
      </c>
      <c r="B387" s="1" t="s">
        <v>442</v>
      </c>
      <c r="C387" s="1" t="s">
        <v>18</v>
      </c>
      <c r="D387" s="1" t="s">
        <v>666</v>
      </c>
      <c r="E387" s="1" t="s">
        <v>667</v>
      </c>
      <c r="F387" s="1" t="s">
        <v>173</v>
      </c>
      <c r="G387" s="1">
        <v>1221845005.98</v>
      </c>
      <c r="H387" s="1">
        <v>19994749</v>
      </c>
      <c r="I387" s="1">
        <v>0</v>
      </c>
      <c r="J387" s="1" t="s">
        <v>173</v>
      </c>
      <c r="K387" s="1">
        <v>1201850256.98</v>
      </c>
    </row>
    <row r="388" spans="1:11" x14ac:dyDescent="0.25">
      <c r="A388" s="1" t="s">
        <v>11</v>
      </c>
      <c r="B388" s="1" t="s">
        <v>442</v>
      </c>
      <c r="C388" s="1" t="s">
        <v>21</v>
      </c>
      <c r="D388" s="1" t="s">
        <v>668</v>
      </c>
      <c r="E388" s="1" t="s">
        <v>667</v>
      </c>
      <c r="F388" s="1" t="s">
        <v>173</v>
      </c>
      <c r="G388" s="1">
        <v>1221845005.98</v>
      </c>
      <c r="H388" s="1">
        <v>19994749</v>
      </c>
      <c r="I388" s="1">
        <v>0</v>
      </c>
      <c r="J388" s="1" t="s">
        <v>173</v>
      </c>
      <c r="K388" s="1">
        <v>1201850256.98</v>
      </c>
    </row>
    <row r="389" spans="1:11" x14ac:dyDescent="0.25">
      <c r="A389" s="1" t="s">
        <v>11</v>
      </c>
      <c r="B389" s="1" t="s">
        <v>442</v>
      </c>
      <c r="C389" s="1" t="s">
        <v>23</v>
      </c>
      <c r="D389" s="1" t="s">
        <v>669</v>
      </c>
      <c r="E389" s="1" t="s">
        <v>667</v>
      </c>
      <c r="F389" s="1" t="s">
        <v>173</v>
      </c>
      <c r="G389" s="1">
        <v>1221845005.98</v>
      </c>
      <c r="H389" s="1">
        <v>19994749</v>
      </c>
      <c r="I389" s="1">
        <v>0</v>
      </c>
      <c r="J389" s="1" t="s">
        <v>173</v>
      </c>
      <c r="K389" s="1">
        <v>1201850256.98</v>
      </c>
    </row>
    <row r="390" spans="1:11" x14ac:dyDescent="0.25">
      <c r="A390" s="1" t="s">
        <v>11</v>
      </c>
      <c r="B390" s="1" t="s">
        <v>442</v>
      </c>
      <c r="C390" s="1" t="s">
        <v>26</v>
      </c>
      <c r="D390" s="1" t="s">
        <v>670</v>
      </c>
      <c r="E390" s="1" t="s">
        <v>671</v>
      </c>
      <c r="F390" s="1" t="s">
        <v>173</v>
      </c>
      <c r="G390" s="1">
        <v>793184762.98000002</v>
      </c>
      <c r="H390" s="1">
        <v>12990685</v>
      </c>
      <c r="I390" s="1">
        <v>0</v>
      </c>
      <c r="J390" s="1" t="s">
        <v>173</v>
      </c>
      <c r="K390" s="1">
        <v>780194077.98000002</v>
      </c>
    </row>
    <row r="391" spans="1:11" x14ac:dyDescent="0.25">
      <c r="A391" s="1" t="s">
        <v>11</v>
      </c>
      <c r="B391" s="1" t="s">
        <v>442</v>
      </c>
      <c r="C391" s="1" t="s">
        <v>26</v>
      </c>
      <c r="D391" s="1" t="s">
        <v>672</v>
      </c>
      <c r="E391" s="1" t="s">
        <v>673</v>
      </c>
      <c r="F391" s="1" t="s">
        <v>173</v>
      </c>
      <c r="G391" s="1">
        <v>106513956</v>
      </c>
      <c r="H391" s="1">
        <v>1339248</v>
      </c>
      <c r="I391" s="1">
        <v>0</v>
      </c>
      <c r="J391" s="1" t="s">
        <v>173</v>
      </c>
      <c r="K391" s="1">
        <v>105174708</v>
      </c>
    </row>
    <row r="392" spans="1:11" x14ac:dyDescent="0.25">
      <c r="A392" s="1" t="s">
        <v>11</v>
      </c>
      <c r="B392" s="1" t="s">
        <v>442</v>
      </c>
      <c r="C392" s="1" t="s">
        <v>26</v>
      </c>
      <c r="D392" s="1" t="s">
        <v>674</v>
      </c>
      <c r="E392" s="1" t="s">
        <v>675</v>
      </c>
      <c r="F392" s="1" t="s">
        <v>173</v>
      </c>
      <c r="G392" s="1">
        <v>322146287</v>
      </c>
      <c r="H392" s="1">
        <v>5664816</v>
      </c>
      <c r="I392" s="1">
        <v>0</v>
      </c>
      <c r="J392" s="1" t="s">
        <v>173</v>
      </c>
      <c r="K392" s="1">
        <v>316481471</v>
      </c>
    </row>
    <row r="393" spans="1:11" x14ac:dyDescent="0.25">
      <c r="A393" s="1" t="s">
        <v>11</v>
      </c>
      <c r="B393" s="1" t="s">
        <v>442</v>
      </c>
      <c r="C393" s="1" t="s">
        <v>18</v>
      </c>
      <c r="D393" s="1" t="s">
        <v>676</v>
      </c>
      <c r="E393" s="1" t="s">
        <v>677</v>
      </c>
      <c r="F393" s="1" t="s">
        <v>173</v>
      </c>
      <c r="G393" s="1">
        <v>509840840.16000003</v>
      </c>
      <c r="H393" s="1">
        <v>5316672</v>
      </c>
      <c r="I393" s="1">
        <v>0</v>
      </c>
      <c r="J393" s="1" t="s">
        <v>173</v>
      </c>
      <c r="K393" s="1">
        <v>504524168.16000003</v>
      </c>
    </row>
    <row r="394" spans="1:11" x14ac:dyDescent="0.25">
      <c r="A394" s="1" t="s">
        <v>11</v>
      </c>
      <c r="B394" s="1" t="s">
        <v>442</v>
      </c>
      <c r="C394" s="1" t="s">
        <v>21</v>
      </c>
      <c r="D394" s="1" t="s">
        <v>678</v>
      </c>
      <c r="E394" s="1" t="s">
        <v>677</v>
      </c>
      <c r="F394" s="1" t="s">
        <v>173</v>
      </c>
      <c r="G394" s="1">
        <v>509840840.16000003</v>
      </c>
      <c r="H394" s="1">
        <v>5316672</v>
      </c>
      <c r="I394" s="1">
        <v>0</v>
      </c>
      <c r="J394" s="1" t="s">
        <v>173</v>
      </c>
      <c r="K394" s="1">
        <v>504524168.16000003</v>
      </c>
    </row>
    <row r="395" spans="1:11" x14ac:dyDescent="0.25">
      <c r="A395" s="1" t="s">
        <v>11</v>
      </c>
      <c r="B395" s="1" t="s">
        <v>442</v>
      </c>
      <c r="C395" s="1" t="s">
        <v>23</v>
      </c>
      <c r="D395" s="1" t="s">
        <v>679</v>
      </c>
      <c r="E395" s="1" t="s">
        <v>677</v>
      </c>
      <c r="F395" s="1" t="s">
        <v>173</v>
      </c>
      <c r="G395" s="1">
        <v>509840840.16000003</v>
      </c>
      <c r="H395" s="1">
        <v>5316672</v>
      </c>
      <c r="I395" s="1">
        <v>0</v>
      </c>
      <c r="J395" s="1" t="s">
        <v>173</v>
      </c>
      <c r="K395" s="1">
        <v>504524168.16000003</v>
      </c>
    </row>
    <row r="396" spans="1:11" x14ac:dyDescent="0.25">
      <c r="A396" s="1" t="s">
        <v>11</v>
      </c>
      <c r="B396" s="1" t="s">
        <v>442</v>
      </c>
      <c r="C396" s="1" t="s">
        <v>26</v>
      </c>
      <c r="D396" s="1" t="s">
        <v>680</v>
      </c>
      <c r="E396" s="1" t="s">
        <v>677</v>
      </c>
      <c r="F396" s="1" t="s">
        <v>173</v>
      </c>
      <c r="G396" s="1">
        <v>509840840.16000003</v>
      </c>
      <c r="H396" s="1">
        <v>5316672</v>
      </c>
      <c r="I396" s="1">
        <v>0</v>
      </c>
      <c r="J396" s="1" t="s">
        <v>173</v>
      </c>
      <c r="K396" s="1">
        <v>504524168.16000003</v>
      </c>
    </row>
    <row r="397" spans="1:11" x14ac:dyDescent="0.25">
      <c r="A397" s="1" t="s">
        <v>11</v>
      </c>
      <c r="B397" s="1" t="s">
        <v>442</v>
      </c>
      <c r="C397" s="1" t="s">
        <v>18</v>
      </c>
      <c r="D397" s="1" t="s">
        <v>681</v>
      </c>
      <c r="E397" s="1" t="s">
        <v>682</v>
      </c>
      <c r="F397" s="1" t="s">
        <v>173</v>
      </c>
      <c r="G397" s="1">
        <v>839267231</v>
      </c>
      <c r="H397" s="1">
        <v>724666171</v>
      </c>
      <c r="I397" s="1">
        <v>3606799.43</v>
      </c>
      <c r="J397" s="1" t="s">
        <v>173</v>
      </c>
      <c r="K397" s="1">
        <v>118207859.43000001</v>
      </c>
    </row>
    <row r="398" spans="1:11" x14ac:dyDescent="0.25">
      <c r="A398" s="1" t="s">
        <v>11</v>
      </c>
      <c r="B398" s="1" t="s">
        <v>442</v>
      </c>
      <c r="C398" s="1" t="s">
        <v>21</v>
      </c>
      <c r="D398" s="1" t="s">
        <v>683</v>
      </c>
      <c r="E398" s="1" t="s">
        <v>682</v>
      </c>
      <c r="F398" s="1" t="s">
        <v>173</v>
      </c>
      <c r="G398" s="1">
        <v>839267231</v>
      </c>
      <c r="H398" s="1">
        <v>724666171</v>
      </c>
      <c r="I398" s="1">
        <v>3606799.43</v>
      </c>
      <c r="J398" s="1" t="s">
        <v>173</v>
      </c>
      <c r="K398" s="1">
        <v>118207859.43000001</v>
      </c>
    </row>
    <row r="399" spans="1:11" x14ac:dyDescent="0.25">
      <c r="A399" s="1" t="s">
        <v>11</v>
      </c>
      <c r="B399" s="1" t="s">
        <v>442</v>
      </c>
      <c r="C399" s="1" t="s">
        <v>23</v>
      </c>
      <c r="D399" s="1" t="s">
        <v>684</v>
      </c>
      <c r="E399" s="1" t="s">
        <v>685</v>
      </c>
      <c r="F399" s="1" t="s">
        <v>173</v>
      </c>
      <c r="G399" s="1">
        <v>544135900</v>
      </c>
      <c r="H399" s="1">
        <v>544135900</v>
      </c>
      <c r="I399" s="1">
        <v>2433781.4300000002</v>
      </c>
      <c r="J399" s="1" t="s">
        <v>173</v>
      </c>
      <c r="K399" s="1">
        <v>2433781.4300000002</v>
      </c>
    </row>
    <row r="400" spans="1:11" x14ac:dyDescent="0.25">
      <c r="A400" s="1" t="s">
        <v>11</v>
      </c>
      <c r="B400" s="1" t="s">
        <v>442</v>
      </c>
      <c r="C400" s="1" t="s">
        <v>26</v>
      </c>
      <c r="D400" s="1" t="s">
        <v>686</v>
      </c>
      <c r="E400" s="1" t="s">
        <v>687</v>
      </c>
      <c r="F400" s="1" t="s">
        <v>173</v>
      </c>
      <c r="G400" s="1">
        <v>172667500</v>
      </c>
      <c r="H400" s="1">
        <v>172667500</v>
      </c>
      <c r="I400" s="1">
        <v>623327</v>
      </c>
      <c r="J400" s="1" t="s">
        <v>173</v>
      </c>
      <c r="K400" s="1">
        <v>623327</v>
      </c>
    </row>
    <row r="401" spans="1:11" x14ac:dyDescent="0.25">
      <c r="A401" s="1" t="s">
        <v>11</v>
      </c>
      <c r="B401" s="1" t="s">
        <v>442</v>
      </c>
      <c r="C401" s="1" t="s">
        <v>26</v>
      </c>
      <c r="D401" s="1" t="s">
        <v>688</v>
      </c>
      <c r="E401" s="1" t="s">
        <v>689</v>
      </c>
      <c r="F401" s="1" t="s">
        <v>173</v>
      </c>
      <c r="G401" s="1">
        <v>213654700</v>
      </c>
      <c r="H401" s="1">
        <v>213654700</v>
      </c>
      <c r="I401" s="1">
        <v>797858</v>
      </c>
      <c r="J401" s="1" t="s">
        <v>173</v>
      </c>
      <c r="K401" s="1">
        <v>797858</v>
      </c>
    </row>
    <row r="402" spans="1:11" x14ac:dyDescent="0.25">
      <c r="A402" s="1" t="s">
        <v>11</v>
      </c>
      <c r="B402" s="1" t="s">
        <v>442</v>
      </c>
      <c r="C402" s="1" t="s">
        <v>26</v>
      </c>
      <c r="D402" s="1" t="s">
        <v>690</v>
      </c>
      <c r="E402" s="1" t="s">
        <v>123</v>
      </c>
      <c r="F402" s="1" t="s">
        <v>173</v>
      </c>
      <c r="G402" s="1">
        <v>31688700</v>
      </c>
      <c r="H402" s="1">
        <v>31688700</v>
      </c>
      <c r="I402" s="1">
        <v>119363</v>
      </c>
      <c r="J402" s="1" t="s">
        <v>173</v>
      </c>
      <c r="K402" s="1">
        <v>119363</v>
      </c>
    </row>
    <row r="403" spans="1:11" x14ac:dyDescent="0.25">
      <c r="A403" s="1" t="s">
        <v>11</v>
      </c>
      <c r="B403" s="1" t="s">
        <v>442</v>
      </c>
      <c r="C403" s="1" t="s">
        <v>26</v>
      </c>
      <c r="D403" s="1" t="s">
        <v>691</v>
      </c>
      <c r="E403" s="1" t="s">
        <v>692</v>
      </c>
      <c r="F403" s="1" t="s">
        <v>173</v>
      </c>
      <c r="G403" s="1">
        <v>4840400</v>
      </c>
      <c r="H403" s="1">
        <v>4840400</v>
      </c>
      <c r="I403" s="1">
        <v>0</v>
      </c>
      <c r="J403" s="1" t="s">
        <v>173</v>
      </c>
      <c r="K403" s="1">
        <v>0</v>
      </c>
    </row>
    <row r="404" spans="1:11" x14ac:dyDescent="0.25">
      <c r="A404" s="1" t="s">
        <v>11</v>
      </c>
      <c r="B404" s="1" t="s">
        <v>442</v>
      </c>
      <c r="C404" s="1" t="s">
        <v>26</v>
      </c>
      <c r="D404" s="1" t="s">
        <v>693</v>
      </c>
      <c r="E404" s="1" t="s">
        <v>694</v>
      </c>
      <c r="F404" s="1" t="s">
        <v>173</v>
      </c>
      <c r="G404" s="1">
        <v>53897400</v>
      </c>
      <c r="H404" s="1">
        <v>53897400</v>
      </c>
      <c r="I404" s="1">
        <v>647603.43000000005</v>
      </c>
      <c r="J404" s="1" t="s">
        <v>173</v>
      </c>
      <c r="K404" s="1">
        <v>647603.43000000005</v>
      </c>
    </row>
    <row r="405" spans="1:11" x14ac:dyDescent="0.25">
      <c r="A405" s="1" t="s">
        <v>11</v>
      </c>
      <c r="B405" s="1" t="s">
        <v>442</v>
      </c>
      <c r="C405" s="1" t="s">
        <v>26</v>
      </c>
      <c r="D405" s="1" t="s">
        <v>695</v>
      </c>
      <c r="E405" s="1" t="s">
        <v>696</v>
      </c>
      <c r="F405" s="1" t="s">
        <v>173</v>
      </c>
      <c r="G405" s="1">
        <v>40429200</v>
      </c>
      <c r="H405" s="1">
        <v>40429200</v>
      </c>
      <c r="I405" s="1">
        <v>147378</v>
      </c>
      <c r="J405" s="1" t="s">
        <v>173</v>
      </c>
      <c r="K405" s="1">
        <v>147378</v>
      </c>
    </row>
    <row r="406" spans="1:11" x14ac:dyDescent="0.25">
      <c r="A406" s="1" t="s">
        <v>11</v>
      </c>
      <c r="B406" s="1" t="s">
        <v>442</v>
      </c>
      <c r="C406" s="1" t="s">
        <v>26</v>
      </c>
      <c r="D406" s="1" t="s">
        <v>697</v>
      </c>
      <c r="E406" s="1" t="s">
        <v>698</v>
      </c>
      <c r="F406" s="1" t="s">
        <v>173</v>
      </c>
      <c r="G406" s="1">
        <v>26958000</v>
      </c>
      <c r="H406" s="1">
        <v>26958000</v>
      </c>
      <c r="I406" s="1">
        <v>98252</v>
      </c>
      <c r="J406" s="1" t="s">
        <v>173</v>
      </c>
      <c r="K406" s="1">
        <v>98252</v>
      </c>
    </row>
    <row r="407" spans="1:11" x14ac:dyDescent="0.25">
      <c r="A407" s="1" t="s">
        <v>11</v>
      </c>
      <c r="B407" s="1" t="s">
        <v>442</v>
      </c>
      <c r="C407" s="1" t="s">
        <v>23</v>
      </c>
      <c r="D407" s="1" t="s">
        <v>699</v>
      </c>
      <c r="E407" s="1" t="s">
        <v>700</v>
      </c>
      <c r="F407" s="1" t="s">
        <v>173</v>
      </c>
      <c r="G407" s="1">
        <v>295131331</v>
      </c>
      <c r="H407" s="1">
        <v>180530271</v>
      </c>
      <c r="I407" s="1">
        <v>1173018</v>
      </c>
      <c r="J407" s="1" t="s">
        <v>173</v>
      </c>
      <c r="K407" s="1">
        <v>115774078</v>
      </c>
    </row>
    <row r="408" spans="1:11" x14ac:dyDescent="0.25">
      <c r="A408" s="1" t="s">
        <v>11</v>
      </c>
      <c r="B408" s="1" t="s">
        <v>442</v>
      </c>
      <c r="C408" s="1" t="s">
        <v>26</v>
      </c>
      <c r="D408" s="1" t="s">
        <v>701</v>
      </c>
      <c r="E408" s="1" t="s">
        <v>702</v>
      </c>
      <c r="F408" s="1" t="s">
        <v>173</v>
      </c>
      <c r="G408" s="1">
        <v>114760</v>
      </c>
      <c r="H408" s="1">
        <v>114760</v>
      </c>
      <c r="I408" s="1">
        <v>0</v>
      </c>
      <c r="J408" s="1" t="s">
        <v>173</v>
      </c>
      <c r="K408" s="1">
        <v>0</v>
      </c>
    </row>
    <row r="409" spans="1:11" x14ac:dyDescent="0.25">
      <c r="A409" s="1" t="s">
        <v>11</v>
      </c>
      <c r="B409" s="1" t="s">
        <v>442</v>
      </c>
      <c r="C409" s="1" t="s">
        <v>26</v>
      </c>
      <c r="D409" s="1" t="s">
        <v>703</v>
      </c>
      <c r="E409" s="1" t="s">
        <v>704</v>
      </c>
      <c r="F409" s="1" t="s">
        <v>173</v>
      </c>
      <c r="G409" s="1">
        <v>46341173</v>
      </c>
      <c r="H409" s="1">
        <v>46341173</v>
      </c>
      <c r="I409" s="1">
        <v>0</v>
      </c>
      <c r="J409" s="1" t="s">
        <v>173</v>
      </c>
      <c r="K409" s="1">
        <v>0</v>
      </c>
    </row>
    <row r="410" spans="1:11" x14ac:dyDescent="0.25">
      <c r="A410" s="1" t="s">
        <v>11</v>
      </c>
      <c r="B410" s="1" t="s">
        <v>442</v>
      </c>
      <c r="C410" s="1" t="s">
        <v>26</v>
      </c>
      <c r="D410" s="1" t="s">
        <v>705</v>
      </c>
      <c r="E410" s="1" t="s">
        <v>706</v>
      </c>
      <c r="F410" s="1" t="s">
        <v>173</v>
      </c>
      <c r="G410" s="1">
        <v>233820830</v>
      </c>
      <c r="H410" s="1">
        <v>119069342</v>
      </c>
      <c r="I410" s="1">
        <v>1173018</v>
      </c>
      <c r="J410" s="1" t="s">
        <v>173</v>
      </c>
      <c r="K410" s="1">
        <v>115924506</v>
      </c>
    </row>
    <row r="411" spans="1:11" x14ac:dyDescent="0.25">
      <c r="A411" s="1" t="s">
        <v>11</v>
      </c>
      <c r="B411" s="1" t="s">
        <v>442</v>
      </c>
      <c r="C411" s="1" t="s">
        <v>26</v>
      </c>
      <c r="D411" s="1" t="s">
        <v>707</v>
      </c>
      <c r="E411" s="1" t="s">
        <v>708</v>
      </c>
      <c r="F411" s="1" t="s">
        <v>173</v>
      </c>
      <c r="G411" s="1">
        <v>14744773</v>
      </c>
      <c r="H411" s="1">
        <v>14744773</v>
      </c>
      <c r="I411" s="1">
        <v>0</v>
      </c>
      <c r="J411" s="1" t="s">
        <v>173</v>
      </c>
      <c r="K411" s="1">
        <v>0</v>
      </c>
    </row>
    <row r="412" spans="1:11" x14ac:dyDescent="0.25">
      <c r="A412" s="1" t="s">
        <v>11</v>
      </c>
      <c r="B412" s="1" t="s">
        <v>442</v>
      </c>
      <c r="C412" s="1" t="s">
        <v>26</v>
      </c>
      <c r="D412" s="1" t="s">
        <v>709</v>
      </c>
      <c r="E412" s="1" t="s">
        <v>710</v>
      </c>
      <c r="F412" s="1" t="s">
        <v>173</v>
      </c>
      <c r="G412" s="1">
        <v>109795</v>
      </c>
      <c r="H412" s="1">
        <v>109795</v>
      </c>
      <c r="I412" s="1">
        <v>0</v>
      </c>
      <c r="J412" s="1" t="s">
        <v>173</v>
      </c>
      <c r="K412" s="1">
        <v>0</v>
      </c>
    </row>
    <row r="413" spans="1:11" x14ac:dyDescent="0.25">
      <c r="A413" s="1" t="s">
        <v>11</v>
      </c>
      <c r="B413" s="1" t="s">
        <v>442</v>
      </c>
      <c r="C413" s="1" t="s">
        <v>26</v>
      </c>
      <c r="D413" s="1" t="s">
        <v>711</v>
      </c>
      <c r="E413" s="1" t="s">
        <v>712</v>
      </c>
      <c r="F413" s="1" t="s">
        <v>173</v>
      </c>
      <c r="G413" s="1">
        <v>0</v>
      </c>
      <c r="H413" s="1">
        <v>150428</v>
      </c>
      <c r="I413" s="1">
        <v>0</v>
      </c>
      <c r="J413" s="1" t="s">
        <v>14</v>
      </c>
      <c r="K413" s="1">
        <v>-150428</v>
      </c>
    </row>
    <row r="414" spans="1:11" x14ac:dyDescent="0.25">
      <c r="A414" s="1" t="s">
        <v>11</v>
      </c>
      <c r="B414" s="1" t="s">
        <v>442</v>
      </c>
      <c r="C414" s="1" t="s">
        <v>15</v>
      </c>
      <c r="D414" s="1" t="s">
        <v>713</v>
      </c>
      <c r="E414" s="1" t="s">
        <v>714</v>
      </c>
      <c r="F414" s="1" t="s">
        <v>173</v>
      </c>
      <c r="G414" s="1">
        <v>1291115427.77</v>
      </c>
      <c r="H414" s="1">
        <v>0</v>
      </c>
      <c r="I414" s="1">
        <v>46699939</v>
      </c>
      <c r="J414" s="1" t="s">
        <v>173</v>
      </c>
      <c r="K414" s="1">
        <v>1337815366.77</v>
      </c>
    </row>
    <row r="415" spans="1:11" x14ac:dyDescent="0.25">
      <c r="A415" s="1" t="s">
        <v>11</v>
      </c>
      <c r="B415" s="1" t="s">
        <v>442</v>
      </c>
      <c r="C415" s="1" t="s">
        <v>18</v>
      </c>
      <c r="D415" s="1" t="s">
        <v>715</v>
      </c>
      <c r="E415" s="1" t="s">
        <v>716</v>
      </c>
      <c r="F415" s="1" t="s">
        <v>173</v>
      </c>
      <c r="G415" s="1">
        <v>1291115427.77</v>
      </c>
      <c r="H415" s="1">
        <v>0</v>
      </c>
      <c r="I415" s="1">
        <v>46699939</v>
      </c>
      <c r="J415" s="1" t="s">
        <v>173</v>
      </c>
      <c r="K415" s="1">
        <v>1337815366.77</v>
      </c>
    </row>
    <row r="416" spans="1:11" x14ac:dyDescent="0.25">
      <c r="A416" s="1" t="s">
        <v>11</v>
      </c>
      <c r="B416" s="1" t="s">
        <v>442</v>
      </c>
      <c r="C416" s="1" t="s">
        <v>21</v>
      </c>
      <c r="D416" s="1" t="s">
        <v>717</v>
      </c>
      <c r="E416" s="1" t="s">
        <v>716</v>
      </c>
      <c r="F416" s="1" t="s">
        <v>173</v>
      </c>
      <c r="G416" s="1">
        <v>1291115427.77</v>
      </c>
      <c r="H416" s="1">
        <v>0</v>
      </c>
      <c r="I416" s="1">
        <v>46699939</v>
      </c>
      <c r="J416" s="1" t="s">
        <v>173</v>
      </c>
      <c r="K416" s="1">
        <v>1337815366.77</v>
      </c>
    </row>
    <row r="417" spans="1:11" x14ac:dyDescent="0.25">
      <c r="A417" s="1" t="s">
        <v>11</v>
      </c>
      <c r="B417" s="1" t="s">
        <v>442</v>
      </c>
      <c r="C417" s="1" t="s">
        <v>23</v>
      </c>
      <c r="D417" s="1" t="s">
        <v>718</v>
      </c>
      <c r="E417" s="1" t="s">
        <v>719</v>
      </c>
      <c r="F417" s="1" t="s">
        <v>173</v>
      </c>
      <c r="G417" s="1">
        <v>1291115427.77</v>
      </c>
      <c r="H417" s="1">
        <v>0</v>
      </c>
      <c r="I417" s="1">
        <v>46699939</v>
      </c>
      <c r="J417" s="1" t="s">
        <v>173</v>
      </c>
      <c r="K417" s="1">
        <v>1337815366.77</v>
      </c>
    </row>
    <row r="418" spans="1:11" x14ac:dyDescent="0.25">
      <c r="A418" s="1" t="s">
        <v>11</v>
      </c>
      <c r="B418" s="1" t="s">
        <v>442</v>
      </c>
      <c r="C418" s="1" t="s">
        <v>26</v>
      </c>
      <c r="D418" s="1" t="s">
        <v>720</v>
      </c>
      <c r="E418" s="1" t="s">
        <v>721</v>
      </c>
      <c r="F418" s="1" t="s">
        <v>173</v>
      </c>
      <c r="G418" s="1">
        <v>164471976</v>
      </c>
      <c r="H418" s="1">
        <v>0</v>
      </c>
      <c r="I418" s="1">
        <v>14421865</v>
      </c>
      <c r="J418" s="1" t="s">
        <v>173</v>
      </c>
      <c r="K418" s="1">
        <v>178893841</v>
      </c>
    </row>
    <row r="419" spans="1:11" x14ac:dyDescent="0.25">
      <c r="A419" s="1" t="s">
        <v>11</v>
      </c>
      <c r="B419" s="1" t="s">
        <v>442</v>
      </c>
      <c r="C419" s="1" t="s">
        <v>26</v>
      </c>
      <c r="D419" s="1" t="s">
        <v>722</v>
      </c>
      <c r="E419" s="1" t="s">
        <v>723</v>
      </c>
      <c r="F419" s="1" t="s">
        <v>173</v>
      </c>
      <c r="G419" s="1">
        <v>1124998011.77</v>
      </c>
      <c r="H419" s="1">
        <v>0</v>
      </c>
      <c r="I419" s="1">
        <v>32113530</v>
      </c>
      <c r="J419" s="1" t="s">
        <v>173</v>
      </c>
      <c r="K419" s="1">
        <v>1157111541.77</v>
      </c>
    </row>
    <row r="420" spans="1:11" x14ac:dyDescent="0.25">
      <c r="A420" s="1" t="s">
        <v>11</v>
      </c>
      <c r="B420" s="1" t="s">
        <v>442</v>
      </c>
      <c r="C420" s="1" t="s">
        <v>26</v>
      </c>
      <c r="D420" s="1" t="s">
        <v>724</v>
      </c>
      <c r="E420" s="1" t="s">
        <v>725</v>
      </c>
      <c r="F420" s="1" t="s">
        <v>173</v>
      </c>
      <c r="G420" s="1">
        <v>1645440</v>
      </c>
      <c r="H420" s="1">
        <v>0</v>
      </c>
      <c r="I420" s="1">
        <v>164544</v>
      </c>
      <c r="J420" s="1" t="s">
        <v>173</v>
      </c>
      <c r="K420" s="1">
        <v>1809984</v>
      </c>
    </row>
    <row r="421" spans="1:11" x14ac:dyDescent="0.25">
      <c r="A421" s="1" t="s">
        <v>11</v>
      </c>
      <c r="B421" s="1" t="s">
        <v>442</v>
      </c>
      <c r="C421" s="1" t="s">
        <v>15</v>
      </c>
      <c r="D421" s="1" t="s">
        <v>726</v>
      </c>
      <c r="E421" s="1" t="s">
        <v>727</v>
      </c>
      <c r="F421" s="1" t="s">
        <v>173</v>
      </c>
      <c r="G421" s="1">
        <v>2973462312.6799998</v>
      </c>
      <c r="H421" s="1">
        <v>3657057871.71</v>
      </c>
      <c r="I421" s="1">
        <v>3883792339.8000002</v>
      </c>
      <c r="J421" s="1" t="s">
        <v>173</v>
      </c>
      <c r="K421" s="1">
        <v>3200196780.77</v>
      </c>
    </row>
    <row r="422" spans="1:11" x14ac:dyDescent="0.25">
      <c r="A422" s="1" t="s">
        <v>11</v>
      </c>
      <c r="B422" s="1" t="s">
        <v>442</v>
      </c>
      <c r="C422" s="1" t="s">
        <v>18</v>
      </c>
      <c r="D422" s="1" t="s">
        <v>728</v>
      </c>
      <c r="E422" s="1" t="s">
        <v>729</v>
      </c>
      <c r="F422" s="1" t="s">
        <v>173</v>
      </c>
      <c r="G422" s="1">
        <v>2909327312.6799998</v>
      </c>
      <c r="H422" s="1">
        <v>3657057871.71</v>
      </c>
      <c r="I422" s="1">
        <v>3883142339.8000002</v>
      </c>
      <c r="J422" s="1" t="s">
        <v>173</v>
      </c>
      <c r="K422" s="1">
        <v>3135411780.77</v>
      </c>
    </row>
    <row r="423" spans="1:11" x14ac:dyDescent="0.25">
      <c r="A423" s="1" t="s">
        <v>11</v>
      </c>
      <c r="B423" s="1" t="s">
        <v>442</v>
      </c>
      <c r="C423" s="1" t="s">
        <v>21</v>
      </c>
      <c r="D423" s="1" t="s">
        <v>730</v>
      </c>
      <c r="E423" s="1" t="s">
        <v>729</v>
      </c>
      <c r="F423" s="1" t="s">
        <v>173</v>
      </c>
      <c r="G423" s="1">
        <v>2909327312.6799998</v>
      </c>
      <c r="H423" s="1">
        <v>3657057871.71</v>
      </c>
      <c r="I423" s="1">
        <v>3883142339.8000002</v>
      </c>
      <c r="J423" s="1" t="s">
        <v>173</v>
      </c>
      <c r="K423" s="1">
        <v>3135411780.77</v>
      </c>
    </row>
    <row r="424" spans="1:11" x14ac:dyDescent="0.25">
      <c r="A424" s="1" t="s">
        <v>11</v>
      </c>
      <c r="B424" s="1" t="s">
        <v>442</v>
      </c>
      <c r="C424" s="1" t="s">
        <v>23</v>
      </c>
      <c r="D424" s="1" t="s">
        <v>731</v>
      </c>
      <c r="E424" s="1" t="s">
        <v>732</v>
      </c>
      <c r="F424" s="1" t="s">
        <v>173</v>
      </c>
      <c r="G424" s="1">
        <v>2909327312.6799998</v>
      </c>
      <c r="H424" s="1">
        <v>3657057871.71</v>
      </c>
      <c r="I424" s="1">
        <v>3883142339.8000002</v>
      </c>
      <c r="J424" s="1" t="s">
        <v>173</v>
      </c>
      <c r="K424" s="1">
        <v>3135411780.77</v>
      </c>
    </row>
    <row r="425" spans="1:11" x14ac:dyDescent="0.25">
      <c r="A425" s="1" t="s">
        <v>11</v>
      </c>
      <c r="B425" s="1" t="s">
        <v>442</v>
      </c>
      <c r="C425" s="1" t="s">
        <v>26</v>
      </c>
      <c r="D425" s="1" t="s">
        <v>733</v>
      </c>
      <c r="E425" s="1" t="s">
        <v>734</v>
      </c>
      <c r="F425" s="1" t="s">
        <v>173</v>
      </c>
      <c r="G425" s="1">
        <v>16373134.34</v>
      </c>
      <c r="H425" s="1">
        <v>58687804</v>
      </c>
      <c r="I425" s="1">
        <v>49570129</v>
      </c>
      <c r="J425" s="1" t="s">
        <v>173</v>
      </c>
      <c r="K425" s="1">
        <v>7255459.3399999999</v>
      </c>
    </row>
    <row r="426" spans="1:11" x14ac:dyDescent="0.25">
      <c r="A426" s="1" t="s">
        <v>11</v>
      </c>
      <c r="B426" s="1" t="s">
        <v>442</v>
      </c>
      <c r="C426" s="1" t="s">
        <v>26</v>
      </c>
      <c r="D426" s="1" t="s">
        <v>735</v>
      </c>
      <c r="E426" s="1" t="s">
        <v>736</v>
      </c>
      <c r="F426" s="1" t="s">
        <v>173</v>
      </c>
      <c r="G426" s="1">
        <v>23656886</v>
      </c>
      <c r="H426" s="1">
        <v>28891637</v>
      </c>
      <c r="I426" s="1">
        <v>31939034</v>
      </c>
      <c r="J426" s="1" t="s">
        <v>173</v>
      </c>
      <c r="K426" s="1">
        <v>26704283</v>
      </c>
    </row>
    <row r="427" spans="1:11" x14ac:dyDescent="0.25">
      <c r="A427" s="1" t="s">
        <v>11</v>
      </c>
      <c r="B427" s="1" t="s">
        <v>442</v>
      </c>
      <c r="C427" s="1" t="s">
        <v>26</v>
      </c>
      <c r="D427" s="1" t="s">
        <v>737</v>
      </c>
      <c r="E427" s="1" t="s">
        <v>738</v>
      </c>
      <c r="F427" s="1" t="s">
        <v>173</v>
      </c>
      <c r="G427" s="1">
        <v>3611386</v>
      </c>
      <c r="H427" s="1">
        <v>8207030</v>
      </c>
      <c r="I427" s="1">
        <v>8043706</v>
      </c>
      <c r="J427" s="1" t="s">
        <v>173</v>
      </c>
      <c r="K427" s="1">
        <v>3448062</v>
      </c>
    </row>
    <row r="428" spans="1:11" x14ac:dyDescent="0.25">
      <c r="A428" s="1" t="s">
        <v>11</v>
      </c>
      <c r="B428" s="1" t="s">
        <v>442</v>
      </c>
      <c r="C428" s="1" t="s">
        <v>26</v>
      </c>
      <c r="D428" s="1" t="s">
        <v>739</v>
      </c>
      <c r="E428" s="1" t="s">
        <v>740</v>
      </c>
      <c r="F428" s="1" t="s">
        <v>173</v>
      </c>
      <c r="G428" s="1">
        <v>2859471794.3400002</v>
      </c>
      <c r="H428" s="1">
        <v>3555908022.71</v>
      </c>
      <c r="I428" s="1">
        <v>3780140764.8000002</v>
      </c>
      <c r="J428" s="1" t="s">
        <v>173</v>
      </c>
      <c r="K428" s="1">
        <v>3083704536.4299998</v>
      </c>
    </row>
    <row r="429" spans="1:11" x14ac:dyDescent="0.25">
      <c r="A429" s="1" t="s">
        <v>11</v>
      </c>
      <c r="B429" s="1" t="s">
        <v>442</v>
      </c>
      <c r="C429" s="1" t="s">
        <v>26</v>
      </c>
      <c r="D429" s="1" t="s">
        <v>741</v>
      </c>
      <c r="E429" s="1" t="s">
        <v>742</v>
      </c>
      <c r="F429" s="1" t="s">
        <v>173</v>
      </c>
      <c r="G429" s="1">
        <v>6214112</v>
      </c>
      <c r="H429" s="1">
        <v>5363378</v>
      </c>
      <c r="I429" s="1">
        <v>5363378</v>
      </c>
      <c r="J429" s="1" t="s">
        <v>173</v>
      </c>
      <c r="K429" s="1">
        <v>6214112</v>
      </c>
    </row>
    <row r="430" spans="1:11" x14ac:dyDescent="0.25">
      <c r="A430" s="1" t="s">
        <v>11</v>
      </c>
      <c r="B430" s="1" t="s">
        <v>442</v>
      </c>
      <c r="C430" s="1" t="s">
        <v>26</v>
      </c>
      <c r="D430" s="1" t="s">
        <v>743</v>
      </c>
      <c r="E430" s="1" t="s">
        <v>744</v>
      </c>
      <c r="F430" s="1" t="s">
        <v>173</v>
      </c>
      <c r="G430" s="1">
        <v>0</v>
      </c>
      <c r="H430" s="1">
        <v>0</v>
      </c>
      <c r="I430" s="1">
        <v>8085328</v>
      </c>
      <c r="J430" s="1" t="s">
        <v>173</v>
      </c>
      <c r="K430" s="1">
        <v>8085328</v>
      </c>
    </row>
    <row r="431" spans="1:11" x14ac:dyDescent="0.25">
      <c r="A431" s="1" t="s">
        <v>11</v>
      </c>
      <c r="B431" s="1" t="s">
        <v>442</v>
      </c>
      <c r="C431" s="1" t="s">
        <v>18</v>
      </c>
      <c r="D431" s="1" t="s">
        <v>745</v>
      </c>
      <c r="E431" s="1" t="s">
        <v>746</v>
      </c>
      <c r="F431" s="1" t="s">
        <v>173</v>
      </c>
      <c r="G431" s="1">
        <v>64135000</v>
      </c>
      <c r="H431" s="1">
        <v>0</v>
      </c>
      <c r="I431" s="1">
        <v>650000</v>
      </c>
      <c r="J431" s="1" t="s">
        <v>173</v>
      </c>
      <c r="K431" s="1">
        <v>64785000</v>
      </c>
    </row>
    <row r="432" spans="1:11" x14ac:dyDescent="0.25">
      <c r="A432" s="1" t="s">
        <v>11</v>
      </c>
      <c r="B432" s="1" t="s">
        <v>442</v>
      </c>
      <c r="C432" s="1" t="s">
        <v>21</v>
      </c>
      <c r="D432" s="1" t="s">
        <v>747</v>
      </c>
      <c r="E432" s="1" t="s">
        <v>748</v>
      </c>
      <c r="F432" s="1" t="s">
        <v>173</v>
      </c>
      <c r="G432" s="1">
        <v>64135000</v>
      </c>
      <c r="H432" s="1">
        <v>0</v>
      </c>
      <c r="I432" s="1">
        <v>650000</v>
      </c>
      <c r="J432" s="1" t="s">
        <v>173</v>
      </c>
      <c r="K432" s="1">
        <v>64785000</v>
      </c>
    </row>
    <row r="433" spans="1:11" x14ac:dyDescent="0.25">
      <c r="A433" s="1" t="s">
        <v>11</v>
      </c>
      <c r="B433" s="1" t="s">
        <v>442</v>
      </c>
      <c r="C433" s="1" t="s">
        <v>23</v>
      </c>
      <c r="D433" s="1" t="s">
        <v>749</v>
      </c>
      <c r="E433" s="1" t="s">
        <v>748</v>
      </c>
      <c r="F433" s="1" t="s">
        <v>173</v>
      </c>
      <c r="G433" s="1">
        <v>64135000</v>
      </c>
      <c r="H433" s="1">
        <v>0</v>
      </c>
      <c r="I433" s="1">
        <v>650000</v>
      </c>
      <c r="J433" s="1" t="s">
        <v>173</v>
      </c>
      <c r="K433" s="1">
        <v>64785000</v>
      </c>
    </row>
    <row r="434" spans="1:11" x14ac:dyDescent="0.25">
      <c r="A434" s="1" t="s">
        <v>11</v>
      </c>
      <c r="B434" s="1" t="s">
        <v>442</v>
      </c>
      <c r="C434" s="1" t="s">
        <v>26</v>
      </c>
      <c r="D434" s="1" t="s">
        <v>750</v>
      </c>
      <c r="E434" s="1" t="s">
        <v>751</v>
      </c>
      <c r="F434" s="1" t="s">
        <v>173</v>
      </c>
      <c r="G434" s="1">
        <v>64135000</v>
      </c>
      <c r="H434" s="1">
        <v>0</v>
      </c>
      <c r="I434" s="1">
        <v>650000</v>
      </c>
      <c r="J434" s="1" t="s">
        <v>173</v>
      </c>
      <c r="K434" s="1">
        <v>64785000</v>
      </c>
    </row>
    <row r="435" spans="1:11" x14ac:dyDescent="0.25">
      <c r="A435" s="1" t="s">
        <v>11</v>
      </c>
      <c r="B435" s="1" t="s">
        <v>752</v>
      </c>
      <c r="C435" s="1" t="s">
        <v>13</v>
      </c>
      <c r="D435" s="1" t="s">
        <v>18</v>
      </c>
      <c r="E435" s="1" t="s">
        <v>752</v>
      </c>
      <c r="F435" s="1" t="s">
        <v>173</v>
      </c>
      <c r="G435" s="1">
        <v>13295652595.190001</v>
      </c>
      <c r="H435" s="1">
        <v>0</v>
      </c>
      <c r="I435" s="1">
        <v>0</v>
      </c>
      <c r="J435" s="1" t="s">
        <v>173</v>
      </c>
      <c r="K435" s="1">
        <v>13295652595.190001</v>
      </c>
    </row>
    <row r="436" spans="1:11" x14ac:dyDescent="0.25">
      <c r="A436" s="1" t="s">
        <v>11</v>
      </c>
      <c r="B436" s="1" t="s">
        <v>752</v>
      </c>
      <c r="C436" s="1" t="s">
        <v>15</v>
      </c>
      <c r="D436" s="1" t="s">
        <v>753</v>
      </c>
      <c r="E436" s="1" t="s">
        <v>754</v>
      </c>
      <c r="F436" s="1" t="s">
        <v>173</v>
      </c>
      <c r="G436" s="1">
        <v>6060896686.6499996</v>
      </c>
      <c r="H436" s="1">
        <v>0</v>
      </c>
      <c r="I436" s="1">
        <v>0</v>
      </c>
      <c r="J436" s="1" t="s">
        <v>173</v>
      </c>
      <c r="K436" s="1">
        <v>6060896686.6499996</v>
      </c>
    </row>
    <row r="437" spans="1:11" x14ac:dyDescent="0.25">
      <c r="A437" s="1" t="s">
        <v>11</v>
      </c>
      <c r="B437" s="1" t="s">
        <v>752</v>
      </c>
      <c r="C437" s="1" t="s">
        <v>18</v>
      </c>
      <c r="D437" s="1" t="s">
        <v>755</v>
      </c>
      <c r="E437" s="1" t="s">
        <v>756</v>
      </c>
      <c r="F437" s="1" t="s">
        <v>173</v>
      </c>
      <c r="G437" s="1">
        <v>6060896686.6499996</v>
      </c>
      <c r="H437" s="1">
        <v>0</v>
      </c>
      <c r="I437" s="1">
        <v>0</v>
      </c>
      <c r="J437" s="1" t="s">
        <v>173</v>
      </c>
      <c r="K437" s="1">
        <v>6060896686.6499996</v>
      </c>
    </row>
    <row r="438" spans="1:11" x14ac:dyDescent="0.25">
      <c r="A438" s="1" t="s">
        <v>11</v>
      </c>
      <c r="B438" s="1" t="s">
        <v>752</v>
      </c>
      <c r="C438" s="1" t="s">
        <v>21</v>
      </c>
      <c r="D438" s="1" t="s">
        <v>757</v>
      </c>
      <c r="E438" s="1" t="s">
        <v>756</v>
      </c>
      <c r="F438" s="1" t="s">
        <v>173</v>
      </c>
      <c r="G438" s="1">
        <v>6060896686.6499996</v>
      </c>
      <c r="H438" s="1">
        <v>0</v>
      </c>
      <c r="I438" s="1">
        <v>0</v>
      </c>
      <c r="J438" s="1" t="s">
        <v>173</v>
      </c>
      <c r="K438" s="1">
        <v>6060896686.6499996</v>
      </c>
    </row>
    <row r="439" spans="1:11" x14ac:dyDescent="0.25">
      <c r="A439" s="1" t="s">
        <v>11</v>
      </c>
      <c r="B439" s="1" t="s">
        <v>752</v>
      </c>
      <c r="C439" s="1" t="s">
        <v>23</v>
      </c>
      <c r="D439" s="1" t="s">
        <v>758</v>
      </c>
      <c r="E439" s="1" t="s">
        <v>756</v>
      </c>
      <c r="F439" s="1" t="s">
        <v>173</v>
      </c>
      <c r="G439" s="1">
        <v>6060896686.6499996</v>
      </c>
      <c r="H439" s="1">
        <v>0</v>
      </c>
      <c r="I439" s="1">
        <v>0</v>
      </c>
      <c r="J439" s="1" t="s">
        <v>173</v>
      </c>
      <c r="K439" s="1">
        <v>6060896686.6499996</v>
      </c>
    </row>
    <row r="440" spans="1:11" x14ac:dyDescent="0.25">
      <c r="A440" s="1" t="s">
        <v>11</v>
      </c>
      <c r="B440" s="1" t="s">
        <v>752</v>
      </c>
      <c r="C440" s="1" t="s">
        <v>26</v>
      </c>
      <c r="D440" s="1" t="s">
        <v>759</v>
      </c>
      <c r="E440" s="1" t="s">
        <v>756</v>
      </c>
      <c r="F440" s="1" t="s">
        <v>173</v>
      </c>
      <c r="G440" s="1">
        <v>6060896686.6499996</v>
      </c>
      <c r="H440" s="1">
        <v>0</v>
      </c>
      <c r="I440" s="1">
        <v>0</v>
      </c>
      <c r="J440" s="1" t="s">
        <v>173</v>
      </c>
      <c r="K440" s="1">
        <v>6060896686.6499996</v>
      </c>
    </row>
    <row r="441" spans="1:11" x14ac:dyDescent="0.25">
      <c r="A441" s="1" t="s">
        <v>11</v>
      </c>
      <c r="B441" s="1" t="s">
        <v>752</v>
      </c>
      <c r="C441" s="1" t="s">
        <v>15</v>
      </c>
      <c r="D441" s="1" t="s">
        <v>760</v>
      </c>
      <c r="E441" s="1" t="s">
        <v>761</v>
      </c>
      <c r="F441" s="1" t="s">
        <v>173</v>
      </c>
      <c r="G441" s="1">
        <v>7234755908.54</v>
      </c>
      <c r="H441" s="1">
        <v>0</v>
      </c>
      <c r="I441" s="1">
        <v>0</v>
      </c>
      <c r="J441" s="1" t="s">
        <v>173</v>
      </c>
      <c r="K441" s="1">
        <v>7234755908.54</v>
      </c>
    </row>
    <row r="442" spans="1:11" x14ac:dyDescent="0.25">
      <c r="A442" s="1" t="s">
        <v>11</v>
      </c>
      <c r="B442" s="1" t="s">
        <v>752</v>
      </c>
      <c r="C442" s="1" t="s">
        <v>18</v>
      </c>
      <c r="D442" s="1" t="s">
        <v>762</v>
      </c>
      <c r="E442" s="1" t="s">
        <v>763</v>
      </c>
      <c r="F442" s="1" t="s">
        <v>14</v>
      </c>
      <c r="G442" s="1">
        <v>6172504960.8299999</v>
      </c>
      <c r="H442" s="1">
        <v>0</v>
      </c>
      <c r="I442" s="1">
        <v>0</v>
      </c>
      <c r="J442" s="1" t="s">
        <v>14</v>
      </c>
      <c r="K442" s="1">
        <v>6172504960.8299999</v>
      </c>
    </row>
    <row r="443" spans="1:11" x14ac:dyDescent="0.25">
      <c r="A443" s="1" t="s">
        <v>11</v>
      </c>
      <c r="B443" s="1" t="s">
        <v>752</v>
      </c>
      <c r="C443" s="1" t="s">
        <v>21</v>
      </c>
      <c r="D443" s="1" t="s">
        <v>764</v>
      </c>
      <c r="E443" s="1" t="s">
        <v>763</v>
      </c>
      <c r="F443" s="1" t="s">
        <v>14</v>
      </c>
      <c r="G443" s="1">
        <v>6172504960.8299999</v>
      </c>
      <c r="H443" s="1">
        <v>0</v>
      </c>
      <c r="I443" s="1">
        <v>0</v>
      </c>
      <c r="J443" s="1" t="s">
        <v>14</v>
      </c>
      <c r="K443" s="1">
        <v>6172504960.8299999</v>
      </c>
    </row>
    <row r="444" spans="1:11" x14ac:dyDescent="0.25">
      <c r="A444" s="1" t="s">
        <v>11</v>
      </c>
      <c r="B444" s="1" t="s">
        <v>752</v>
      </c>
      <c r="C444" s="1" t="s">
        <v>23</v>
      </c>
      <c r="D444" s="1" t="s">
        <v>765</v>
      </c>
      <c r="E444" s="1" t="s">
        <v>763</v>
      </c>
      <c r="F444" s="1" t="s">
        <v>14</v>
      </c>
      <c r="G444" s="1">
        <v>6172504960.8299999</v>
      </c>
      <c r="H444" s="1">
        <v>0</v>
      </c>
      <c r="I444" s="1">
        <v>0</v>
      </c>
      <c r="J444" s="1" t="s">
        <v>14</v>
      </c>
      <c r="K444" s="1">
        <v>6172504960.8299999</v>
      </c>
    </row>
    <row r="445" spans="1:11" x14ac:dyDescent="0.25">
      <c r="A445" s="1" t="s">
        <v>11</v>
      </c>
      <c r="B445" s="1" t="s">
        <v>752</v>
      </c>
      <c r="C445" s="1" t="s">
        <v>26</v>
      </c>
      <c r="D445" s="1" t="s">
        <v>766</v>
      </c>
      <c r="E445" s="1" t="s">
        <v>763</v>
      </c>
      <c r="F445" s="1" t="s">
        <v>14</v>
      </c>
      <c r="G445" s="1">
        <v>6172504960.8299999</v>
      </c>
      <c r="H445" s="1">
        <v>0</v>
      </c>
      <c r="I445" s="1">
        <v>0</v>
      </c>
      <c r="J445" s="1" t="s">
        <v>14</v>
      </c>
      <c r="K445" s="1">
        <v>6172504960.8299999</v>
      </c>
    </row>
    <row r="446" spans="1:11" x14ac:dyDescent="0.25">
      <c r="A446" s="1" t="s">
        <v>11</v>
      </c>
      <c r="B446" s="1" t="s">
        <v>752</v>
      </c>
      <c r="C446" s="1" t="s">
        <v>18</v>
      </c>
      <c r="D446" s="1" t="s">
        <v>767</v>
      </c>
      <c r="E446" s="1" t="s">
        <v>768</v>
      </c>
      <c r="F446" s="1" t="s">
        <v>173</v>
      </c>
      <c r="G446" s="1">
        <v>13407260869.370001</v>
      </c>
      <c r="H446" s="1">
        <v>0</v>
      </c>
      <c r="I446" s="1">
        <v>0</v>
      </c>
      <c r="J446" s="1" t="s">
        <v>173</v>
      </c>
      <c r="K446" s="1">
        <v>13407260869.370001</v>
      </c>
    </row>
    <row r="447" spans="1:11" x14ac:dyDescent="0.25">
      <c r="A447" s="1" t="s">
        <v>11</v>
      </c>
      <c r="B447" s="1" t="s">
        <v>752</v>
      </c>
      <c r="C447" s="1" t="s">
        <v>21</v>
      </c>
      <c r="D447" s="1" t="s">
        <v>769</v>
      </c>
      <c r="E447" s="1" t="s">
        <v>770</v>
      </c>
      <c r="F447" s="1" t="s">
        <v>173</v>
      </c>
      <c r="G447" s="1">
        <v>13407260869.370001</v>
      </c>
      <c r="H447" s="1">
        <v>0</v>
      </c>
      <c r="I447" s="1">
        <v>0</v>
      </c>
      <c r="J447" s="1" t="s">
        <v>173</v>
      </c>
      <c r="K447" s="1">
        <v>13407260869.370001</v>
      </c>
    </row>
    <row r="448" spans="1:11" x14ac:dyDescent="0.25">
      <c r="A448" s="1" t="s">
        <v>11</v>
      </c>
      <c r="B448" s="1" t="s">
        <v>752</v>
      </c>
      <c r="C448" s="1" t="s">
        <v>23</v>
      </c>
      <c r="D448" s="1" t="s">
        <v>771</v>
      </c>
      <c r="E448" s="1" t="s">
        <v>770</v>
      </c>
      <c r="F448" s="1" t="s">
        <v>173</v>
      </c>
      <c r="G448" s="1">
        <v>13407260869.370001</v>
      </c>
      <c r="H448" s="1">
        <v>0</v>
      </c>
      <c r="I448" s="1">
        <v>0</v>
      </c>
      <c r="J448" s="1" t="s">
        <v>173</v>
      </c>
      <c r="K448" s="1">
        <v>13407260869.370001</v>
      </c>
    </row>
    <row r="449" spans="1:11" x14ac:dyDescent="0.25">
      <c r="A449" s="1" t="s">
        <v>11</v>
      </c>
      <c r="B449" s="1" t="s">
        <v>752</v>
      </c>
      <c r="C449" s="1" t="s">
        <v>26</v>
      </c>
      <c r="D449" s="1" t="s">
        <v>772</v>
      </c>
      <c r="E449" s="1" t="s">
        <v>770</v>
      </c>
      <c r="F449" s="1" t="s">
        <v>173</v>
      </c>
      <c r="G449" s="1">
        <v>13407260869.370001</v>
      </c>
      <c r="H449" s="1">
        <v>0</v>
      </c>
      <c r="I449" s="1">
        <v>0</v>
      </c>
      <c r="J449" s="1" t="s">
        <v>173</v>
      </c>
      <c r="K449" s="1">
        <v>13407260869.370001</v>
      </c>
    </row>
    <row r="450" spans="1:11" x14ac:dyDescent="0.25">
      <c r="A450" s="1" t="s">
        <v>11</v>
      </c>
      <c r="B450" s="1" t="s">
        <v>773</v>
      </c>
      <c r="C450" s="1" t="s">
        <v>13</v>
      </c>
      <c r="D450" s="1" t="s">
        <v>21</v>
      </c>
      <c r="E450" s="1" t="s">
        <v>773</v>
      </c>
      <c r="F450" s="1" t="s">
        <v>173</v>
      </c>
      <c r="G450" s="1">
        <v>47434714753.239998</v>
      </c>
      <c r="H450" s="1">
        <v>4035753603</v>
      </c>
      <c r="I450" s="1">
        <v>3661648170</v>
      </c>
      <c r="J450" s="1" t="s">
        <v>173</v>
      </c>
      <c r="K450" s="1">
        <v>47060609320.239998</v>
      </c>
    </row>
    <row r="451" spans="1:11" x14ac:dyDescent="0.25">
      <c r="A451" s="1" t="s">
        <v>11</v>
      </c>
      <c r="B451" s="1" t="s">
        <v>773</v>
      </c>
      <c r="C451" s="1" t="s">
        <v>15</v>
      </c>
      <c r="D451" s="1" t="s">
        <v>774</v>
      </c>
      <c r="E451" s="1" t="s">
        <v>775</v>
      </c>
      <c r="F451" s="1" t="s">
        <v>173</v>
      </c>
      <c r="G451" s="1">
        <v>46877026733.559998</v>
      </c>
      <c r="H451" s="1">
        <v>4035753603</v>
      </c>
      <c r="I451" s="1">
        <v>3656383140</v>
      </c>
      <c r="J451" s="1" t="s">
        <v>173</v>
      </c>
      <c r="K451" s="1">
        <v>46497656270.559998</v>
      </c>
    </row>
    <row r="452" spans="1:11" x14ac:dyDescent="0.25">
      <c r="A452" s="1" t="s">
        <v>11</v>
      </c>
      <c r="B452" s="1" t="s">
        <v>773</v>
      </c>
      <c r="C452" s="1" t="s">
        <v>18</v>
      </c>
      <c r="D452" s="1" t="s">
        <v>776</v>
      </c>
      <c r="E452" s="1" t="s">
        <v>777</v>
      </c>
      <c r="F452" s="1" t="s">
        <v>173</v>
      </c>
      <c r="G452" s="1">
        <v>4434132647</v>
      </c>
      <c r="H452" s="1">
        <v>86336061</v>
      </c>
      <c r="I452" s="1">
        <v>318664372</v>
      </c>
      <c r="J452" s="1" t="s">
        <v>173</v>
      </c>
      <c r="K452" s="1">
        <v>4666460958</v>
      </c>
    </row>
    <row r="453" spans="1:11" x14ac:dyDescent="0.25">
      <c r="A453" s="1" t="s">
        <v>11</v>
      </c>
      <c r="B453" s="1" t="s">
        <v>773</v>
      </c>
      <c r="C453" s="1" t="s">
        <v>21</v>
      </c>
      <c r="D453" s="1" t="s">
        <v>778</v>
      </c>
      <c r="E453" s="1" t="s">
        <v>777</v>
      </c>
      <c r="F453" s="1" t="s">
        <v>173</v>
      </c>
      <c r="G453" s="1">
        <v>4434132647</v>
      </c>
      <c r="H453" s="1">
        <v>86336061</v>
      </c>
      <c r="I453" s="1">
        <v>318664372</v>
      </c>
      <c r="J453" s="1" t="s">
        <v>173</v>
      </c>
      <c r="K453" s="1">
        <v>4666460958</v>
      </c>
    </row>
    <row r="454" spans="1:11" x14ac:dyDescent="0.25">
      <c r="A454" s="1" t="s">
        <v>11</v>
      </c>
      <c r="B454" s="1" t="s">
        <v>773</v>
      </c>
      <c r="C454" s="1" t="s">
        <v>23</v>
      </c>
      <c r="D454" s="1" t="s">
        <v>779</v>
      </c>
      <c r="E454" s="1" t="s">
        <v>237</v>
      </c>
      <c r="F454" s="1" t="s">
        <v>173</v>
      </c>
      <c r="G454" s="1">
        <v>1379828357</v>
      </c>
      <c r="H454" s="1">
        <v>2962268</v>
      </c>
      <c r="I454" s="1">
        <v>71231376</v>
      </c>
      <c r="J454" s="1" t="s">
        <v>173</v>
      </c>
      <c r="K454" s="1">
        <v>1448097465</v>
      </c>
    </row>
    <row r="455" spans="1:11" x14ac:dyDescent="0.25">
      <c r="A455" s="1" t="s">
        <v>11</v>
      </c>
      <c r="B455" s="1" t="s">
        <v>773</v>
      </c>
      <c r="C455" s="1" t="s">
        <v>26</v>
      </c>
      <c r="D455" s="1" t="s">
        <v>780</v>
      </c>
      <c r="E455" s="1" t="s">
        <v>237</v>
      </c>
      <c r="F455" s="1" t="s">
        <v>173</v>
      </c>
      <c r="G455" s="1">
        <v>1379828357</v>
      </c>
      <c r="H455" s="1">
        <v>2962268</v>
      </c>
      <c r="I455" s="1">
        <v>71231376</v>
      </c>
      <c r="J455" s="1" t="s">
        <v>173</v>
      </c>
      <c r="K455" s="1">
        <v>1448097465</v>
      </c>
    </row>
    <row r="456" spans="1:11" x14ac:dyDescent="0.25">
      <c r="A456" s="1" t="s">
        <v>11</v>
      </c>
      <c r="B456" s="1" t="s">
        <v>773</v>
      </c>
      <c r="C456" s="1" t="s">
        <v>23</v>
      </c>
      <c r="D456" s="1" t="s">
        <v>781</v>
      </c>
      <c r="E456" s="1" t="s">
        <v>782</v>
      </c>
      <c r="F456" s="1" t="s">
        <v>173</v>
      </c>
      <c r="G456" s="1">
        <v>715074099</v>
      </c>
      <c r="H456" s="1">
        <v>2650878</v>
      </c>
      <c r="I456" s="1">
        <v>49880257</v>
      </c>
      <c r="J456" s="1" t="s">
        <v>173</v>
      </c>
      <c r="K456" s="1">
        <v>762303478</v>
      </c>
    </row>
    <row r="457" spans="1:11" x14ac:dyDescent="0.25">
      <c r="A457" s="1" t="s">
        <v>11</v>
      </c>
      <c r="B457" s="1" t="s">
        <v>773</v>
      </c>
      <c r="C457" s="1" t="s">
        <v>26</v>
      </c>
      <c r="D457" s="1" t="s">
        <v>783</v>
      </c>
      <c r="E457" s="1" t="s">
        <v>784</v>
      </c>
      <c r="F457" s="1" t="s">
        <v>173</v>
      </c>
      <c r="G457" s="1">
        <v>715074099</v>
      </c>
      <c r="H457" s="1">
        <v>2650878</v>
      </c>
      <c r="I457" s="1">
        <v>49880257</v>
      </c>
      <c r="J457" s="1" t="s">
        <v>173</v>
      </c>
      <c r="K457" s="1">
        <v>762303478</v>
      </c>
    </row>
    <row r="458" spans="1:11" x14ac:dyDescent="0.25">
      <c r="A458" s="1" t="s">
        <v>11</v>
      </c>
      <c r="B458" s="1" t="s">
        <v>773</v>
      </c>
      <c r="C458" s="1" t="s">
        <v>23</v>
      </c>
      <c r="D458" s="1" t="s">
        <v>785</v>
      </c>
      <c r="E458" s="1" t="s">
        <v>554</v>
      </c>
      <c r="F458" s="1" t="s">
        <v>173</v>
      </c>
      <c r="G458" s="1">
        <v>400692702</v>
      </c>
      <c r="H458" s="1">
        <v>2290420</v>
      </c>
      <c r="I458" s="1">
        <v>26166195</v>
      </c>
      <c r="J458" s="1" t="s">
        <v>173</v>
      </c>
      <c r="K458" s="1">
        <v>424568477</v>
      </c>
    </row>
    <row r="459" spans="1:11" x14ac:dyDescent="0.25">
      <c r="A459" s="1" t="s">
        <v>11</v>
      </c>
      <c r="B459" s="1" t="s">
        <v>773</v>
      </c>
      <c r="C459" s="1" t="s">
        <v>26</v>
      </c>
      <c r="D459" s="1" t="s">
        <v>786</v>
      </c>
      <c r="E459" s="1" t="s">
        <v>787</v>
      </c>
      <c r="F459" s="1" t="s">
        <v>173</v>
      </c>
      <c r="G459" s="1">
        <v>15175667</v>
      </c>
      <c r="H459" s="1">
        <v>363124</v>
      </c>
      <c r="I459" s="1">
        <v>809691</v>
      </c>
      <c r="J459" s="1" t="s">
        <v>173</v>
      </c>
      <c r="K459" s="1">
        <v>15622234</v>
      </c>
    </row>
    <row r="460" spans="1:11" x14ac:dyDescent="0.25">
      <c r="A460" s="1" t="s">
        <v>11</v>
      </c>
      <c r="B460" s="1" t="s">
        <v>773</v>
      </c>
      <c r="C460" s="1" t="s">
        <v>26</v>
      </c>
      <c r="D460" s="1" t="s">
        <v>788</v>
      </c>
      <c r="E460" s="1" t="s">
        <v>789</v>
      </c>
      <c r="F460" s="1" t="s">
        <v>173</v>
      </c>
      <c r="G460" s="1">
        <v>7164170</v>
      </c>
      <c r="H460" s="1">
        <v>372300</v>
      </c>
      <c r="I460" s="1">
        <v>254600</v>
      </c>
      <c r="J460" s="1" t="s">
        <v>173</v>
      </c>
      <c r="K460" s="1">
        <v>7046470</v>
      </c>
    </row>
    <row r="461" spans="1:11" x14ac:dyDescent="0.25">
      <c r="A461" s="1" t="s">
        <v>11</v>
      </c>
      <c r="B461" s="1" t="s">
        <v>773</v>
      </c>
      <c r="C461" s="1" t="s">
        <v>26</v>
      </c>
      <c r="D461" s="1" t="s">
        <v>790</v>
      </c>
      <c r="E461" s="1" t="s">
        <v>791</v>
      </c>
      <c r="F461" s="1" t="s">
        <v>173</v>
      </c>
      <c r="G461" s="1">
        <v>375933392</v>
      </c>
      <c r="H461" s="1">
        <v>1350996</v>
      </c>
      <c r="I461" s="1">
        <v>24187410</v>
      </c>
      <c r="J461" s="1" t="s">
        <v>173</v>
      </c>
      <c r="K461" s="1">
        <v>398769806</v>
      </c>
    </row>
    <row r="462" spans="1:11" x14ac:dyDescent="0.25">
      <c r="A462" s="1" t="s">
        <v>11</v>
      </c>
      <c r="B462" s="1" t="s">
        <v>773</v>
      </c>
      <c r="C462" s="1" t="s">
        <v>26</v>
      </c>
      <c r="D462" s="1" t="s">
        <v>792</v>
      </c>
      <c r="E462" s="1" t="s">
        <v>793</v>
      </c>
      <c r="F462" s="1" t="s">
        <v>173</v>
      </c>
      <c r="G462" s="1">
        <v>2419473</v>
      </c>
      <c r="H462" s="1">
        <v>204000</v>
      </c>
      <c r="I462" s="1">
        <v>914494</v>
      </c>
      <c r="J462" s="1" t="s">
        <v>173</v>
      </c>
      <c r="K462" s="1">
        <v>3129967</v>
      </c>
    </row>
    <row r="463" spans="1:11" x14ac:dyDescent="0.25">
      <c r="A463" s="1" t="s">
        <v>11</v>
      </c>
      <c r="B463" s="1" t="s">
        <v>773</v>
      </c>
      <c r="C463" s="1" t="s">
        <v>23</v>
      </c>
      <c r="D463" s="1" t="s">
        <v>794</v>
      </c>
      <c r="E463" s="1" t="s">
        <v>795</v>
      </c>
      <c r="F463" s="1" t="s">
        <v>173</v>
      </c>
      <c r="G463" s="1">
        <v>897767181</v>
      </c>
      <c r="H463" s="1">
        <v>2187282</v>
      </c>
      <c r="I463" s="1">
        <v>62943851</v>
      </c>
      <c r="J463" s="1" t="s">
        <v>173</v>
      </c>
      <c r="K463" s="1">
        <v>958523750</v>
      </c>
    </row>
    <row r="464" spans="1:11" x14ac:dyDescent="0.25">
      <c r="A464" s="1" t="s">
        <v>11</v>
      </c>
      <c r="B464" s="1" t="s">
        <v>773</v>
      </c>
      <c r="C464" s="1" t="s">
        <v>26</v>
      </c>
      <c r="D464" s="1" t="s">
        <v>796</v>
      </c>
      <c r="E464" s="1" t="s">
        <v>797</v>
      </c>
      <c r="F464" s="1" t="s">
        <v>173</v>
      </c>
      <c r="G464" s="1">
        <v>828139354</v>
      </c>
      <c r="H464" s="1">
        <v>848103</v>
      </c>
      <c r="I464" s="1">
        <v>56861219</v>
      </c>
      <c r="J464" s="1" t="s">
        <v>173</v>
      </c>
      <c r="K464" s="1">
        <v>884152470</v>
      </c>
    </row>
    <row r="465" spans="1:11" x14ac:dyDescent="0.25">
      <c r="A465" s="1" t="s">
        <v>11</v>
      </c>
      <c r="B465" s="1" t="s">
        <v>773</v>
      </c>
      <c r="C465" s="1" t="s">
        <v>26</v>
      </c>
      <c r="D465" s="1" t="s">
        <v>798</v>
      </c>
      <c r="E465" s="1" t="s">
        <v>799</v>
      </c>
      <c r="F465" s="1" t="s">
        <v>173</v>
      </c>
      <c r="G465" s="1">
        <v>33312082</v>
      </c>
      <c r="H465" s="1">
        <v>179979</v>
      </c>
      <c r="I465" s="1">
        <v>3916734</v>
      </c>
      <c r="J465" s="1" t="s">
        <v>173</v>
      </c>
      <c r="K465" s="1">
        <v>37048837</v>
      </c>
    </row>
    <row r="466" spans="1:11" x14ac:dyDescent="0.25">
      <c r="A466" s="1" t="s">
        <v>11</v>
      </c>
      <c r="B466" s="1" t="s">
        <v>773</v>
      </c>
      <c r="C466" s="1" t="s">
        <v>26</v>
      </c>
      <c r="D466" s="1" t="s">
        <v>800</v>
      </c>
      <c r="E466" s="1" t="s">
        <v>801</v>
      </c>
      <c r="F466" s="1" t="s">
        <v>173</v>
      </c>
      <c r="G466" s="1">
        <v>6118462</v>
      </c>
      <c r="H466" s="1">
        <v>0</v>
      </c>
      <c r="I466" s="1">
        <v>159000</v>
      </c>
      <c r="J466" s="1" t="s">
        <v>173</v>
      </c>
      <c r="K466" s="1">
        <v>6277462</v>
      </c>
    </row>
    <row r="467" spans="1:11" x14ac:dyDescent="0.25">
      <c r="A467" s="1" t="s">
        <v>11</v>
      </c>
      <c r="B467" s="1" t="s">
        <v>773</v>
      </c>
      <c r="C467" s="1" t="s">
        <v>26</v>
      </c>
      <c r="D467" s="1" t="s">
        <v>802</v>
      </c>
      <c r="E467" s="1" t="s">
        <v>803</v>
      </c>
      <c r="F467" s="1" t="s">
        <v>173</v>
      </c>
      <c r="G467" s="1">
        <v>30197283</v>
      </c>
      <c r="H467" s="1">
        <v>1159200</v>
      </c>
      <c r="I467" s="1">
        <v>2006898</v>
      </c>
      <c r="J467" s="1" t="s">
        <v>173</v>
      </c>
      <c r="K467" s="1">
        <v>31044981</v>
      </c>
    </row>
    <row r="468" spans="1:11" x14ac:dyDescent="0.25">
      <c r="A468" s="1" t="s">
        <v>11</v>
      </c>
      <c r="B468" s="1" t="s">
        <v>773</v>
      </c>
      <c r="C468" s="1" t="s">
        <v>23</v>
      </c>
      <c r="D468" s="1" t="s">
        <v>804</v>
      </c>
      <c r="E468" s="1" t="s">
        <v>805</v>
      </c>
      <c r="F468" s="1" t="s">
        <v>173</v>
      </c>
      <c r="G468" s="1">
        <v>405538814</v>
      </c>
      <c r="H468" s="1">
        <v>738598</v>
      </c>
      <c r="I468" s="1">
        <v>15414927</v>
      </c>
      <c r="J468" s="1" t="s">
        <v>173</v>
      </c>
      <c r="K468" s="1">
        <v>420215143</v>
      </c>
    </row>
    <row r="469" spans="1:11" x14ac:dyDescent="0.25">
      <c r="A469" s="1" t="s">
        <v>11</v>
      </c>
      <c r="B469" s="1" t="s">
        <v>773</v>
      </c>
      <c r="C469" s="1" t="s">
        <v>26</v>
      </c>
      <c r="D469" s="1" t="s">
        <v>806</v>
      </c>
      <c r="E469" s="1" t="s">
        <v>807</v>
      </c>
      <c r="F469" s="1" t="s">
        <v>173</v>
      </c>
      <c r="G469" s="1">
        <v>405538814</v>
      </c>
      <c r="H469" s="1">
        <v>738598</v>
      </c>
      <c r="I469" s="1">
        <v>15414927</v>
      </c>
      <c r="J469" s="1" t="s">
        <v>173</v>
      </c>
      <c r="K469" s="1">
        <v>420215143</v>
      </c>
    </row>
    <row r="470" spans="1:11" x14ac:dyDescent="0.25">
      <c r="A470" s="1" t="s">
        <v>11</v>
      </c>
      <c r="B470" s="1" t="s">
        <v>773</v>
      </c>
      <c r="C470" s="1" t="s">
        <v>23</v>
      </c>
      <c r="D470" s="1" t="s">
        <v>808</v>
      </c>
      <c r="E470" s="1" t="s">
        <v>809</v>
      </c>
      <c r="F470" s="1" t="s">
        <v>173</v>
      </c>
      <c r="G470" s="1">
        <v>657114920</v>
      </c>
      <c r="H470" s="1">
        <v>1423938</v>
      </c>
      <c r="I470" s="1">
        <v>71079021</v>
      </c>
      <c r="J470" s="1" t="s">
        <v>173</v>
      </c>
      <c r="K470" s="1">
        <v>726770003</v>
      </c>
    </row>
    <row r="471" spans="1:11" x14ac:dyDescent="0.25">
      <c r="A471" s="1" t="s">
        <v>11</v>
      </c>
      <c r="B471" s="1" t="s">
        <v>773</v>
      </c>
      <c r="C471" s="1" t="s">
        <v>26</v>
      </c>
      <c r="D471" s="1" t="s">
        <v>810</v>
      </c>
      <c r="E471" s="1" t="s">
        <v>811</v>
      </c>
      <c r="F471" s="1" t="s">
        <v>173</v>
      </c>
      <c r="G471" s="1">
        <v>540272291</v>
      </c>
      <c r="H471" s="1">
        <v>1268208</v>
      </c>
      <c r="I471" s="1">
        <v>63542382</v>
      </c>
      <c r="J471" s="1" t="s">
        <v>173</v>
      </c>
      <c r="K471" s="1">
        <v>602546465</v>
      </c>
    </row>
    <row r="472" spans="1:11" x14ac:dyDescent="0.25">
      <c r="A472" s="1" t="s">
        <v>11</v>
      </c>
      <c r="B472" s="1" t="s">
        <v>773</v>
      </c>
      <c r="C472" s="1" t="s">
        <v>26</v>
      </c>
      <c r="D472" s="1" t="s">
        <v>812</v>
      </c>
      <c r="E472" s="1" t="s">
        <v>813</v>
      </c>
      <c r="F472" s="1" t="s">
        <v>173</v>
      </c>
      <c r="G472" s="1">
        <v>81528348</v>
      </c>
      <c r="H472" s="1">
        <v>0</v>
      </c>
      <c r="I472" s="1">
        <v>2382017</v>
      </c>
      <c r="J472" s="1" t="s">
        <v>173</v>
      </c>
      <c r="K472" s="1">
        <v>83910365</v>
      </c>
    </row>
    <row r="473" spans="1:11" x14ac:dyDescent="0.25">
      <c r="A473" s="1" t="s">
        <v>11</v>
      </c>
      <c r="B473" s="1" t="s">
        <v>773</v>
      </c>
      <c r="C473" s="1" t="s">
        <v>26</v>
      </c>
      <c r="D473" s="1" t="s">
        <v>814</v>
      </c>
      <c r="E473" s="1" t="s">
        <v>815</v>
      </c>
      <c r="F473" s="1" t="s">
        <v>173</v>
      </c>
      <c r="G473" s="1">
        <v>2881359</v>
      </c>
      <c r="H473" s="1">
        <v>0</v>
      </c>
      <c r="I473" s="1">
        <v>0</v>
      </c>
      <c r="J473" s="1" t="s">
        <v>173</v>
      </c>
      <c r="K473" s="1">
        <v>2881359</v>
      </c>
    </row>
    <row r="474" spans="1:11" x14ac:dyDescent="0.25">
      <c r="A474" s="1" t="s">
        <v>11</v>
      </c>
      <c r="B474" s="1" t="s">
        <v>773</v>
      </c>
      <c r="C474" s="1" t="s">
        <v>26</v>
      </c>
      <c r="D474" s="1" t="s">
        <v>816</v>
      </c>
      <c r="E474" s="1" t="s">
        <v>817</v>
      </c>
      <c r="F474" s="1" t="s">
        <v>173</v>
      </c>
      <c r="G474" s="1">
        <v>32432922</v>
      </c>
      <c r="H474" s="1">
        <v>155730</v>
      </c>
      <c r="I474" s="1">
        <v>5154622</v>
      </c>
      <c r="J474" s="1" t="s">
        <v>173</v>
      </c>
      <c r="K474" s="1">
        <v>37431814</v>
      </c>
    </row>
    <row r="475" spans="1:11" x14ac:dyDescent="0.25">
      <c r="A475" s="1" t="s">
        <v>11</v>
      </c>
      <c r="B475" s="1" t="s">
        <v>773</v>
      </c>
      <c r="C475" s="1" t="s">
        <v>23</v>
      </c>
      <c r="D475" s="1" t="s">
        <v>818</v>
      </c>
      <c r="E475" s="1" t="s">
        <v>819</v>
      </c>
      <c r="F475" s="1" t="s">
        <v>173</v>
      </c>
      <c r="G475" s="1">
        <v>304585169</v>
      </c>
      <c r="H475" s="1">
        <v>1822012</v>
      </c>
      <c r="I475" s="1">
        <v>20159638</v>
      </c>
      <c r="J475" s="1" t="s">
        <v>173</v>
      </c>
      <c r="K475" s="1">
        <v>322922795</v>
      </c>
    </row>
    <row r="476" spans="1:11" x14ac:dyDescent="0.25">
      <c r="A476" s="1" t="s">
        <v>11</v>
      </c>
      <c r="B476" s="1" t="s">
        <v>773</v>
      </c>
      <c r="C476" s="1" t="s">
        <v>26</v>
      </c>
      <c r="D476" s="1" t="s">
        <v>820</v>
      </c>
      <c r="E476" s="1" t="s">
        <v>821</v>
      </c>
      <c r="F476" s="1" t="s">
        <v>173</v>
      </c>
      <c r="G476" s="1">
        <v>214541940</v>
      </c>
      <c r="H476" s="1">
        <v>1822012</v>
      </c>
      <c r="I476" s="1">
        <v>18901318</v>
      </c>
      <c r="J476" s="1" t="s">
        <v>173</v>
      </c>
      <c r="K476" s="1">
        <v>231621246</v>
      </c>
    </row>
    <row r="477" spans="1:11" x14ac:dyDescent="0.25">
      <c r="A477" s="1" t="s">
        <v>11</v>
      </c>
      <c r="B477" s="1" t="s">
        <v>773</v>
      </c>
      <c r="C477" s="1" t="s">
        <v>26</v>
      </c>
      <c r="D477" s="1" t="s">
        <v>822</v>
      </c>
      <c r="E477" s="1" t="s">
        <v>823</v>
      </c>
      <c r="F477" s="1" t="s">
        <v>173</v>
      </c>
      <c r="G477" s="1">
        <v>90043229</v>
      </c>
      <c r="H477" s="1">
        <v>0</v>
      </c>
      <c r="I477" s="1">
        <v>1258320</v>
      </c>
      <c r="J477" s="1" t="s">
        <v>173</v>
      </c>
      <c r="K477" s="1">
        <v>91301549</v>
      </c>
    </row>
    <row r="478" spans="1:11" x14ac:dyDescent="0.25">
      <c r="A478" s="1" t="s">
        <v>11</v>
      </c>
      <c r="B478" s="1" t="s">
        <v>773</v>
      </c>
      <c r="C478" s="1" t="s">
        <v>23</v>
      </c>
      <c r="D478" s="1" t="s">
        <v>824</v>
      </c>
      <c r="E478" s="1" t="s">
        <v>825</v>
      </c>
      <c r="F478" s="1" t="s">
        <v>173</v>
      </c>
      <c r="G478" s="1">
        <v>32549431</v>
      </c>
      <c r="H478" s="1">
        <v>88050</v>
      </c>
      <c r="I478" s="1">
        <v>1789107</v>
      </c>
      <c r="J478" s="1" t="s">
        <v>173</v>
      </c>
      <c r="K478" s="1">
        <v>34250488</v>
      </c>
    </row>
    <row r="479" spans="1:11" x14ac:dyDescent="0.25">
      <c r="A479" s="1" t="s">
        <v>11</v>
      </c>
      <c r="B479" s="1" t="s">
        <v>773</v>
      </c>
      <c r="C479" s="1" t="s">
        <v>26</v>
      </c>
      <c r="D479" s="1" t="s">
        <v>826</v>
      </c>
      <c r="E479" s="1" t="s">
        <v>827</v>
      </c>
      <c r="F479" s="1" t="s">
        <v>173</v>
      </c>
      <c r="G479" s="1">
        <v>1278835</v>
      </c>
      <c r="H479" s="1">
        <v>0</v>
      </c>
      <c r="I479" s="1">
        <v>31800</v>
      </c>
      <c r="J479" s="1" t="s">
        <v>173</v>
      </c>
      <c r="K479" s="1">
        <v>1310635</v>
      </c>
    </row>
    <row r="480" spans="1:11" x14ac:dyDescent="0.25">
      <c r="A480" s="1" t="s">
        <v>11</v>
      </c>
      <c r="B480" s="1" t="s">
        <v>773</v>
      </c>
      <c r="C480" s="1" t="s">
        <v>26</v>
      </c>
      <c r="D480" s="1" t="s">
        <v>828</v>
      </c>
      <c r="E480" s="1" t="s">
        <v>829</v>
      </c>
      <c r="F480" s="1" t="s">
        <v>173</v>
      </c>
      <c r="G480" s="1">
        <v>620381</v>
      </c>
      <c r="H480" s="1">
        <v>0</v>
      </c>
      <c r="I480" s="1">
        <v>10817</v>
      </c>
      <c r="J480" s="1" t="s">
        <v>173</v>
      </c>
      <c r="K480" s="1">
        <v>631198</v>
      </c>
    </row>
    <row r="481" spans="1:11" x14ac:dyDescent="0.25">
      <c r="A481" s="1" t="s">
        <v>11</v>
      </c>
      <c r="B481" s="1" t="s">
        <v>773</v>
      </c>
      <c r="C481" s="1" t="s">
        <v>26</v>
      </c>
      <c r="D481" s="1" t="s">
        <v>830</v>
      </c>
      <c r="E481" s="1" t="s">
        <v>831</v>
      </c>
      <c r="F481" s="1" t="s">
        <v>173</v>
      </c>
      <c r="G481" s="1">
        <v>334443</v>
      </c>
      <c r="H481" s="1">
        <v>0</v>
      </c>
      <c r="I481" s="1">
        <v>9868</v>
      </c>
      <c r="J481" s="1" t="s">
        <v>173</v>
      </c>
      <c r="K481" s="1">
        <v>344311</v>
      </c>
    </row>
    <row r="482" spans="1:11" x14ac:dyDescent="0.25">
      <c r="A482" s="1" t="s">
        <v>11</v>
      </c>
      <c r="B482" s="1" t="s">
        <v>773</v>
      </c>
      <c r="C482" s="1" t="s">
        <v>26</v>
      </c>
      <c r="D482" s="1" t="s">
        <v>832</v>
      </c>
      <c r="E482" s="1" t="s">
        <v>833</v>
      </c>
      <c r="F482" s="1" t="s">
        <v>173</v>
      </c>
      <c r="G482" s="1">
        <v>30315772</v>
      </c>
      <c r="H482" s="1">
        <v>88050</v>
      </c>
      <c r="I482" s="1">
        <v>1736622</v>
      </c>
      <c r="J482" s="1" t="s">
        <v>173</v>
      </c>
      <c r="K482" s="1">
        <v>31964344</v>
      </c>
    </row>
    <row r="483" spans="1:11" x14ac:dyDescent="0.25">
      <c r="A483" s="1" t="s">
        <v>11</v>
      </c>
      <c r="B483" s="1" t="s">
        <v>773</v>
      </c>
      <c r="C483" s="1" t="s">
        <v>23</v>
      </c>
      <c r="D483" s="1" t="s">
        <v>834</v>
      </c>
      <c r="E483" s="1" t="s">
        <v>131</v>
      </c>
      <c r="F483" s="1" t="s">
        <v>14</v>
      </c>
      <c r="G483" s="1">
        <v>-359018026</v>
      </c>
      <c r="H483" s="1">
        <v>72172615</v>
      </c>
      <c r="I483" s="1">
        <v>0</v>
      </c>
      <c r="J483" s="1" t="s">
        <v>14</v>
      </c>
      <c r="K483" s="1">
        <v>-431190641</v>
      </c>
    </row>
    <row r="484" spans="1:11" x14ac:dyDescent="0.25">
      <c r="A484" s="1" t="s">
        <v>11</v>
      </c>
      <c r="B484" s="1" t="s">
        <v>773</v>
      </c>
      <c r="C484" s="1" t="s">
        <v>26</v>
      </c>
      <c r="D484" s="1" t="s">
        <v>835</v>
      </c>
      <c r="E484" s="1" t="s">
        <v>836</v>
      </c>
      <c r="F484" s="1" t="s">
        <v>14</v>
      </c>
      <c r="G484" s="1">
        <v>-100361054</v>
      </c>
      <c r="H484" s="1">
        <v>29481030</v>
      </c>
      <c r="I484" s="1">
        <v>0</v>
      </c>
      <c r="J484" s="1" t="s">
        <v>14</v>
      </c>
      <c r="K484" s="1">
        <v>-129842084</v>
      </c>
    </row>
    <row r="485" spans="1:11" x14ac:dyDescent="0.25">
      <c r="A485" s="1" t="s">
        <v>11</v>
      </c>
      <c r="B485" s="1" t="s">
        <v>773</v>
      </c>
      <c r="C485" s="1" t="s">
        <v>26</v>
      </c>
      <c r="D485" s="1" t="s">
        <v>837</v>
      </c>
      <c r="E485" s="1" t="s">
        <v>838</v>
      </c>
      <c r="F485" s="1" t="s">
        <v>14</v>
      </c>
      <c r="G485" s="1">
        <v>-258656972</v>
      </c>
      <c r="H485" s="1">
        <v>42691585</v>
      </c>
      <c r="I485" s="1">
        <v>0</v>
      </c>
      <c r="J485" s="1" t="s">
        <v>14</v>
      </c>
      <c r="K485" s="1">
        <v>-301348557</v>
      </c>
    </row>
    <row r="486" spans="1:11" x14ac:dyDescent="0.25">
      <c r="A486" s="1" t="s">
        <v>11</v>
      </c>
      <c r="B486" s="1" t="s">
        <v>773</v>
      </c>
      <c r="C486" s="1" t="s">
        <v>18</v>
      </c>
      <c r="D486" s="1" t="s">
        <v>839</v>
      </c>
      <c r="E486" s="1" t="s">
        <v>840</v>
      </c>
      <c r="F486" s="1" t="s">
        <v>173</v>
      </c>
      <c r="G486" s="1">
        <v>739237152</v>
      </c>
      <c r="H486" s="1">
        <v>10459656</v>
      </c>
      <c r="I486" s="1">
        <v>43021856</v>
      </c>
      <c r="J486" s="1" t="s">
        <v>173</v>
      </c>
      <c r="K486" s="1">
        <v>771799352</v>
      </c>
    </row>
    <row r="487" spans="1:11" x14ac:dyDescent="0.25">
      <c r="A487" s="1" t="s">
        <v>11</v>
      </c>
      <c r="B487" s="1" t="s">
        <v>773</v>
      </c>
      <c r="C487" s="1" t="s">
        <v>21</v>
      </c>
      <c r="D487" s="1" t="s">
        <v>841</v>
      </c>
      <c r="E487" s="1" t="s">
        <v>840</v>
      </c>
      <c r="F487" s="1" t="s">
        <v>173</v>
      </c>
      <c r="G487" s="1">
        <v>739237152</v>
      </c>
      <c r="H487" s="1">
        <v>10459656</v>
      </c>
      <c r="I487" s="1">
        <v>43021856</v>
      </c>
      <c r="J487" s="1" t="s">
        <v>173</v>
      </c>
      <c r="K487" s="1">
        <v>771799352</v>
      </c>
    </row>
    <row r="488" spans="1:11" x14ac:dyDescent="0.25">
      <c r="A488" s="1" t="s">
        <v>11</v>
      </c>
      <c r="B488" s="1" t="s">
        <v>773</v>
      </c>
      <c r="C488" s="1" t="s">
        <v>23</v>
      </c>
      <c r="D488" s="1" t="s">
        <v>842</v>
      </c>
      <c r="E488" s="1" t="s">
        <v>237</v>
      </c>
      <c r="F488" s="1" t="s">
        <v>173</v>
      </c>
      <c r="G488" s="1">
        <v>19086035</v>
      </c>
      <c r="H488" s="1">
        <v>40385</v>
      </c>
      <c r="I488" s="1">
        <v>1446263</v>
      </c>
      <c r="J488" s="1" t="s">
        <v>173</v>
      </c>
      <c r="K488" s="1">
        <v>20491913</v>
      </c>
    </row>
    <row r="489" spans="1:11" x14ac:dyDescent="0.25">
      <c r="A489" s="1" t="s">
        <v>11</v>
      </c>
      <c r="B489" s="1" t="s">
        <v>773</v>
      </c>
      <c r="C489" s="1" t="s">
        <v>26</v>
      </c>
      <c r="D489" s="1" t="s">
        <v>843</v>
      </c>
      <c r="E489" s="1" t="s">
        <v>237</v>
      </c>
      <c r="F489" s="1" t="s">
        <v>173</v>
      </c>
      <c r="G489" s="1">
        <v>19086035</v>
      </c>
      <c r="H489" s="1">
        <v>40385</v>
      </c>
      <c r="I489" s="1">
        <v>1446263</v>
      </c>
      <c r="J489" s="1" t="s">
        <v>173</v>
      </c>
      <c r="K489" s="1">
        <v>20491913</v>
      </c>
    </row>
    <row r="490" spans="1:11" x14ac:dyDescent="0.25">
      <c r="A490" s="1" t="s">
        <v>11</v>
      </c>
      <c r="B490" s="1" t="s">
        <v>773</v>
      </c>
      <c r="C490" s="1" t="s">
        <v>23</v>
      </c>
      <c r="D490" s="1" t="s">
        <v>844</v>
      </c>
      <c r="E490" s="1" t="s">
        <v>782</v>
      </c>
      <c r="F490" s="1" t="s">
        <v>173</v>
      </c>
      <c r="G490" s="1">
        <v>30047324</v>
      </c>
      <c r="H490" s="1">
        <v>0</v>
      </c>
      <c r="I490" s="1">
        <v>1564148</v>
      </c>
      <c r="J490" s="1" t="s">
        <v>173</v>
      </c>
      <c r="K490" s="1">
        <v>31611472</v>
      </c>
    </row>
    <row r="491" spans="1:11" x14ac:dyDescent="0.25">
      <c r="A491" s="1" t="s">
        <v>11</v>
      </c>
      <c r="B491" s="1" t="s">
        <v>773</v>
      </c>
      <c r="C491" s="1" t="s">
        <v>26</v>
      </c>
      <c r="D491" s="1" t="s">
        <v>845</v>
      </c>
      <c r="E491" s="1" t="s">
        <v>784</v>
      </c>
      <c r="F491" s="1" t="s">
        <v>173</v>
      </c>
      <c r="G491" s="1">
        <v>30047324</v>
      </c>
      <c r="H491" s="1">
        <v>0</v>
      </c>
      <c r="I491" s="1">
        <v>1564148</v>
      </c>
      <c r="J491" s="1" t="s">
        <v>173</v>
      </c>
      <c r="K491" s="1">
        <v>31611472</v>
      </c>
    </row>
    <row r="492" spans="1:11" x14ac:dyDescent="0.25">
      <c r="A492" s="1" t="s">
        <v>11</v>
      </c>
      <c r="B492" s="1" t="s">
        <v>773</v>
      </c>
      <c r="C492" s="1" t="s">
        <v>23</v>
      </c>
      <c r="D492" s="1" t="s">
        <v>846</v>
      </c>
      <c r="E492" s="1" t="s">
        <v>554</v>
      </c>
      <c r="F492" s="1" t="s">
        <v>173</v>
      </c>
      <c r="G492" s="1">
        <v>640738924</v>
      </c>
      <c r="H492" s="1">
        <v>246993</v>
      </c>
      <c r="I492" s="1">
        <v>29188761</v>
      </c>
      <c r="J492" s="1" t="s">
        <v>173</v>
      </c>
      <c r="K492" s="1">
        <v>669680692</v>
      </c>
    </row>
    <row r="493" spans="1:11" x14ac:dyDescent="0.25">
      <c r="A493" s="1" t="s">
        <v>11</v>
      </c>
      <c r="B493" s="1" t="s">
        <v>773</v>
      </c>
      <c r="C493" s="1" t="s">
        <v>26</v>
      </c>
      <c r="D493" s="1" t="s">
        <v>847</v>
      </c>
      <c r="E493" s="1" t="s">
        <v>787</v>
      </c>
      <c r="F493" s="1" t="s">
        <v>173</v>
      </c>
      <c r="G493" s="1">
        <v>1165734</v>
      </c>
      <c r="H493" s="1">
        <v>0</v>
      </c>
      <c r="I493" s="1">
        <v>0</v>
      </c>
      <c r="J493" s="1" t="s">
        <v>173</v>
      </c>
      <c r="K493" s="1">
        <v>1165734</v>
      </c>
    </row>
    <row r="494" spans="1:11" x14ac:dyDescent="0.25">
      <c r="A494" s="1" t="s">
        <v>11</v>
      </c>
      <c r="B494" s="1" t="s">
        <v>773</v>
      </c>
      <c r="C494" s="1" t="s">
        <v>26</v>
      </c>
      <c r="D494" s="1" t="s">
        <v>848</v>
      </c>
      <c r="E494" s="1" t="s">
        <v>789</v>
      </c>
      <c r="F494" s="1" t="s">
        <v>173</v>
      </c>
      <c r="G494" s="1">
        <v>9054893</v>
      </c>
      <c r="H494" s="1">
        <v>0</v>
      </c>
      <c r="I494" s="1">
        <v>0</v>
      </c>
      <c r="J494" s="1" t="s">
        <v>173</v>
      </c>
      <c r="K494" s="1">
        <v>9054893</v>
      </c>
    </row>
    <row r="495" spans="1:11" x14ac:dyDescent="0.25">
      <c r="A495" s="1" t="s">
        <v>11</v>
      </c>
      <c r="B495" s="1" t="s">
        <v>773</v>
      </c>
      <c r="C495" s="1" t="s">
        <v>26</v>
      </c>
      <c r="D495" s="1" t="s">
        <v>849</v>
      </c>
      <c r="E495" s="1" t="s">
        <v>791</v>
      </c>
      <c r="F495" s="1" t="s">
        <v>173</v>
      </c>
      <c r="G495" s="1">
        <v>630294536</v>
      </c>
      <c r="H495" s="1">
        <v>246993</v>
      </c>
      <c r="I495" s="1">
        <v>29188761</v>
      </c>
      <c r="J495" s="1" t="s">
        <v>173</v>
      </c>
      <c r="K495" s="1">
        <v>659236304</v>
      </c>
    </row>
    <row r="496" spans="1:11" x14ac:dyDescent="0.25">
      <c r="A496" s="1" t="s">
        <v>11</v>
      </c>
      <c r="B496" s="1" t="s">
        <v>773</v>
      </c>
      <c r="C496" s="1" t="s">
        <v>26</v>
      </c>
      <c r="D496" s="1" t="s">
        <v>850</v>
      </c>
      <c r="E496" s="1" t="s">
        <v>793</v>
      </c>
      <c r="F496" s="1" t="s">
        <v>173</v>
      </c>
      <c r="G496" s="1">
        <v>223761</v>
      </c>
      <c r="H496" s="1">
        <v>0</v>
      </c>
      <c r="I496" s="1">
        <v>0</v>
      </c>
      <c r="J496" s="1" t="s">
        <v>173</v>
      </c>
      <c r="K496" s="1">
        <v>223761</v>
      </c>
    </row>
    <row r="497" spans="1:11" x14ac:dyDescent="0.25">
      <c r="A497" s="1" t="s">
        <v>11</v>
      </c>
      <c r="B497" s="1" t="s">
        <v>773</v>
      </c>
      <c r="C497" s="1" t="s">
        <v>23</v>
      </c>
      <c r="D497" s="1" t="s">
        <v>851</v>
      </c>
      <c r="E497" s="1" t="s">
        <v>805</v>
      </c>
      <c r="F497" s="1" t="s">
        <v>173</v>
      </c>
      <c r="G497" s="1">
        <v>1747879</v>
      </c>
      <c r="H497" s="1">
        <v>0</v>
      </c>
      <c r="I497" s="1">
        <v>0</v>
      </c>
      <c r="J497" s="1" t="s">
        <v>173</v>
      </c>
      <c r="K497" s="1">
        <v>1747879</v>
      </c>
    </row>
    <row r="498" spans="1:11" x14ac:dyDescent="0.25">
      <c r="A498" s="1" t="s">
        <v>11</v>
      </c>
      <c r="B498" s="1" t="s">
        <v>773</v>
      </c>
      <c r="C498" s="1" t="s">
        <v>26</v>
      </c>
      <c r="D498" s="1" t="s">
        <v>852</v>
      </c>
      <c r="E498" s="1" t="s">
        <v>807</v>
      </c>
      <c r="F498" s="1" t="s">
        <v>173</v>
      </c>
      <c r="G498" s="1">
        <v>1747879</v>
      </c>
      <c r="H498" s="1">
        <v>0</v>
      </c>
      <c r="I498" s="1">
        <v>0</v>
      </c>
      <c r="J498" s="1" t="s">
        <v>173</v>
      </c>
      <c r="K498" s="1">
        <v>1747879</v>
      </c>
    </row>
    <row r="499" spans="1:11" x14ac:dyDescent="0.25">
      <c r="A499" s="1" t="s">
        <v>11</v>
      </c>
      <c r="B499" s="1" t="s">
        <v>773</v>
      </c>
      <c r="C499" s="1" t="s">
        <v>23</v>
      </c>
      <c r="D499" s="1" t="s">
        <v>853</v>
      </c>
      <c r="E499" s="1" t="s">
        <v>809</v>
      </c>
      <c r="F499" s="1" t="s">
        <v>173</v>
      </c>
      <c r="G499" s="1">
        <v>143568078</v>
      </c>
      <c r="H499" s="1">
        <v>214662</v>
      </c>
      <c r="I499" s="1">
        <v>5697144</v>
      </c>
      <c r="J499" s="1" t="s">
        <v>173</v>
      </c>
      <c r="K499" s="1">
        <v>149050560</v>
      </c>
    </row>
    <row r="500" spans="1:11" x14ac:dyDescent="0.25">
      <c r="A500" s="1" t="s">
        <v>11</v>
      </c>
      <c r="B500" s="1" t="s">
        <v>773</v>
      </c>
      <c r="C500" s="1" t="s">
        <v>26</v>
      </c>
      <c r="D500" s="1" t="s">
        <v>854</v>
      </c>
      <c r="E500" s="1" t="s">
        <v>813</v>
      </c>
      <c r="F500" s="1" t="s">
        <v>173</v>
      </c>
      <c r="G500" s="1">
        <v>143568078</v>
      </c>
      <c r="H500" s="1">
        <v>214662</v>
      </c>
      <c r="I500" s="1">
        <v>5697144</v>
      </c>
      <c r="J500" s="1" t="s">
        <v>173</v>
      </c>
      <c r="K500" s="1">
        <v>149050560</v>
      </c>
    </row>
    <row r="501" spans="1:11" x14ac:dyDescent="0.25">
      <c r="A501" s="1" t="s">
        <v>11</v>
      </c>
      <c r="B501" s="1" t="s">
        <v>773</v>
      </c>
      <c r="C501" s="1" t="s">
        <v>23</v>
      </c>
      <c r="D501" s="1" t="s">
        <v>855</v>
      </c>
      <c r="E501" s="1" t="s">
        <v>819</v>
      </c>
      <c r="F501" s="1" t="s">
        <v>173</v>
      </c>
      <c r="G501" s="1">
        <v>2353847</v>
      </c>
      <c r="H501" s="1">
        <v>0</v>
      </c>
      <c r="I501" s="1">
        <v>5125540</v>
      </c>
      <c r="J501" s="1" t="s">
        <v>173</v>
      </c>
      <c r="K501" s="1">
        <v>7479387</v>
      </c>
    </row>
    <row r="502" spans="1:11" x14ac:dyDescent="0.25">
      <c r="A502" s="1" t="s">
        <v>11</v>
      </c>
      <c r="B502" s="1" t="s">
        <v>773</v>
      </c>
      <c r="C502" s="1" t="s">
        <v>26</v>
      </c>
      <c r="D502" s="1" t="s">
        <v>856</v>
      </c>
      <c r="E502" s="1" t="s">
        <v>857</v>
      </c>
      <c r="F502" s="1" t="s">
        <v>173</v>
      </c>
      <c r="G502" s="1">
        <v>2353847</v>
      </c>
      <c r="H502" s="1">
        <v>0</v>
      </c>
      <c r="I502" s="1">
        <v>5125540</v>
      </c>
      <c r="J502" s="1" t="s">
        <v>173</v>
      </c>
      <c r="K502" s="1">
        <v>7479387</v>
      </c>
    </row>
    <row r="503" spans="1:11" x14ac:dyDescent="0.25">
      <c r="A503" s="1" t="s">
        <v>11</v>
      </c>
      <c r="B503" s="1" t="s">
        <v>773</v>
      </c>
      <c r="C503" s="1" t="s">
        <v>23</v>
      </c>
      <c r="D503" s="1" t="s">
        <v>858</v>
      </c>
      <c r="E503" s="1" t="s">
        <v>131</v>
      </c>
      <c r="F503" s="1" t="s">
        <v>14</v>
      </c>
      <c r="G503" s="1">
        <v>-98304935</v>
      </c>
      <c r="H503" s="1">
        <v>9957616</v>
      </c>
      <c r="I503" s="1">
        <v>0</v>
      </c>
      <c r="J503" s="1" t="s">
        <v>14</v>
      </c>
      <c r="K503" s="1">
        <v>-108262551</v>
      </c>
    </row>
    <row r="504" spans="1:11" x14ac:dyDescent="0.25">
      <c r="A504" s="1" t="s">
        <v>11</v>
      </c>
      <c r="B504" s="1" t="s">
        <v>773</v>
      </c>
      <c r="C504" s="1" t="s">
        <v>26</v>
      </c>
      <c r="D504" s="1" t="s">
        <v>859</v>
      </c>
      <c r="E504" s="1" t="s">
        <v>836</v>
      </c>
      <c r="F504" s="1" t="s">
        <v>14</v>
      </c>
      <c r="G504" s="1">
        <v>-14273816</v>
      </c>
      <c r="H504" s="1">
        <v>1475490</v>
      </c>
      <c r="I504" s="1">
        <v>0</v>
      </c>
      <c r="J504" s="1" t="s">
        <v>14</v>
      </c>
      <c r="K504" s="1">
        <v>-15749306</v>
      </c>
    </row>
    <row r="505" spans="1:11" x14ac:dyDescent="0.25">
      <c r="A505" s="1" t="s">
        <v>11</v>
      </c>
      <c r="B505" s="1" t="s">
        <v>773</v>
      </c>
      <c r="C505" s="1" t="s">
        <v>26</v>
      </c>
      <c r="D505" s="1" t="s">
        <v>860</v>
      </c>
      <c r="E505" s="1" t="s">
        <v>838</v>
      </c>
      <c r="F505" s="1" t="s">
        <v>14</v>
      </c>
      <c r="G505" s="1">
        <v>-84031119</v>
      </c>
      <c r="H505" s="1">
        <v>8482126</v>
      </c>
      <c r="I505" s="1">
        <v>0</v>
      </c>
      <c r="J505" s="1" t="s">
        <v>14</v>
      </c>
      <c r="K505" s="1">
        <v>-92513245</v>
      </c>
    </row>
    <row r="506" spans="1:11" x14ac:dyDescent="0.25">
      <c r="A506" s="1" t="s">
        <v>11</v>
      </c>
      <c r="B506" s="1" t="s">
        <v>773</v>
      </c>
      <c r="C506" s="1" t="s">
        <v>18</v>
      </c>
      <c r="D506" s="1" t="s">
        <v>861</v>
      </c>
      <c r="E506" s="1" t="s">
        <v>862</v>
      </c>
      <c r="F506" s="1" t="s">
        <v>173</v>
      </c>
      <c r="G506" s="1">
        <v>17381714401</v>
      </c>
      <c r="H506" s="1">
        <v>1211520868</v>
      </c>
      <c r="I506" s="1">
        <v>1518092363</v>
      </c>
      <c r="J506" s="1" t="s">
        <v>173</v>
      </c>
      <c r="K506" s="1">
        <v>17688285896</v>
      </c>
    </row>
    <row r="507" spans="1:11" x14ac:dyDescent="0.25">
      <c r="A507" s="1" t="s">
        <v>11</v>
      </c>
      <c r="B507" s="1" t="s">
        <v>773</v>
      </c>
      <c r="C507" s="1" t="s">
        <v>21</v>
      </c>
      <c r="D507" s="1" t="s">
        <v>863</v>
      </c>
      <c r="E507" s="1" t="s">
        <v>862</v>
      </c>
      <c r="F507" s="1" t="s">
        <v>173</v>
      </c>
      <c r="G507" s="1">
        <v>17381714401</v>
      </c>
      <c r="H507" s="1">
        <v>1211520868</v>
      </c>
      <c r="I507" s="1">
        <v>1518092363</v>
      </c>
      <c r="J507" s="1" t="s">
        <v>173</v>
      </c>
      <c r="K507" s="1">
        <v>17688285896</v>
      </c>
    </row>
    <row r="508" spans="1:11" x14ac:dyDescent="0.25">
      <c r="A508" s="1" t="s">
        <v>11</v>
      </c>
      <c r="B508" s="1" t="s">
        <v>773</v>
      </c>
      <c r="C508" s="1" t="s">
        <v>23</v>
      </c>
      <c r="D508" s="1" t="s">
        <v>864</v>
      </c>
      <c r="E508" s="1" t="s">
        <v>237</v>
      </c>
      <c r="F508" s="1" t="s">
        <v>173</v>
      </c>
      <c r="G508" s="1">
        <v>7367585124</v>
      </c>
      <c r="H508" s="1">
        <v>30511391</v>
      </c>
      <c r="I508" s="1">
        <v>501709367</v>
      </c>
      <c r="J508" s="1" t="s">
        <v>173</v>
      </c>
      <c r="K508" s="1">
        <v>7838783100</v>
      </c>
    </row>
    <row r="509" spans="1:11" x14ac:dyDescent="0.25">
      <c r="A509" s="1" t="s">
        <v>11</v>
      </c>
      <c r="B509" s="1" t="s">
        <v>773</v>
      </c>
      <c r="C509" s="1" t="s">
        <v>26</v>
      </c>
      <c r="D509" s="1" t="s">
        <v>865</v>
      </c>
      <c r="E509" s="1" t="s">
        <v>237</v>
      </c>
      <c r="F509" s="1" t="s">
        <v>173</v>
      </c>
      <c r="G509" s="1">
        <v>7367585124</v>
      </c>
      <c r="H509" s="1">
        <v>30511391</v>
      </c>
      <c r="I509" s="1">
        <v>501709367</v>
      </c>
      <c r="J509" s="1" t="s">
        <v>173</v>
      </c>
      <c r="K509" s="1">
        <v>7838783100</v>
      </c>
    </row>
    <row r="510" spans="1:11" x14ac:dyDescent="0.25">
      <c r="A510" s="1" t="s">
        <v>11</v>
      </c>
      <c r="B510" s="1" t="s">
        <v>773</v>
      </c>
      <c r="C510" s="1" t="s">
        <v>23</v>
      </c>
      <c r="D510" s="1" t="s">
        <v>866</v>
      </c>
      <c r="E510" s="1" t="s">
        <v>782</v>
      </c>
      <c r="F510" s="1" t="s">
        <v>173</v>
      </c>
      <c r="G510" s="1">
        <v>2123805946</v>
      </c>
      <c r="H510" s="1">
        <v>5620216</v>
      </c>
      <c r="I510" s="1">
        <v>178667977</v>
      </c>
      <c r="J510" s="1" t="s">
        <v>173</v>
      </c>
      <c r="K510" s="1">
        <v>2296853707</v>
      </c>
    </row>
    <row r="511" spans="1:11" x14ac:dyDescent="0.25">
      <c r="A511" s="1" t="s">
        <v>11</v>
      </c>
      <c r="B511" s="1" t="s">
        <v>773</v>
      </c>
      <c r="C511" s="1" t="s">
        <v>26</v>
      </c>
      <c r="D511" s="1" t="s">
        <v>867</v>
      </c>
      <c r="E511" s="1" t="s">
        <v>784</v>
      </c>
      <c r="F511" s="1" t="s">
        <v>173</v>
      </c>
      <c r="G511" s="1">
        <v>2123805946</v>
      </c>
      <c r="H511" s="1">
        <v>5620216</v>
      </c>
      <c r="I511" s="1">
        <v>178667977</v>
      </c>
      <c r="J511" s="1" t="s">
        <v>173</v>
      </c>
      <c r="K511" s="1">
        <v>2296853707</v>
      </c>
    </row>
    <row r="512" spans="1:11" x14ac:dyDescent="0.25">
      <c r="A512" s="1" t="s">
        <v>11</v>
      </c>
      <c r="B512" s="1" t="s">
        <v>773</v>
      </c>
      <c r="C512" s="1" t="s">
        <v>23</v>
      </c>
      <c r="D512" s="1" t="s">
        <v>868</v>
      </c>
      <c r="E512" s="1" t="s">
        <v>554</v>
      </c>
      <c r="F512" s="1" t="s">
        <v>173</v>
      </c>
      <c r="G512" s="1">
        <v>628098957</v>
      </c>
      <c r="H512" s="1">
        <v>2044665</v>
      </c>
      <c r="I512" s="1">
        <v>56371886</v>
      </c>
      <c r="J512" s="1" t="s">
        <v>173</v>
      </c>
      <c r="K512" s="1">
        <v>682426178</v>
      </c>
    </row>
    <row r="513" spans="1:11" x14ac:dyDescent="0.25">
      <c r="A513" s="1" t="s">
        <v>11</v>
      </c>
      <c r="B513" s="1" t="s">
        <v>773</v>
      </c>
      <c r="C513" s="1" t="s">
        <v>26</v>
      </c>
      <c r="D513" s="1" t="s">
        <v>869</v>
      </c>
      <c r="E513" s="1" t="s">
        <v>787</v>
      </c>
      <c r="F513" s="1" t="s">
        <v>173</v>
      </c>
      <c r="G513" s="1">
        <v>8917757</v>
      </c>
      <c r="H513" s="1">
        <v>0</v>
      </c>
      <c r="I513" s="1">
        <v>607100</v>
      </c>
      <c r="J513" s="1" t="s">
        <v>173</v>
      </c>
      <c r="K513" s="1">
        <v>9524857</v>
      </c>
    </row>
    <row r="514" spans="1:11" x14ac:dyDescent="0.25">
      <c r="A514" s="1" t="s">
        <v>11</v>
      </c>
      <c r="B514" s="1" t="s">
        <v>773</v>
      </c>
      <c r="C514" s="1" t="s">
        <v>26</v>
      </c>
      <c r="D514" s="1" t="s">
        <v>870</v>
      </c>
      <c r="E514" s="1" t="s">
        <v>789</v>
      </c>
      <c r="F514" s="1" t="s">
        <v>173</v>
      </c>
      <c r="G514" s="1">
        <v>25500742</v>
      </c>
      <c r="H514" s="1">
        <v>157075</v>
      </c>
      <c r="I514" s="1">
        <v>2458820</v>
      </c>
      <c r="J514" s="1" t="s">
        <v>173</v>
      </c>
      <c r="K514" s="1">
        <v>27802487</v>
      </c>
    </row>
    <row r="515" spans="1:11" x14ac:dyDescent="0.25">
      <c r="A515" s="1" t="s">
        <v>11</v>
      </c>
      <c r="B515" s="1" t="s">
        <v>773</v>
      </c>
      <c r="C515" s="1" t="s">
        <v>26</v>
      </c>
      <c r="D515" s="1" t="s">
        <v>871</v>
      </c>
      <c r="E515" s="1" t="s">
        <v>791</v>
      </c>
      <c r="F515" s="1" t="s">
        <v>173</v>
      </c>
      <c r="G515" s="1">
        <v>548144863</v>
      </c>
      <c r="H515" s="1">
        <v>1867402</v>
      </c>
      <c r="I515" s="1">
        <v>48202322</v>
      </c>
      <c r="J515" s="1" t="s">
        <v>173</v>
      </c>
      <c r="K515" s="1">
        <v>594479783</v>
      </c>
    </row>
    <row r="516" spans="1:11" x14ac:dyDescent="0.25">
      <c r="A516" s="1" t="s">
        <v>11</v>
      </c>
      <c r="B516" s="1" t="s">
        <v>773</v>
      </c>
      <c r="C516" s="1" t="s">
        <v>26</v>
      </c>
      <c r="D516" s="1" t="s">
        <v>872</v>
      </c>
      <c r="E516" s="1" t="s">
        <v>793</v>
      </c>
      <c r="F516" s="1" t="s">
        <v>173</v>
      </c>
      <c r="G516" s="1">
        <v>45535595</v>
      </c>
      <c r="H516" s="1">
        <v>20188</v>
      </c>
      <c r="I516" s="1">
        <v>5103644</v>
      </c>
      <c r="J516" s="1" t="s">
        <v>173</v>
      </c>
      <c r="K516" s="1">
        <v>50619051</v>
      </c>
    </row>
    <row r="517" spans="1:11" x14ac:dyDescent="0.25">
      <c r="A517" s="1" t="s">
        <v>11</v>
      </c>
      <c r="B517" s="1" t="s">
        <v>773</v>
      </c>
      <c r="C517" s="1" t="s">
        <v>23</v>
      </c>
      <c r="D517" s="1" t="s">
        <v>873</v>
      </c>
      <c r="E517" s="1" t="s">
        <v>795</v>
      </c>
      <c r="F517" s="1" t="s">
        <v>173</v>
      </c>
      <c r="G517" s="1">
        <v>52810377</v>
      </c>
      <c r="H517" s="1">
        <v>94291</v>
      </c>
      <c r="I517" s="1">
        <v>7037897</v>
      </c>
      <c r="J517" s="1" t="s">
        <v>173</v>
      </c>
      <c r="K517" s="1">
        <v>59753983</v>
      </c>
    </row>
    <row r="518" spans="1:11" x14ac:dyDescent="0.25">
      <c r="A518" s="1" t="s">
        <v>11</v>
      </c>
      <c r="B518" s="1" t="s">
        <v>773</v>
      </c>
      <c r="C518" s="1" t="s">
        <v>26</v>
      </c>
      <c r="D518" s="1" t="s">
        <v>874</v>
      </c>
      <c r="E518" s="1" t="s">
        <v>799</v>
      </c>
      <c r="F518" s="1" t="s">
        <v>173</v>
      </c>
      <c r="G518" s="1">
        <v>2272590</v>
      </c>
      <c r="H518" s="1">
        <v>0</v>
      </c>
      <c r="I518" s="1">
        <v>337608</v>
      </c>
      <c r="J518" s="1" t="s">
        <v>173</v>
      </c>
      <c r="K518" s="1">
        <v>2610198</v>
      </c>
    </row>
    <row r="519" spans="1:11" x14ac:dyDescent="0.25">
      <c r="A519" s="1" t="s">
        <v>11</v>
      </c>
      <c r="B519" s="1" t="s">
        <v>773</v>
      </c>
      <c r="C519" s="1" t="s">
        <v>26</v>
      </c>
      <c r="D519" s="1" t="s">
        <v>875</v>
      </c>
      <c r="E519" s="1" t="s">
        <v>801</v>
      </c>
      <c r="F519" s="1" t="s">
        <v>173</v>
      </c>
      <c r="G519" s="1">
        <v>6993305</v>
      </c>
      <c r="H519" s="1">
        <v>94291</v>
      </c>
      <c r="I519" s="1">
        <v>283866</v>
      </c>
      <c r="J519" s="1" t="s">
        <v>173</v>
      </c>
      <c r="K519" s="1">
        <v>7182880</v>
      </c>
    </row>
    <row r="520" spans="1:11" x14ac:dyDescent="0.25">
      <c r="A520" s="1" t="s">
        <v>11</v>
      </c>
      <c r="B520" s="1" t="s">
        <v>773</v>
      </c>
      <c r="C520" s="1" t="s">
        <v>26</v>
      </c>
      <c r="D520" s="1" t="s">
        <v>876</v>
      </c>
      <c r="E520" s="1" t="s">
        <v>803</v>
      </c>
      <c r="F520" s="1" t="s">
        <v>173</v>
      </c>
      <c r="G520" s="1">
        <v>43544482</v>
      </c>
      <c r="H520" s="1">
        <v>0</v>
      </c>
      <c r="I520" s="1">
        <v>6416423</v>
      </c>
      <c r="J520" s="1" t="s">
        <v>173</v>
      </c>
      <c r="K520" s="1">
        <v>49960905</v>
      </c>
    </row>
    <row r="521" spans="1:11" x14ac:dyDescent="0.25">
      <c r="A521" s="1" t="s">
        <v>11</v>
      </c>
      <c r="B521" s="1" t="s">
        <v>773</v>
      </c>
      <c r="C521" s="1" t="s">
        <v>23</v>
      </c>
      <c r="D521" s="1" t="s">
        <v>877</v>
      </c>
      <c r="E521" s="1" t="s">
        <v>805</v>
      </c>
      <c r="F521" s="1" t="s">
        <v>173</v>
      </c>
      <c r="G521" s="1">
        <v>7049845290</v>
      </c>
      <c r="H521" s="1">
        <v>17126895</v>
      </c>
      <c r="I521" s="1">
        <v>653263240</v>
      </c>
      <c r="J521" s="1" t="s">
        <v>173</v>
      </c>
      <c r="K521" s="1">
        <v>7685981635</v>
      </c>
    </row>
    <row r="522" spans="1:11" x14ac:dyDescent="0.25">
      <c r="A522" s="1" t="s">
        <v>11</v>
      </c>
      <c r="B522" s="1" t="s">
        <v>773</v>
      </c>
      <c r="C522" s="1" t="s">
        <v>26</v>
      </c>
      <c r="D522" s="1" t="s">
        <v>878</v>
      </c>
      <c r="E522" s="1" t="s">
        <v>807</v>
      </c>
      <c r="F522" s="1" t="s">
        <v>173</v>
      </c>
      <c r="G522" s="1">
        <v>3459702227</v>
      </c>
      <c r="H522" s="1">
        <v>6461719</v>
      </c>
      <c r="I522" s="1">
        <v>306306984</v>
      </c>
      <c r="J522" s="1" t="s">
        <v>173</v>
      </c>
      <c r="K522" s="1">
        <v>3759547492</v>
      </c>
    </row>
    <row r="523" spans="1:11" x14ac:dyDescent="0.25">
      <c r="A523" s="1" t="s">
        <v>11</v>
      </c>
      <c r="B523" s="1" t="s">
        <v>773</v>
      </c>
      <c r="C523" s="1" t="s">
        <v>26</v>
      </c>
      <c r="D523" s="1" t="s">
        <v>879</v>
      </c>
      <c r="E523" s="1" t="s">
        <v>880</v>
      </c>
      <c r="F523" s="1" t="s">
        <v>173</v>
      </c>
      <c r="G523" s="1">
        <v>1110350246</v>
      </c>
      <c r="H523" s="1">
        <v>3712476</v>
      </c>
      <c r="I523" s="1">
        <v>70692642</v>
      </c>
      <c r="J523" s="1" t="s">
        <v>173</v>
      </c>
      <c r="K523" s="1">
        <v>1177330412</v>
      </c>
    </row>
    <row r="524" spans="1:11" x14ac:dyDescent="0.25">
      <c r="A524" s="1" t="s">
        <v>11</v>
      </c>
      <c r="B524" s="1" t="s">
        <v>773</v>
      </c>
      <c r="C524" s="1" t="s">
        <v>26</v>
      </c>
      <c r="D524" s="1" t="s">
        <v>881</v>
      </c>
      <c r="E524" s="1" t="s">
        <v>882</v>
      </c>
      <c r="F524" s="1" t="s">
        <v>173</v>
      </c>
      <c r="G524" s="1">
        <v>2479792817</v>
      </c>
      <c r="H524" s="1">
        <v>6952700</v>
      </c>
      <c r="I524" s="1">
        <v>276263614</v>
      </c>
      <c r="J524" s="1" t="s">
        <v>173</v>
      </c>
      <c r="K524" s="1">
        <v>2749103731</v>
      </c>
    </row>
    <row r="525" spans="1:11" x14ac:dyDescent="0.25">
      <c r="A525" s="1" t="s">
        <v>11</v>
      </c>
      <c r="B525" s="1" t="s">
        <v>773</v>
      </c>
      <c r="C525" s="1" t="s">
        <v>23</v>
      </c>
      <c r="D525" s="1" t="s">
        <v>883</v>
      </c>
      <c r="E525" s="1" t="s">
        <v>809</v>
      </c>
      <c r="F525" s="1" t="s">
        <v>173</v>
      </c>
      <c r="G525" s="1">
        <v>323288481</v>
      </c>
      <c r="H525" s="1">
        <v>544361</v>
      </c>
      <c r="I525" s="1">
        <v>28822983</v>
      </c>
      <c r="J525" s="1" t="s">
        <v>173</v>
      </c>
      <c r="K525" s="1">
        <v>351567103</v>
      </c>
    </row>
    <row r="526" spans="1:11" x14ac:dyDescent="0.25">
      <c r="A526" s="1" t="s">
        <v>11</v>
      </c>
      <c r="B526" s="1" t="s">
        <v>773</v>
      </c>
      <c r="C526" s="1" t="s">
        <v>26</v>
      </c>
      <c r="D526" s="1" t="s">
        <v>884</v>
      </c>
      <c r="E526" s="1" t="s">
        <v>813</v>
      </c>
      <c r="F526" s="1" t="s">
        <v>173</v>
      </c>
      <c r="G526" s="1">
        <v>278744666</v>
      </c>
      <c r="H526" s="1">
        <v>227186</v>
      </c>
      <c r="I526" s="1">
        <v>26901243</v>
      </c>
      <c r="J526" s="1" t="s">
        <v>173</v>
      </c>
      <c r="K526" s="1">
        <v>305418723</v>
      </c>
    </row>
    <row r="527" spans="1:11" x14ac:dyDescent="0.25">
      <c r="A527" s="1" t="s">
        <v>11</v>
      </c>
      <c r="B527" s="1" t="s">
        <v>773</v>
      </c>
      <c r="C527" s="1" t="s">
        <v>26</v>
      </c>
      <c r="D527" s="1" t="s">
        <v>885</v>
      </c>
      <c r="E527" s="1" t="s">
        <v>886</v>
      </c>
      <c r="F527" s="1" t="s">
        <v>173</v>
      </c>
      <c r="G527" s="1">
        <v>615172</v>
      </c>
      <c r="H527" s="1">
        <v>0</v>
      </c>
      <c r="I527" s="1">
        <v>0</v>
      </c>
      <c r="J527" s="1" t="s">
        <v>173</v>
      </c>
      <c r="K527" s="1">
        <v>615172</v>
      </c>
    </row>
    <row r="528" spans="1:11" x14ac:dyDescent="0.25">
      <c r="A528" s="1" t="s">
        <v>11</v>
      </c>
      <c r="B528" s="1" t="s">
        <v>773</v>
      </c>
      <c r="C528" s="1" t="s">
        <v>26</v>
      </c>
      <c r="D528" s="1" t="s">
        <v>887</v>
      </c>
      <c r="E528" s="1" t="s">
        <v>815</v>
      </c>
      <c r="F528" s="1" t="s">
        <v>173</v>
      </c>
      <c r="G528" s="1">
        <v>5859119</v>
      </c>
      <c r="H528" s="1">
        <v>0</v>
      </c>
      <c r="I528" s="1">
        <v>105423</v>
      </c>
      <c r="J528" s="1" t="s">
        <v>173</v>
      </c>
      <c r="K528" s="1">
        <v>5964542</v>
      </c>
    </row>
    <row r="529" spans="1:11" x14ac:dyDescent="0.25">
      <c r="A529" s="1" t="s">
        <v>11</v>
      </c>
      <c r="B529" s="1" t="s">
        <v>773</v>
      </c>
      <c r="C529" s="1" t="s">
        <v>26</v>
      </c>
      <c r="D529" s="1" t="s">
        <v>888</v>
      </c>
      <c r="E529" s="1" t="s">
        <v>817</v>
      </c>
      <c r="F529" s="1" t="s">
        <v>173</v>
      </c>
      <c r="G529" s="1">
        <v>38069524</v>
      </c>
      <c r="H529" s="1">
        <v>317175</v>
      </c>
      <c r="I529" s="1">
        <v>1816317</v>
      </c>
      <c r="J529" s="1" t="s">
        <v>173</v>
      </c>
      <c r="K529" s="1">
        <v>39568666</v>
      </c>
    </row>
    <row r="530" spans="1:11" x14ac:dyDescent="0.25">
      <c r="A530" s="1" t="s">
        <v>11</v>
      </c>
      <c r="B530" s="1" t="s">
        <v>773</v>
      </c>
      <c r="C530" s="1" t="s">
        <v>23</v>
      </c>
      <c r="D530" s="1" t="s">
        <v>889</v>
      </c>
      <c r="E530" s="1" t="s">
        <v>819</v>
      </c>
      <c r="F530" s="1" t="s">
        <v>173</v>
      </c>
      <c r="G530" s="1">
        <v>423595187</v>
      </c>
      <c r="H530" s="1">
        <v>1056987</v>
      </c>
      <c r="I530" s="1">
        <v>25658200</v>
      </c>
      <c r="J530" s="1" t="s">
        <v>173</v>
      </c>
      <c r="K530" s="1">
        <v>448196400</v>
      </c>
    </row>
    <row r="531" spans="1:11" x14ac:dyDescent="0.25">
      <c r="A531" s="1" t="s">
        <v>11</v>
      </c>
      <c r="B531" s="1" t="s">
        <v>773</v>
      </c>
      <c r="C531" s="1" t="s">
        <v>26</v>
      </c>
      <c r="D531" s="1" t="s">
        <v>890</v>
      </c>
      <c r="E531" s="1" t="s">
        <v>857</v>
      </c>
      <c r="F531" s="1" t="s">
        <v>173</v>
      </c>
      <c r="G531" s="1">
        <v>476535</v>
      </c>
      <c r="H531" s="1">
        <v>0</v>
      </c>
      <c r="I531" s="1">
        <v>0</v>
      </c>
      <c r="J531" s="1" t="s">
        <v>173</v>
      </c>
      <c r="K531" s="1">
        <v>476535</v>
      </c>
    </row>
    <row r="532" spans="1:11" x14ac:dyDescent="0.25">
      <c r="A532" s="1" t="s">
        <v>11</v>
      </c>
      <c r="B532" s="1" t="s">
        <v>773</v>
      </c>
      <c r="C532" s="1" t="s">
        <v>26</v>
      </c>
      <c r="D532" s="1" t="s">
        <v>891</v>
      </c>
      <c r="E532" s="1" t="s">
        <v>821</v>
      </c>
      <c r="F532" s="1" t="s">
        <v>173</v>
      </c>
      <c r="G532" s="1">
        <v>256864837</v>
      </c>
      <c r="H532" s="1">
        <v>1056987</v>
      </c>
      <c r="I532" s="1">
        <v>13814582</v>
      </c>
      <c r="J532" s="1" t="s">
        <v>173</v>
      </c>
      <c r="K532" s="1">
        <v>269622432</v>
      </c>
    </row>
    <row r="533" spans="1:11" x14ac:dyDescent="0.25">
      <c r="A533" s="1" t="s">
        <v>11</v>
      </c>
      <c r="B533" s="1" t="s">
        <v>773</v>
      </c>
      <c r="C533" s="1" t="s">
        <v>26</v>
      </c>
      <c r="D533" s="1" t="s">
        <v>892</v>
      </c>
      <c r="E533" s="1" t="s">
        <v>823</v>
      </c>
      <c r="F533" s="1" t="s">
        <v>173</v>
      </c>
      <c r="G533" s="1">
        <v>166122848</v>
      </c>
      <c r="H533" s="1">
        <v>0</v>
      </c>
      <c r="I533" s="1">
        <v>11843618</v>
      </c>
      <c r="J533" s="1" t="s">
        <v>173</v>
      </c>
      <c r="K533" s="1">
        <v>177966466</v>
      </c>
    </row>
    <row r="534" spans="1:11" x14ac:dyDescent="0.25">
      <c r="A534" s="1" t="s">
        <v>11</v>
      </c>
      <c r="B534" s="1" t="s">
        <v>773</v>
      </c>
      <c r="C534" s="1" t="s">
        <v>26</v>
      </c>
      <c r="D534" s="1" t="s">
        <v>893</v>
      </c>
      <c r="E534" s="1" t="s">
        <v>894</v>
      </c>
      <c r="F534" s="1" t="s">
        <v>173</v>
      </c>
      <c r="G534" s="1">
        <v>130967</v>
      </c>
      <c r="H534" s="1">
        <v>0</v>
      </c>
      <c r="I534" s="1">
        <v>0</v>
      </c>
      <c r="J534" s="1" t="s">
        <v>173</v>
      </c>
      <c r="K534" s="1">
        <v>130967</v>
      </c>
    </row>
    <row r="535" spans="1:11" x14ac:dyDescent="0.25">
      <c r="A535" s="1" t="s">
        <v>11</v>
      </c>
      <c r="B535" s="1" t="s">
        <v>773</v>
      </c>
      <c r="C535" s="1" t="s">
        <v>23</v>
      </c>
      <c r="D535" s="1" t="s">
        <v>895</v>
      </c>
      <c r="E535" s="1" t="s">
        <v>825</v>
      </c>
      <c r="F535" s="1" t="s">
        <v>173</v>
      </c>
      <c r="G535" s="1">
        <v>619444322</v>
      </c>
      <c r="H535" s="1">
        <v>2669092</v>
      </c>
      <c r="I535" s="1">
        <v>66560813</v>
      </c>
      <c r="J535" s="1" t="s">
        <v>173</v>
      </c>
      <c r="K535" s="1">
        <v>683336043</v>
      </c>
    </row>
    <row r="536" spans="1:11" x14ac:dyDescent="0.25">
      <c r="A536" s="1" t="s">
        <v>11</v>
      </c>
      <c r="B536" s="1" t="s">
        <v>773</v>
      </c>
      <c r="C536" s="1" t="s">
        <v>26</v>
      </c>
      <c r="D536" s="1" t="s">
        <v>896</v>
      </c>
      <c r="E536" s="1" t="s">
        <v>827</v>
      </c>
      <c r="F536" s="1" t="s">
        <v>173</v>
      </c>
      <c r="G536" s="1">
        <v>171249531</v>
      </c>
      <c r="H536" s="1">
        <v>506720</v>
      </c>
      <c r="I536" s="1">
        <v>15751688</v>
      </c>
      <c r="J536" s="1" t="s">
        <v>173</v>
      </c>
      <c r="K536" s="1">
        <v>186494499</v>
      </c>
    </row>
    <row r="537" spans="1:11" x14ac:dyDescent="0.25">
      <c r="A537" s="1" t="s">
        <v>11</v>
      </c>
      <c r="B537" s="1" t="s">
        <v>773</v>
      </c>
      <c r="C537" s="1" t="s">
        <v>26</v>
      </c>
      <c r="D537" s="1" t="s">
        <v>897</v>
      </c>
      <c r="E537" s="1" t="s">
        <v>829</v>
      </c>
      <c r="F537" s="1" t="s">
        <v>173</v>
      </c>
      <c r="G537" s="1">
        <v>20687779</v>
      </c>
      <c r="H537" s="1">
        <v>32236</v>
      </c>
      <c r="I537" s="1">
        <v>2163187</v>
      </c>
      <c r="J537" s="1" t="s">
        <v>173</v>
      </c>
      <c r="K537" s="1">
        <v>22818730</v>
      </c>
    </row>
    <row r="538" spans="1:11" x14ac:dyDescent="0.25">
      <c r="A538" s="1" t="s">
        <v>11</v>
      </c>
      <c r="B538" s="1" t="s">
        <v>773</v>
      </c>
      <c r="C538" s="1" t="s">
        <v>26</v>
      </c>
      <c r="D538" s="1" t="s">
        <v>898</v>
      </c>
      <c r="E538" s="1" t="s">
        <v>831</v>
      </c>
      <c r="F538" s="1" t="s">
        <v>173</v>
      </c>
      <c r="G538" s="1">
        <v>39950875</v>
      </c>
      <c r="H538" s="1">
        <v>111536</v>
      </c>
      <c r="I538" s="1">
        <v>3764870</v>
      </c>
      <c r="J538" s="1" t="s">
        <v>173</v>
      </c>
      <c r="K538" s="1">
        <v>43604209</v>
      </c>
    </row>
    <row r="539" spans="1:11" x14ac:dyDescent="0.25">
      <c r="A539" s="1" t="s">
        <v>11</v>
      </c>
      <c r="B539" s="1" t="s">
        <v>773</v>
      </c>
      <c r="C539" s="1" t="s">
        <v>26</v>
      </c>
      <c r="D539" s="1" t="s">
        <v>899</v>
      </c>
      <c r="E539" s="1" t="s">
        <v>833</v>
      </c>
      <c r="F539" s="1" t="s">
        <v>173</v>
      </c>
      <c r="G539" s="1">
        <v>387556137</v>
      </c>
      <c r="H539" s="1">
        <v>2018600</v>
      </c>
      <c r="I539" s="1">
        <v>44881068</v>
      </c>
      <c r="J539" s="1" t="s">
        <v>173</v>
      </c>
      <c r="K539" s="1">
        <v>430418605</v>
      </c>
    </row>
    <row r="540" spans="1:11" x14ac:dyDescent="0.25">
      <c r="A540" s="1" t="s">
        <v>11</v>
      </c>
      <c r="B540" s="1" t="s">
        <v>773</v>
      </c>
      <c r="C540" s="1" t="s">
        <v>23</v>
      </c>
      <c r="D540" s="1" t="s">
        <v>900</v>
      </c>
      <c r="E540" s="1" t="s">
        <v>131</v>
      </c>
      <c r="F540" s="1" t="s">
        <v>14</v>
      </c>
      <c r="G540" s="1">
        <v>-1206759283</v>
      </c>
      <c r="H540" s="1">
        <v>1151852970</v>
      </c>
      <c r="I540" s="1">
        <v>0</v>
      </c>
      <c r="J540" s="1" t="s">
        <v>14</v>
      </c>
      <c r="K540" s="1">
        <v>-2358612253</v>
      </c>
    </row>
    <row r="541" spans="1:11" x14ac:dyDescent="0.25">
      <c r="A541" s="1" t="s">
        <v>11</v>
      </c>
      <c r="B541" s="1" t="s">
        <v>773</v>
      </c>
      <c r="C541" s="1" t="s">
        <v>26</v>
      </c>
      <c r="D541" s="1" t="s">
        <v>901</v>
      </c>
      <c r="E541" s="1" t="s">
        <v>836</v>
      </c>
      <c r="F541" s="1" t="s">
        <v>14</v>
      </c>
      <c r="G541" s="1">
        <v>-497627831</v>
      </c>
      <c r="H541" s="1">
        <v>496211118</v>
      </c>
      <c r="I541" s="1">
        <v>0</v>
      </c>
      <c r="J541" s="1" t="s">
        <v>14</v>
      </c>
      <c r="K541" s="1">
        <v>-993838949</v>
      </c>
    </row>
    <row r="542" spans="1:11" x14ac:dyDescent="0.25">
      <c r="A542" s="1" t="s">
        <v>11</v>
      </c>
      <c r="B542" s="1" t="s">
        <v>773</v>
      </c>
      <c r="C542" s="1" t="s">
        <v>26</v>
      </c>
      <c r="D542" s="1" t="s">
        <v>902</v>
      </c>
      <c r="E542" s="1" t="s">
        <v>838</v>
      </c>
      <c r="F542" s="1" t="s">
        <v>14</v>
      </c>
      <c r="G542" s="1">
        <v>-709131452</v>
      </c>
      <c r="H542" s="1">
        <v>655641852</v>
      </c>
      <c r="I542" s="1">
        <v>0</v>
      </c>
      <c r="J542" s="1" t="s">
        <v>14</v>
      </c>
      <c r="K542" s="1">
        <v>-1364773304</v>
      </c>
    </row>
    <row r="543" spans="1:11" x14ac:dyDescent="0.25">
      <c r="A543" s="1" t="s">
        <v>11</v>
      </c>
      <c r="B543" s="1" t="s">
        <v>773</v>
      </c>
      <c r="C543" s="1" t="s">
        <v>18</v>
      </c>
      <c r="D543" s="1" t="s">
        <v>903</v>
      </c>
      <c r="E543" s="1" t="s">
        <v>904</v>
      </c>
      <c r="F543" s="1" t="s">
        <v>173</v>
      </c>
      <c r="G543" s="1">
        <v>13473888949</v>
      </c>
      <c r="H543" s="1">
        <v>882878809</v>
      </c>
      <c r="I543" s="1">
        <v>873625366</v>
      </c>
      <c r="J543" s="1" t="s">
        <v>173</v>
      </c>
      <c r="K543" s="1">
        <v>13464635506</v>
      </c>
    </row>
    <row r="544" spans="1:11" x14ac:dyDescent="0.25">
      <c r="A544" s="1" t="s">
        <v>11</v>
      </c>
      <c r="B544" s="1" t="s">
        <v>773</v>
      </c>
      <c r="C544" s="1" t="s">
        <v>21</v>
      </c>
      <c r="D544" s="1" t="s">
        <v>905</v>
      </c>
      <c r="E544" s="1" t="s">
        <v>904</v>
      </c>
      <c r="F544" s="1" t="s">
        <v>173</v>
      </c>
      <c r="G544" s="1">
        <v>13473888949</v>
      </c>
      <c r="H544" s="1">
        <v>882878809</v>
      </c>
      <c r="I544" s="1">
        <v>873625366</v>
      </c>
      <c r="J544" s="1" t="s">
        <v>173</v>
      </c>
      <c r="K544" s="1">
        <v>13464635506</v>
      </c>
    </row>
    <row r="545" spans="1:11" x14ac:dyDescent="0.25">
      <c r="A545" s="1" t="s">
        <v>11</v>
      </c>
      <c r="B545" s="1" t="s">
        <v>773</v>
      </c>
      <c r="C545" s="1" t="s">
        <v>23</v>
      </c>
      <c r="D545" s="1" t="s">
        <v>906</v>
      </c>
      <c r="E545" s="1" t="s">
        <v>237</v>
      </c>
      <c r="F545" s="1" t="s">
        <v>173</v>
      </c>
      <c r="G545" s="1">
        <v>406764119</v>
      </c>
      <c r="H545" s="1">
        <v>3206169</v>
      </c>
      <c r="I545" s="1">
        <v>23110333</v>
      </c>
      <c r="J545" s="1" t="s">
        <v>173</v>
      </c>
      <c r="K545" s="1">
        <v>426668283</v>
      </c>
    </row>
    <row r="546" spans="1:11" x14ac:dyDescent="0.25">
      <c r="A546" s="1" t="s">
        <v>11</v>
      </c>
      <c r="B546" s="1" t="s">
        <v>773</v>
      </c>
      <c r="C546" s="1" t="s">
        <v>26</v>
      </c>
      <c r="D546" s="1" t="s">
        <v>907</v>
      </c>
      <c r="E546" s="1" t="s">
        <v>237</v>
      </c>
      <c r="F546" s="1" t="s">
        <v>173</v>
      </c>
      <c r="G546" s="1">
        <v>406764119</v>
      </c>
      <c r="H546" s="1">
        <v>3206169</v>
      </c>
      <c r="I546" s="1">
        <v>23110333</v>
      </c>
      <c r="J546" s="1" t="s">
        <v>173</v>
      </c>
      <c r="K546" s="1">
        <v>426668283</v>
      </c>
    </row>
    <row r="547" spans="1:11" x14ac:dyDescent="0.25">
      <c r="A547" s="1" t="s">
        <v>11</v>
      </c>
      <c r="B547" s="1" t="s">
        <v>773</v>
      </c>
      <c r="C547" s="1" t="s">
        <v>23</v>
      </c>
      <c r="D547" s="1" t="s">
        <v>908</v>
      </c>
      <c r="E547" s="1" t="s">
        <v>782</v>
      </c>
      <c r="F547" s="1" t="s">
        <v>173</v>
      </c>
      <c r="G547" s="1">
        <v>6508666791</v>
      </c>
      <c r="H547" s="1">
        <v>10568733</v>
      </c>
      <c r="I547" s="1">
        <v>352336201</v>
      </c>
      <c r="J547" s="1" t="s">
        <v>173</v>
      </c>
      <c r="K547" s="1">
        <v>6850434259</v>
      </c>
    </row>
    <row r="548" spans="1:11" x14ac:dyDescent="0.25">
      <c r="A548" s="1" t="s">
        <v>11</v>
      </c>
      <c r="B548" s="1" t="s">
        <v>773</v>
      </c>
      <c r="C548" s="1" t="s">
        <v>26</v>
      </c>
      <c r="D548" s="1" t="s">
        <v>909</v>
      </c>
      <c r="E548" s="1" t="s">
        <v>784</v>
      </c>
      <c r="F548" s="1" t="s">
        <v>173</v>
      </c>
      <c r="G548" s="1">
        <v>2701832575</v>
      </c>
      <c r="H548" s="1">
        <v>7180069</v>
      </c>
      <c r="I548" s="1">
        <v>206253932</v>
      </c>
      <c r="J548" s="1" t="s">
        <v>173</v>
      </c>
      <c r="K548" s="1">
        <v>2900906438</v>
      </c>
    </row>
    <row r="549" spans="1:11" x14ac:dyDescent="0.25">
      <c r="A549" s="1" t="s">
        <v>11</v>
      </c>
      <c r="B549" s="1" t="s">
        <v>773</v>
      </c>
      <c r="C549" s="1" t="s">
        <v>26</v>
      </c>
      <c r="D549" s="1" t="s">
        <v>910</v>
      </c>
      <c r="E549" s="1" t="s">
        <v>248</v>
      </c>
      <c r="F549" s="1" t="s">
        <v>173</v>
      </c>
      <c r="G549" s="1">
        <v>3806834216</v>
      </c>
      <c r="H549" s="1">
        <v>3388664</v>
      </c>
      <c r="I549" s="1">
        <v>146082269</v>
      </c>
      <c r="J549" s="1" t="s">
        <v>173</v>
      </c>
      <c r="K549" s="1">
        <v>3949527821</v>
      </c>
    </row>
    <row r="550" spans="1:11" x14ac:dyDescent="0.25">
      <c r="A550" s="1" t="s">
        <v>11</v>
      </c>
      <c r="B550" s="1" t="s">
        <v>773</v>
      </c>
      <c r="C550" s="1" t="s">
        <v>23</v>
      </c>
      <c r="D550" s="1" t="s">
        <v>911</v>
      </c>
      <c r="E550" s="1" t="s">
        <v>554</v>
      </c>
      <c r="F550" s="1" t="s">
        <v>173</v>
      </c>
      <c r="G550" s="1">
        <v>3018321417</v>
      </c>
      <c r="H550" s="1">
        <v>7597436</v>
      </c>
      <c r="I550" s="1">
        <v>227902286</v>
      </c>
      <c r="J550" s="1" t="s">
        <v>173</v>
      </c>
      <c r="K550" s="1">
        <v>3238626267</v>
      </c>
    </row>
    <row r="551" spans="1:11" x14ac:dyDescent="0.25">
      <c r="A551" s="1" t="s">
        <v>11</v>
      </c>
      <c r="B551" s="1" t="s">
        <v>773</v>
      </c>
      <c r="C551" s="1" t="s">
        <v>26</v>
      </c>
      <c r="D551" s="1" t="s">
        <v>912</v>
      </c>
      <c r="E551" s="1" t="s">
        <v>787</v>
      </c>
      <c r="F551" s="1" t="s">
        <v>173</v>
      </c>
      <c r="G551" s="1">
        <v>329692046</v>
      </c>
      <c r="H551" s="1">
        <v>878432</v>
      </c>
      <c r="I551" s="1">
        <v>26660324</v>
      </c>
      <c r="J551" s="1" t="s">
        <v>173</v>
      </c>
      <c r="K551" s="1">
        <v>355473938</v>
      </c>
    </row>
    <row r="552" spans="1:11" x14ac:dyDescent="0.25">
      <c r="A552" s="1" t="s">
        <v>11</v>
      </c>
      <c r="B552" s="1" t="s">
        <v>773</v>
      </c>
      <c r="C552" s="1" t="s">
        <v>26</v>
      </c>
      <c r="D552" s="1" t="s">
        <v>913</v>
      </c>
      <c r="E552" s="1" t="s">
        <v>789</v>
      </c>
      <c r="F552" s="1" t="s">
        <v>173</v>
      </c>
      <c r="G552" s="1">
        <v>908561712</v>
      </c>
      <c r="H552" s="1">
        <v>2859508</v>
      </c>
      <c r="I552" s="1">
        <v>70561081</v>
      </c>
      <c r="J552" s="1" t="s">
        <v>173</v>
      </c>
      <c r="K552" s="1">
        <v>976263285</v>
      </c>
    </row>
    <row r="553" spans="1:11" x14ac:dyDescent="0.25">
      <c r="A553" s="1" t="s">
        <v>11</v>
      </c>
      <c r="B553" s="1" t="s">
        <v>773</v>
      </c>
      <c r="C553" s="1" t="s">
        <v>26</v>
      </c>
      <c r="D553" s="1" t="s">
        <v>914</v>
      </c>
      <c r="E553" s="1" t="s">
        <v>791</v>
      </c>
      <c r="F553" s="1" t="s">
        <v>173</v>
      </c>
      <c r="G553" s="1">
        <v>1779747033</v>
      </c>
      <c r="H553" s="1">
        <v>3859496</v>
      </c>
      <c r="I553" s="1">
        <v>130680881</v>
      </c>
      <c r="J553" s="1" t="s">
        <v>173</v>
      </c>
      <c r="K553" s="1">
        <v>1906568418</v>
      </c>
    </row>
    <row r="554" spans="1:11" x14ac:dyDescent="0.25">
      <c r="A554" s="1" t="s">
        <v>11</v>
      </c>
      <c r="B554" s="1" t="s">
        <v>773</v>
      </c>
      <c r="C554" s="1" t="s">
        <v>26</v>
      </c>
      <c r="D554" s="1" t="s">
        <v>915</v>
      </c>
      <c r="E554" s="1" t="s">
        <v>793</v>
      </c>
      <c r="F554" s="1" t="s">
        <v>173</v>
      </c>
      <c r="G554" s="1">
        <v>320626</v>
      </c>
      <c r="H554" s="1">
        <v>0</v>
      </c>
      <c r="I554" s="1">
        <v>0</v>
      </c>
      <c r="J554" s="1" t="s">
        <v>173</v>
      </c>
      <c r="K554" s="1">
        <v>320626</v>
      </c>
    </row>
    <row r="555" spans="1:11" x14ac:dyDescent="0.25">
      <c r="A555" s="1" t="s">
        <v>11</v>
      </c>
      <c r="B555" s="1" t="s">
        <v>773</v>
      </c>
      <c r="C555" s="1" t="s">
        <v>23</v>
      </c>
      <c r="D555" s="1" t="s">
        <v>916</v>
      </c>
      <c r="E555" s="1" t="s">
        <v>795</v>
      </c>
      <c r="F555" s="1" t="s">
        <v>173</v>
      </c>
      <c r="G555" s="1">
        <v>1665407210</v>
      </c>
      <c r="H555" s="1">
        <v>4758463</v>
      </c>
      <c r="I555" s="1">
        <v>150228827</v>
      </c>
      <c r="J555" s="1" t="s">
        <v>173</v>
      </c>
      <c r="K555" s="1">
        <v>1810877574</v>
      </c>
    </row>
    <row r="556" spans="1:11" x14ac:dyDescent="0.25">
      <c r="A556" s="1" t="s">
        <v>11</v>
      </c>
      <c r="B556" s="1" t="s">
        <v>773</v>
      </c>
      <c r="C556" s="1" t="s">
        <v>26</v>
      </c>
      <c r="D556" s="1" t="s">
        <v>917</v>
      </c>
      <c r="E556" s="1" t="s">
        <v>799</v>
      </c>
      <c r="F556" s="1" t="s">
        <v>173</v>
      </c>
      <c r="G556" s="1">
        <v>10391221</v>
      </c>
      <c r="H556" s="1">
        <v>0</v>
      </c>
      <c r="I556" s="1">
        <v>44476</v>
      </c>
      <c r="J556" s="1" t="s">
        <v>173</v>
      </c>
      <c r="K556" s="1">
        <v>10435697</v>
      </c>
    </row>
    <row r="557" spans="1:11" x14ac:dyDescent="0.25">
      <c r="A557" s="1" t="s">
        <v>11</v>
      </c>
      <c r="B557" s="1" t="s">
        <v>773</v>
      </c>
      <c r="C557" s="1" t="s">
        <v>26</v>
      </c>
      <c r="D557" s="1" t="s">
        <v>918</v>
      </c>
      <c r="E557" s="1" t="s">
        <v>801</v>
      </c>
      <c r="F557" s="1" t="s">
        <v>173</v>
      </c>
      <c r="G557" s="1">
        <v>107887061</v>
      </c>
      <c r="H557" s="1">
        <v>722271</v>
      </c>
      <c r="I557" s="1">
        <v>4584547</v>
      </c>
      <c r="J557" s="1" t="s">
        <v>173</v>
      </c>
      <c r="K557" s="1">
        <v>111749337</v>
      </c>
    </row>
    <row r="558" spans="1:11" x14ac:dyDescent="0.25">
      <c r="A558" s="1" t="s">
        <v>11</v>
      </c>
      <c r="B558" s="1" t="s">
        <v>773</v>
      </c>
      <c r="C558" s="1" t="s">
        <v>26</v>
      </c>
      <c r="D558" s="1" t="s">
        <v>919</v>
      </c>
      <c r="E558" s="1" t="s">
        <v>803</v>
      </c>
      <c r="F558" s="1" t="s">
        <v>173</v>
      </c>
      <c r="G558" s="1">
        <v>1547128928</v>
      </c>
      <c r="H558" s="1">
        <v>4036192</v>
      </c>
      <c r="I558" s="1">
        <v>145599804</v>
      </c>
      <c r="J558" s="1" t="s">
        <v>173</v>
      </c>
      <c r="K558" s="1">
        <v>1688692540</v>
      </c>
    </row>
    <row r="559" spans="1:11" x14ac:dyDescent="0.25">
      <c r="A559" s="1" t="s">
        <v>11</v>
      </c>
      <c r="B559" s="1" t="s">
        <v>773</v>
      </c>
      <c r="C559" s="1" t="s">
        <v>23</v>
      </c>
      <c r="D559" s="1" t="s">
        <v>920</v>
      </c>
      <c r="E559" s="1" t="s">
        <v>805</v>
      </c>
      <c r="F559" s="1" t="s">
        <v>173</v>
      </c>
      <c r="G559" s="1">
        <v>15945726</v>
      </c>
      <c r="H559" s="1">
        <v>28379</v>
      </c>
      <c r="I559" s="1">
        <v>2154321</v>
      </c>
      <c r="J559" s="1" t="s">
        <v>173</v>
      </c>
      <c r="K559" s="1">
        <v>18071668</v>
      </c>
    </row>
    <row r="560" spans="1:11" x14ac:dyDescent="0.25">
      <c r="A560" s="1" t="s">
        <v>11</v>
      </c>
      <c r="B560" s="1" t="s">
        <v>773</v>
      </c>
      <c r="C560" s="1" t="s">
        <v>26</v>
      </c>
      <c r="D560" s="1" t="s">
        <v>921</v>
      </c>
      <c r="E560" s="1" t="s">
        <v>807</v>
      </c>
      <c r="F560" s="1" t="s">
        <v>173</v>
      </c>
      <c r="G560" s="1">
        <v>15945726</v>
      </c>
      <c r="H560" s="1">
        <v>28379</v>
      </c>
      <c r="I560" s="1">
        <v>2154321</v>
      </c>
      <c r="J560" s="1" t="s">
        <v>173</v>
      </c>
      <c r="K560" s="1">
        <v>18071668</v>
      </c>
    </row>
    <row r="561" spans="1:11" x14ac:dyDescent="0.25">
      <c r="A561" s="1" t="s">
        <v>11</v>
      </c>
      <c r="B561" s="1" t="s">
        <v>773</v>
      </c>
      <c r="C561" s="1" t="s">
        <v>23</v>
      </c>
      <c r="D561" s="1" t="s">
        <v>922</v>
      </c>
      <c r="E561" s="1" t="s">
        <v>809</v>
      </c>
      <c r="F561" s="1" t="s">
        <v>173</v>
      </c>
      <c r="G561" s="1">
        <v>2359715352</v>
      </c>
      <c r="H561" s="1">
        <v>5209600</v>
      </c>
      <c r="I561" s="1">
        <v>77365058</v>
      </c>
      <c r="J561" s="1" t="s">
        <v>173</v>
      </c>
      <c r="K561" s="1">
        <v>2431870810</v>
      </c>
    </row>
    <row r="562" spans="1:11" x14ac:dyDescent="0.25">
      <c r="A562" s="1" t="s">
        <v>11</v>
      </c>
      <c r="B562" s="1" t="s">
        <v>773</v>
      </c>
      <c r="C562" s="1" t="s">
        <v>26</v>
      </c>
      <c r="D562" s="1" t="s">
        <v>923</v>
      </c>
      <c r="E562" s="1" t="s">
        <v>813</v>
      </c>
      <c r="F562" s="1" t="s">
        <v>173</v>
      </c>
      <c r="G562" s="1">
        <v>1632561922</v>
      </c>
      <c r="H562" s="1">
        <v>5209600</v>
      </c>
      <c r="I562" s="1">
        <v>63266874</v>
      </c>
      <c r="J562" s="1" t="s">
        <v>173</v>
      </c>
      <c r="K562" s="1">
        <v>1690619196</v>
      </c>
    </row>
    <row r="563" spans="1:11" x14ac:dyDescent="0.25">
      <c r="A563" s="1" t="s">
        <v>11</v>
      </c>
      <c r="B563" s="1" t="s">
        <v>773</v>
      </c>
      <c r="C563" s="1" t="s">
        <v>26</v>
      </c>
      <c r="D563" s="1" t="s">
        <v>924</v>
      </c>
      <c r="E563" s="1" t="s">
        <v>886</v>
      </c>
      <c r="F563" s="1" t="s">
        <v>173</v>
      </c>
      <c r="G563" s="1">
        <v>1127565</v>
      </c>
      <c r="H563" s="1">
        <v>0</v>
      </c>
      <c r="I563" s="1">
        <v>0</v>
      </c>
      <c r="J563" s="1" t="s">
        <v>173</v>
      </c>
      <c r="K563" s="1">
        <v>1127565</v>
      </c>
    </row>
    <row r="564" spans="1:11" x14ac:dyDescent="0.25">
      <c r="A564" s="1" t="s">
        <v>11</v>
      </c>
      <c r="B564" s="1" t="s">
        <v>773</v>
      </c>
      <c r="C564" s="1" t="s">
        <v>26</v>
      </c>
      <c r="D564" s="1" t="s">
        <v>925</v>
      </c>
      <c r="E564" s="1" t="s">
        <v>815</v>
      </c>
      <c r="F564" s="1" t="s">
        <v>173</v>
      </c>
      <c r="G564" s="1">
        <v>740977</v>
      </c>
      <c r="H564" s="1">
        <v>0</v>
      </c>
      <c r="I564" s="1">
        <v>0</v>
      </c>
      <c r="J564" s="1" t="s">
        <v>173</v>
      </c>
      <c r="K564" s="1">
        <v>740977</v>
      </c>
    </row>
    <row r="565" spans="1:11" x14ac:dyDescent="0.25">
      <c r="A565" s="1" t="s">
        <v>11</v>
      </c>
      <c r="B565" s="1" t="s">
        <v>773</v>
      </c>
      <c r="C565" s="1" t="s">
        <v>26</v>
      </c>
      <c r="D565" s="1" t="s">
        <v>926</v>
      </c>
      <c r="E565" s="1" t="s">
        <v>817</v>
      </c>
      <c r="F565" s="1" t="s">
        <v>173</v>
      </c>
      <c r="G565" s="1">
        <v>725284888</v>
      </c>
      <c r="H565" s="1">
        <v>0</v>
      </c>
      <c r="I565" s="1">
        <v>14098184</v>
      </c>
      <c r="J565" s="1" t="s">
        <v>173</v>
      </c>
      <c r="K565" s="1">
        <v>739383072</v>
      </c>
    </row>
    <row r="566" spans="1:11" x14ac:dyDescent="0.25">
      <c r="A566" s="1" t="s">
        <v>11</v>
      </c>
      <c r="B566" s="1" t="s">
        <v>773</v>
      </c>
      <c r="C566" s="1" t="s">
        <v>23</v>
      </c>
      <c r="D566" s="1" t="s">
        <v>927</v>
      </c>
      <c r="E566" s="1" t="s">
        <v>819</v>
      </c>
      <c r="F566" s="1" t="s">
        <v>173</v>
      </c>
      <c r="G566" s="1">
        <v>5467339</v>
      </c>
      <c r="H566" s="1">
        <v>0</v>
      </c>
      <c r="I566" s="1">
        <v>33000000</v>
      </c>
      <c r="J566" s="1" t="s">
        <v>173</v>
      </c>
      <c r="K566" s="1">
        <v>38467339</v>
      </c>
    </row>
    <row r="567" spans="1:11" x14ac:dyDescent="0.25">
      <c r="A567" s="1" t="s">
        <v>11</v>
      </c>
      <c r="B567" s="1" t="s">
        <v>773</v>
      </c>
      <c r="C567" s="1" t="s">
        <v>26</v>
      </c>
      <c r="D567" s="1" t="s">
        <v>928</v>
      </c>
      <c r="E567" s="1" t="s">
        <v>821</v>
      </c>
      <c r="F567" s="1" t="s">
        <v>173</v>
      </c>
      <c r="G567" s="1">
        <v>2050875</v>
      </c>
      <c r="H567" s="1">
        <v>0</v>
      </c>
      <c r="I567" s="1">
        <v>0</v>
      </c>
      <c r="J567" s="1" t="s">
        <v>173</v>
      </c>
      <c r="K567" s="1">
        <v>2050875</v>
      </c>
    </row>
    <row r="568" spans="1:11" x14ac:dyDescent="0.25">
      <c r="A568" s="1" t="s">
        <v>11</v>
      </c>
      <c r="B568" s="1" t="s">
        <v>773</v>
      </c>
      <c r="C568" s="1" t="s">
        <v>26</v>
      </c>
      <c r="D568" s="1" t="s">
        <v>929</v>
      </c>
      <c r="E568" s="1" t="s">
        <v>894</v>
      </c>
      <c r="F568" s="1" t="s">
        <v>173</v>
      </c>
      <c r="G568" s="1">
        <v>3416464</v>
      </c>
      <c r="H568" s="1">
        <v>0</v>
      </c>
      <c r="I568" s="1">
        <v>33000000</v>
      </c>
      <c r="J568" s="1" t="s">
        <v>173</v>
      </c>
      <c r="K568" s="1">
        <v>36416464</v>
      </c>
    </row>
    <row r="569" spans="1:11" x14ac:dyDescent="0.25">
      <c r="A569" s="1" t="s">
        <v>11</v>
      </c>
      <c r="B569" s="1" t="s">
        <v>773</v>
      </c>
      <c r="C569" s="1" t="s">
        <v>23</v>
      </c>
      <c r="D569" s="1" t="s">
        <v>930</v>
      </c>
      <c r="E569" s="1" t="s">
        <v>825</v>
      </c>
      <c r="F569" s="1" t="s">
        <v>173</v>
      </c>
      <c r="G569" s="1">
        <v>1112412</v>
      </c>
      <c r="H569" s="1">
        <v>0</v>
      </c>
      <c r="I569" s="1">
        <v>88862</v>
      </c>
      <c r="J569" s="1" t="s">
        <v>173</v>
      </c>
      <c r="K569" s="1">
        <v>1201274</v>
      </c>
    </row>
    <row r="570" spans="1:11" x14ac:dyDescent="0.25">
      <c r="A570" s="1" t="s">
        <v>11</v>
      </c>
      <c r="B570" s="1" t="s">
        <v>773</v>
      </c>
      <c r="C570" s="1" t="s">
        <v>26</v>
      </c>
      <c r="D570" s="1" t="s">
        <v>931</v>
      </c>
      <c r="E570" s="1" t="s">
        <v>827</v>
      </c>
      <c r="F570" s="1" t="s">
        <v>173</v>
      </c>
      <c r="G570" s="1">
        <v>521342</v>
      </c>
      <c r="H570" s="1">
        <v>0</v>
      </c>
      <c r="I570" s="1">
        <v>27983</v>
      </c>
      <c r="J570" s="1" t="s">
        <v>173</v>
      </c>
      <c r="K570" s="1">
        <v>549325</v>
      </c>
    </row>
    <row r="571" spans="1:11" x14ac:dyDescent="0.25">
      <c r="A571" s="1" t="s">
        <v>11</v>
      </c>
      <c r="B571" s="1" t="s">
        <v>773</v>
      </c>
      <c r="C571" s="1" t="s">
        <v>26</v>
      </c>
      <c r="D571" s="1" t="s">
        <v>932</v>
      </c>
      <c r="E571" s="1" t="s">
        <v>829</v>
      </c>
      <c r="F571" s="1" t="s">
        <v>173</v>
      </c>
      <c r="G571" s="1">
        <v>38375</v>
      </c>
      <c r="H571" s="1">
        <v>0</v>
      </c>
      <c r="I571" s="1">
        <v>0</v>
      </c>
      <c r="J571" s="1" t="s">
        <v>173</v>
      </c>
      <c r="K571" s="1">
        <v>38375</v>
      </c>
    </row>
    <row r="572" spans="1:11" x14ac:dyDescent="0.25">
      <c r="A572" s="1" t="s">
        <v>11</v>
      </c>
      <c r="B572" s="1" t="s">
        <v>773</v>
      </c>
      <c r="C572" s="1" t="s">
        <v>26</v>
      </c>
      <c r="D572" s="1" t="s">
        <v>933</v>
      </c>
      <c r="E572" s="1" t="s">
        <v>831</v>
      </c>
      <c r="F572" s="1" t="s">
        <v>173</v>
      </c>
      <c r="G572" s="1">
        <v>108544</v>
      </c>
      <c r="H572" s="1">
        <v>0</v>
      </c>
      <c r="I572" s="1">
        <v>0</v>
      </c>
      <c r="J572" s="1" t="s">
        <v>173</v>
      </c>
      <c r="K572" s="1">
        <v>108544</v>
      </c>
    </row>
    <row r="573" spans="1:11" x14ac:dyDescent="0.25">
      <c r="A573" s="1" t="s">
        <v>11</v>
      </c>
      <c r="B573" s="1" t="s">
        <v>773</v>
      </c>
      <c r="C573" s="1" t="s">
        <v>26</v>
      </c>
      <c r="D573" s="1" t="s">
        <v>934</v>
      </c>
      <c r="E573" s="1" t="s">
        <v>833</v>
      </c>
      <c r="F573" s="1" t="s">
        <v>173</v>
      </c>
      <c r="G573" s="1">
        <v>444151</v>
      </c>
      <c r="H573" s="1">
        <v>0</v>
      </c>
      <c r="I573" s="1">
        <v>60879</v>
      </c>
      <c r="J573" s="1" t="s">
        <v>173</v>
      </c>
      <c r="K573" s="1">
        <v>505030</v>
      </c>
    </row>
    <row r="574" spans="1:11" x14ac:dyDescent="0.25">
      <c r="A574" s="1" t="s">
        <v>11</v>
      </c>
      <c r="B574" s="1" t="s">
        <v>773</v>
      </c>
      <c r="C574" s="1" t="s">
        <v>23</v>
      </c>
      <c r="D574" s="1" t="s">
        <v>935</v>
      </c>
      <c r="E574" s="1" t="s">
        <v>572</v>
      </c>
      <c r="F574" s="1" t="s">
        <v>173</v>
      </c>
      <c r="G574" s="1">
        <v>167657434</v>
      </c>
      <c r="H574" s="1">
        <v>403551</v>
      </c>
      <c r="I574" s="1">
        <v>7439478</v>
      </c>
      <c r="J574" s="1" t="s">
        <v>173</v>
      </c>
      <c r="K574" s="1">
        <v>174693361</v>
      </c>
    </row>
    <row r="575" spans="1:11" x14ac:dyDescent="0.25">
      <c r="A575" s="1" t="s">
        <v>11</v>
      </c>
      <c r="B575" s="1" t="s">
        <v>773</v>
      </c>
      <c r="C575" s="1" t="s">
        <v>26</v>
      </c>
      <c r="D575" s="1" t="s">
        <v>936</v>
      </c>
      <c r="E575" s="1" t="s">
        <v>937</v>
      </c>
      <c r="F575" s="1" t="s">
        <v>173</v>
      </c>
      <c r="G575" s="1">
        <v>167657434</v>
      </c>
      <c r="H575" s="1">
        <v>403551</v>
      </c>
      <c r="I575" s="1">
        <v>7439478</v>
      </c>
      <c r="J575" s="1" t="s">
        <v>173</v>
      </c>
      <c r="K575" s="1">
        <v>174693361</v>
      </c>
    </row>
    <row r="576" spans="1:11" x14ac:dyDescent="0.25">
      <c r="A576" s="1" t="s">
        <v>11</v>
      </c>
      <c r="B576" s="1" t="s">
        <v>773</v>
      </c>
      <c r="C576" s="1" t="s">
        <v>23</v>
      </c>
      <c r="D576" s="1" t="s">
        <v>938</v>
      </c>
      <c r="E576" s="1" t="s">
        <v>131</v>
      </c>
      <c r="F576" s="1" t="s">
        <v>14</v>
      </c>
      <c r="G576" s="1">
        <v>-675168851</v>
      </c>
      <c r="H576" s="1">
        <v>851106478</v>
      </c>
      <c r="I576" s="1">
        <v>0</v>
      </c>
      <c r="J576" s="1" t="s">
        <v>14</v>
      </c>
      <c r="K576" s="1">
        <v>-1526275329</v>
      </c>
    </row>
    <row r="577" spans="1:11" x14ac:dyDescent="0.25">
      <c r="A577" s="1" t="s">
        <v>11</v>
      </c>
      <c r="B577" s="1" t="s">
        <v>773</v>
      </c>
      <c r="C577" s="1" t="s">
        <v>26</v>
      </c>
      <c r="D577" s="1" t="s">
        <v>939</v>
      </c>
      <c r="E577" s="1" t="s">
        <v>836</v>
      </c>
      <c r="F577" s="1" t="s">
        <v>14</v>
      </c>
      <c r="G577" s="1">
        <v>-185650659</v>
      </c>
      <c r="H577" s="1">
        <v>441930212</v>
      </c>
      <c r="I577" s="1">
        <v>0</v>
      </c>
      <c r="J577" s="1" t="s">
        <v>14</v>
      </c>
      <c r="K577" s="1">
        <v>-627580871</v>
      </c>
    </row>
    <row r="578" spans="1:11" x14ac:dyDescent="0.25">
      <c r="A578" s="1" t="s">
        <v>11</v>
      </c>
      <c r="B578" s="1" t="s">
        <v>773</v>
      </c>
      <c r="C578" s="1" t="s">
        <v>26</v>
      </c>
      <c r="D578" s="1" t="s">
        <v>940</v>
      </c>
      <c r="E578" s="1" t="s">
        <v>838</v>
      </c>
      <c r="F578" s="1" t="s">
        <v>14</v>
      </c>
      <c r="G578" s="1">
        <v>-489518192</v>
      </c>
      <c r="H578" s="1">
        <v>409176266</v>
      </c>
      <c r="I578" s="1">
        <v>0</v>
      </c>
      <c r="J578" s="1" t="s">
        <v>14</v>
      </c>
      <c r="K578" s="1">
        <v>-898694458</v>
      </c>
    </row>
    <row r="579" spans="1:11" x14ac:dyDescent="0.25">
      <c r="A579" s="1" t="s">
        <v>11</v>
      </c>
      <c r="B579" s="1" t="s">
        <v>773</v>
      </c>
      <c r="C579" s="1" t="s">
        <v>18</v>
      </c>
      <c r="D579" s="1" t="s">
        <v>941</v>
      </c>
      <c r="E579" s="1" t="s">
        <v>819</v>
      </c>
      <c r="F579" s="1" t="s">
        <v>173</v>
      </c>
      <c r="G579" s="1">
        <v>11603367785</v>
      </c>
      <c r="H579" s="1">
        <v>471255314</v>
      </c>
      <c r="I579" s="1">
        <v>894442224</v>
      </c>
      <c r="J579" s="1" t="s">
        <v>173</v>
      </c>
      <c r="K579" s="1">
        <v>12026554695</v>
      </c>
    </row>
    <row r="580" spans="1:11" x14ac:dyDescent="0.25">
      <c r="A580" s="1" t="s">
        <v>11</v>
      </c>
      <c r="B580" s="1" t="s">
        <v>773</v>
      </c>
      <c r="C580" s="1" t="s">
        <v>21</v>
      </c>
      <c r="D580" s="1" t="s">
        <v>942</v>
      </c>
      <c r="E580" s="1" t="s">
        <v>819</v>
      </c>
      <c r="F580" s="1" t="s">
        <v>173</v>
      </c>
      <c r="G580" s="1">
        <v>11603367785</v>
      </c>
      <c r="H580" s="1">
        <v>471255314</v>
      </c>
      <c r="I580" s="1">
        <v>894442224</v>
      </c>
      <c r="J580" s="1" t="s">
        <v>173</v>
      </c>
      <c r="K580" s="1">
        <v>12026554695</v>
      </c>
    </row>
    <row r="581" spans="1:11" x14ac:dyDescent="0.25">
      <c r="A581" s="1" t="s">
        <v>11</v>
      </c>
      <c r="B581" s="1" t="s">
        <v>773</v>
      </c>
      <c r="C581" s="1" t="s">
        <v>23</v>
      </c>
      <c r="D581" s="1" t="s">
        <v>943</v>
      </c>
      <c r="E581" s="1" t="s">
        <v>237</v>
      </c>
      <c r="F581" s="1" t="s">
        <v>173</v>
      </c>
      <c r="G581" s="1">
        <v>124498273</v>
      </c>
      <c r="H581" s="1">
        <v>247792</v>
      </c>
      <c r="I581" s="1">
        <v>6668852</v>
      </c>
      <c r="J581" s="1" t="s">
        <v>173</v>
      </c>
      <c r="K581" s="1">
        <v>130919333</v>
      </c>
    </row>
    <row r="582" spans="1:11" x14ac:dyDescent="0.25">
      <c r="A582" s="1" t="s">
        <v>11</v>
      </c>
      <c r="B582" s="1" t="s">
        <v>773</v>
      </c>
      <c r="C582" s="1" t="s">
        <v>26</v>
      </c>
      <c r="D582" s="1" t="s">
        <v>944</v>
      </c>
      <c r="E582" s="1" t="s">
        <v>237</v>
      </c>
      <c r="F582" s="1" t="s">
        <v>173</v>
      </c>
      <c r="G582" s="1">
        <v>124498273</v>
      </c>
      <c r="H582" s="1">
        <v>247792</v>
      </c>
      <c r="I582" s="1">
        <v>6668852</v>
      </c>
      <c r="J582" s="1" t="s">
        <v>173</v>
      </c>
      <c r="K582" s="1">
        <v>130919333</v>
      </c>
    </row>
    <row r="583" spans="1:11" x14ac:dyDescent="0.25">
      <c r="A583" s="1" t="s">
        <v>11</v>
      </c>
      <c r="B583" s="1" t="s">
        <v>773</v>
      </c>
      <c r="C583" s="1" t="s">
        <v>23</v>
      </c>
      <c r="D583" s="1" t="s">
        <v>945</v>
      </c>
      <c r="E583" s="1" t="s">
        <v>782</v>
      </c>
      <c r="F583" s="1" t="s">
        <v>173</v>
      </c>
      <c r="G583" s="1">
        <v>1920445470</v>
      </c>
      <c r="H583" s="1">
        <v>1534397</v>
      </c>
      <c r="I583" s="1">
        <v>119605556</v>
      </c>
      <c r="J583" s="1" t="s">
        <v>173</v>
      </c>
      <c r="K583" s="1">
        <v>2038516629</v>
      </c>
    </row>
    <row r="584" spans="1:11" x14ac:dyDescent="0.25">
      <c r="A584" s="1" t="s">
        <v>11</v>
      </c>
      <c r="B584" s="1" t="s">
        <v>773</v>
      </c>
      <c r="C584" s="1" t="s">
        <v>26</v>
      </c>
      <c r="D584" s="1" t="s">
        <v>946</v>
      </c>
      <c r="E584" s="1" t="s">
        <v>784</v>
      </c>
      <c r="F584" s="1" t="s">
        <v>173</v>
      </c>
      <c r="G584" s="1">
        <v>1409134160</v>
      </c>
      <c r="H584" s="1">
        <v>614456</v>
      </c>
      <c r="I584" s="1">
        <v>81172893</v>
      </c>
      <c r="J584" s="1" t="s">
        <v>173</v>
      </c>
      <c r="K584" s="1">
        <v>1489692597</v>
      </c>
    </row>
    <row r="585" spans="1:11" x14ac:dyDescent="0.25">
      <c r="A585" s="1" t="s">
        <v>11</v>
      </c>
      <c r="B585" s="1" t="s">
        <v>773</v>
      </c>
      <c r="C585" s="1" t="s">
        <v>26</v>
      </c>
      <c r="D585" s="1" t="s">
        <v>947</v>
      </c>
      <c r="E585" s="1" t="s">
        <v>948</v>
      </c>
      <c r="F585" s="1" t="s">
        <v>173</v>
      </c>
      <c r="G585" s="1">
        <v>511311310</v>
      </c>
      <c r="H585" s="1">
        <v>919941</v>
      </c>
      <c r="I585" s="1">
        <v>38432663</v>
      </c>
      <c r="J585" s="1" t="s">
        <v>173</v>
      </c>
      <c r="K585" s="1">
        <v>548824032</v>
      </c>
    </row>
    <row r="586" spans="1:11" x14ac:dyDescent="0.25">
      <c r="A586" s="1" t="s">
        <v>11</v>
      </c>
      <c r="B586" s="1" t="s">
        <v>773</v>
      </c>
      <c r="C586" s="1" t="s">
        <v>23</v>
      </c>
      <c r="D586" s="1" t="s">
        <v>949</v>
      </c>
      <c r="E586" s="1" t="s">
        <v>795</v>
      </c>
      <c r="F586" s="1" t="s">
        <v>173</v>
      </c>
      <c r="G586" s="1">
        <v>144090602</v>
      </c>
      <c r="H586" s="1">
        <v>0</v>
      </c>
      <c r="I586" s="1">
        <v>8817626</v>
      </c>
      <c r="J586" s="1" t="s">
        <v>173</v>
      </c>
      <c r="K586" s="1">
        <v>152908228</v>
      </c>
    </row>
    <row r="587" spans="1:11" x14ac:dyDescent="0.25">
      <c r="A587" s="1" t="s">
        <v>11</v>
      </c>
      <c r="B587" s="1" t="s">
        <v>773</v>
      </c>
      <c r="C587" s="1" t="s">
        <v>26</v>
      </c>
      <c r="D587" s="1" t="s">
        <v>950</v>
      </c>
      <c r="E587" s="1" t="s">
        <v>801</v>
      </c>
      <c r="F587" s="1" t="s">
        <v>173</v>
      </c>
      <c r="G587" s="1">
        <v>144090602</v>
      </c>
      <c r="H587" s="1">
        <v>0</v>
      </c>
      <c r="I587" s="1">
        <v>8817626</v>
      </c>
      <c r="J587" s="1" t="s">
        <v>173</v>
      </c>
      <c r="K587" s="1">
        <v>152908228</v>
      </c>
    </row>
    <row r="588" spans="1:11" x14ac:dyDescent="0.25">
      <c r="A588" s="1" t="s">
        <v>11</v>
      </c>
      <c r="B588" s="1" t="s">
        <v>773</v>
      </c>
      <c r="C588" s="1" t="s">
        <v>23</v>
      </c>
      <c r="D588" s="1" t="s">
        <v>951</v>
      </c>
      <c r="E588" s="1" t="s">
        <v>809</v>
      </c>
      <c r="F588" s="1" t="s">
        <v>173</v>
      </c>
      <c r="G588" s="1">
        <v>8508067</v>
      </c>
      <c r="H588" s="1">
        <v>0</v>
      </c>
      <c r="I588" s="1">
        <v>372346</v>
      </c>
      <c r="J588" s="1" t="s">
        <v>173</v>
      </c>
      <c r="K588" s="1">
        <v>8880413</v>
      </c>
    </row>
    <row r="589" spans="1:11" x14ac:dyDescent="0.25">
      <c r="A589" s="1" t="s">
        <v>11</v>
      </c>
      <c r="B589" s="1" t="s">
        <v>773</v>
      </c>
      <c r="C589" s="1" t="s">
        <v>26</v>
      </c>
      <c r="D589" s="1" t="s">
        <v>952</v>
      </c>
      <c r="E589" s="1" t="s">
        <v>886</v>
      </c>
      <c r="F589" s="1" t="s">
        <v>173</v>
      </c>
      <c r="G589" s="1">
        <v>538715</v>
      </c>
      <c r="H589" s="1">
        <v>0</v>
      </c>
      <c r="I589" s="1">
        <v>0</v>
      </c>
      <c r="J589" s="1" t="s">
        <v>173</v>
      </c>
      <c r="K589" s="1">
        <v>538715</v>
      </c>
    </row>
    <row r="590" spans="1:11" x14ac:dyDescent="0.25">
      <c r="A590" s="1" t="s">
        <v>11</v>
      </c>
      <c r="B590" s="1" t="s">
        <v>773</v>
      </c>
      <c r="C590" s="1" t="s">
        <v>26</v>
      </c>
      <c r="D590" s="1" t="s">
        <v>953</v>
      </c>
      <c r="E590" s="1" t="s">
        <v>815</v>
      </c>
      <c r="F590" s="1" t="s">
        <v>173</v>
      </c>
      <c r="G590" s="1">
        <v>7969352</v>
      </c>
      <c r="H590" s="1">
        <v>0</v>
      </c>
      <c r="I590" s="1">
        <v>372346</v>
      </c>
      <c r="J590" s="1" t="s">
        <v>173</v>
      </c>
      <c r="K590" s="1">
        <v>8341698</v>
      </c>
    </row>
    <row r="591" spans="1:11" x14ac:dyDescent="0.25">
      <c r="A591" s="1" t="s">
        <v>11</v>
      </c>
      <c r="B591" s="1" t="s">
        <v>773</v>
      </c>
      <c r="C591" s="1" t="s">
        <v>23</v>
      </c>
      <c r="D591" s="1" t="s">
        <v>954</v>
      </c>
      <c r="E591" s="1" t="s">
        <v>819</v>
      </c>
      <c r="F591" s="1" t="s">
        <v>173</v>
      </c>
      <c r="G591" s="1">
        <v>4220796052</v>
      </c>
      <c r="H591" s="1">
        <v>12747197</v>
      </c>
      <c r="I591" s="1">
        <v>301476491</v>
      </c>
      <c r="J591" s="1" t="s">
        <v>173</v>
      </c>
      <c r="K591" s="1">
        <v>4509525346</v>
      </c>
    </row>
    <row r="592" spans="1:11" x14ac:dyDescent="0.25">
      <c r="A592" s="1" t="s">
        <v>11</v>
      </c>
      <c r="B592" s="1" t="s">
        <v>773</v>
      </c>
      <c r="C592" s="1" t="s">
        <v>26</v>
      </c>
      <c r="D592" s="1" t="s">
        <v>955</v>
      </c>
      <c r="E592" s="1" t="s">
        <v>821</v>
      </c>
      <c r="F592" s="1" t="s">
        <v>173</v>
      </c>
      <c r="G592" s="1">
        <v>109473695</v>
      </c>
      <c r="H592" s="1">
        <v>0</v>
      </c>
      <c r="I592" s="1">
        <v>0</v>
      </c>
      <c r="J592" s="1" t="s">
        <v>173</v>
      </c>
      <c r="K592" s="1">
        <v>109473695</v>
      </c>
    </row>
    <row r="593" spans="1:11" x14ac:dyDescent="0.25">
      <c r="A593" s="1" t="s">
        <v>11</v>
      </c>
      <c r="B593" s="1" t="s">
        <v>773</v>
      </c>
      <c r="C593" s="1" t="s">
        <v>26</v>
      </c>
      <c r="D593" s="1" t="s">
        <v>956</v>
      </c>
      <c r="E593" s="1" t="s">
        <v>823</v>
      </c>
      <c r="F593" s="1" t="s">
        <v>173</v>
      </c>
      <c r="G593" s="1">
        <v>57030525</v>
      </c>
      <c r="H593" s="1">
        <v>0</v>
      </c>
      <c r="I593" s="1">
        <v>6800122</v>
      </c>
      <c r="J593" s="1" t="s">
        <v>173</v>
      </c>
      <c r="K593" s="1">
        <v>63830647</v>
      </c>
    </row>
    <row r="594" spans="1:11" x14ac:dyDescent="0.25">
      <c r="A594" s="1" t="s">
        <v>11</v>
      </c>
      <c r="B594" s="1" t="s">
        <v>773</v>
      </c>
      <c r="C594" s="1" t="s">
        <v>26</v>
      </c>
      <c r="D594" s="1" t="s">
        <v>957</v>
      </c>
      <c r="E594" s="1" t="s">
        <v>958</v>
      </c>
      <c r="F594" s="1" t="s">
        <v>173</v>
      </c>
      <c r="G594" s="1">
        <v>462704676</v>
      </c>
      <c r="H594" s="1">
        <v>1910297</v>
      </c>
      <c r="I594" s="1">
        <v>26751650</v>
      </c>
      <c r="J594" s="1" t="s">
        <v>173</v>
      </c>
      <c r="K594" s="1">
        <v>487546029</v>
      </c>
    </row>
    <row r="595" spans="1:11" x14ac:dyDescent="0.25">
      <c r="A595" s="1" t="s">
        <v>11</v>
      </c>
      <c r="B595" s="1" t="s">
        <v>773</v>
      </c>
      <c r="C595" s="1" t="s">
        <v>26</v>
      </c>
      <c r="D595" s="1" t="s">
        <v>959</v>
      </c>
      <c r="E595" s="1" t="s">
        <v>960</v>
      </c>
      <c r="F595" s="1" t="s">
        <v>173</v>
      </c>
      <c r="G595" s="1">
        <v>117331602</v>
      </c>
      <c r="H595" s="1">
        <v>1060931</v>
      </c>
      <c r="I595" s="1">
        <v>8669596</v>
      </c>
      <c r="J595" s="1" t="s">
        <v>173</v>
      </c>
      <c r="K595" s="1">
        <v>124940267</v>
      </c>
    </row>
    <row r="596" spans="1:11" x14ac:dyDescent="0.25">
      <c r="A596" s="1" t="s">
        <v>11</v>
      </c>
      <c r="B596" s="1" t="s">
        <v>773</v>
      </c>
      <c r="C596" s="1" t="s">
        <v>26</v>
      </c>
      <c r="D596" s="1" t="s">
        <v>961</v>
      </c>
      <c r="E596" s="1" t="s">
        <v>962</v>
      </c>
      <c r="F596" s="1" t="s">
        <v>173</v>
      </c>
      <c r="G596" s="1">
        <v>3270433883</v>
      </c>
      <c r="H596" s="1">
        <v>9202281</v>
      </c>
      <c r="I596" s="1">
        <v>247814798</v>
      </c>
      <c r="J596" s="1" t="s">
        <v>173</v>
      </c>
      <c r="K596" s="1">
        <v>3509046400</v>
      </c>
    </row>
    <row r="597" spans="1:11" x14ac:dyDescent="0.25">
      <c r="A597" s="1" t="s">
        <v>11</v>
      </c>
      <c r="B597" s="1" t="s">
        <v>773</v>
      </c>
      <c r="C597" s="1" t="s">
        <v>26</v>
      </c>
      <c r="D597" s="1" t="s">
        <v>963</v>
      </c>
      <c r="E597" s="1" t="s">
        <v>964</v>
      </c>
      <c r="F597" s="1" t="s">
        <v>173</v>
      </c>
      <c r="G597" s="1">
        <v>203821671</v>
      </c>
      <c r="H597" s="1">
        <v>573688</v>
      </c>
      <c r="I597" s="1">
        <v>11440325</v>
      </c>
      <c r="J597" s="1" t="s">
        <v>173</v>
      </c>
      <c r="K597" s="1">
        <v>214688308</v>
      </c>
    </row>
    <row r="598" spans="1:11" x14ac:dyDescent="0.25">
      <c r="A598" s="1" t="s">
        <v>11</v>
      </c>
      <c r="B598" s="1" t="s">
        <v>773</v>
      </c>
      <c r="C598" s="1" t="s">
        <v>23</v>
      </c>
      <c r="D598" s="1" t="s">
        <v>965</v>
      </c>
      <c r="E598" s="1" t="s">
        <v>966</v>
      </c>
      <c r="F598" s="1" t="s">
        <v>173</v>
      </c>
      <c r="G598" s="1">
        <v>4785114183</v>
      </c>
      <c r="H598" s="1">
        <v>6521881</v>
      </c>
      <c r="I598" s="1">
        <v>457501353</v>
      </c>
      <c r="J598" s="1" t="s">
        <v>173</v>
      </c>
      <c r="K598" s="1">
        <v>5236093655</v>
      </c>
    </row>
    <row r="599" spans="1:11" x14ac:dyDescent="0.25">
      <c r="A599" s="1" t="s">
        <v>11</v>
      </c>
      <c r="B599" s="1" t="s">
        <v>773</v>
      </c>
      <c r="C599" s="1" t="s">
        <v>26</v>
      </c>
      <c r="D599" s="1" t="s">
        <v>967</v>
      </c>
      <c r="E599" s="1" t="s">
        <v>968</v>
      </c>
      <c r="F599" s="1" t="s">
        <v>173</v>
      </c>
      <c r="G599" s="1">
        <v>789463964</v>
      </c>
      <c r="H599" s="1">
        <v>1897535</v>
      </c>
      <c r="I599" s="1">
        <v>72732203</v>
      </c>
      <c r="J599" s="1" t="s">
        <v>173</v>
      </c>
      <c r="K599" s="1">
        <v>860298632</v>
      </c>
    </row>
    <row r="600" spans="1:11" x14ac:dyDescent="0.25">
      <c r="A600" s="1" t="s">
        <v>11</v>
      </c>
      <c r="B600" s="1" t="s">
        <v>773</v>
      </c>
      <c r="C600" s="1" t="s">
        <v>26</v>
      </c>
      <c r="D600" s="1" t="s">
        <v>969</v>
      </c>
      <c r="E600" s="1" t="s">
        <v>970</v>
      </c>
      <c r="F600" s="1" t="s">
        <v>173</v>
      </c>
      <c r="G600" s="1">
        <v>395107453</v>
      </c>
      <c r="H600" s="1">
        <v>1071320</v>
      </c>
      <c r="I600" s="1">
        <v>33568135</v>
      </c>
      <c r="J600" s="1" t="s">
        <v>173</v>
      </c>
      <c r="K600" s="1">
        <v>427604268</v>
      </c>
    </row>
    <row r="601" spans="1:11" x14ac:dyDescent="0.25">
      <c r="A601" s="1" t="s">
        <v>11</v>
      </c>
      <c r="B601" s="1" t="s">
        <v>773</v>
      </c>
      <c r="C601" s="1" t="s">
        <v>26</v>
      </c>
      <c r="D601" s="1" t="s">
        <v>971</v>
      </c>
      <c r="E601" s="1" t="s">
        <v>972</v>
      </c>
      <c r="F601" s="1" t="s">
        <v>173</v>
      </c>
      <c r="G601" s="1">
        <v>1004468705</v>
      </c>
      <c r="H601" s="1">
        <v>463374</v>
      </c>
      <c r="I601" s="1">
        <v>143810928</v>
      </c>
      <c r="J601" s="1" t="s">
        <v>173</v>
      </c>
      <c r="K601" s="1">
        <v>1147816259</v>
      </c>
    </row>
    <row r="602" spans="1:11" x14ac:dyDescent="0.25">
      <c r="A602" s="1" t="s">
        <v>11</v>
      </c>
      <c r="B602" s="1" t="s">
        <v>773</v>
      </c>
      <c r="C602" s="1" t="s">
        <v>26</v>
      </c>
      <c r="D602" s="1" t="s">
        <v>973</v>
      </c>
      <c r="E602" s="1" t="s">
        <v>974</v>
      </c>
      <c r="F602" s="1" t="s">
        <v>173</v>
      </c>
      <c r="G602" s="1">
        <v>2596074061</v>
      </c>
      <c r="H602" s="1">
        <v>3089652</v>
      </c>
      <c r="I602" s="1">
        <v>207390087</v>
      </c>
      <c r="J602" s="1" t="s">
        <v>173</v>
      </c>
      <c r="K602" s="1">
        <v>2800374496</v>
      </c>
    </row>
    <row r="603" spans="1:11" x14ac:dyDescent="0.25">
      <c r="A603" s="1" t="s">
        <v>11</v>
      </c>
      <c r="B603" s="1" t="s">
        <v>773</v>
      </c>
      <c r="C603" s="1" t="s">
        <v>23</v>
      </c>
      <c r="D603" s="1" t="s">
        <v>975</v>
      </c>
      <c r="E603" s="1" t="s">
        <v>131</v>
      </c>
      <c r="F603" s="1" t="s">
        <v>173</v>
      </c>
      <c r="G603" s="1">
        <v>399915138</v>
      </c>
      <c r="H603" s="1">
        <v>450204047</v>
      </c>
      <c r="I603" s="1">
        <v>0</v>
      </c>
      <c r="J603" s="1" t="s">
        <v>14</v>
      </c>
      <c r="K603" s="1">
        <v>-50288909</v>
      </c>
    </row>
    <row r="604" spans="1:11" x14ac:dyDescent="0.25">
      <c r="A604" s="1" t="s">
        <v>11</v>
      </c>
      <c r="B604" s="1" t="s">
        <v>773</v>
      </c>
      <c r="C604" s="1" t="s">
        <v>26</v>
      </c>
      <c r="D604" s="1" t="s">
        <v>976</v>
      </c>
      <c r="E604" s="1" t="s">
        <v>836</v>
      </c>
      <c r="F604" s="1" t="s">
        <v>173</v>
      </c>
      <c r="G604" s="1">
        <v>1825962</v>
      </c>
      <c r="H604" s="1">
        <v>39401185</v>
      </c>
      <c r="I604" s="1">
        <v>0</v>
      </c>
      <c r="J604" s="1" t="s">
        <v>14</v>
      </c>
      <c r="K604" s="1">
        <v>-37575223</v>
      </c>
    </row>
    <row r="605" spans="1:11" x14ac:dyDescent="0.25">
      <c r="A605" s="1" t="s">
        <v>11</v>
      </c>
      <c r="B605" s="1" t="s">
        <v>773</v>
      </c>
      <c r="C605" s="1" t="s">
        <v>26</v>
      </c>
      <c r="D605" s="1" t="s">
        <v>977</v>
      </c>
      <c r="E605" s="1" t="s">
        <v>838</v>
      </c>
      <c r="F605" s="1" t="s">
        <v>173</v>
      </c>
      <c r="G605" s="1">
        <v>398089176</v>
      </c>
      <c r="H605" s="1">
        <v>410802862</v>
      </c>
      <c r="I605" s="1">
        <v>0</v>
      </c>
      <c r="J605" s="1" t="s">
        <v>14</v>
      </c>
      <c r="K605" s="1">
        <v>-12713686</v>
      </c>
    </row>
    <row r="606" spans="1:11" x14ac:dyDescent="0.25">
      <c r="A606" s="1" t="s">
        <v>11</v>
      </c>
      <c r="B606" s="1" t="s">
        <v>773</v>
      </c>
      <c r="C606" s="1" t="s">
        <v>18</v>
      </c>
      <c r="D606" s="1" t="s">
        <v>978</v>
      </c>
      <c r="E606" s="1" t="s">
        <v>825</v>
      </c>
      <c r="F606" s="1" t="s">
        <v>173</v>
      </c>
      <c r="G606" s="1">
        <v>193707338</v>
      </c>
      <c r="H606" s="1">
        <v>21964049</v>
      </c>
      <c r="I606" s="1">
        <v>8472093</v>
      </c>
      <c r="J606" s="1" t="s">
        <v>173</v>
      </c>
      <c r="K606" s="1">
        <v>180215382</v>
      </c>
    </row>
    <row r="607" spans="1:11" x14ac:dyDescent="0.25">
      <c r="A607" s="1" t="s">
        <v>11</v>
      </c>
      <c r="B607" s="1" t="s">
        <v>773</v>
      </c>
      <c r="C607" s="1" t="s">
        <v>21</v>
      </c>
      <c r="D607" s="1" t="s">
        <v>979</v>
      </c>
      <c r="E607" s="1" t="s">
        <v>825</v>
      </c>
      <c r="F607" s="1" t="s">
        <v>173</v>
      </c>
      <c r="G607" s="1">
        <v>193707338</v>
      </c>
      <c r="H607" s="1">
        <v>21964049</v>
      </c>
      <c r="I607" s="1">
        <v>8472093</v>
      </c>
      <c r="J607" s="1" t="s">
        <v>173</v>
      </c>
      <c r="K607" s="1">
        <v>180215382</v>
      </c>
    </row>
    <row r="608" spans="1:11" x14ac:dyDescent="0.25">
      <c r="A608" s="1" t="s">
        <v>11</v>
      </c>
      <c r="B608" s="1" t="s">
        <v>773</v>
      </c>
      <c r="C608" s="1" t="s">
        <v>23</v>
      </c>
      <c r="D608" s="1" t="s">
        <v>980</v>
      </c>
      <c r="E608" s="1" t="s">
        <v>237</v>
      </c>
      <c r="F608" s="1" t="s">
        <v>173</v>
      </c>
      <c r="G608" s="1">
        <v>94608</v>
      </c>
      <c r="H608" s="1">
        <v>0</v>
      </c>
      <c r="I608" s="1">
        <v>0</v>
      </c>
      <c r="J608" s="1" t="s">
        <v>173</v>
      </c>
      <c r="K608" s="1">
        <v>94608</v>
      </c>
    </row>
    <row r="609" spans="1:11" x14ac:dyDescent="0.25">
      <c r="A609" s="1" t="s">
        <v>11</v>
      </c>
      <c r="B609" s="1" t="s">
        <v>773</v>
      </c>
      <c r="C609" s="1" t="s">
        <v>26</v>
      </c>
      <c r="D609" s="1" t="s">
        <v>981</v>
      </c>
      <c r="E609" s="1" t="s">
        <v>237</v>
      </c>
      <c r="F609" s="1" t="s">
        <v>173</v>
      </c>
      <c r="G609" s="1">
        <v>94608</v>
      </c>
      <c r="H609" s="1">
        <v>0</v>
      </c>
      <c r="I609" s="1">
        <v>0</v>
      </c>
      <c r="J609" s="1" t="s">
        <v>173</v>
      </c>
      <c r="K609" s="1">
        <v>94608</v>
      </c>
    </row>
    <row r="610" spans="1:11" x14ac:dyDescent="0.25">
      <c r="A610" s="1" t="s">
        <v>11</v>
      </c>
      <c r="B610" s="1" t="s">
        <v>773</v>
      </c>
      <c r="C610" s="1" t="s">
        <v>23</v>
      </c>
      <c r="D610" s="1" t="s">
        <v>982</v>
      </c>
      <c r="E610" s="1" t="s">
        <v>782</v>
      </c>
      <c r="F610" s="1" t="s">
        <v>173</v>
      </c>
      <c r="G610" s="1">
        <v>9891905</v>
      </c>
      <c r="H610" s="1">
        <v>0</v>
      </c>
      <c r="I610" s="1">
        <v>1257772</v>
      </c>
      <c r="J610" s="1" t="s">
        <v>173</v>
      </c>
      <c r="K610" s="1">
        <v>11149677</v>
      </c>
    </row>
    <row r="611" spans="1:11" x14ac:dyDescent="0.25">
      <c r="A611" s="1" t="s">
        <v>11</v>
      </c>
      <c r="B611" s="1" t="s">
        <v>773</v>
      </c>
      <c r="C611" s="1" t="s">
        <v>26</v>
      </c>
      <c r="D611" s="1" t="s">
        <v>983</v>
      </c>
      <c r="E611" s="1" t="s">
        <v>784</v>
      </c>
      <c r="F611" s="1" t="s">
        <v>173</v>
      </c>
      <c r="G611" s="1">
        <v>9891905</v>
      </c>
      <c r="H611" s="1">
        <v>0</v>
      </c>
      <c r="I611" s="1">
        <v>1257772</v>
      </c>
      <c r="J611" s="1" t="s">
        <v>173</v>
      </c>
      <c r="K611" s="1">
        <v>11149677</v>
      </c>
    </row>
    <row r="612" spans="1:11" x14ac:dyDescent="0.25">
      <c r="A612" s="1" t="s">
        <v>11</v>
      </c>
      <c r="B612" s="1" t="s">
        <v>773</v>
      </c>
      <c r="C612" s="1" t="s">
        <v>23</v>
      </c>
      <c r="D612" s="1" t="s">
        <v>984</v>
      </c>
      <c r="E612" s="1" t="s">
        <v>795</v>
      </c>
      <c r="F612" s="1" t="s">
        <v>173</v>
      </c>
      <c r="G612" s="1">
        <v>7498445</v>
      </c>
      <c r="H612" s="1">
        <v>0</v>
      </c>
      <c r="I612" s="1">
        <v>19282</v>
      </c>
      <c r="J612" s="1" t="s">
        <v>173</v>
      </c>
      <c r="K612" s="1">
        <v>7517727</v>
      </c>
    </row>
    <row r="613" spans="1:11" x14ac:dyDescent="0.25">
      <c r="A613" s="1" t="s">
        <v>11</v>
      </c>
      <c r="B613" s="1" t="s">
        <v>773</v>
      </c>
      <c r="C613" s="1" t="s">
        <v>26</v>
      </c>
      <c r="D613" s="1" t="s">
        <v>985</v>
      </c>
      <c r="E613" s="1" t="s">
        <v>799</v>
      </c>
      <c r="F613" s="1" t="s">
        <v>173</v>
      </c>
      <c r="G613" s="1">
        <v>3622245</v>
      </c>
      <c r="H613" s="1">
        <v>0</v>
      </c>
      <c r="I613" s="1">
        <v>19282</v>
      </c>
      <c r="J613" s="1" t="s">
        <v>173</v>
      </c>
      <c r="K613" s="1">
        <v>3641527</v>
      </c>
    </row>
    <row r="614" spans="1:11" x14ac:dyDescent="0.25">
      <c r="A614" s="1" t="s">
        <v>11</v>
      </c>
      <c r="B614" s="1" t="s">
        <v>773</v>
      </c>
      <c r="C614" s="1" t="s">
        <v>26</v>
      </c>
      <c r="D614" s="1" t="s">
        <v>986</v>
      </c>
      <c r="E614" s="1" t="s">
        <v>803</v>
      </c>
      <c r="F614" s="1" t="s">
        <v>173</v>
      </c>
      <c r="G614" s="1">
        <v>3876200</v>
      </c>
      <c r="H614" s="1">
        <v>0</v>
      </c>
      <c r="I614" s="1">
        <v>0</v>
      </c>
      <c r="J614" s="1" t="s">
        <v>173</v>
      </c>
      <c r="K614" s="1">
        <v>3876200</v>
      </c>
    </row>
    <row r="615" spans="1:11" x14ac:dyDescent="0.25">
      <c r="A615" s="1" t="s">
        <v>11</v>
      </c>
      <c r="B615" s="1" t="s">
        <v>773</v>
      </c>
      <c r="C615" s="1" t="s">
        <v>23</v>
      </c>
      <c r="D615" s="1" t="s">
        <v>987</v>
      </c>
      <c r="E615" s="1" t="s">
        <v>809</v>
      </c>
      <c r="F615" s="1" t="s">
        <v>173</v>
      </c>
      <c r="G615" s="1">
        <v>3606246</v>
      </c>
      <c r="H615" s="1">
        <v>0</v>
      </c>
      <c r="I615" s="1">
        <v>7706</v>
      </c>
      <c r="J615" s="1" t="s">
        <v>173</v>
      </c>
      <c r="K615" s="1">
        <v>3613952</v>
      </c>
    </row>
    <row r="616" spans="1:11" x14ac:dyDescent="0.25">
      <c r="A616" s="1" t="s">
        <v>11</v>
      </c>
      <c r="B616" s="1" t="s">
        <v>773</v>
      </c>
      <c r="C616" s="1" t="s">
        <v>26</v>
      </c>
      <c r="D616" s="1" t="s">
        <v>988</v>
      </c>
      <c r="E616" s="1" t="s">
        <v>817</v>
      </c>
      <c r="F616" s="1" t="s">
        <v>173</v>
      </c>
      <c r="G616" s="1">
        <v>3606246</v>
      </c>
      <c r="H616" s="1">
        <v>0</v>
      </c>
      <c r="I616" s="1">
        <v>7706</v>
      </c>
      <c r="J616" s="1" t="s">
        <v>173</v>
      </c>
      <c r="K616" s="1">
        <v>3613952</v>
      </c>
    </row>
    <row r="617" spans="1:11" x14ac:dyDescent="0.25">
      <c r="A617" s="1" t="s">
        <v>11</v>
      </c>
      <c r="B617" s="1" t="s">
        <v>773</v>
      </c>
      <c r="C617" s="1" t="s">
        <v>23</v>
      </c>
      <c r="D617" s="1" t="s">
        <v>989</v>
      </c>
      <c r="E617" s="1" t="s">
        <v>825</v>
      </c>
      <c r="F617" s="1" t="s">
        <v>173</v>
      </c>
      <c r="G617" s="1">
        <v>174110104</v>
      </c>
      <c r="H617" s="1">
        <v>604200</v>
      </c>
      <c r="I617" s="1">
        <v>7187333</v>
      </c>
      <c r="J617" s="1" t="s">
        <v>173</v>
      </c>
      <c r="K617" s="1">
        <v>180693237</v>
      </c>
    </row>
    <row r="618" spans="1:11" x14ac:dyDescent="0.25">
      <c r="A618" s="1" t="s">
        <v>11</v>
      </c>
      <c r="B618" s="1" t="s">
        <v>773</v>
      </c>
      <c r="C618" s="1" t="s">
        <v>26</v>
      </c>
      <c r="D618" s="1" t="s">
        <v>990</v>
      </c>
      <c r="E618" s="1" t="s">
        <v>827</v>
      </c>
      <c r="F618" s="1" t="s">
        <v>173</v>
      </c>
      <c r="G618" s="1">
        <v>167466250</v>
      </c>
      <c r="H618" s="1">
        <v>572400</v>
      </c>
      <c r="I618" s="1">
        <v>6848203</v>
      </c>
      <c r="J618" s="1" t="s">
        <v>173</v>
      </c>
      <c r="K618" s="1">
        <v>173742053</v>
      </c>
    </row>
    <row r="619" spans="1:11" x14ac:dyDescent="0.25">
      <c r="A619" s="1" t="s">
        <v>11</v>
      </c>
      <c r="B619" s="1" t="s">
        <v>773</v>
      </c>
      <c r="C619" s="1" t="s">
        <v>26</v>
      </c>
      <c r="D619" s="1" t="s">
        <v>991</v>
      </c>
      <c r="E619" s="1" t="s">
        <v>829</v>
      </c>
      <c r="F619" s="1" t="s">
        <v>173</v>
      </c>
      <c r="G619" s="1">
        <v>1494265</v>
      </c>
      <c r="H619" s="1">
        <v>0</v>
      </c>
      <c r="I619" s="1">
        <v>12593</v>
      </c>
      <c r="J619" s="1" t="s">
        <v>173</v>
      </c>
      <c r="K619" s="1">
        <v>1506858</v>
      </c>
    </row>
    <row r="620" spans="1:11" x14ac:dyDescent="0.25">
      <c r="A620" s="1" t="s">
        <v>11</v>
      </c>
      <c r="B620" s="1" t="s">
        <v>773</v>
      </c>
      <c r="C620" s="1" t="s">
        <v>26</v>
      </c>
      <c r="D620" s="1" t="s">
        <v>992</v>
      </c>
      <c r="E620" s="1" t="s">
        <v>831</v>
      </c>
      <c r="F620" s="1" t="s">
        <v>173</v>
      </c>
      <c r="G620" s="1">
        <v>3848407</v>
      </c>
      <c r="H620" s="1">
        <v>0</v>
      </c>
      <c r="I620" s="1">
        <v>214377</v>
      </c>
      <c r="J620" s="1" t="s">
        <v>173</v>
      </c>
      <c r="K620" s="1">
        <v>4062784</v>
      </c>
    </row>
    <row r="621" spans="1:11" x14ac:dyDescent="0.25">
      <c r="A621" s="1" t="s">
        <v>11</v>
      </c>
      <c r="B621" s="1" t="s">
        <v>773</v>
      </c>
      <c r="C621" s="1" t="s">
        <v>26</v>
      </c>
      <c r="D621" s="1" t="s">
        <v>993</v>
      </c>
      <c r="E621" s="1" t="s">
        <v>833</v>
      </c>
      <c r="F621" s="1" t="s">
        <v>173</v>
      </c>
      <c r="G621" s="1">
        <v>1301182</v>
      </c>
      <c r="H621" s="1">
        <v>31800</v>
      </c>
      <c r="I621" s="1">
        <v>112160</v>
      </c>
      <c r="J621" s="1" t="s">
        <v>173</v>
      </c>
      <c r="K621" s="1">
        <v>1381542</v>
      </c>
    </row>
    <row r="622" spans="1:11" x14ac:dyDescent="0.25">
      <c r="A622" s="1" t="s">
        <v>11</v>
      </c>
      <c r="B622" s="1" t="s">
        <v>773</v>
      </c>
      <c r="C622" s="1" t="s">
        <v>23</v>
      </c>
      <c r="D622" s="1" t="s">
        <v>994</v>
      </c>
      <c r="E622" s="1" t="s">
        <v>131</v>
      </c>
      <c r="F622" s="1" t="s">
        <v>14</v>
      </c>
      <c r="G622" s="1">
        <v>-1493970</v>
      </c>
      <c r="H622" s="1">
        <v>21359849</v>
      </c>
      <c r="I622" s="1">
        <v>0</v>
      </c>
      <c r="J622" s="1" t="s">
        <v>14</v>
      </c>
      <c r="K622" s="1">
        <v>-22853819</v>
      </c>
    </row>
    <row r="623" spans="1:11" x14ac:dyDescent="0.25">
      <c r="A623" s="1" t="s">
        <v>11</v>
      </c>
      <c r="B623" s="1" t="s">
        <v>773</v>
      </c>
      <c r="C623" s="1" t="s">
        <v>26</v>
      </c>
      <c r="D623" s="1" t="s">
        <v>995</v>
      </c>
      <c r="E623" s="1" t="s">
        <v>838</v>
      </c>
      <c r="F623" s="1" t="s">
        <v>14</v>
      </c>
      <c r="G623" s="1">
        <v>-1493970</v>
      </c>
      <c r="H623" s="1">
        <v>21359849</v>
      </c>
      <c r="I623" s="1">
        <v>0</v>
      </c>
      <c r="J623" s="1" t="s">
        <v>14</v>
      </c>
      <c r="K623" s="1">
        <v>-22853819</v>
      </c>
    </row>
    <row r="624" spans="1:11" x14ac:dyDescent="0.25">
      <c r="A624" s="1" t="s">
        <v>11</v>
      </c>
      <c r="B624" s="1" t="s">
        <v>773</v>
      </c>
      <c r="C624" s="1" t="s">
        <v>18</v>
      </c>
      <c r="D624" s="1" t="s">
        <v>996</v>
      </c>
      <c r="E624" s="1" t="s">
        <v>997</v>
      </c>
      <c r="F624" s="1" t="s">
        <v>14</v>
      </c>
      <c r="G624" s="1">
        <v>949021538.44000006</v>
      </c>
      <c r="H624" s="1">
        <v>1351338846</v>
      </c>
      <c r="I624" s="1">
        <v>64866</v>
      </c>
      <c r="J624" s="1" t="s">
        <v>14</v>
      </c>
      <c r="K624" s="1">
        <v>2300295518.4400001</v>
      </c>
    </row>
    <row r="625" spans="1:11" x14ac:dyDescent="0.25">
      <c r="A625" s="1" t="s">
        <v>11</v>
      </c>
      <c r="B625" s="1" t="s">
        <v>773</v>
      </c>
      <c r="C625" s="1" t="s">
        <v>21</v>
      </c>
      <c r="D625" s="1" t="s">
        <v>998</v>
      </c>
      <c r="E625" s="1" t="s">
        <v>997</v>
      </c>
      <c r="F625" s="1" t="s">
        <v>14</v>
      </c>
      <c r="G625" s="1">
        <v>949021538.44000006</v>
      </c>
      <c r="H625" s="1">
        <v>1351338846</v>
      </c>
      <c r="I625" s="1">
        <v>64866</v>
      </c>
      <c r="J625" s="1" t="s">
        <v>14</v>
      </c>
      <c r="K625" s="1">
        <v>2300295518.4400001</v>
      </c>
    </row>
    <row r="626" spans="1:11" x14ac:dyDescent="0.25">
      <c r="A626" s="1" t="s">
        <v>11</v>
      </c>
      <c r="B626" s="1" t="s">
        <v>773</v>
      </c>
      <c r="C626" s="1" t="s">
        <v>23</v>
      </c>
      <c r="D626" s="1" t="s">
        <v>999</v>
      </c>
      <c r="E626" s="1" t="s">
        <v>1000</v>
      </c>
      <c r="F626" s="1" t="s">
        <v>14</v>
      </c>
      <c r="G626" s="1">
        <v>949021538.44000006</v>
      </c>
      <c r="H626" s="1">
        <v>1351338846</v>
      </c>
      <c r="I626" s="1">
        <v>64866</v>
      </c>
      <c r="J626" s="1" t="s">
        <v>14</v>
      </c>
      <c r="K626" s="1">
        <v>2300295518.4400001</v>
      </c>
    </row>
    <row r="627" spans="1:11" x14ac:dyDescent="0.25">
      <c r="A627" s="1" t="s">
        <v>11</v>
      </c>
      <c r="B627" s="1" t="s">
        <v>773</v>
      </c>
      <c r="C627" s="1" t="s">
        <v>26</v>
      </c>
      <c r="D627" s="1" t="s">
        <v>1001</v>
      </c>
      <c r="E627" s="1" t="s">
        <v>1002</v>
      </c>
      <c r="F627" s="1" t="s">
        <v>14</v>
      </c>
      <c r="G627" s="1">
        <v>231998277</v>
      </c>
      <c r="H627" s="1">
        <v>1313631458</v>
      </c>
      <c r="I627" s="1">
        <v>0</v>
      </c>
      <c r="J627" s="1" t="s">
        <v>14</v>
      </c>
      <c r="K627" s="1">
        <v>1545629735</v>
      </c>
    </row>
    <row r="628" spans="1:11" x14ac:dyDescent="0.25">
      <c r="A628" s="1" t="s">
        <v>11</v>
      </c>
      <c r="B628" s="1" t="s">
        <v>773</v>
      </c>
      <c r="C628" s="1" t="s">
        <v>26</v>
      </c>
      <c r="D628" s="1" t="s">
        <v>1003</v>
      </c>
      <c r="E628" s="1" t="s">
        <v>1004</v>
      </c>
      <c r="F628" s="1" t="s">
        <v>14</v>
      </c>
      <c r="G628" s="1">
        <v>201367088.44</v>
      </c>
      <c r="H628" s="1">
        <v>2503895</v>
      </c>
      <c r="I628" s="1">
        <v>64866</v>
      </c>
      <c r="J628" s="1" t="s">
        <v>14</v>
      </c>
      <c r="K628" s="1">
        <v>203806117.44</v>
      </c>
    </row>
    <row r="629" spans="1:11" x14ac:dyDescent="0.25">
      <c r="A629" s="1" t="s">
        <v>11</v>
      </c>
      <c r="B629" s="1" t="s">
        <v>773</v>
      </c>
      <c r="C629" s="1" t="s">
        <v>26</v>
      </c>
      <c r="D629" s="1" t="s">
        <v>1005</v>
      </c>
      <c r="E629" s="1" t="s">
        <v>1006</v>
      </c>
      <c r="F629" s="1" t="s">
        <v>14</v>
      </c>
      <c r="G629" s="1">
        <v>17582517</v>
      </c>
      <c r="H629" s="1">
        <v>331433</v>
      </c>
      <c r="I629" s="1">
        <v>0</v>
      </c>
      <c r="J629" s="1" t="s">
        <v>14</v>
      </c>
      <c r="K629" s="1">
        <v>17913950</v>
      </c>
    </row>
    <row r="630" spans="1:11" x14ac:dyDescent="0.25">
      <c r="A630" s="1" t="s">
        <v>11</v>
      </c>
      <c r="B630" s="1" t="s">
        <v>773</v>
      </c>
      <c r="C630" s="1" t="s">
        <v>26</v>
      </c>
      <c r="D630" s="1" t="s">
        <v>1007</v>
      </c>
      <c r="E630" s="1" t="s">
        <v>1008</v>
      </c>
      <c r="F630" s="1" t="s">
        <v>14</v>
      </c>
      <c r="G630" s="1">
        <v>2823028</v>
      </c>
      <c r="H630" s="1">
        <v>291543</v>
      </c>
      <c r="I630" s="1">
        <v>0</v>
      </c>
      <c r="J630" s="1" t="s">
        <v>14</v>
      </c>
      <c r="K630" s="1">
        <v>3114571</v>
      </c>
    </row>
    <row r="631" spans="1:11" x14ac:dyDescent="0.25">
      <c r="A631" s="1" t="s">
        <v>11</v>
      </c>
      <c r="B631" s="1" t="s">
        <v>773</v>
      </c>
      <c r="C631" s="1" t="s">
        <v>26</v>
      </c>
      <c r="D631" s="1" t="s">
        <v>1009</v>
      </c>
      <c r="E631" s="1" t="s">
        <v>1010</v>
      </c>
      <c r="F631" s="1" t="s">
        <v>14</v>
      </c>
      <c r="G631" s="1">
        <v>246639532</v>
      </c>
      <c r="H631" s="1">
        <v>32600504</v>
      </c>
      <c r="I631" s="1">
        <v>0</v>
      </c>
      <c r="J631" s="1" t="s">
        <v>14</v>
      </c>
      <c r="K631" s="1">
        <v>279240036</v>
      </c>
    </row>
    <row r="632" spans="1:11" x14ac:dyDescent="0.25">
      <c r="A632" s="1" t="s">
        <v>11</v>
      </c>
      <c r="B632" s="1" t="s">
        <v>773</v>
      </c>
      <c r="C632" s="1" t="s">
        <v>26</v>
      </c>
      <c r="D632" s="1" t="s">
        <v>1011</v>
      </c>
      <c r="E632" s="1" t="s">
        <v>1012</v>
      </c>
      <c r="F632" s="1" t="s">
        <v>14</v>
      </c>
      <c r="G632" s="1">
        <v>100056166</v>
      </c>
      <c r="H632" s="1">
        <v>1959313</v>
      </c>
      <c r="I632" s="1">
        <v>0</v>
      </c>
      <c r="J632" s="1" t="s">
        <v>14</v>
      </c>
      <c r="K632" s="1">
        <v>102015479</v>
      </c>
    </row>
    <row r="633" spans="1:11" x14ac:dyDescent="0.25">
      <c r="A633" s="1" t="s">
        <v>11</v>
      </c>
      <c r="B633" s="1" t="s">
        <v>773</v>
      </c>
      <c r="C633" s="1" t="s">
        <v>26</v>
      </c>
      <c r="D633" s="1" t="s">
        <v>1013</v>
      </c>
      <c r="E633" s="1" t="s">
        <v>1014</v>
      </c>
      <c r="F633" s="1" t="s">
        <v>14</v>
      </c>
      <c r="G633" s="1">
        <v>148554930</v>
      </c>
      <c r="H633" s="1">
        <v>20700</v>
      </c>
      <c r="I633" s="1">
        <v>0</v>
      </c>
      <c r="J633" s="1" t="s">
        <v>14</v>
      </c>
      <c r="K633" s="1">
        <v>148575630</v>
      </c>
    </row>
    <row r="634" spans="1:11" x14ac:dyDescent="0.25">
      <c r="A634" s="1" t="s">
        <v>11</v>
      </c>
      <c r="B634" s="1" t="s">
        <v>773</v>
      </c>
      <c r="C634" s="1" t="s">
        <v>15</v>
      </c>
      <c r="D634" s="1" t="s">
        <v>1015</v>
      </c>
      <c r="E634" s="1" t="s">
        <v>1016</v>
      </c>
      <c r="F634" s="1" t="s">
        <v>173</v>
      </c>
      <c r="G634" s="1">
        <v>328246328.68000001</v>
      </c>
      <c r="H634" s="1">
        <v>0</v>
      </c>
      <c r="I634" s="1">
        <v>4515198</v>
      </c>
      <c r="J634" s="1" t="s">
        <v>173</v>
      </c>
      <c r="K634" s="1">
        <v>332761526.68000001</v>
      </c>
    </row>
    <row r="635" spans="1:11" x14ac:dyDescent="0.25">
      <c r="A635" s="1" t="s">
        <v>11</v>
      </c>
      <c r="B635" s="1" t="s">
        <v>773</v>
      </c>
      <c r="C635" s="1" t="s">
        <v>18</v>
      </c>
      <c r="D635" s="1" t="s">
        <v>1017</v>
      </c>
      <c r="E635" s="1" t="s">
        <v>1018</v>
      </c>
      <c r="F635" s="1" t="s">
        <v>173</v>
      </c>
      <c r="G635" s="1">
        <v>24000150.32</v>
      </c>
      <c r="H635" s="1">
        <v>0</v>
      </c>
      <c r="I635" s="1">
        <v>4414915</v>
      </c>
      <c r="J635" s="1" t="s">
        <v>173</v>
      </c>
      <c r="K635" s="1">
        <v>28415065.32</v>
      </c>
    </row>
    <row r="636" spans="1:11" x14ac:dyDescent="0.25">
      <c r="A636" s="1" t="s">
        <v>11</v>
      </c>
      <c r="B636" s="1" t="s">
        <v>773</v>
      </c>
      <c r="C636" s="1" t="s">
        <v>21</v>
      </c>
      <c r="D636" s="1" t="s">
        <v>1019</v>
      </c>
      <c r="E636" s="1" t="s">
        <v>1018</v>
      </c>
      <c r="F636" s="1" t="s">
        <v>173</v>
      </c>
      <c r="G636" s="1">
        <v>24000150.32</v>
      </c>
      <c r="H636" s="1">
        <v>0</v>
      </c>
      <c r="I636" s="1">
        <v>4414915</v>
      </c>
      <c r="J636" s="1" t="s">
        <v>173</v>
      </c>
      <c r="K636" s="1">
        <v>28415065.32</v>
      </c>
    </row>
    <row r="637" spans="1:11" x14ac:dyDescent="0.25">
      <c r="A637" s="1" t="s">
        <v>11</v>
      </c>
      <c r="B637" s="1" t="s">
        <v>773</v>
      </c>
      <c r="C637" s="1" t="s">
        <v>23</v>
      </c>
      <c r="D637" s="1" t="s">
        <v>1020</v>
      </c>
      <c r="E637" s="1" t="s">
        <v>1021</v>
      </c>
      <c r="F637" s="1" t="s">
        <v>173</v>
      </c>
      <c r="G637" s="1">
        <v>3292429.74</v>
      </c>
      <c r="H637" s="1">
        <v>0</v>
      </c>
      <c r="I637" s="1">
        <v>0</v>
      </c>
      <c r="J637" s="1" t="s">
        <v>173</v>
      </c>
      <c r="K637" s="1">
        <v>3292429.74</v>
      </c>
    </row>
    <row r="638" spans="1:11" x14ac:dyDescent="0.25">
      <c r="A638" s="1" t="s">
        <v>11</v>
      </c>
      <c r="B638" s="1" t="s">
        <v>773</v>
      </c>
      <c r="C638" s="1" t="s">
        <v>26</v>
      </c>
      <c r="D638" s="1" t="s">
        <v>1022</v>
      </c>
      <c r="E638" s="1" t="s">
        <v>1023</v>
      </c>
      <c r="F638" s="1" t="s">
        <v>173</v>
      </c>
      <c r="G638" s="1">
        <v>2229.89</v>
      </c>
      <c r="H638" s="1">
        <v>0</v>
      </c>
      <c r="I638" s="1">
        <v>0</v>
      </c>
      <c r="J638" s="1" t="s">
        <v>173</v>
      </c>
      <c r="K638" s="1">
        <v>2229.89</v>
      </c>
    </row>
    <row r="639" spans="1:11" x14ac:dyDescent="0.25">
      <c r="A639" s="1" t="s">
        <v>11</v>
      </c>
      <c r="B639" s="1" t="s">
        <v>773</v>
      </c>
      <c r="C639" s="1" t="s">
        <v>26</v>
      </c>
      <c r="D639" s="1" t="s">
        <v>1024</v>
      </c>
      <c r="E639" s="1" t="s">
        <v>68</v>
      </c>
      <c r="F639" s="1" t="s">
        <v>173</v>
      </c>
      <c r="G639" s="1">
        <v>10887.95</v>
      </c>
      <c r="H639" s="1">
        <v>0</v>
      </c>
      <c r="I639" s="1">
        <v>0</v>
      </c>
      <c r="J639" s="1" t="s">
        <v>173</v>
      </c>
      <c r="K639" s="1">
        <v>10887.95</v>
      </c>
    </row>
    <row r="640" spans="1:11" x14ac:dyDescent="0.25">
      <c r="A640" s="1" t="s">
        <v>11</v>
      </c>
      <c r="B640" s="1" t="s">
        <v>773</v>
      </c>
      <c r="C640" s="1" t="s">
        <v>26</v>
      </c>
      <c r="D640" s="1" t="s">
        <v>1025</v>
      </c>
      <c r="E640" s="1" t="s">
        <v>70</v>
      </c>
      <c r="F640" s="1" t="s">
        <v>173</v>
      </c>
      <c r="G640" s="1">
        <v>2847356.54</v>
      </c>
      <c r="H640" s="1">
        <v>0</v>
      </c>
      <c r="I640" s="1">
        <v>0</v>
      </c>
      <c r="J640" s="1" t="s">
        <v>173</v>
      </c>
      <c r="K640" s="1">
        <v>2847356.54</v>
      </c>
    </row>
    <row r="641" spans="1:11" x14ac:dyDescent="0.25">
      <c r="A641" s="1" t="s">
        <v>11</v>
      </c>
      <c r="B641" s="1" t="s">
        <v>773</v>
      </c>
      <c r="C641" s="1" t="s">
        <v>26</v>
      </c>
      <c r="D641" s="1" t="s">
        <v>1026</v>
      </c>
      <c r="E641" s="1" t="s">
        <v>1027</v>
      </c>
      <c r="F641" s="1" t="s">
        <v>173</v>
      </c>
      <c r="G641" s="1">
        <v>1145.06</v>
      </c>
      <c r="H641" s="1">
        <v>0</v>
      </c>
      <c r="I641" s="1">
        <v>0</v>
      </c>
      <c r="J641" s="1" t="s">
        <v>173</v>
      </c>
      <c r="K641" s="1">
        <v>1145.06</v>
      </c>
    </row>
    <row r="642" spans="1:11" x14ac:dyDescent="0.25">
      <c r="A642" s="1" t="s">
        <v>11</v>
      </c>
      <c r="B642" s="1" t="s">
        <v>773</v>
      </c>
      <c r="C642" s="1" t="s">
        <v>26</v>
      </c>
      <c r="D642" s="1" t="s">
        <v>1028</v>
      </c>
      <c r="E642" s="1" t="s">
        <v>76</v>
      </c>
      <c r="F642" s="1" t="s">
        <v>173</v>
      </c>
      <c r="G642" s="1">
        <v>429993.35</v>
      </c>
      <c r="H642" s="1">
        <v>0</v>
      </c>
      <c r="I642" s="1">
        <v>0</v>
      </c>
      <c r="J642" s="1" t="s">
        <v>173</v>
      </c>
      <c r="K642" s="1">
        <v>429993.35</v>
      </c>
    </row>
    <row r="643" spans="1:11" x14ac:dyDescent="0.25">
      <c r="A643" s="1" t="s">
        <v>11</v>
      </c>
      <c r="B643" s="1" t="s">
        <v>773</v>
      </c>
      <c r="C643" s="1" t="s">
        <v>26</v>
      </c>
      <c r="D643" s="1" t="s">
        <v>1029</v>
      </c>
      <c r="E643" s="1" t="s">
        <v>1030</v>
      </c>
      <c r="F643" s="1" t="s">
        <v>173</v>
      </c>
      <c r="G643" s="1">
        <v>646.72</v>
      </c>
      <c r="H643" s="1">
        <v>0</v>
      </c>
      <c r="I643" s="1">
        <v>0</v>
      </c>
      <c r="J643" s="1" t="s">
        <v>173</v>
      </c>
      <c r="K643" s="1">
        <v>646.72</v>
      </c>
    </row>
    <row r="644" spans="1:11" x14ac:dyDescent="0.25">
      <c r="A644" s="1" t="s">
        <v>11</v>
      </c>
      <c r="B644" s="1" t="s">
        <v>773</v>
      </c>
      <c r="C644" s="1" t="s">
        <v>26</v>
      </c>
      <c r="D644" s="1" t="s">
        <v>1031</v>
      </c>
      <c r="E644" s="1" t="s">
        <v>80</v>
      </c>
      <c r="F644" s="1" t="s">
        <v>173</v>
      </c>
      <c r="G644" s="1">
        <v>170.23</v>
      </c>
      <c r="H644" s="1">
        <v>0</v>
      </c>
      <c r="I644" s="1">
        <v>0</v>
      </c>
      <c r="J644" s="1" t="s">
        <v>173</v>
      </c>
      <c r="K644" s="1">
        <v>170.23</v>
      </c>
    </row>
    <row r="645" spans="1:11" x14ac:dyDescent="0.25">
      <c r="A645" s="1" t="s">
        <v>11</v>
      </c>
      <c r="B645" s="1" t="s">
        <v>773</v>
      </c>
      <c r="C645" s="1" t="s">
        <v>23</v>
      </c>
      <c r="D645" s="1" t="s">
        <v>1032</v>
      </c>
      <c r="E645" s="1" t="s">
        <v>1033</v>
      </c>
      <c r="F645" s="1" t="s">
        <v>173</v>
      </c>
      <c r="G645" s="1">
        <v>4044623</v>
      </c>
      <c r="H645" s="1">
        <v>0</v>
      </c>
      <c r="I645" s="1">
        <v>0</v>
      </c>
      <c r="J645" s="1" t="s">
        <v>173</v>
      </c>
      <c r="K645" s="1">
        <v>4044623</v>
      </c>
    </row>
    <row r="646" spans="1:11" x14ac:dyDescent="0.25">
      <c r="A646" s="1" t="s">
        <v>11</v>
      </c>
      <c r="B646" s="1" t="s">
        <v>773</v>
      </c>
      <c r="C646" s="1" t="s">
        <v>26</v>
      </c>
      <c r="D646" s="1" t="s">
        <v>1034</v>
      </c>
      <c r="E646" s="1" t="s">
        <v>1033</v>
      </c>
      <c r="F646" s="1" t="s">
        <v>173</v>
      </c>
      <c r="G646" s="1">
        <v>4044623</v>
      </c>
      <c r="H646" s="1">
        <v>0</v>
      </c>
      <c r="I646" s="1">
        <v>0</v>
      </c>
      <c r="J646" s="1" t="s">
        <v>173</v>
      </c>
      <c r="K646" s="1">
        <v>4044623</v>
      </c>
    </row>
    <row r="647" spans="1:11" x14ac:dyDescent="0.25">
      <c r="A647" s="1" t="s">
        <v>11</v>
      </c>
      <c r="B647" s="1" t="s">
        <v>773</v>
      </c>
      <c r="C647" s="1" t="s">
        <v>23</v>
      </c>
      <c r="D647" s="1" t="s">
        <v>1035</v>
      </c>
      <c r="E647" s="1" t="s">
        <v>1036</v>
      </c>
      <c r="F647" s="1" t="s">
        <v>173</v>
      </c>
      <c r="G647" s="1">
        <v>3761878</v>
      </c>
      <c r="H647" s="1">
        <v>0</v>
      </c>
      <c r="I647" s="1">
        <v>4414915</v>
      </c>
      <c r="J647" s="1" t="s">
        <v>173</v>
      </c>
      <c r="K647" s="1">
        <v>8176793</v>
      </c>
    </row>
    <row r="648" spans="1:11" x14ac:dyDescent="0.25">
      <c r="A648" s="1" t="s">
        <v>11</v>
      </c>
      <c r="B648" s="1" t="s">
        <v>773</v>
      </c>
      <c r="C648" s="1" t="s">
        <v>26</v>
      </c>
      <c r="D648" s="1" t="s">
        <v>1037</v>
      </c>
      <c r="E648" s="1" t="s">
        <v>1036</v>
      </c>
      <c r="F648" s="1" t="s">
        <v>173</v>
      </c>
      <c r="G648" s="1">
        <v>3761878</v>
      </c>
      <c r="H648" s="1">
        <v>0</v>
      </c>
      <c r="I648" s="1">
        <v>4414915</v>
      </c>
      <c r="J648" s="1" t="s">
        <v>173</v>
      </c>
      <c r="K648" s="1">
        <v>8176793</v>
      </c>
    </row>
    <row r="649" spans="1:11" x14ac:dyDescent="0.25">
      <c r="A649" s="1" t="s">
        <v>11</v>
      </c>
      <c r="B649" s="1" t="s">
        <v>773</v>
      </c>
      <c r="C649" s="1" t="s">
        <v>23</v>
      </c>
      <c r="D649" s="1" t="s">
        <v>1038</v>
      </c>
      <c r="E649" s="1" t="s">
        <v>1039</v>
      </c>
      <c r="F649" s="1" t="s">
        <v>173</v>
      </c>
      <c r="G649" s="1">
        <v>12901219.58</v>
      </c>
      <c r="H649" s="1">
        <v>0</v>
      </c>
      <c r="I649" s="1">
        <v>0</v>
      </c>
      <c r="J649" s="1" t="s">
        <v>173</v>
      </c>
      <c r="K649" s="1">
        <v>12901219.58</v>
      </c>
    </row>
    <row r="650" spans="1:11" x14ac:dyDescent="0.25">
      <c r="A650" s="1" t="s">
        <v>11</v>
      </c>
      <c r="B650" s="1" t="s">
        <v>773</v>
      </c>
      <c r="C650" s="1" t="s">
        <v>26</v>
      </c>
      <c r="D650" s="1" t="s">
        <v>1040</v>
      </c>
      <c r="E650" s="1" t="s">
        <v>1041</v>
      </c>
      <c r="F650" s="1" t="s">
        <v>173</v>
      </c>
      <c r="G650" s="1">
        <v>26623.4</v>
      </c>
      <c r="H650" s="1">
        <v>0</v>
      </c>
      <c r="I650" s="1">
        <v>0</v>
      </c>
      <c r="J650" s="1" t="s">
        <v>173</v>
      </c>
      <c r="K650" s="1">
        <v>26623.4</v>
      </c>
    </row>
    <row r="651" spans="1:11" x14ac:dyDescent="0.25">
      <c r="A651" s="1" t="s">
        <v>11</v>
      </c>
      <c r="B651" s="1" t="s">
        <v>773</v>
      </c>
      <c r="C651" s="1" t="s">
        <v>26</v>
      </c>
      <c r="D651" s="1" t="s">
        <v>1042</v>
      </c>
      <c r="E651" s="1" t="s">
        <v>86</v>
      </c>
      <c r="F651" s="1" t="s">
        <v>173</v>
      </c>
      <c r="G651" s="1">
        <v>70725.95</v>
      </c>
      <c r="H651" s="1">
        <v>0</v>
      </c>
      <c r="I651" s="1">
        <v>0</v>
      </c>
      <c r="J651" s="1" t="s">
        <v>173</v>
      </c>
      <c r="K651" s="1">
        <v>70725.95</v>
      </c>
    </row>
    <row r="652" spans="1:11" x14ac:dyDescent="0.25">
      <c r="A652" s="1" t="s">
        <v>11</v>
      </c>
      <c r="B652" s="1" t="s">
        <v>773</v>
      </c>
      <c r="C652" s="1" t="s">
        <v>26</v>
      </c>
      <c r="D652" s="1" t="s">
        <v>1043</v>
      </c>
      <c r="E652" s="1" t="s">
        <v>90</v>
      </c>
      <c r="F652" s="1" t="s">
        <v>173</v>
      </c>
      <c r="G652" s="1">
        <v>12803870.23</v>
      </c>
      <c r="H652" s="1">
        <v>0</v>
      </c>
      <c r="I652" s="1">
        <v>0</v>
      </c>
      <c r="J652" s="1" t="s">
        <v>173</v>
      </c>
      <c r="K652" s="1">
        <v>12803870.23</v>
      </c>
    </row>
    <row r="653" spans="1:11" x14ac:dyDescent="0.25">
      <c r="A653" s="1" t="s">
        <v>11</v>
      </c>
      <c r="B653" s="1" t="s">
        <v>773</v>
      </c>
      <c r="C653" s="1" t="s">
        <v>18</v>
      </c>
      <c r="D653" s="1" t="s">
        <v>1044</v>
      </c>
      <c r="E653" s="1" t="s">
        <v>1045</v>
      </c>
      <c r="F653" s="1" t="s">
        <v>173</v>
      </c>
      <c r="G653" s="1">
        <v>70963879</v>
      </c>
      <c r="H653" s="1">
        <v>0</v>
      </c>
      <c r="I653" s="1">
        <v>0</v>
      </c>
      <c r="J653" s="1" t="s">
        <v>173</v>
      </c>
      <c r="K653" s="1">
        <v>70963879</v>
      </c>
    </row>
    <row r="654" spans="1:11" x14ac:dyDescent="0.25">
      <c r="A654" s="1" t="s">
        <v>11</v>
      </c>
      <c r="B654" s="1" t="s">
        <v>773</v>
      </c>
      <c r="C654" s="1" t="s">
        <v>21</v>
      </c>
      <c r="D654" s="1" t="s">
        <v>1046</v>
      </c>
      <c r="E654" s="1" t="s">
        <v>1045</v>
      </c>
      <c r="F654" s="1" t="s">
        <v>173</v>
      </c>
      <c r="G654" s="1">
        <v>70963879</v>
      </c>
      <c r="H654" s="1">
        <v>0</v>
      </c>
      <c r="I654" s="1">
        <v>0</v>
      </c>
      <c r="J654" s="1" t="s">
        <v>173</v>
      </c>
      <c r="K654" s="1">
        <v>70963879</v>
      </c>
    </row>
    <row r="655" spans="1:11" x14ac:dyDescent="0.25">
      <c r="A655" s="1" t="s">
        <v>11</v>
      </c>
      <c r="B655" s="1" t="s">
        <v>773</v>
      </c>
      <c r="C655" s="1" t="s">
        <v>23</v>
      </c>
      <c r="D655" s="1" t="s">
        <v>1047</v>
      </c>
      <c r="E655" s="1" t="s">
        <v>1048</v>
      </c>
      <c r="F655" s="1" t="s">
        <v>173</v>
      </c>
      <c r="G655" s="1">
        <v>70963879</v>
      </c>
      <c r="H655" s="1">
        <v>0</v>
      </c>
      <c r="I655" s="1">
        <v>0</v>
      </c>
      <c r="J655" s="1" t="s">
        <v>173</v>
      </c>
      <c r="K655" s="1">
        <v>70963879</v>
      </c>
    </row>
    <row r="656" spans="1:11" x14ac:dyDescent="0.25">
      <c r="A656" s="1" t="s">
        <v>11</v>
      </c>
      <c r="B656" s="1" t="s">
        <v>773</v>
      </c>
      <c r="C656" s="1" t="s">
        <v>26</v>
      </c>
      <c r="D656" s="1" t="s">
        <v>1049</v>
      </c>
      <c r="E656" s="1" t="s">
        <v>99</v>
      </c>
      <c r="F656" s="1" t="s">
        <v>173</v>
      </c>
      <c r="G656" s="1">
        <v>70963879</v>
      </c>
      <c r="H656" s="1">
        <v>0</v>
      </c>
      <c r="I656" s="1">
        <v>0</v>
      </c>
      <c r="J656" s="1" t="s">
        <v>173</v>
      </c>
      <c r="K656" s="1">
        <v>70963879</v>
      </c>
    </row>
    <row r="657" spans="1:11" x14ac:dyDescent="0.25">
      <c r="A657" s="1" t="s">
        <v>11</v>
      </c>
      <c r="B657" s="1" t="s">
        <v>773</v>
      </c>
      <c r="C657" s="1" t="s">
        <v>18</v>
      </c>
      <c r="D657" s="1" t="s">
        <v>1050</v>
      </c>
      <c r="E657" s="1" t="s">
        <v>1051</v>
      </c>
      <c r="F657" s="1" t="s">
        <v>173</v>
      </c>
      <c r="G657" s="1">
        <v>217036102.81999999</v>
      </c>
      <c r="H657" s="1">
        <v>0</v>
      </c>
      <c r="I657" s="1">
        <v>68519</v>
      </c>
      <c r="J657" s="1" t="s">
        <v>173</v>
      </c>
      <c r="K657" s="1">
        <v>217104621.81999999</v>
      </c>
    </row>
    <row r="658" spans="1:11" x14ac:dyDescent="0.25">
      <c r="A658" s="1" t="s">
        <v>11</v>
      </c>
      <c r="B658" s="1" t="s">
        <v>773</v>
      </c>
      <c r="C658" s="1" t="s">
        <v>21</v>
      </c>
      <c r="D658" s="1" t="s">
        <v>1052</v>
      </c>
      <c r="E658" s="1" t="s">
        <v>1051</v>
      </c>
      <c r="F658" s="1" t="s">
        <v>173</v>
      </c>
      <c r="G658" s="1">
        <v>217036102.81999999</v>
      </c>
      <c r="H658" s="1">
        <v>0</v>
      </c>
      <c r="I658" s="1">
        <v>68519</v>
      </c>
      <c r="J658" s="1" t="s">
        <v>173</v>
      </c>
      <c r="K658" s="1">
        <v>217104621.81999999</v>
      </c>
    </row>
    <row r="659" spans="1:11" x14ac:dyDescent="0.25">
      <c r="A659" s="1" t="s">
        <v>11</v>
      </c>
      <c r="B659" s="1" t="s">
        <v>773</v>
      </c>
      <c r="C659" s="1" t="s">
        <v>23</v>
      </c>
      <c r="D659" s="1" t="s">
        <v>1053</v>
      </c>
      <c r="E659" s="1" t="s">
        <v>1051</v>
      </c>
      <c r="F659" s="1" t="s">
        <v>173</v>
      </c>
      <c r="G659" s="1">
        <v>217036102.81999999</v>
      </c>
      <c r="H659" s="1">
        <v>0</v>
      </c>
      <c r="I659" s="1">
        <v>68519</v>
      </c>
      <c r="J659" s="1" t="s">
        <v>173</v>
      </c>
      <c r="K659" s="1">
        <v>217104621.81999999</v>
      </c>
    </row>
    <row r="660" spans="1:11" x14ac:dyDescent="0.25">
      <c r="A660" s="1" t="s">
        <v>11</v>
      </c>
      <c r="B660" s="1" t="s">
        <v>773</v>
      </c>
      <c r="C660" s="1" t="s">
        <v>26</v>
      </c>
      <c r="D660" s="1" t="s">
        <v>1054</v>
      </c>
      <c r="E660" s="1" t="s">
        <v>1055</v>
      </c>
      <c r="F660" s="1" t="s">
        <v>173</v>
      </c>
      <c r="G660" s="1">
        <v>28859257.82</v>
      </c>
      <c r="H660" s="1">
        <v>0</v>
      </c>
      <c r="I660" s="1">
        <v>0</v>
      </c>
      <c r="J660" s="1" t="s">
        <v>173</v>
      </c>
      <c r="K660" s="1">
        <v>28859257.82</v>
      </c>
    </row>
    <row r="661" spans="1:11" x14ac:dyDescent="0.25">
      <c r="A661" s="1" t="s">
        <v>11</v>
      </c>
      <c r="B661" s="1" t="s">
        <v>773</v>
      </c>
      <c r="C661" s="1" t="s">
        <v>26</v>
      </c>
      <c r="D661" s="1" t="s">
        <v>1056</v>
      </c>
      <c r="E661" s="1" t="s">
        <v>1057</v>
      </c>
      <c r="F661" s="1" t="s">
        <v>173</v>
      </c>
      <c r="G661" s="1">
        <v>157129076</v>
      </c>
      <c r="H661" s="1">
        <v>0</v>
      </c>
      <c r="I661" s="1">
        <v>0</v>
      </c>
      <c r="J661" s="1" t="s">
        <v>173</v>
      </c>
      <c r="K661" s="1">
        <v>157129076</v>
      </c>
    </row>
    <row r="662" spans="1:11" x14ac:dyDescent="0.25">
      <c r="A662" s="1" t="s">
        <v>11</v>
      </c>
      <c r="B662" s="1" t="s">
        <v>773</v>
      </c>
      <c r="C662" s="1" t="s">
        <v>26</v>
      </c>
      <c r="D662" s="1" t="s">
        <v>1058</v>
      </c>
      <c r="E662" s="1" t="s">
        <v>1059</v>
      </c>
      <c r="F662" s="1" t="s">
        <v>173</v>
      </c>
      <c r="G662" s="1">
        <v>575000</v>
      </c>
      <c r="H662" s="1">
        <v>0</v>
      </c>
      <c r="I662" s="1">
        <v>60000</v>
      </c>
      <c r="J662" s="1" t="s">
        <v>173</v>
      </c>
      <c r="K662" s="1">
        <v>635000</v>
      </c>
    </row>
    <row r="663" spans="1:11" x14ac:dyDescent="0.25">
      <c r="A663" s="1" t="s">
        <v>11</v>
      </c>
      <c r="B663" s="1" t="s">
        <v>773</v>
      </c>
      <c r="C663" s="1" t="s">
        <v>26</v>
      </c>
      <c r="D663" s="1" t="s">
        <v>1060</v>
      </c>
      <c r="E663" s="1" t="s">
        <v>1061</v>
      </c>
      <c r="F663" s="1" t="s">
        <v>173</v>
      </c>
      <c r="G663" s="1">
        <v>30472769</v>
      </c>
      <c r="H663" s="1">
        <v>0</v>
      </c>
      <c r="I663" s="1">
        <v>8519</v>
      </c>
      <c r="J663" s="1" t="s">
        <v>173</v>
      </c>
      <c r="K663" s="1">
        <v>30481288</v>
      </c>
    </row>
    <row r="664" spans="1:11" x14ac:dyDescent="0.25">
      <c r="A664" s="1" t="s">
        <v>11</v>
      </c>
      <c r="B664" s="1" t="s">
        <v>773</v>
      </c>
      <c r="C664" s="1" t="s">
        <v>18</v>
      </c>
      <c r="D664" s="1" t="s">
        <v>1062</v>
      </c>
      <c r="E664" s="1" t="s">
        <v>1063</v>
      </c>
      <c r="F664" s="1" t="s">
        <v>173</v>
      </c>
      <c r="G664" s="1">
        <v>16246196.539999999</v>
      </c>
      <c r="H664" s="1">
        <v>0</v>
      </c>
      <c r="I664" s="1">
        <v>31764</v>
      </c>
      <c r="J664" s="1" t="s">
        <v>173</v>
      </c>
      <c r="K664" s="1">
        <v>16277960.539999999</v>
      </c>
    </row>
    <row r="665" spans="1:11" x14ac:dyDescent="0.25">
      <c r="A665" s="1" t="s">
        <v>11</v>
      </c>
      <c r="B665" s="1" t="s">
        <v>773</v>
      </c>
      <c r="C665" s="1" t="s">
        <v>21</v>
      </c>
      <c r="D665" s="1" t="s">
        <v>1064</v>
      </c>
      <c r="E665" s="1" t="s">
        <v>1063</v>
      </c>
      <c r="F665" s="1" t="s">
        <v>173</v>
      </c>
      <c r="G665" s="1">
        <v>16246196.539999999</v>
      </c>
      <c r="H665" s="1">
        <v>0</v>
      </c>
      <c r="I665" s="1">
        <v>31764</v>
      </c>
      <c r="J665" s="1" t="s">
        <v>173</v>
      </c>
      <c r="K665" s="1">
        <v>16277960.539999999</v>
      </c>
    </row>
    <row r="666" spans="1:11" x14ac:dyDescent="0.25">
      <c r="A666" s="1" t="s">
        <v>11</v>
      </c>
      <c r="B666" s="1" t="s">
        <v>773</v>
      </c>
      <c r="C666" s="1" t="s">
        <v>23</v>
      </c>
      <c r="D666" s="1" t="s">
        <v>1065</v>
      </c>
      <c r="E666" s="1" t="s">
        <v>1063</v>
      </c>
      <c r="F666" s="1" t="s">
        <v>173</v>
      </c>
      <c r="G666" s="1">
        <v>11486196.539999999</v>
      </c>
      <c r="H666" s="1">
        <v>0</v>
      </c>
      <c r="I666" s="1">
        <v>31764</v>
      </c>
      <c r="J666" s="1" t="s">
        <v>173</v>
      </c>
      <c r="K666" s="1">
        <v>11517960.539999999</v>
      </c>
    </row>
    <row r="667" spans="1:11" x14ac:dyDescent="0.25">
      <c r="A667" s="1" t="s">
        <v>11</v>
      </c>
      <c r="B667" s="1" t="s">
        <v>773</v>
      </c>
      <c r="C667" s="1" t="s">
        <v>26</v>
      </c>
      <c r="D667" s="1" t="s">
        <v>1066</v>
      </c>
      <c r="E667" s="1" t="s">
        <v>1067</v>
      </c>
      <c r="F667" s="1" t="s">
        <v>173</v>
      </c>
      <c r="G667" s="1">
        <v>184878</v>
      </c>
      <c r="H667" s="1">
        <v>0</v>
      </c>
      <c r="I667" s="1">
        <v>0</v>
      </c>
      <c r="J667" s="1" t="s">
        <v>173</v>
      </c>
      <c r="K667" s="1">
        <v>184878</v>
      </c>
    </row>
    <row r="668" spans="1:11" x14ac:dyDescent="0.25">
      <c r="A668" s="1" t="s">
        <v>11</v>
      </c>
      <c r="B668" s="1" t="s">
        <v>773</v>
      </c>
      <c r="C668" s="1" t="s">
        <v>26</v>
      </c>
      <c r="D668" s="1" t="s">
        <v>1068</v>
      </c>
      <c r="E668" s="1" t="s">
        <v>1069</v>
      </c>
      <c r="F668" s="1" t="s">
        <v>173</v>
      </c>
      <c r="G668" s="1">
        <v>7365217.4199999999</v>
      </c>
      <c r="H668" s="1">
        <v>0</v>
      </c>
      <c r="I668" s="1">
        <v>31764</v>
      </c>
      <c r="J668" s="1" t="s">
        <v>173</v>
      </c>
      <c r="K668" s="1">
        <v>7396981.4199999999</v>
      </c>
    </row>
    <row r="669" spans="1:11" x14ac:dyDescent="0.25">
      <c r="A669" s="1" t="s">
        <v>11</v>
      </c>
      <c r="B669" s="1" t="s">
        <v>773</v>
      </c>
      <c r="C669" s="1" t="s">
        <v>26</v>
      </c>
      <c r="D669" s="1" t="s">
        <v>1070</v>
      </c>
      <c r="E669" s="1" t="s">
        <v>1071</v>
      </c>
      <c r="F669" s="1" t="s">
        <v>173</v>
      </c>
      <c r="G669" s="1">
        <v>1.1200000000000001</v>
      </c>
      <c r="H669" s="1">
        <v>0</v>
      </c>
      <c r="I669" s="1">
        <v>0</v>
      </c>
      <c r="J669" s="1" t="s">
        <v>173</v>
      </c>
      <c r="K669" s="1">
        <v>1.1200000000000001</v>
      </c>
    </row>
    <row r="670" spans="1:11" x14ac:dyDescent="0.25">
      <c r="A670" s="1" t="s">
        <v>11</v>
      </c>
      <c r="B670" s="1" t="s">
        <v>773</v>
      </c>
      <c r="C670" s="1" t="s">
        <v>26</v>
      </c>
      <c r="D670" s="1" t="s">
        <v>1072</v>
      </c>
      <c r="E670" s="1" t="s">
        <v>1073</v>
      </c>
      <c r="F670" s="1" t="s">
        <v>173</v>
      </c>
      <c r="G670" s="1">
        <v>582370</v>
      </c>
      <c r="H670" s="1">
        <v>0</v>
      </c>
      <c r="I670" s="1">
        <v>0</v>
      </c>
      <c r="J670" s="1" t="s">
        <v>173</v>
      </c>
      <c r="K670" s="1">
        <v>582370</v>
      </c>
    </row>
    <row r="671" spans="1:11" x14ac:dyDescent="0.25">
      <c r="A671" s="1" t="s">
        <v>11</v>
      </c>
      <c r="B671" s="1" t="s">
        <v>773</v>
      </c>
      <c r="C671" s="1" t="s">
        <v>26</v>
      </c>
      <c r="D671" s="1" t="s">
        <v>1074</v>
      </c>
      <c r="E671" s="1" t="s">
        <v>1075</v>
      </c>
      <c r="F671" s="1" t="s">
        <v>173</v>
      </c>
      <c r="G671" s="1">
        <v>3353730</v>
      </c>
      <c r="H671" s="1">
        <v>0</v>
      </c>
      <c r="I671" s="1">
        <v>0</v>
      </c>
      <c r="J671" s="1" t="s">
        <v>173</v>
      </c>
      <c r="K671" s="1">
        <v>3353730</v>
      </c>
    </row>
    <row r="672" spans="1:11" x14ac:dyDescent="0.25">
      <c r="A672" s="1" t="s">
        <v>11</v>
      </c>
      <c r="B672" s="1" t="s">
        <v>773</v>
      </c>
      <c r="C672" s="1" t="s">
        <v>23</v>
      </c>
      <c r="D672" s="1" t="s">
        <v>1076</v>
      </c>
      <c r="E672" s="1" t="s">
        <v>1077</v>
      </c>
      <c r="F672" s="1" t="s">
        <v>173</v>
      </c>
      <c r="G672" s="1">
        <v>4760000</v>
      </c>
      <c r="H672" s="1">
        <v>0</v>
      </c>
      <c r="I672" s="1">
        <v>0</v>
      </c>
      <c r="J672" s="1" t="s">
        <v>173</v>
      </c>
      <c r="K672" s="1">
        <v>4760000</v>
      </c>
    </row>
    <row r="673" spans="1:11" x14ac:dyDescent="0.25">
      <c r="A673" s="1" t="s">
        <v>11</v>
      </c>
      <c r="B673" s="1" t="s">
        <v>773</v>
      </c>
      <c r="C673" s="1" t="s">
        <v>26</v>
      </c>
      <c r="D673" s="1" t="s">
        <v>1078</v>
      </c>
      <c r="E673" s="1" t="s">
        <v>1077</v>
      </c>
      <c r="F673" s="1" t="s">
        <v>173</v>
      </c>
      <c r="G673" s="1">
        <v>4760000</v>
      </c>
      <c r="H673" s="1">
        <v>0</v>
      </c>
      <c r="I673" s="1">
        <v>0</v>
      </c>
      <c r="J673" s="1" t="s">
        <v>173</v>
      </c>
      <c r="K673" s="1">
        <v>4760000</v>
      </c>
    </row>
    <row r="674" spans="1:11" x14ac:dyDescent="0.25">
      <c r="A674" s="1" t="s">
        <v>11</v>
      </c>
      <c r="B674" s="1" t="s">
        <v>773</v>
      </c>
      <c r="C674" s="1" t="s">
        <v>15</v>
      </c>
      <c r="D674" s="1" t="s">
        <v>1079</v>
      </c>
      <c r="E674" s="1" t="s">
        <v>1080</v>
      </c>
      <c r="F674" s="1" t="s">
        <v>173</v>
      </c>
      <c r="G674" s="1">
        <v>229441691</v>
      </c>
      <c r="H674" s="1">
        <v>0</v>
      </c>
      <c r="I674" s="1">
        <v>749832</v>
      </c>
      <c r="J674" s="1" t="s">
        <v>173</v>
      </c>
      <c r="K674" s="1">
        <v>230191523</v>
      </c>
    </row>
    <row r="675" spans="1:11" x14ac:dyDescent="0.25">
      <c r="A675" s="1" t="s">
        <v>11</v>
      </c>
      <c r="B675" s="1" t="s">
        <v>773</v>
      </c>
      <c r="C675" s="1" t="s">
        <v>18</v>
      </c>
      <c r="D675" s="1" t="s">
        <v>1081</v>
      </c>
      <c r="E675" s="1" t="s">
        <v>1080</v>
      </c>
      <c r="F675" s="1" t="s">
        <v>173</v>
      </c>
      <c r="G675" s="1">
        <v>229441691</v>
      </c>
      <c r="H675" s="1">
        <v>0</v>
      </c>
      <c r="I675" s="1">
        <v>749832</v>
      </c>
      <c r="J675" s="1" t="s">
        <v>173</v>
      </c>
      <c r="K675" s="1">
        <v>230191523</v>
      </c>
    </row>
    <row r="676" spans="1:11" x14ac:dyDescent="0.25">
      <c r="A676" s="1" t="s">
        <v>11</v>
      </c>
      <c r="B676" s="1" t="s">
        <v>773</v>
      </c>
      <c r="C676" s="1" t="s">
        <v>21</v>
      </c>
      <c r="D676" s="1" t="s">
        <v>1082</v>
      </c>
      <c r="E676" s="1" t="s">
        <v>1080</v>
      </c>
      <c r="F676" s="1" t="s">
        <v>173</v>
      </c>
      <c r="G676" s="1">
        <v>229441691</v>
      </c>
      <c r="H676" s="1">
        <v>0</v>
      </c>
      <c r="I676" s="1">
        <v>749832</v>
      </c>
      <c r="J676" s="1" t="s">
        <v>173</v>
      </c>
      <c r="K676" s="1">
        <v>230191523</v>
      </c>
    </row>
    <row r="677" spans="1:11" x14ac:dyDescent="0.25">
      <c r="A677" s="1" t="s">
        <v>11</v>
      </c>
      <c r="B677" s="1" t="s">
        <v>773</v>
      </c>
      <c r="C677" s="1" t="s">
        <v>23</v>
      </c>
      <c r="D677" s="1" t="s">
        <v>1083</v>
      </c>
      <c r="E677" s="1" t="s">
        <v>1080</v>
      </c>
      <c r="F677" s="1" t="s">
        <v>173</v>
      </c>
      <c r="G677" s="1">
        <v>229441691</v>
      </c>
      <c r="H677" s="1">
        <v>0</v>
      </c>
      <c r="I677" s="1">
        <v>749832</v>
      </c>
      <c r="J677" s="1" t="s">
        <v>173</v>
      </c>
      <c r="K677" s="1">
        <v>230191523</v>
      </c>
    </row>
    <row r="678" spans="1:11" x14ac:dyDescent="0.25">
      <c r="A678" s="1" t="s">
        <v>11</v>
      </c>
      <c r="B678" s="1" t="s">
        <v>773</v>
      </c>
      <c r="C678" s="1" t="s">
        <v>26</v>
      </c>
      <c r="D678" s="1" t="s">
        <v>1084</v>
      </c>
      <c r="E678" s="1" t="s">
        <v>1085</v>
      </c>
      <c r="F678" s="1" t="s">
        <v>173</v>
      </c>
      <c r="G678" s="1">
        <v>11938895</v>
      </c>
      <c r="H678" s="1">
        <v>0</v>
      </c>
      <c r="I678" s="1">
        <v>749832</v>
      </c>
      <c r="J678" s="1" t="s">
        <v>173</v>
      </c>
      <c r="K678" s="1">
        <v>12688727</v>
      </c>
    </row>
    <row r="679" spans="1:11" x14ac:dyDescent="0.25">
      <c r="A679" s="1" t="s">
        <v>11</v>
      </c>
      <c r="B679" s="1" t="s">
        <v>773</v>
      </c>
      <c r="C679" s="1" t="s">
        <v>26</v>
      </c>
      <c r="D679" s="1" t="s">
        <v>1086</v>
      </c>
      <c r="E679" s="1" t="s">
        <v>1087</v>
      </c>
      <c r="F679" s="1" t="s">
        <v>173</v>
      </c>
      <c r="G679" s="1">
        <v>16202796</v>
      </c>
      <c r="H679" s="1">
        <v>0</v>
      </c>
      <c r="I679" s="1">
        <v>0</v>
      </c>
      <c r="J679" s="1" t="s">
        <v>173</v>
      </c>
      <c r="K679" s="1">
        <v>16202796</v>
      </c>
    </row>
    <row r="680" spans="1:11" x14ac:dyDescent="0.25">
      <c r="A680" s="1" t="s">
        <v>11</v>
      </c>
      <c r="B680" s="1" t="s">
        <v>773</v>
      </c>
      <c r="C680" s="1" t="s">
        <v>26</v>
      </c>
      <c r="D680" s="1" t="s">
        <v>1088</v>
      </c>
      <c r="E680" s="1" t="s">
        <v>1089</v>
      </c>
      <c r="F680" s="1" t="s">
        <v>173</v>
      </c>
      <c r="G680" s="1">
        <v>1300000</v>
      </c>
      <c r="H680" s="1">
        <v>0</v>
      </c>
      <c r="I680" s="1">
        <v>0</v>
      </c>
      <c r="J680" s="1" t="s">
        <v>173</v>
      </c>
      <c r="K680" s="1">
        <v>1300000</v>
      </c>
    </row>
    <row r="681" spans="1:11" x14ac:dyDescent="0.25">
      <c r="A681" s="1" t="s">
        <v>11</v>
      </c>
      <c r="B681" s="1" t="s">
        <v>773</v>
      </c>
      <c r="C681" s="1" t="s">
        <v>26</v>
      </c>
      <c r="D681" s="1" t="s">
        <v>1090</v>
      </c>
      <c r="E681" s="1" t="s">
        <v>1091</v>
      </c>
      <c r="F681" s="1" t="s">
        <v>173</v>
      </c>
      <c r="G681" s="1">
        <v>200000000</v>
      </c>
      <c r="H681" s="1">
        <v>0</v>
      </c>
      <c r="I681" s="1">
        <v>0</v>
      </c>
      <c r="J681" s="1" t="s">
        <v>173</v>
      </c>
      <c r="K681" s="1">
        <v>200000000</v>
      </c>
    </row>
    <row r="682" spans="1:11" x14ac:dyDescent="0.25">
      <c r="A682" s="1" t="s">
        <v>11</v>
      </c>
      <c r="B682" s="1" t="s">
        <v>1092</v>
      </c>
      <c r="C682" s="1" t="s">
        <v>13</v>
      </c>
      <c r="D682" s="1" t="s">
        <v>23</v>
      </c>
      <c r="E682" s="1" t="s">
        <v>1092</v>
      </c>
      <c r="F682" s="1" t="s">
        <v>14</v>
      </c>
      <c r="G682" s="1">
        <v>11548173528.379999</v>
      </c>
      <c r="H682" s="1">
        <v>364934488.68000001</v>
      </c>
      <c r="I682" s="1">
        <v>2204575.15</v>
      </c>
      <c r="J682" s="1" t="s">
        <v>14</v>
      </c>
      <c r="K682" s="1">
        <v>11910903441.91</v>
      </c>
    </row>
    <row r="683" spans="1:11" x14ac:dyDescent="0.25">
      <c r="A683" s="1" t="s">
        <v>11</v>
      </c>
      <c r="B683" s="1" t="s">
        <v>1092</v>
      </c>
      <c r="C683" s="1" t="s">
        <v>15</v>
      </c>
      <c r="D683" s="1" t="s">
        <v>1093</v>
      </c>
      <c r="E683" s="1" t="s">
        <v>1094</v>
      </c>
      <c r="F683" s="1" t="s">
        <v>14</v>
      </c>
      <c r="G683" s="1">
        <v>9222654025.0900002</v>
      </c>
      <c r="H683" s="1">
        <v>212488868.06</v>
      </c>
      <c r="I683" s="1">
        <v>2168571.16</v>
      </c>
      <c r="J683" s="1" t="s">
        <v>14</v>
      </c>
      <c r="K683" s="1">
        <v>9432974321.9899998</v>
      </c>
    </row>
    <row r="684" spans="1:11" x14ac:dyDescent="0.25">
      <c r="A684" s="1" t="s">
        <v>11</v>
      </c>
      <c r="B684" s="1" t="s">
        <v>1092</v>
      </c>
      <c r="C684" s="1" t="s">
        <v>18</v>
      </c>
      <c r="D684" s="1" t="s">
        <v>1095</v>
      </c>
      <c r="E684" s="1" t="s">
        <v>1096</v>
      </c>
      <c r="F684" s="1" t="s">
        <v>14</v>
      </c>
      <c r="G684" s="1">
        <v>1531867025.03</v>
      </c>
      <c r="H684" s="1">
        <v>19976733.489999998</v>
      </c>
      <c r="I684" s="1">
        <v>155398.87</v>
      </c>
      <c r="J684" s="1" t="s">
        <v>14</v>
      </c>
      <c r="K684" s="1">
        <v>1551688359.6500001</v>
      </c>
    </row>
    <row r="685" spans="1:11" x14ac:dyDescent="0.25">
      <c r="A685" s="1" t="s">
        <v>11</v>
      </c>
      <c r="B685" s="1" t="s">
        <v>1092</v>
      </c>
      <c r="C685" s="1" t="s">
        <v>21</v>
      </c>
      <c r="D685" s="1" t="s">
        <v>1097</v>
      </c>
      <c r="E685" s="1" t="s">
        <v>1098</v>
      </c>
      <c r="F685" s="1" t="s">
        <v>14</v>
      </c>
      <c r="G685" s="1">
        <v>11278147.949999999</v>
      </c>
      <c r="H685" s="1">
        <v>433245.29</v>
      </c>
      <c r="I685" s="1">
        <v>155398.87</v>
      </c>
      <c r="J685" s="1" t="s">
        <v>14</v>
      </c>
      <c r="K685" s="1">
        <v>11555994.369999999</v>
      </c>
    </row>
    <row r="686" spans="1:11" x14ac:dyDescent="0.25">
      <c r="A686" s="1" t="s">
        <v>11</v>
      </c>
      <c r="B686" s="1" t="s">
        <v>1092</v>
      </c>
      <c r="C686" s="1" t="s">
        <v>23</v>
      </c>
      <c r="D686" s="1" t="s">
        <v>1099</v>
      </c>
      <c r="E686" s="1" t="s">
        <v>1100</v>
      </c>
      <c r="F686" s="1" t="s">
        <v>14</v>
      </c>
      <c r="G686" s="1">
        <v>7336324.9500000002</v>
      </c>
      <c r="H686" s="1">
        <v>271568.28999999998</v>
      </c>
      <c r="I686" s="1">
        <v>155398.87</v>
      </c>
      <c r="J686" s="1" t="s">
        <v>14</v>
      </c>
      <c r="K686" s="1">
        <v>7452494.3700000001</v>
      </c>
    </row>
    <row r="687" spans="1:11" x14ac:dyDescent="0.25">
      <c r="A687" s="1" t="s">
        <v>11</v>
      </c>
      <c r="B687" s="1" t="s">
        <v>1092</v>
      </c>
      <c r="C687" s="1" t="s">
        <v>26</v>
      </c>
      <c r="D687" s="1" t="s">
        <v>1101</v>
      </c>
      <c r="E687" s="1" t="s">
        <v>1100</v>
      </c>
      <c r="F687" s="1" t="s">
        <v>14</v>
      </c>
      <c r="G687" s="1">
        <v>7336324.9500000002</v>
      </c>
      <c r="H687" s="1">
        <v>271568.28999999998</v>
      </c>
      <c r="I687" s="1">
        <v>155398.87</v>
      </c>
      <c r="J687" s="1" t="s">
        <v>14</v>
      </c>
      <c r="K687" s="1">
        <v>7452494.3700000001</v>
      </c>
    </row>
    <row r="688" spans="1:11" x14ac:dyDescent="0.25">
      <c r="A688" s="1" t="s">
        <v>11</v>
      </c>
      <c r="B688" s="1" t="s">
        <v>1092</v>
      </c>
      <c r="C688" s="1" t="s">
        <v>23</v>
      </c>
      <c r="D688" s="1" t="s">
        <v>1102</v>
      </c>
      <c r="E688" s="1" t="s">
        <v>1103</v>
      </c>
      <c r="F688" s="1" t="s">
        <v>14</v>
      </c>
      <c r="G688" s="1">
        <v>3941823</v>
      </c>
      <c r="H688" s="1">
        <v>161677</v>
      </c>
      <c r="I688" s="1">
        <v>0</v>
      </c>
      <c r="J688" s="1" t="s">
        <v>14</v>
      </c>
      <c r="K688" s="1">
        <v>4103500</v>
      </c>
    </row>
    <row r="689" spans="1:11" x14ac:dyDescent="0.25">
      <c r="A689" s="1" t="s">
        <v>11</v>
      </c>
      <c r="B689" s="1" t="s">
        <v>1092</v>
      </c>
      <c r="C689" s="1" t="s">
        <v>26</v>
      </c>
      <c r="D689" s="1" t="s">
        <v>1104</v>
      </c>
      <c r="E689" s="1" t="s">
        <v>1105</v>
      </c>
      <c r="F689" s="1" t="s">
        <v>14</v>
      </c>
      <c r="G689" s="1">
        <v>1321881</v>
      </c>
      <c r="H689" s="1">
        <v>44434</v>
      </c>
      <c r="I689" s="1">
        <v>0</v>
      </c>
      <c r="J689" s="1" t="s">
        <v>14</v>
      </c>
      <c r="K689" s="1">
        <v>1366315</v>
      </c>
    </row>
    <row r="690" spans="1:11" x14ac:dyDescent="0.25">
      <c r="A690" s="1" t="s">
        <v>11</v>
      </c>
      <c r="B690" s="1" t="s">
        <v>1092</v>
      </c>
      <c r="C690" s="1" t="s">
        <v>26</v>
      </c>
      <c r="D690" s="1" t="s">
        <v>1106</v>
      </c>
      <c r="E690" s="1" t="s">
        <v>1107</v>
      </c>
      <c r="F690" s="1" t="s">
        <v>14</v>
      </c>
      <c r="G690" s="1">
        <v>1095833</v>
      </c>
      <c r="H690" s="1">
        <v>106333</v>
      </c>
      <c r="I690" s="1">
        <v>0</v>
      </c>
      <c r="J690" s="1" t="s">
        <v>14</v>
      </c>
      <c r="K690" s="1">
        <v>1202166</v>
      </c>
    </row>
    <row r="691" spans="1:11" x14ac:dyDescent="0.25">
      <c r="A691" s="1" t="s">
        <v>11</v>
      </c>
      <c r="B691" s="1" t="s">
        <v>1092</v>
      </c>
      <c r="C691" s="1" t="s">
        <v>26</v>
      </c>
      <c r="D691" s="1" t="s">
        <v>1108</v>
      </c>
      <c r="E691" s="1" t="s">
        <v>264</v>
      </c>
      <c r="F691" s="1" t="s">
        <v>14</v>
      </c>
      <c r="G691" s="1">
        <v>127328</v>
      </c>
      <c r="H691" s="1">
        <v>0</v>
      </c>
      <c r="I691" s="1">
        <v>0</v>
      </c>
      <c r="J691" s="1" t="s">
        <v>14</v>
      </c>
      <c r="K691" s="1">
        <v>127328</v>
      </c>
    </row>
    <row r="692" spans="1:11" x14ac:dyDescent="0.25">
      <c r="A692" s="1" t="s">
        <v>11</v>
      </c>
      <c r="B692" s="1" t="s">
        <v>1092</v>
      </c>
      <c r="C692" s="1" t="s">
        <v>26</v>
      </c>
      <c r="D692" s="1" t="s">
        <v>1109</v>
      </c>
      <c r="E692" s="1" t="s">
        <v>258</v>
      </c>
      <c r="F692" s="1" t="s">
        <v>14</v>
      </c>
      <c r="G692" s="1">
        <v>363746</v>
      </c>
      <c r="H692" s="1">
        <v>0</v>
      </c>
      <c r="I692" s="1">
        <v>0</v>
      </c>
      <c r="J692" s="1" t="s">
        <v>14</v>
      </c>
      <c r="K692" s="1">
        <v>363746</v>
      </c>
    </row>
    <row r="693" spans="1:11" x14ac:dyDescent="0.25">
      <c r="A693" s="1" t="s">
        <v>11</v>
      </c>
      <c r="B693" s="1" t="s">
        <v>1092</v>
      </c>
      <c r="C693" s="1" t="s">
        <v>26</v>
      </c>
      <c r="D693" s="1" t="s">
        <v>1110</v>
      </c>
      <c r="E693" s="1" t="s">
        <v>1111</v>
      </c>
      <c r="F693" s="1" t="s">
        <v>14</v>
      </c>
      <c r="G693" s="1">
        <v>162000</v>
      </c>
      <c r="H693" s="1">
        <v>0</v>
      </c>
      <c r="I693" s="1">
        <v>0</v>
      </c>
      <c r="J693" s="1" t="s">
        <v>14</v>
      </c>
      <c r="K693" s="1">
        <v>162000</v>
      </c>
    </row>
    <row r="694" spans="1:11" x14ac:dyDescent="0.25">
      <c r="A694" s="1" t="s">
        <v>11</v>
      </c>
      <c r="B694" s="1" t="s">
        <v>1092</v>
      </c>
      <c r="C694" s="1" t="s">
        <v>26</v>
      </c>
      <c r="D694" s="1" t="s">
        <v>1112</v>
      </c>
      <c r="E694" s="1" t="s">
        <v>1113</v>
      </c>
      <c r="F694" s="1" t="s">
        <v>14</v>
      </c>
      <c r="G694" s="1">
        <v>449378</v>
      </c>
      <c r="H694" s="1">
        <v>0</v>
      </c>
      <c r="I694" s="1">
        <v>0</v>
      </c>
      <c r="J694" s="1" t="s">
        <v>14</v>
      </c>
      <c r="K694" s="1">
        <v>449378</v>
      </c>
    </row>
    <row r="695" spans="1:11" x14ac:dyDescent="0.25">
      <c r="A695" s="1" t="s">
        <v>11</v>
      </c>
      <c r="B695" s="1" t="s">
        <v>1092</v>
      </c>
      <c r="C695" s="1" t="s">
        <v>26</v>
      </c>
      <c r="D695" s="1" t="s">
        <v>1114</v>
      </c>
      <c r="E695" s="1" t="s">
        <v>1115</v>
      </c>
      <c r="F695" s="1" t="s">
        <v>14</v>
      </c>
      <c r="G695" s="1">
        <v>172688</v>
      </c>
      <c r="H695" s="1">
        <v>8443</v>
      </c>
      <c r="I695" s="1">
        <v>0</v>
      </c>
      <c r="J695" s="1" t="s">
        <v>14</v>
      </c>
      <c r="K695" s="1">
        <v>181131</v>
      </c>
    </row>
    <row r="696" spans="1:11" x14ac:dyDescent="0.25">
      <c r="A696" s="1" t="s">
        <v>11</v>
      </c>
      <c r="B696" s="1" t="s">
        <v>1092</v>
      </c>
      <c r="C696" s="1" t="s">
        <v>26</v>
      </c>
      <c r="D696" s="1" t="s">
        <v>1116</v>
      </c>
      <c r="E696" s="1" t="s">
        <v>1117</v>
      </c>
      <c r="F696" s="1" t="s">
        <v>14</v>
      </c>
      <c r="G696" s="1">
        <v>80576</v>
      </c>
      <c r="H696" s="1">
        <v>2467</v>
      </c>
      <c r="I696" s="1">
        <v>0</v>
      </c>
      <c r="J696" s="1" t="s">
        <v>14</v>
      </c>
      <c r="K696" s="1">
        <v>83043</v>
      </c>
    </row>
    <row r="697" spans="1:11" x14ac:dyDescent="0.25">
      <c r="A697" s="1" t="s">
        <v>11</v>
      </c>
      <c r="B697" s="1" t="s">
        <v>1092</v>
      </c>
      <c r="C697" s="1" t="s">
        <v>26</v>
      </c>
      <c r="D697" s="1" t="s">
        <v>1118</v>
      </c>
      <c r="E697" s="1" t="s">
        <v>1119</v>
      </c>
      <c r="F697" s="1" t="s">
        <v>14</v>
      </c>
      <c r="G697" s="1">
        <v>22672</v>
      </c>
      <c r="H697" s="1">
        <v>0</v>
      </c>
      <c r="I697" s="1">
        <v>0</v>
      </c>
      <c r="J697" s="1" t="s">
        <v>14</v>
      </c>
      <c r="K697" s="1">
        <v>22672</v>
      </c>
    </row>
    <row r="698" spans="1:11" x14ac:dyDescent="0.25">
      <c r="A698" s="1" t="s">
        <v>11</v>
      </c>
      <c r="B698" s="1" t="s">
        <v>1092</v>
      </c>
      <c r="C698" s="1" t="s">
        <v>26</v>
      </c>
      <c r="D698" s="1" t="s">
        <v>1120</v>
      </c>
      <c r="E698" s="1" t="s">
        <v>1121</v>
      </c>
      <c r="F698" s="1" t="s">
        <v>14</v>
      </c>
      <c r="G698" s="1">
        <v>61764</v>
      </c>
      <c r="H698" s="1">
        <v>0</v>
      </c>
      <c r="I698" s="1">
        <v>0</v>
      </c>
      <c r="J698" s="1" t="s">
        <v>14</v>
      </c>
      <c r="K698" s="1">
        <v>61764</v>
      </c>
    </row>
    <row r="699" spans="1:11" x14ac:dyDescent="0.25">
      <c r="A699" s="1" t="s">
        <v>11</v>
      </c>
      <c r="B699" s="1" t="s">
        <v>1092</v>
      </c>
      <c r="C699" s="1" t="s">
        <v>26</v>
      </c>
      <c r="D699" s="1" t="s">
        <v>1122</v>
      </c>
      <c r="E699" s="1" t="s">
        <v>1123</v>
      </c>
      <c r="F699" s="1" t="s">
        <v>14</v>
      </c>
      <c r="G699" s="1">
        <v>83957</v>
      </c>
      <c r="H699" s="1">
        <v>0</v>
      </c>
      <c r="I699" s="1">
        <v>0</v>
      </c>
      <c r="J699" s="1" t="s">
        <v>14</v>
      </c>
      <c r="K699" s="1">
        <v>83957</v>
      </c>
    </row>
    <row r="700" spans="1:11" x14ac:dyDescent="0.25">
      <c r="A700" s="1" t="s">
        <v>11</v>
      </c>
      <c r="B700" s="1" t="s">
        <v>1092</v>
      </c>
      <c r="C700" s="1" t="s">
        <v>21</v>
      </c>
      <c r="D700" s="1" t="s">
        <v>1124</v>
      </c>
      <c r="E700" s="1" t="s">
        <v>1125</v>
      </c>
      <c r="F700" s="1" t="s">
        <v>14</v>
      </c>
      <c r="G700" s="1">
        <v>1264657404.46</v>
      </c>
      <c r="H700" s="1">
        <v>0</v>
      </c>
      <c r="I700" s="1">
        <v>0</v>
      </c>
      <c r="J700" s="1" t="s">
        <v>14</v>
      </c>
      <c r="K700" s="1">
        <v>1264657404.46</v>
      </c>
    </row>
    <row r="701" spans="1:11" x14ac:dyDescent="0.25">
      <c r="A701" s="1" t="s">
        <v>11</v>
      </c>
      <c r="B701" s="1" t="s">
        <v>1092</v>
      </c>
      <c r="C701" s="1" t="s">
        <v>23</v>
      </c>
      <c r="D701" s="1" t="s">
        <v>1126</v>
      </c>
      <c r="E701" s="1" t="s">
        <v>1127</v>
      </c>
      <c r="F701" s="1" t="s">
        <v>14</v>
      </c>
      <c r="G701" s="1">
        <v>1258984524.76</v>
      </c>
      <c r="H701" s="1">
        <v>0</v>
      </c>
      <c r="I701" s="1">
        <v>0</v>
      </c>
      <c r="J701" s="1" t="s">
        <v>14</v>
      </c>
      <c r="K701" s="1">
        <v>1258984524.76</v>
      </c>
    </row>
    <row r="702" spans="1:11" x14ac:dyDescent="0.25">
      <c r="A702" s="1" t="s">
        <v>11</v>
      </c>
      <c r="B702" s="1" t="s">
        <v>1092</v>
      </c>
      <c r="C702" s="1" t="s">
        <v>26</v>
      </c>
      <c r="D702" s="1" t="s">
        <v>1128</v>
      </c>
      <c r="E702" s="1" t="s">
        <v>1129</v>
      </c>
      <c r="F702" s="1" t="s">
        <v>14</v>
      </c>
      <c r="G702" s="1">
        <v>384975000</v>
      </c>
      <c r="H702" s="1">
        <v>0</v>
      </c>
      <c r="I702" s="1">
        <v>0</v>
      </c>
      <c r="J702" s="1" t="s">
        <v>14</v>
      </c>
      <c r="K702" s="1">
        <v>384975000</v>
      </c>
    </row>
    <row r="703" spans="1:11" x14ac:dyDescent="0.25">
      <c r="A703" s="1" t="s">
        <v>11</v>
      </c>
      <c r="B703" s="1" t="s">
        <v>1092</v>
      </c>
      <c r="C703" s="1" t="s">
        <v>26</v>
      </c>
      <c r="D703" s="1" t="s">
        <v>1130</v>
      </c>
      <c r="E703" s="1" t="s">
        <v>1131</v>
      </c>
      <c r="F703" s="1" t="s">
        <v>14</v>
      </c>
      <c r="G703" s="1">
        <v>464000001</v>
      </c>
      <c r="H703" s="1">
        <v>0</v>
      </c>
      <c r="I703" s="1">
        <v>0</v>
      </c>
      <c r="J703" s="1" t="s">
        <v>14</v>
      </c>
      <c r="K703" s="1">
        <v>464000001</v>
      </c>
    </row>
    <row r="704" spans="1:11" x14ac:dyDescent="0.25">
      <c r="A704" s="1" t="s">
        <v>11</v>
      </c>
      <c r="B704" s="1" t="s">
        <v>1092</v>
      </c>
      <c r="C704" s="1" t="s">
        <v>26</v>
      </c>
      <c r="D704" s="1" t="s">
        <v>1132</v>
      </c>
      <c r="E704" s="1" t="s">
        <v>1133</v>
      </c>
      <c r="F704" s="1" t="s">
        <v>14</v>
      </c>
      <c r="G704" s="1">
        <v>6218334</v>
      </c>
      <c r="H704" s="1">
        <v>0</v>
      </c>
      <c r="I704" s="1">
        <v>0</v>
      </c>
      <c r="J704" s="1" t="s">
        <v>14</v>
      </c>
      <c r="K704" s="1">
        <v>6218334</v>
      </c>
    </row>
    <row r="705" spans="1:11" x14ac:dyDescent="0.25">
      <c r="A705" s="1" t="s">
        <v>11</v>
      </c>
      <c r="B705" s="1" t="s">
        <v>1092</v>
      </c>
      <c r="C705" s="1" t="s">
        <v>26</v>
      </c>
      <c r="D705" s="1" t="s">
        <v>1134</v>
      </c>
      <c r="E705" s="1" t="s">
        <v>1135</v>
      </c>
      <c r="F705" s="1" t="s">
        <v>14</v>
      </c>
      <c r="G705" s="1">
        <v>13812948</v>
      </c>
      <c r="H705" s="1">
        <v>0</v>
      </c>
      <c r="I705" s="1">
        <v>0</v>
      </c>
      <c r="J705" s="1" t="s">
        <v>14</v>
      </c>
      <c r="K705" s="1">
        <v>13812948</v>
      </c>
    </row>
    <row r="706" spans="1:11" x14ac:dyDescent="0.25">
      <c r="A706" s="1" t="s">
        <v>11</v>
      </c>
      <c r="B706" s="1" t="s">
        <v>1092</v>
      </c>
      <c r="C706" s="1" t="s">
        <v>26</v>
      </c>
      <c r="D706" s="1" t="s">
        <v>1136</v>
      </c>
      <c r="E706" s="1" t="s">
        <v>224</v>
      </c>
      <c r="F706" s="1" t="s">
        <v>14</v>
      </c>
      <c r="G706" s="1">
        <v>3361594</v>
      </c>
      <c r="H706" s="1">
        <v>0</v>
      </c>
      <c r="I706" s="1">
        <v>0</v>
      </c>
      <c r="J706" s="1" t="s">
        <v>14</v>
      </c>
      <c r="K706" s="1">
        <v>3361594</v>
      </c>
    </row>
    <row r="707" spans="1:11" x14ac:dyDescent="0.25">
      <c r="A707" s="1" t="s">
        <v>11</v>
      </c>
      <c r="B707" s="1" t="s">
        <v>1092</v>
      </c>
      <c r="C707" s="1" t="s">
        <v>26</v>
      </c>
      <c r="D707" s="1" t="s">
        <v>1137</v>
      </c>
      <c r="E707" s="1" t="s">
        <v>1138</v>
      </c>
      <c r="F707" s="1" t="s">
        <v>14</v>
      </c>
      <c r="G707" s="1">
        <v>21335400</v>
      </c>
      <c r="H707" s="1">
        <v>0</v>
      </c>
      <c r="I707" s="1">
        <v>0</v>
      </c>
      <c r="J707" s="1" t="s">
        <v>14</v>
      </c>
      <c r="K707" s="1">
        <v>21335400</v>
      </c>
    </row>
    <row r="708" spans="1:11" x14ac:dyDescent="0.25">
      <c r="A708" s="1" t="s">
        <v>11</v>
      </c>
      <c r="B708" s="1" t="s">
        <v>1092</v>
      </c>
      <c r="C708" s="1" t="s">
        <v>26</v>
      </c>
      <c r="D708" s="1" t="s">
        <v>1139</v>
      </c>
      <c r="E708" s="1" t="s">
        <v>1140</v>
      </c>
      <c r="F708" s="1" t="s">
        <v>14</v>
      </c>
      <c r="G708" s="1">
        <v>13969</v>
      </c>
      <c r="H708" s="1">
        <v>0</v>
      </c>
      <c r="I708" s="1">
        <v>0</v>
      </c>
      <c r="J708" s="1" t="s">
        <v>14</v>
      </c>
      <c r="K708" s="1">
        <v>13969</v>
      </c>
    </row>
    <row r="709" spans="1:11" x14ac:dyDescent="0.25">
      <c r="A709" s="1" t="s">
        <v>11</v>
      </c>
      <c r="B709" s="1" t="s">
        <v>1092</v>
      </c>
      <c r="C709" s="1" t="s">
        <v>26</v>
      </c>
      <c r="D709" s="1" t="s">
        <v>1141</v>
      </c>
      <c r="E709" s="1" t="s">
        <v>1142</v>
      </c>
      <c r="F709" s="1" t="s">
        <v>14</v>
      </c>
      <c r="G709" s="1">
        <v>43705009</v>
      </c>
      <c r="H709" s="1">
        <v>0</v>
      </c>
      <c r="I709" s="1">
        <v>0</v>
      </c>
      <c r="J709" s="1" t="s">
        <v>14</v>
      </c>
      <c r="K709" s="1">
        <v>43705009</v>
      </c>
    </row>
    <row r="710" spans="1:11" x14ac:dyDescent="0.25">
      <c r="A710" s="1" t="s">
        <v>11</v>
      </c>
      <c r="B710" s="1" t="s">
        <v>1092</v>
      </c>
      <c r="C710" s="1" t="s">
        <v>26</v>
      </c>
      <c r="D710" s="1" t="s">
        <v>1143</v>
      </c>
      <c r="E710" s="1" t="s">
        <v>673</v>
      </c>
      <c r="F710" s="1" t="s">
        <v>14</v>
      </c>
      <c r="G710" s="1">
        <v>5246692</v>
      </c>
      <c r="H710" s="1">
        <v>0</v>
      </c>
      <c r="I710" s="1">
        <v>0</v>
      </c>
      <c r="J710" s="1" t="s">
        <v>14</v>
      </c>
      <c r="K710" s="1">
        <v>5246692</v>
      </c>
    </row>
    <row r="711" spans="1:11" x14ac:dyDescent="0.25">
      <c r="A711" s="1" t="s">
        <v>11</v>
      </c>
      <c r="B711" s="1" t="s">
        <v>1092</v>
      </c>
      <c r="C711" s="1" t="s">
        <v>26</v>
      </c>
      <c r="D711" s="1" t="s">
        <v>1144</v>
      </c>
      <c r="E711" s="1" t="s">
        <v>675</v>
      </c>
      <c r="F711" s="1" t="s">
        <v>14</v>
      </c>
      <c r="G711" s="1">
        <v>44089981</v>
      </c>
      <c r="H711" s="1">
        <v>0</v>
      </c>
      <c r="I711" s="1">
        <v>0</v>
      </c>
      <c r="J711" s="1" t="s">
        <v>14</v>
      </c>
      <c r="K711" s="1">
        <v>44089981</v>
      </c>
    </row>
    <row r="712" spans="1:11" x14ac:dyDescent="0.25">
      <c r="A712" s="1" t="s">
        <v>11</v>
      </c>
      <c r="B712" s="1" t="s">
        <v>1092</v>
      </c>
      <c r="C712" s="1" t="s">
        <v>26</v>
      </c>
      <c r="D712" s="1" t="s">
        <v>1145</v>
      </c>
      <c r="E712" s="1" t="s">
        <v>1146</v>
      </c>
      <c r="F712" s="1" t="s">
        <v>14</v>
      </c>
      <c r="G712" s="1">
        <v>36158999.32</v>
      </c>
      <c r="H712" s="1">
        <v>0</v>
      </c>
      <c r="I712" s="1">
        <v>0</v>
      </c>
      <c r="J712" s="1" t="s">
        <v>14</v>
      </c>
      <c r="K712" s="1">
        <v>36158999.32</v>
      </c>
    </row>
    <row r="713" spans="1:11" x14ac:dyDescent="0.25">
      <c r="A713" s="1" t="s">
        <v>11</v>
      </c>
      <c r="B713" s="1" t="s">
        <v>1092</v>
      </c>
      <c r="C713" s="1" t="s">
        <v>26</v>
      </c>
      <c r="D713" s="1" t="s">
        <v>1147</v>
      </c>
      <c r="E713" s="1" t="s">
        <v>1148</v>
      </c>
      <c r="F713" s="1" t="s">
        <v>14</v>
      </c>
      <c r="G713" s="1">
        <v>68862006</v>
      </c>
      <c r="H713" s="1">
        <v>0</v>
      </c>
      <c r="I713" s="1">
        <v>0</v>
      </c>
      <c r="J713" s="1" t="s">
        <v>14</v>
      </c>
      <c r="K713" s="1">
        <v>68862006</v>
      </c>
    </row>
    <row r="714" spans="1:11" x14ac:dyDescent="0.25">
      <c r="A714" s="1" t="s">
        <v>11</v>
      </c>
      <c r="B714" s="1" t="s">
        <v>1092</v>
      </c>
      <c r="C714" s="1" t="s">
        <v>26</v>
      </c>
      <c r="D714" s="1" t="s">
        <v>1149</v>
      </c>
      <c r="E714" s="1" t="s">
        <v>1150</v>
      </c>
      <c r="F714" s="1" t="s">
        <v>14</v>
      </c>
      <c r="G714" s="1">
        <v>79179903</v>
      </c>
      <c r="H714" s="1">
        <v>0</v>
      </c>
      <c r="I714" s="1">
        <v>0</v>
      </c>
      <c r="J714" s="1" t="s">
        <v>14</v>
      </c>
      <c r="K714" s="1">
        <v>79179903</v>
      </c>
    </row>
    <row r="715" spans="1:11" x14ac:dyDescent="0.25">
      <c r="A715" s="1" t="s">
        <v>11</v>
      </c>
      <c r="B715" s="1" t="s">
        <v>1092</v>
      </c>
      <c r="C715" s="1" t="s">
        <v>26</v>
      </c>
      <c r="D715" s="1" t="s">
        <v>1151</v>
      </c>
      <c r="E715" s="1" t="s">
        <v>1152</v>
      </c>
      <c r="F715" s="1" t="s">
        <v>14</v>
      </c>
      <c r="G715" s="1">
        <v>18522286</v>
      </c>
      <c r="H715" s="1">
        <v>0</v>
      </c>
      <c r="I715" s="1">
        <v>0</v>
      </c>
      <c r="J715" s="1" t="s">
        <v>14</v>
      </c>
      <c r="K715" s="1">
        <v>18522286</v>
      </c>
    </row>
    <row r="716" spans="1:11" x14ac:dyDescent="0.25">
      <c r="A716" s="1" t="s">
        <v>11</v>
      </c>
      <c r="B716" s="1" t="s">
        <v>1092</v>
      </c>
      <c r="C716" s="1" t="s">
        <v>26</v>
      </c>
      <c r="D716" s="1" t="s">
        <v>1153</v>
      </c>
      <c r="E716" s="1" t="s">
        <v>1154</v>
      </c>
      <c r="F716" s="1" t="s">
        <v>14</v>
      </c>
      <c r="G716" s="1">
        <v>31045856.440000001</v>
      </c>
      <c r="H716" s="1">
        <v>0</v>
      </c>
      <c r="I716" s="1">
        <v>0</v>
      </c>
      <c r="J716" s="1" t="s">
        <v>14</v>
      </c>
      <c r="K716" s="1">
        <v>31045856.440000001</v>
      </c>
    </row>
    <row r="717" spans="1:11" x14ac:dyDescent="0.25">
      <c r="A717" s="1" t="s">
        <v>11</v>
      </c>
      <c r="B717" s="1" t="s">
        <v>1092</v>
      </c>
      <c r="C717" s="1" t="s">
        <v>26</v>
      </c>
      <c r="D717" s="1" t="s">
        <v>1155</v>
      </c>
      <c r="E717" s="1" t="s">
        <v>1156</v>
      </c>
      <c r="F717" s="1" t="s">
        <v>14</v>
      </c>
      <c r="G717" s="1">
        <v>23073678</v>
      </c>
      <c r="H717" s="1">
        <v>0</v>
      </c>
      <c r="I717" s="1">
        <v>0</v>
      </c>
      <c r="J717" s="1" t="s">
        <v>14</v>
      </c>
      <c r="K717" s="1">
        <v>23073678</v>
      </c>
    </row>
    <row r="718" spans="1:11" x14ac:dyDescent="0.25">
      <c r="A718" s="1" t="s">
        <v>11</v>
      </c>
      <c r="B718" s="1" t="s">
        <v>1092</v>
      </c>
      <c r="C718" s="1" t="s">
        <v>26</v>
      </c>
      <c r="D718" s="1" t="s">
        <v>1157</v>
      </c>
      <c r="E718" s="1" t="s">
        <v>1158</v>
      </c>
      <c r="F718" s="1" t="s">
        <v>14</v>
      </c>
      <c r="G718" s="1">
        <v>15382868</v>
      </c>
      <c r="H718" s="1">
        <v>0</v>
      </c>
      <c r="I718" s="1">
        <v>0</v>
      </c>
      <c r="J718" s="1" t="s">
        <v>14</v>
      </c>
      <c r="K718" s="1">
        <v>15382868</v>
      </c>
    </row>
    <row r="719" spans="1:11" x14ac:dyDescent="0.25">
      <c r="A719" s="1" t="s">
        <v>11</v>
      </c>
      <c r="B719" s="1" t="s">
        <v>1092</v>
      </c>
      <c r="C719" s="1" t="s">
        <v>23</v>
      </c>
      <c r="D719" s="1" t="s">
        <v>1159</v>
      </c>
      <c r="E719" s="1" t="s">
        <v>1160</v>
      </c>
      <c r="F719" s="1" t="s">
        <v>14</v>
      </c>
      <c r="G719" s="1">
        <v>5672879.7000000002</v>
      </c>
      <c r="H719" s="1">
        <v>0</v>
      </c>
      <c r="I719" s="1">
        <v>0</v>
      </c>
      <c r="J719" s="1" t="s">
        <v>14</v>
      </c>
      <c r="K719" s="1">
        <v>5672879.7000000002</v>
      </c>
    </row>
    <row r="720" spans="1:11" x14ac:dyDescent="0.25">
      <c r="A720" s="1" t="s">
        <v>11</v>
      </c>
      <c r="B720" s="1" t="s">
        <v>1092</v>
      </c>
      <c r="C720" s="1" t="s">
        <v>26</v>
      </c>
      <c r="D720" s="1" t="s">
        <v>1161</v>
      </c>
      <c r="E720" s="1" t="s">
        <v>1162</v>
      </c>
      <c r="F720" s="1" t="s">
        <v>14</v>
      </c>
      <c r="G720" s="1">
        <v>23529</v>
      </c>
      <c r="H720" s="1">
        <v>0</v>
      </c>
      <c r="I720" s="1">
        <v>0</v>
      </c>
      <c r="J720" s="1" t="s">
        <v>14</v>
      </c>
      <c r="K720" s="1">
        <v>23529</v>
      </c>
    </row>
    <row r="721" spans="1:11" x14ac:dyDescent="0.25">
      <c r="A721" s="1" t="s">
        <v>11</v>
      </c>
      <c r="B721" s="1" t="s">
        <v>1092</v>
      </c>
      <c r="C721" s="1" t="s">
        <v>26</v>
      </c>
      <c r="D721" s="1" t="s">
        <v>1163</v>
      </c>
      <c r="E721" s="1" t="s">
        <v>1164</v>
      </c>
      <c r="F721" s="1" t="s">
        <v>14</v>
      </c>
      <c r="G721" s="1">
        <v>350000</v>
      </c>
      <c r="H721" s="1">
        <v>0</v>
      </c>
      <c r="I721" s="1">
        <v>0</v>
      </c>
      <c r="J721" s="1" t="s">
        <v>14</v>
      </c>
      <c r="K721" s="1">
        <v>350000</v>
      </c>
    </row>
    <row r="722" spans="1:11" x14ac:dyDescent="0.25">
      <c r="A722" s="1" t="s">
        <v>11</v>
      </c>
      <c r="B722" s="1" t="s">
        <v>1092</v>
      </c>
      <c r="C722" s="1" t="s">
        <v>26</v>
      </c>
      <c r="D722" s="1" t="s">
        <v>1165</v>
      </c>
      <c r="E722" s="1" t="s">
        <v>1166</v>
      </c>
      <c r="F722" s="1" t="s">
        <v>14</v>
      </c>
      <c r="G722" s="1">
        <v>3429456.7</v>
      </c>
      <c r="H722" s="1">
        <v>0</v>
      </c>
      <c r="I722" s="1">
        <v>0</v>
      </c>
      <c r="J722" s="1" t="s">
        <v>14</v>
      </c>
      <c r="K722" s="1">
        <v>3429456.7</v>
      </c>
    </row>
    <row r="723" spans="1:11" x14ac:dyDescent="0.25">
      <c r="A723" s="1" t="s">
        <v>11</v>
      </c>
      <c r="B723" s="1" t="s">
        <v>1092</v>
      </c>
      <c r="C723" s="1" t="s">
        <v>26</v>
      </c>
      <c r="D723" s="1" t="s">
        <v>1167</v>
      </c>
      <c r="E723" s="1" t="s">
        <v>1168</v>
      </c>
      <c r="F723" s="1" t="s">
        <v>14</v>
      </c>
      <c r="G723" s="1">
        <v>1342857</v>
      </c>
      <c r="H723" s="1">
        <v>0</v>
      </c>
      <c r="I723" s="1">
        <v>0</v>
      </c>
      <c r="J723" s="1" t="s">
        <v>14</v>
      </c>
      <c r="K723" s="1">
        <v>1342857</v>
      </c>
    </row>
    <row r="724" spans="1:11" x14ac:dyDescent="0.25">
      <c r="A724" s="1" t="s">
        <v>11</v>
      </c>
      <c r="B724" s="1" t="s">
        <v>1092</v>
      </c>
      <c r="C724" s="1" t="s">
        <v>26</v>
      </c>
      <c r="D724" s="1" t="s">
        <v>1169</v>
      </c>
      <c r="E724" s="1" t="s">
        <v>1170</v>
      </c>
      <c r="F724" s="1" t="s">
        <v>14</v>
      </c>
      <c r="G724" s="1">
        <v>255143</v>
      </c>
      <c r="H724" s="1">
        <v>0</v>
      </c>
      <c r="I724" s="1">
        <v>0</v>
      </c>
      <c r="J724" s="1" t="s">
        <v>14</v>
      </c>
      <c r="K724" s="1">
        <v>255143</v>
      </c>
    </row>
    <row r="725" spans="1:11" x14ac:dyDescent="0.25">
      <c r="A725" s="1" t="s">
        <v>11</v>
      </c>
      <c r="B725" s="1" t="s">
        <v>1092</v>
      </c>
      <c r="C725" s="1" t="s">
        <v>26</v>
      </c>
      <c r="D725" s="1" t="s">
        <v>1171</v>
      </c>
      <c r="E725" s="1" t="s">
        <v>1172</v>
      </c>
      <c r="F725" s="1" t="s">
        <v>14</v>
      </c>
      <c r="G725" s="1">
        <v>4471</v>
      </c>
      <c r="H725" s="1">
        <v>0</v>
      </c>
      <c r="I725" s="1">
        <v>0</v>
      </c>
      <c r="J725" s="1" t="s">
        <v>14</v>
      </c>
      <c r="K725" s="1">
        <v>4471</v>
      </c>
    </row>
    <row r="726" spans="1:11" x14ac:dyDescent="0.25">
      <c r="A726" s="1" t="s">
        <v>11</v>
      </c>
      <c r="B726" s="1" t="s">
        <v>1092</v>
      </c>
      <c r="C726" s="1" t="s">
        <v>26</v>
      </c>
      <c r="D726" s="1" t="s">
        <v>1173</v>
      </c>
      <c r="E726" s="1" t="s">
        <v>1174</v>
      </c>
      <c r="F726" s="1" t="s">
        <v>14</v>
      </c>
      <c r="G726" s="1">
        <v>200923</v>
      </c>
      <c r="H726" s="1">
        <v>0</v>
      </c>
      <c r="I726" s="1">
        <v>0</v>
      </c>
      <c r="J726" s="1" t="s">
        <v>14</v>
      </c>
      <c r="K726" s="1">
        <v>200923</v>
      </c>
    </row>
    <row r="727" spans="1:11" x14ac:dyDescent="0.25">
      <c r="A727" s="1" t="s">
        <v>11</v>
      </c>
      <c r="B727" s="1" t="s">
        <v>1092</v>
      </c>
      <c r="C727" s="1" t="s">
        <v>26</v>
      </c>
      <c r="D727" s="1" t="s">
        <v>1175</v>
      </c>
      <c r="E727" s="1" t="s">
        <v>1176</v>
      </c>
      <c r="F727" s="1" t="s">
        <v>14</v>
      </c>
      <c r="G727" s="1">
        <v>66500</v>
      </c>
      <c r="H727" s="1">
        <v>0</v>
      </c>
      <c r="I727" s="1">
        <v>0</v>
      </c>
      <c r="J727" s="1" t="s">
        <v>14</v>
      </c>
      <c r="K727" s="1">
        <v>66500</v>
      </c>
    </row>
    <row r="728" spans="1:11" x14ac:dyDescent="0.25">
      <c r="A728" s="1" t="s">
        <v>11</v>
      </c>
      <c r="B728" s="1" t="s">
        <v>1092</v>
      </c>
      <c r="C728" s="1" t="s">
        <v>21</v>
      </c>
      <c r="D728" s="1" t="s">
        <v>1177</v>
      </c>
      <c r="E728" s="1" t="s">
        <v>1178</v>
      </c>
      <c r="F728" s="1" t="s">
        <v>14</v>
      </c>
      <c r="G728" s="1">
        <v>255931472.62</v>
      </c>
      <c r="H728" s="1">
        <v>19543488.199999999</v>
      </c>
      <c r="I728" s="1">
        <v>0</v>
      </c>
      <c r="J728" s="1" t="s">
        <v>14</v>
      </c>
      <c r="K728" s="1">
        <v>275474960.81999999</v>
      </c>
    </row>
    <row r="729" spans="1:11" x14ac:dyDescent="0.25">
      <c r="A729" s="1" t="s">
        <v>11</v>
      </c>
      <c r="B729" s="1" t="s">
        <v>1092</v>
      </c>
      <c r="C729" s="1" t="s">
        <v>23</v>
      </c>
      <c r="D729" s="1" t="s">
        <v>1179</v>
      </c>
      <c r="E729" s="1" t="s">
        <v>1180</v>
      </c>
      <c r="F729" s="1" t="s">
        <v>14</v>
      </c>
      <c r="G729" s="1">
        <v>54738648</v>
      </c>
      <c r="H729" s="1">
        <v>6882573</v>
      </c>
      <c r="I729" s="1">
        <v>0</v>
      </c>
      <c r="J729" s="1" t="s">
        <v>14</v>
      </c>
      <c r="K729" s="1">
        <v>61621221</v>
      </c>
    </row>
    <row r="730" spans="1:11" x14ac:dyDescent="0.25">
      <c r="A730" s="1" t="s">
        <v>11</v>
      </c>
      <c r="B730" s="1" t="s">
        <v>1092</v>
      </c>
      <c r="C730" s="1" t="s">
        <v>26</v>
      </c>
      <c r="D730" s="1" t="s">
        <v>1181</v>
      </c>
      <c r="E730" s="1" t="s">
        <v>1182</v>
      </c>
      <c r="F730" s="1" t="s">
        <v>14</v>
      </c>
      <c r="G730" s="1">
        <v>19800000</v>
      </c>
      <c r="H730" s="1">
        <v>3323167</v>
      </c>
      <c r="I730" s="1">
        <v>0</v>
      </c>
      <c r="J730" s="1" t="s">
        <v>14</v>
      </c>
      <c r="K730" s="1">
        <v>23123167</v>
      </c>
    </row>
    <row r="731" spans="1:11" x14ac:dyDescent="0.25">
      <c r="A731" s="1" t="s">
        <v>11</v>
      </c>
      <c r="B731" s="1" t="s">
        <v>1092</v>
      </c>
      <c r="C731" s="1" t="s">
        <v>26</v>
      </c>
      <c r="D731" s="1" t="s">
        <v>1183</v>
      </c>
      <c r="E731" s="1" t="s">
        <v>1184</v>
      </c>
      <c r="F731" s="1" t="s">
        <v>14</v>
      </c>
      <c r="G731" s="1">
        <v>32317000</v>
      </c>
      <c r="H731" s="1">
        <v>3231700</v>
      </c>
      <c r="I731" s="1">
        <v>0</v>
      </c>
      <c r="J731" s="1" t="s">
        <v>14</v>
      </c>
      <c r="K731" s="1">
        <v>35548700</v>
      </c>
    </row>
    <row r="732" spans="1:11" x14ac:dyDescent="0.25">
      <c r="A732" s="1" t="s">
        <v>11</v>
      </c>
      <c r="B732" s="1" t="s">
        <v>1092</v>
      </c>
      <c r="C732" s="1" t="s">
        <v>26</v>
      </c>
      <c r="D732" s="1" t="s">
        <v>1185</v>
      </c>
      <c r="E732" s="1" t="s">
        <v>552</v>
      </c>
      <c r="F732" s="1" t="s">
        <v>14</v>
      </c>
      <c r="G732" s="1">
        <v>2203068</v>
      </c>
      <c r="H732" s="1">
        <v>275383</v>
      </c>
      <c r="I732" s="1">
        <v>0</v>
      </c>
      <c r="J732" s="1" t="s">
        <v>14</v>
      </c>
      <c r="K732" s="1">
        <v>2478451</v>
      </c>
    </row>
    <row r="733" spans="1:11" x14ac:dyDescent="0.25">
      <c r="A733" s="1" t="s">
        <v>11</v>
      </c>
      <c r="B733" s="1" t="s">
        <v>1092</v>
      </c>
      <c r="C733" s="1" t="s">
        <v>26</v>
      </c>
      <c r="D733" s="1" t="s">
        <v>1186</v>
      </c>
      <c r="E733" s="1" t="s">
        <v>1187</v>
      </c>
      <c r="F733" s="1" t="s">
        <v>14</v>
      </c>
      <c r="G733" s="1">
        <v>418580</v>
      </c>
      <c r="H733" s="1">
        <v>52323</v>
      </c>
      <c r="I733" s="1">
        <v>0</v>
      </c>
      <c r="J733" s="1" t="s">
        <v>14</v>
      </c>
      <c r="K733" s="1">
        <v>470903</v>
      </c>
    </row>
    <row r="734" spans="1:11" x14ac:dyDescent="0.25">
      <c r="A734" s="1" t="s">
        <v>11</v>
      </c>
      <c r="B734" s="1" t="s">
        <v>1092</v>
      </c>
      <c r="C734" s="1" t="s">
        <v>23</v>
      </c>
      <c r="D734" s="1" t="s">
        <v>1188</v>
      </c>
      <c r="E734" s="1" t="s">
        <v>1189</v>
      </c>
      <c r="F734" s="1" t="s">
        <v>14</v>
      </c>
      <c r="G734" s="1">
        <v>2073495</v>
      </c>
      <c r="H734" s="1">
        <v>378499</v>
      </c>
      <c r="I734" s="1">
        <v>0</v>
      </c>
      <c r="J734" s="1" t="s">
        <v>14</v>
      </c>
      <c r="K734" s="1">
        <v>2451994</v>
      </c>
    </row>
    <row r="735" spans="1:11" x14ac:dyDescent="0.25">
      <c r="A735" s="1" t="s">
        <v>11</v>
      </c>
      <c r="B735" s="1" t="s">
        <v>1092</v>
      </c>
      <c r="C735" s="1" t="s">
        <v>26</v>
      </c>
      <c r="D735" s="1" t="s">
        <v>1190</v>
      </c>
      <c r="E735" s="1" t="s">
        <v>439</v>
      </c>
      <c r="F735" s="1" t="s">
        <v>14</v>
      </c>
      <c r="G735" s="1">
        <v>987495</v>
      </c>
      <c r="H735" s="1">
        <v>197499</v>
      </c>
      <c r="I735" s="1">
        <v>0</v>
      </c>
      <c r="J735" s="1" t="s">
        <v>14</v>
      </c>
      <c r="K735" s="1">
        <v>1184994</v>
      </c>
    </row>
    <row r="736" spans="1:11" x14ac:dyDescent="0.25">
      <c r="A736" s="1" t="s">
        <v>11</v>
      </c>
      <c r="B736" s="1" t="s">
        <v>1092</v>
      </c>
      <c r="C736" s="1" t="s">
        <v>26</v>
      </c>
      <c r="D736" s="1" t="s">
        <v>1191</v>
      </c>
      <c r="E736" s="1" t="s">
        <v>1192</v>
      </c>
      <c r="F736" s="1" t="s">
        <v>14</v>
      </c>
      <c r="G736" s="1">
        <v>1086000</v>
      </c>
      <c r="H736" s="1">
        <v>181000</v>
      </c>
      <c r="I736" s="1">
        <v>0</v>
      </c>
      <c r="J736" s="1" t="s">
        <v>14</v>
      </c>
      <c r="K736" s="1">
        <v>1267000</v>
      </c>
    </row>
    <row r="737" spans="1:11" x14ac:dyDescent="0.25">
      <c r="A737" s="1" t="s">
        <v>11</v>
      </c>
      <c r="B737" s="1" t="s">
        <v>1092</v>
      </c>
      <c r="C737" s="1" t="s">
        <v>23</v>
      </c>
      <c r="D737" s="1" t="s">
        <v>1193</v>
      </c>
      <c r="E737" s="1" t="s">
        <v>227</v>
      </c>
      <c r="F737" s="1" t="s">
        <v>14</v>
      </c>
      <c r="G737" s="1">
        <v>941253</v>
      </c>
      <c r="H737" s="1">
        <v>0</v>
      </c>
      <c r="I737" s="1">
        <v>0</v>
      </c>
      <c r="J737" s="1" t="s">
        <v>14</v>
      </c>
      <c r="K737" s="1">
        <v>941253</v>
      </c>
    </row>
    <row r="738" spans="1:11" x14ac:dyDescent="0.25">
      <c r="A738" s="1" t="s">
        <v>11</v>
      </c>
      <c r="B738" s="1" t="s">
        <v>1092</v>
      </c>
      <c r="C738" s="1" t="s">
        <v>26</v>
      </c>
      <c r="D738" s="1" t="s">
        <v>1194</v>
      </c>
      <c r="E738" s="1" t="s">
        <v>1195</v>
      </c>
      <c r="F738" s="1" t="s">
        <v>14</v>
      </c>
      <c r="G738" s="1">
        <v>790971</v>
      </c>
      <c r="H738" s="1">
        <v>0</v>
      </c>
      <c r="I738" s="1">
        <v>0</v>
      </c>
      <c r="J738" s="1" t="s">
        <v>14</v>
      </c>
      <c r="K738" s="1">
        <v>790971</v>
      </c>
    </row>
    <row r="739" spans="1:11" x14ac:dyDescent="0.25">
      <c r="A739" s="1" t="s">
        <v>11</v>
      </c>
      <c r="B739" s="1" t="s">
        <v>1092</v>
      </c>
      <c r="C739" s="1" t="s">
        <v>26</v>
      </c>
      <c r="D739" s="1" t="s">
        <v>1196</v>
      </c>
      <c r="E739" s="1" t="s">
        <v>1197</v>
      </c>
      <c r="F739" s="1" t="s">
        <v>14</v>
      </c>
      <c r="G739" s="1">
        <v>150282</v>
      </c>
      <c r="H739" s="1">
        <v>0</v>
      </c>
      <c r="I739" s="1">
        <v>0</v>
      </c>
      <c r="J739" s="1" t="s">
        <v>14</v>
      </c>
      <c r="K739" s="1">
        <v>150282</v>
      </c>
    </row>
    <row r="740" spans="1:11" x14ac:dyDescent="0.25">
      <c r="A740" s="1" t="s">
        <v>11</v>
      </c>
      <c r="B740" s="1" t="s">
        <v>1092</v>
      </c>
      <c r="C740" s="1" t="s">
        <v>23</v>
      </c>
      <c r="D740" s="1" t="s">
        <v>1198</v>
      </c>
      <c r="E740" s="1" t="s">
        <v>1199</v>
      </c>
      <c r="F740" s="1" t="s">
        <v>14</v>
      </c>
      <c r="G740" s="1">
        <v>56482040.060000002</v>
      </c>
      <c r="H740" s="1">
        <v>2340000</v>
      </c>
      <c r="I740" s="1">
        <v>0</v>
      </c>
      <c r="J740" s="1" t="s">
        <v>14</v>
      </c>
      <c r="K740" s="1">
        <v>58822040.060000002</v>
      </c>
    </row>
    <row r="741" spans="1:11" x14ac:dyDescent="0.25">
      <c r="A741" s="1" t="s">
        <v>11</v>
      </c>
      <c r="B741" s="1" t="s">
        <v>1092</v>
      </c>
      <c r="C741" s="1" t="s">
        <v>26</v>
      </c>
      <c r="D741" s="1" t="s">
        <v>1200</v>
      </c>
      <c r="E741" s="1" t="s">
        <v>1201</v>
      </c>
      <c r="F741" s="1" t="s">
        <v>14</v>
      </c>
      <c r="G741" s="1">
        <v>23400000</v>
      </c>
      <c r="H741" s="1">
        <v>2340000</v>
      </c>
      <c r="I741" s="1">
        <v>0</v>
      </c>
      <c r="J741" s="1" t="s">
        <v>14</v>
      </c>
      <c r="K741" s="1">
        <v>25740000</v>
      </c>
    </row>
    <row r="742" spans="1:11" x14ac:dyDescent="0.25">
      <c r="A742" s="1" t="s">
        <v>11</v>
      </c>
      <c r="B742" s="1" t="s">
        <v>1092</v>
      </c>
      <c r="C742" s="1" t="s">
        <v>26</v>
      </c>
      <c r="D742" s="1" t="s">
        <v>1202</v>
      </c>
      <c r="E742" s="1" t="s">
        <v>1203</v>
      </c>
      <c r="F742" s="1" t="s">
        <v>14</v>
      </c>
      <c r="G742" s="1">
        <v>19399104</v>
      </c>
      <c r="H742" s="1">
        <v>0</v>
      </c>
      <c r="I742" s="1">
        <v>0</v>
      </c>
      <c r="J742" s="1" t="s">
        <v>14</v>
      </c>
      <c r="K742" s="1">
        <v>19399104</v>
      </c>
    </row>
    <row r="743" spans="1:11" x14ac:dyDescent="0.25">
      <c r="A743" s="1" t="s">
        <v>11</v>
      </c>
      <c r="B743" s="1" t="s">
        <v>1092</v>
      </c>
      <c r="C743" s="1" t="s">
        <v>26</v>
      </c>
      <c r="D743" s="1" t="s">
        <v>1204</v>
      </c>
      <c r="E743" s="1" t="s">
        <v>1205</v>
      </c>
      <c r="F743" s="1" t="s">
        <v>14</v>
      </c>
      <c r="G743" s="1">
        <v>11498265.6</v>
      </c>
      <c r="H743" s="1">
        <v>0</v>
      </c>
      <c r="I743" s="1">
        <v>0</v>
      </c>
      <c r="J743" s="1" t="s">
        <v>14</v>
      </c>
      <c r="K743" s="1">
        <v>11498265.6</v>
      </c>
    </row>
    <row r="744" spans="1:11" x14ac:dyDescent="0.25">
      <c r="A744" s="1" t="s">
        <v>11</v>
      </c>
      <c r="B744" s="1" t="s">
        <v>1092</v>
      </c>
      <c r="C744" s="1" t="s">
        <v>26</v>
      </c>
      <c r="D744" s="1" t="s">
        <v>1206</v>
      </c>
      <c r="E744" s="1" t="s">
        <v>1207</v>
      </c>
      <c r="F744" s="1" t="s">
        <v>14</v>
      </c>
      <c r="G744" s="1">
        <v>2184670.46</v>
      </c>
      <c r="H744" s="1">
        <v>0</v>
      </c>
      <c r="I744" s="1">
        <v>0</v>
      </c>
      <c r="J744" s="1" t="s">
        <v>14</v>
      </c>
      <c r="K744" s="1">
        <v>2184670.46</v>
      </c>
    </row>
    <row r="745" spans="1:11" x14ac:dyDescent="0.25">
      <c r="A745" s="1" t="s">
        <v>11</v>
      </c>
      <c r="B745" s="1" t="s">
        <v>1092</v>
      </c>
      <c r="C745" s="1" t="s">
        <v>23</v>
      </c>
      <c r="D745" s="1" t="s">
        <v>1208</v>
      </c>
      <c r="E745" s="1" t="s">
        <v>437</v>
      </c>
      <c r="F745" s="1" t="s">
        <v>14</v>
      </c>
      <c r="G745" s="1">
        <v>22645746</v>
      </c>
      <c r="H745" s="1">
        <v>0</v>
      </c>
      <c r="I745" s="1">
        <v>0</v>
      </c>
      <c r="J745" s="1" t="s">
        <v>14</v>
      </c>
      <c r="K745" s="1">
        <v>22645746</v>
      </c>
    </row>
    <row r="746" spans="1:11" x14ac:dyDescent="0.25">
      <c r="A746" s="1" t="s">
        <v>11</v>
      </c>
      <c r="B746" s="1" t="s">
        <v>1092</v>
      </c>
      <c r="C746" s="1" t="s">
        <v>26</v>
      </c>
      <c r="D746" s="1" t="s">
        <v>1209</v>
      </c>
      <c r="E746" s="1" t="s">
        <v>1210</v>
      </c>
      <c r="F746" s="1" t="s">
        <v>14</v>
      </c>
      <c r="G746" s="1">
        <v>2861541</v>
      </c>
      <c r="H746" s="1">
        <v>0</v>
      </c>
      <c r="I746" s="1">
        <v>0</v>
      </c>
      <c r="J746" s="1" t="s">
        <v>14</v>
      </c>
      <c r="K746" s="1">
        <v>2861541</v>
      </c>
    </row>
    <row r="747" spans="1:11" x14ac:dyDescent="0.25">
      <c r="A747" s="1" t="s">
        <v>11</v>
      </c>
      <c r="B747" s="1" t="s">
        <v>1092</v>
      </c>
      <c r="C747" s="1" t="s">
        <v>26</v>
      </c>
      <c r="D747" s="1" t="s">
        <v>1211</v>
      </c>
      <c r="E747" s="1" t="s">
        <v>1212</v>
      </c>
      <c r="F747" s="1" t="s">
        <v>14</v>
      </c>
      <c r="G747" s="1">
        <v>4330030</v>
      </c>
      <c r="H747" s="1">
        <v>0</v>
      </c>
      <c r="I747" s="1">
        <v>0</v>
      </c>
      <c r="J747" s="1" t="s">
        <v>14</v>
      </c>
      <c r="K747" s="1">
        <v>4330030</v>
      </c>
    </row>
    <row r="748" spans="1:11" x14ac:dyDescent="0.25">
      <c r="A748" s="1" t="s">
        <v>11</v>
      </c>
      <c r="B748" s="1" t="s">
        <v>1092</v>
      </c>
      <c r="C748" s="1" t="s">
        <v>26</v>
      </c>
      <c r="D748" s="1" t="s">
        <v>1213</v>
      </c>
      <c r="E748" s="1" t="s">
        <v>1214</v>
      </c>
      <c r="F748" s="1" t="s">
        <v>14</v>
      </c>
      <c r="G748" s="1">
        <v>15106620</v>
      </c>
      <c r="H748" s="1">
        <v>0</v>
      </c>
      <c r="I748" s="1">
        <v>0</v>
      </c>
      <c r="J748" s="1" t="s">
        <v>14</v>
      </c>
      <c r="K748" s="1">
        <v>15106620</v>
      </c>
    </row>
    <row r="749" spans="1:11" x14ac:dyDescent="0.25">
      <c r="A749" s="1" t="s">
        <v>11</v>
      </c>
      <c r="B749" s="1" t="s">
        <v>1092</v>
      </c>
      <c r="C749" s="1" t="s">
        <v>26</v>
      </c>
      <c r="D749" s="1" t="s">
        <v>1215</v>
      </c>
      <c r="E749" s="1" t="s">
        <v>1216</v>
      </c>
      <c r="F749" s="1" t="s">
        <v>14</v>
      </c>
      <c r="G749" s="1">
        <v>347555</v>
      </c>
      <c r="H749" s="1">
        <v>0</v>
      </c>
      <c r="I749" s="1">
        <v>0</v>
      </c>
      <c r="J749" s="1" t="s">
        <v>14</v>
      </c>
      <c r="K749" s="1">
        <v>347555</v>
      </c>
    </row>
    <row r="750" spans="1:11" x14ac:dyDescent="0.25">
      <c r="A750" s="1" t="s">
        <v>11</v>
      </c>
      <c r="B750" s="1" t="s">
        <v>1092</v>
      </c>
      <c r="C750" s="1" t="s">
        <v>23</v>
      </c>
      <c r="D750" s="1" t="s">
        <v>1217</v>
      </c>
      <c r="E750" s="1" t="s">
        <v>566</v>
      </c>
      <c r="F750" s="1" t="s">
        <v>14</v>
      </c>
      <c r="G750" s="1">
        <v>25414132.789999999</v>
      </c>
      <c r="H750" s="1">
        <v>2322351.2000000002</v>
      </c>
      <c r="I750" s="1">
        <v>0</v>
      </c>
      <c r="J750" s="1" t="s">
        <v>14</v>
      </c>
      <c r="K750" s="1">
        <v>27736483.989999998</v>
      </c>
    </row>
    <row r="751" spans="1:11" x14ac:dyDescent="0.25">
      <c r="A751" s="1" t="s">
        <v>11</v>
      </c>
      <c r="B751" s="1" t="s">
        <v>1092</v>
      </c>
      <c r="C751" s="1" t="s">
        <v>26</v>
      </c>
      <c r="D751" s="1" t="s">
        <v>1218</v>
      </c>
      <c r="E751" s="1" t="s">
        <v>1219</v>
      </c>
      <c r="F751" s="1" t="s">
        <v>14</v>
      </c>
      <c r="G751" s="1">
        <v>3101710.39</v>
      </c>
      <c r="H751" s="1">
        <v>0</v>
      </c>
      <c r="I751" s="1">
        <v>0</v>
      </c>
      <c r="J751" s="1" t="s">
        <v>14</v>
      </c>
      <c r="K751" s="1">
        <v>3101710.39</v>
      </c>
    </row>
    <row r="752" spans="1:11" x14ac:dyDescent="0.25">
      <c r="A752" s="1" t="s">
        <v>11</v>
      </c>
      <c r="B752" s="1" t="s">
        <v>1092</v>
      </c>
      <c r="C752" s="1" t="s">
        <v>26</v>
      </c>
      <c r="D752" s="1" t="s">
        <v>1220</v>
      </c>
      <c r="E752" s="1" t="s">
        <v>1221</v>
      </c>
      <c r="F752" s="1" t="s">
        <v>14</v>
      </c>
      <c r="G752" s="1">
        <v>368339.61</v>
      </c>
      <c r="H752" s="1">
        <v>0</v>
      </c>
      <c r="I752" s="1">
        <v>0</v>
      </c>
      <c r="J752" s="1" t="s">
        <v>14</v>
      </c>
      <c r="K752" s="1">
        <v>368339.61</v>
      </c>
    </row>
    <row r="753" spans="1:11" x14ac:dyDescent="0.25">
      <c r="A753" s="1" t="s">
        <v>11</v>
      </c>
      <c r="B753" s="1" t="s">
        <v>1092</v>
      </c>
      <c r="C753" s="1" t="s">
        <v>26</v>
      </c>
      <c r="D753" s="1" t="s">
        <v>1222</v>
      </c>
      <c r="E753" s="1" t="s">
        <v>1223</v>
      </c>
      <c r="F753" s="1" t="s">
        <v>14</v>
      </c>
      <c r="G753" s="1">
        <v>3004020</v>
      </c>
      <c r="H753" s="1">
        <v>351710</v>
      </c>
      <c r="I753" s="1">
        <v>0</v>
      </c>
      <c r="J753" s="1" t="s">
        <v>14</v>
      </c>
      <c r="K753" s="1">
        <v>3355730</v>
      </c>
    </row>
    <row r="754" spans="1:11" x14ac:dyDescent="0.25">
      <c r="A754" s="1" t="s">
        <v>11</v>
      </c>
      <c r="B754" s="1" t="s">
        <v>1092</v>
      </c>
      <c r="C754" s="1" t="s">
        <v>26</v>
      </c>
      <c r="D754" s="1" t="s">
        <v>1224</v>
      </c>
      <c r="E754" s="1" t="s">
        <v>1225</v>
      </c>
      <c r="F754" s="1" t="s">
        <v>14</v>
      </c>
      <c r="G754" s="1">
        <v>8054626.4900000002</v>
      </c>
      <c r="H754" s="1">
        <v>805408.12</v>
      </c>
      <c r="I754" s="1">
        <v>0</v>
      </c>
      <c r="J754" s="1" t="s">
        <v>14</v>
      </c>
      <c r="K754" s="1">
        <v>8860034.6099999994</v>
      </c>
    </row>
    <row r="755" spans="1:11" x14ac:dyDescent="0.25">
      <c r="A755" s="1" t="s">
        <v>11</v>
      </c>
      <c r="B755" s="1" t="s">
        <v>1092</v>
      </c>
      <c r="C755" s="1" t="s">
        <v>26</v>
      </c>
      <c r="D755" s="1" t="s">
        <v>1226</v>
      </c>
      <c r="E755" s="1" t="s">
        <v>1227</v>
      </c>
      <c r="F755" s="1" t="s">
        <v>14</v>
      </c>
      <c r="G755" s="1">
        <v>4181840.24</v>
      </c>
      <c r="H755" s="1">
        <v>483504.78</v>
      </c>
      <c r="I755" s="1">
        <v>0</v>
      </c>
      <c r="J755" s="1" t="s">
        <v>14</v>
      </c>
      <c r="K755" s="1">
        <v>4665345.0199999996</v>
      </c>
    </row>
    <row r="756" spans="1:11" x14ac:dyDescent="0.25">
      <c r="A756" s="1" t="s">
        <v>11</v>
      </c>
      <c r="B756" s="1" t="s">
        <v>1092</v>
      </c>
      <c r="C756" s="1" t="s">
        <v>26</v>
      </c>
      <c r="D756" s="1" t="s">
        <v>1228</v>
      </c>
      <c r="E756" s="1" t="s">
        <v>1229</v>
      </c>
      <c r="F756" s="1" t="s">
        <v>14</v>
      </c>
      <c r="G756" s="1">
        <v>1242514.74</v>
      </c>
      <c r="H756" s="1">
        <v>127481.36</v>
      </c>
      <c r="I756" s="1">
        <v>0</v>
      </c>
      <c r="J756" s="1" t="s">
        <v>14</v>
      </c>
      <c r="K756" s="1">
        <v>1369996.1</v>
      </c>
    </row>
    <row r="757" spans="1:11" x14ac:dyDescent="0.25">
      <c r="A757" s="1" t="s">
        <v>11</v>
      </c>
      <c r="B757" s="1" t="s">
        <v>1092</v>
      </c>
      <c r="C757" s="1" t="s">
        <v>26</v>
      </c>
      <c r="D757" s="1" t="s">
        <v>1230</v>
      </c>
      <c r="E757" s="1" t="s">
        <v>1231</v>
      </c>
      <c r="F757" s="1" t="s">
        <v>14</v>
      </c>
      <c r="G757" s="1">
        <v>3675428</v>
      </c>
      <c r="H757" s="1">
        <v>365589</v>
      </c>
      <c r="I757" s="1">
        <v>0</v>
      </c>
      <c r="J757" s="1" t="s">
        <v>14</v>
      </c>
      <c r="K757" s="1">
        <v>4041017</v>
      </c>
    </row>
    <row r="758" spans="1:11" x14ac:dyDescent="0.25">
      <c r="A758" s="1" t="s">
        <v>11</v>
      </c>
      <c r="B758" s="1" t="s">
        <v>1092</v>
      </c>
      <c r="C758" s="1" t="s">
        <v>26</v>
      </c>
      <c r="D758" s="1" t="s">
        <v>1232</v>
      </c>
      <c r="E758" s="1" t="s">
        <v>1233</v>
      </c>
      <c r="F758" s="1" t="s">
        <v>14</v>
      </c>
      <c r="G758" s="1">
        <v>802522.8</v>
      </c>
      <c r="H758" s="1">
        <v>91243.33</v>
      </c>
      <c r="I758" s="1">
        <v>0</v>
      </c>
      <c r="J758" s="1" t="s">
        <v>14</v>
      </c>
      <c r="K758" s="1">
        <v>893766.13</v>
      </c>
    </row>
    <row r="759" spans="1:11" x14ac:dyDescent="0.25">
      <c r="A759" s="1" t="s">
        <v>11</v>
      </c>
      <c r="B759" s="1" t="s">
        <v>1092</v>
      </c>
      <c r="C759" s="1" t="s">
        <v>26</v>
      </c>
      <c r="D759" s="1" t="s">
        <v>1234</v>
      </c>
      <c r="E759" s="1" t="s">
        <v>1235</v>
      </c>
      <c r="F759" s="1" t="s">
        <v>14</v>
      </c>
      <c r="G759" s="1">
        <v>243231.52</v>
      </c>
      <c r="H759" s="1">
        <v>23793.61</v>
      </c>
      <c r="I759" s="1">
        <v>0</v>
      </c>
      <c r="J759" s="1" t="s">
        <v>14</v>
      </c>
      <c r="K759" s="1">
        <v>267025.13</v>
      </c>
    </row>
    <row r="760" spans="1:11" x14ac:dyDescent="0.25">
      <c r="A760" s="1" t="s">
        <v>11</v>
      </c>
      <c r="B760" s="1" t="s">
        <v>1092</v>
      </c>
      <c r="C760" s="1" t="s">
        <v>26</v>
      </c>
      <c r="D760" s="1" t="s">
        <v>1236</v>
      </c>
      <c r="E760" s="1" t="s">
        <v>1237</v>
      </c>
      <c r="F760" s="1" t="s">
        <v>14</v>
      </c>
      <c r="G760" s="1">
        <v>739899</v>
      </c>
      <c r="H760" s="1">
        <v>73621</v>
      </c>
      <c r="I760" s="1">
        <v>0</v>
      </c>
      <c r="J760" s="1" t="s">
        <v>14</v>
      </c>
      <c r="K760" s="1">
        <v>813520</v>
      </c>
    </row>
    <row r="761" spans="1:11" x14ac:dyDescent="0.25">
      <c r="A761" s="1" t="s">
        <v>11</v>
      </c>
      <c r="B761" s="1" t="s">
        <v>1092</v>
      </c>
      <c r="C761" s="1" t="s">
        <v>23</v>
      </c>
      <c r="D761" s="1" t="s">
        <v>1238</v>
      </c>
      <c r="E761" s="1" t="s">
        <v>1239</v>
      </c>
      <c r="F761" s="1" t="s">
        <v>14</v>
      </c>
      <c r="G761" s="1">
        <v>47902384</v>
      </c>
      <c r="H761" s="1">
        <v>4985284</v>
      </c>
      <c r="I761" s="1">
        <v>0</v>
      </c>
      <c r="J761" s="1" t="s">
        <v>14</v>
      </c>
      <c r="K761" s="1">
        <v>52887668</v>
      </c>
    </row>
    <row r="762" spans="1:11" x14ac:dyDescent="0.25">
      <c r="A762" s="1" t="s">
        <v>11</v>
      </c>
      <c r="B762" s="1" t="s">
        <v>1092</v>
      </c>
      <c r="C762" s="1" t="s">
        <v>26</v>
      </c>
      <c r="D762" s="1" t="s">
        <v>1240</v>
      </c>
      <c r="E762" s="1" t="s">
        <v>1241</v>
      </c>
      <c r="F762" s="1" t="s">
        <v>14</v>
      </c>
      <c r="G762" s="1">
        <v>47154992</v>
      </c>
      <c r="H762" s="1">
        <v>4985284</v>
      </c>
      <c r="I762" s="1">
        <v>0</v>
      </c>
      <c r="J762" s="1" t="s">
        <v>14</v>
      </c>
      <c r="K762" s="1">
        <v>52140276</v>
      </c>
    </row>
    <row r="763" spans="1:11" x14ac:dyDescent="0.25">
      <c r="A763" s="1" t="s">
        <v>11</v>
      </c>
      <c r="B763" s="1" t="s">
        <v>1092</v>
      </c>
      <c r="C763" s="1" t="s">
        <v>26</v>
      </c>
      <c r="D763" s="1" t="s">
        <v>1242</v>
      </c>
      <c r="E763" s="1" t="s">
        <v>1239</v>
      </c>
      <c r="F763" s="1" t="s">
        <v>14</v>
      </c>
      <c r="G763" s="1">
        <v>642746</v>
      </c>
      <c r="H763" s="1">
        <v>0</v>
      </c>
      <c r="I763" s="1">
        <v>0</v>
      </c>
      <c r="J763" s="1" t="s">
        <v>14</v>
      </c>
      <c r="K763" s="1">
        <v>642746</v>
      </c>
    </row>
    <row r="764" spans="1:11" x14ac:dyDescent="0.25">
      <c r="A764" s="1" t="s">
        <v>11</v>
      </c>
      <c r="B764" s="1" t="s">
        <v>1092</v>
      </c>
      <c r="C764" s="1" t="s">
        <v>26</v>
      </c>
      <c r="D764" s="1" t="s">
        <v>1243</v>
      </c>
      <c r="E764" s="1" t="s">
        <v>1244</v>
      </c>
      <c r="F764" s="1" t="s">
        <v>14</v>
      </c>
      <c r="G764" s="1">
        <v>104646</v>
      </c>
      <c r="H764" s="1">
        <v>0</v>
      </c>
      <c r="I764" s="1">
        <v>0</v>
      </c>
      <c r="J764" s="1" t="s">
        <v>14</v>
      </c>
      <c r="K764" s="1">
        <v>104646</v>
      </c>
    </row>
    <row r="765" spans="1:11" x14ac:dyDescent="0.25">
      <c r="A765" s="1" t="s">
        <v>11</v>
      </c>
      <c r="B765" s="1" t="s">
        <v>1092</v>
      </c>
      <c r="C765" s="1" t="s">
        <v>23</v>
      </c>
      <c r="D765" s="1" t="s">
        <v>1245</v>
      </c>
      <c r="E765" s="1" t="s">
        <v>1246</v>
      </c>
      <c r="F765" s="1" t="s">
        <v>14</v>
      </c>
      <c r="G765" s="1">
        <v>831272</v>
      </c>
      <c r="H765" s="1">
        <v>685559</v>
      </c>
      <c r="I765" s="1">
        <v>0</v>
      </c>
      <c r="J765" s="1" t="s">
        <v>14</v>
      </c>
      <c r="K765" s="1">
        <v>1516831</v>
      </c>
    </row>
    <row r="766" spans="1:11" x14ac:dyDescent="0.25">
      <c r="A766" s="1" t="s">
        <v>11</v>
      </c>
      <c r="B766" s="1" t="s">
        <v>1092</v>
      </c>
      <c r="C766" s="1" t="s">
        <v>26</v>
      </c>
      <c r="D766" s="1" t="s">
        <v>1247</v>
      </c>
      <c r="E766" s="1" t="s">
        <v>1246</v>
      </c>
      <c r="F766" s="1" t="s">
        <v>14</v>
      </c>
      <c r="G766" s="1">
        <v>591916</v>
      </c>
      <c r="H766" s="1">
        <v>566100</v>
      </c>
      <c r="I766" s="1">
        <v>0</v>
      </c>
      <c r="J766" s="1" t="s">
        <v>14</v>
      </c>
      <c r="K766" s="1">
        <v>1158016</v>
      </c>
    </row>
    <row r="767" spans="1:11" x14ac:dyDescent="0.25">
      <c r="A767" s="1" t="s">
        <v>11</v>
      </c>
      <c r="B767" s="1" t="s">
        <v>1092</v>
      </c>
      <c r="C767" s="1" t="s">
        <v>26</v>
      </c>
      <c r="D767" s="1" t="s">
        <v>1248</v>
      </c>
      <c r="E767" s="1" t="s">
        <v>1249</v>
      </c>
      <c r="F767" s="1" t="s">
        <v>14</v>
      </c>
      <c r="G767" s="1">
        <v>55000</v>
      </c>
      <c r="H767" s="1">
        <v>10000</v>
      </c>
      <c r="I767" s="1">
        <v>0</v>
      </c>
      <c r="J767" s="1" t="s">
        <v>14</v>
      </c>
      <c r="K767" s="1">
        <v>65000</v>
      </c>
    </row>
    <row r="768" spans="1:11" x14ac:dyDescent="0.25">
      <c r="A768" s="1" t="s">
        <v>11</v>
      </c>
      <c r="B768" s="1" t="s">
        <v>1092</v>
      </c>
      <c r="C768" s="1" t="s">
        <v>26</v>
      </c>
      <c r="D768" s="1" t="s">
        <v>1250</v>
      </c>
      <c r="E768" s="1" t="s">
        <v>1251</v>
      </c>
      <c r="F768" s="1" t="s">
        <v>14</v>
      </c>
      <c r="G768" s="1">
        <v>120000</v>
      </c>
      <c r="H768" s="1">
        <v>0</v>
      </c>
      <c r="I768" s="1">
        <v>0</v>
      </c>
      <c r="J768" s="1" t="s">
        <v>14</v>
      </c>
      <c r="K768" s="1">
        <v>120000</v>
      </c>
    </row>
    <row r="769" spans="1:11" x14ac:dyDescent="0.25">
      <c r="A769" s="1" t="s">
        <v>11</v>
      </c>
      <c r="B769" s="1" t="s">
        <v>1092</v>
      </c>
      <c r="C769" s="1" t="s">
        <v>26</v>
      </c>
      <c r="D769" s="1" t="s">
        <v>1252</v>
      </c>
      <c r="E769" s="1" t="s">
        <v>1253</v>
      </c>
      <c r="F769" s="1" t="s">
        <v>14</v>
      </c>
      <c r="G769" s="1">
        <v>10450</v>
      </c>
      <c r="H769" s="1">
        <v>1900</v>
      </c>
      <c r="I769" s="1">
        <v>0</v>
      </c>
      <c r="J769" s="1" t="s">
        <v>14</v>
      </c>
      <c r="K769" s="1">
        <v>12350</v>
      </c>
    </row>
    <row r="770" spans="1:11" x14ac:dyDescent="0.25">
      <c r="A770" s="1" t="s">
        <v>11</v>
      </c>
      <c r="B770" s="1" t="s">
        <v>1092</v>
      </c>
      <c r="C770" s="1" t="s">
        <v>26</v>
      </c>
      <c r="D770" s="1" t="s">
        <v>1254</v>
      </c>
      <c r="E770" s="1" t="s">
        <v>1255</v>
      </c>
      <c r="F770" s="1" t="s">
        <v>14</v>
      </c>
      <c r="G770" s="1">
        <v>53906</v>
      </c>
      <c r="H770" s="1">
        <v>107559</v>
      </c>
      <c r="I770" s="1">
        <v>0</v>
      </c>
      <c r="J770" s="1" t="s">
        <v>14</v>
      </c>
      <c r="K770" s="1">
        <v>161465</v>
      </c>
    </row>
    <row r="771" spans="1:11" x14ac:dyDescent="0.25">
      <c r="A771" s="1" t="s">
        <v>11</v>
      </c>
      <c r="B771" s="1" t="s">
        <v>1092</v>
      </c>
      <c r="C771" s="1" t="s">
        <v>23</v>
      </c>
      <c r="D771" s="1" t="s">
        <v>1256</v>
      </c>
      <c r="E771" s="1" t="s">
        <v>1257</v>
      </c>
      <c r="F771" s="1" t="s">
        <v>14</v>
      </c>
      <c r="G771" s="1">
        <v>140000</v>
      </c>
      <c r="H771" s="1">
        <v>0</v>
      </c>
      <c r="I771" s="1">
        <v>0</v>
      </c>
      <c r="J771" s="1" t="s">
        <v>14</v>
      </c>
      <c r="K771" s="1">
        <v>140000</v>
      </c>
    </row>
    <row r="772" spans="1:11" x14ac:dyDescent="0.25">
      <c r="A772" s="1" t="s">
        <v>11</v>
      </c>
      <c r="B772" s="1" t="s">
        <v>1092</v>
      </c>
      <c r="C772" s="1" t="s">
        <v>26</v>
      </c>
      <c r="D772" s="1" t="s">
        <v>1258</v>
      </c>
      <c r="E772" s="1" t="s">
        <v>1259</v>
      </c>
      <c r="F772" s="1" t="s">
        <v>14</v>
      </c>
      <c r="G772" s="1">
        <v>119244</v>
      </c>
      <c r="H772" s="1">
        <v>0</v>
      </c>
      <c r="I772" s="1">
        <v>0</v>
      </c>
      <c r="J772" s="1" t="s">
        <v>14</v>
      </c>
      <c r="K772" s="1">
        <v>119244</v>
      </c>
    </row>
    <row r="773" spans="1:11" x14ac:dyDescent="0.25">
      <c r="A773" s="1" t="s">
        <v>11</v>
      </c>
      <c r="B773" s="1" t="s">
        <v>1092</v>
      </c>
      <c r="C773" s="1" t="s">
        <v>26</v>
      </c>
      <c r="D773" s="1" t="s">
        <v>1260</v>
      </c>
      <c r="E773" s="1" t="s">
        <v>1261</v>
      </c>
      <c r="F773" s="1" t="s">
        <v>14</v>
      </c>
      <c r="G773" s="1">
        <v>20756</v>
      </c>
      <c r="H773" s="1">
        <v>0</v>
      </c>
      <c r="I773" s="1">
        <v>0</v>
      </c>
      <c r="J773" s="1" t="s">
        <v>14</v>
      </c>
      <c r="K773" s="1">
        <v>20756</v>
      </c>
    </row>
    <row r="774" spans="1:11" x14ac:dyDescent="0.25">
      <c r="A774" s="1" t="s">
        <v>11</v>
      </c>
      <c r="B774" s="1" t="s">
        <v>1092</v>
      </c>
      <c r="C774" s="1" t="s">
        <v>23</v>
      </c>
      <c r="D774" s="1" t="s">
        <v>1262</v>
      </c>
      <c r="E774" s="1" t="s">
        <v>1263</v>
      </c>
      <c r="F774" s="1" t="s">
        <v>14</v>
      </c>
      <c r="G774" s="1">
        <v>28013104.77</v>
      </c>
      <c r="H774" s="1">
        <v>0</v>
      </c>
      <c r="I774" s="1">
        <v>0</v>
      </c>
      <c r="J774" s="1" t="s">
        <v>14</v>
      </c>
      <c r="K774" s="1">
        <v>28013104.77</v>
      </c>
    </row>
    <row r="775" spans="1:11" x14ac:dyDescent="0.25">
      <c r="A775" s="1" t="s">
        <v>11</v>
      </c>
      <c r="B775" s="1" t="s">
        <v>1092</v>
      </c>
      <c r="C775" s="1" t="s">
        <v>26</v>
      </c>
      <c r="D775" s="1" t="s">
        <v>1264</v>
      </c>
      <c r="E775" s="1" t="s">
        <v>1265</v>
      </c>
      <c r="F775" s="1" t="s">
        <v>14</v>
      </c>
      <c r="G775" s="1">
        <v>15323017.34</v>
      </c>
      <c r="H775" s="1">
        <v>0</v>
      </c>
      <c r="I775" s="1">
        <v>0</v>
      </c>
      <c r="J775" s="1" t="s">
        <v>14</v>
      </c>
      <c r="K775" s="1">
        <v>15323017.34</v>
      </c>
    </row>
    <row r="776" spans="1:11" x14ac:dyDescent="0.25">
      <c r="A776" s="1" t="s">
        <v>11</v>
      </c>
      <c r="B776" s="1" t="s">
        <v>1092</v>
      </c>
      <c r="C776" s="1" t="s">
        <v>26</v>
      </c>
      <c r="D776" s="1" t="s">
        <v>1266</v>
      </c>
      <c r="E776" s="1" t="s">
        <v>1267</v>
      </c>
      <c r="F776" s="1" t="s">
        <v>14</v>
      </c>
      <c r="G776" s="1">
        <v>6673380.2199999997</v>
      </c>
      <c r="H776" s="1">
        <v>0</v>
      </c>
      <c r="I776" s="1">
        <v>0</v>
      </c>
      <c r="J776" s="1" t="s">
        <v>14</v>
      </c>
      <c r="K776" s="1">
        <v>6673380.2199999997</v>
      </c>
    </row>
    <row r="777" spans="1:11" x14ac:dyDescent="0.25">
      <c r="A777" s="1" t="s">
        <v>11</v>
      </c>
      <c r="B777" s="1" t="s">
        <v>1092</v>
      </c>
      <c r="C777" s="1" t="s">
        <v>26</v>
      </c>
      <c r="D777" s="1" t="s">
        <v>1268</v>
      </c>
      <c r="E777" s="1" t="s">
        <v>1269</v>
      </c>
      <c r="F777" s="1" t="s">
        <v>14</v>
      </c>
      <c r="G777" s="1">
        <v>1382616.61</v>
      </c>
      <c r="H777" s="1">
        <v>0</v>
      </c>
      <c r="I777" s="1">
        <v>0</v>
      </c>
      <c r="J777" s="1" t="s">
        <v>14</v>
      </c>
      <c r="K777" s="1">
        <v>1382616.61</v>
      </c>
    </row>
    <row r="778" spans="1:11" x14ac:dyDescent="0.25">
      <c r="A778" s="1" t="s">
        <v>11</v>
      </c>
      <c r="B778" s="1" t="s">
        <v>1092</v>
      </c>
      <c r="C778" s="1" t="s">
        <v>26</v>
      </c>
      <c r="D778" s="1" t="s">
        <v>1270</v>
      </c>
      <c r="E778" s="1" t="s">
        <v>1271</v>
      </c>
      <c r="F778" s="1" t="s">
        <v>14</v>
      </c>
      <c r="G778" s="1">
        <v>4634090.5999999996</v>
      </c>
      <c r="H778" s="1">
        <v>0</v>
      </c>
      <c r="I778" s="1">
        <v>0</v>
      </c>
      <c r="J778" s="1" t="s">
        <v>14</v>
      </c>
      <c r="K778" s="1">
        <v>4634090.5999999996</v>
      </c>
    </row>
    <row r="779" spans="1:11" x14ac:dyDescent="0.25">
      <c r="A779" s="1" t="s">
        <v>11</v>
      </c>
      <c r="B779" s="1" t="s">
        <v>1092</v>
      </c>
      <c r="C779" s="1" t="s">
        <v>23</v>
      </c>
      <c r="D779" s="1" t="s">
        <v>1272</v>
      </c>
      <c r="E779" s="1" t="s">
        <v>1273</v>
      </c>
      <c r="F779" s="1" t="s">
        <v>14</v>
      </c>
      <c r="G779" s="1">
        <v>11538852</v>
      </c>
      <c r="H779" s="1">
        <v>1556722</v>
      </c>
      <c r="I779" s="1">
        <v>0</v>
      </c>
      <c r="J779" s="1" t="s">
        <v>14</v>
      </c>
      <c r="K779" s="1">
        <v>13095574</v>
      </c>
    </row>
    <row r="780" spans="1:11" x14ac:dyDescent="0.25">
      <c r="A780" s="1" t="s">
        <v>11</v>
      </c>
      <c r="B780" s="1" t="s">
        <v>1092</v>
      </c>
      <c r="C780" s="1" t="s">
        <v>26</v>
      </c>
      <c r="D780" s="1" t="s">
        <v>1274</v>
      </c>
      <c r="E780" s="1" t="s">
        <v>1273</v>
      </c>
      <c r="F780" s="1" t="s">
        <v>14</v>
      </c>
      <c r="G780" s="1">
        <v>11538852</v>
      </c>
      <c r="H780" s="1">
        <v>1556722</v>
      </c>
      <c r="I780" s="1">
        <v>0</v>
      </c>
      <c r="J780" s="1" t="s">
        <v>14</v>
      </c>
      <c r="K780" s="1">
        <v>13095574</v>
      </c>
    </row>
    <row r="781" spans="1:11" x14ac:dyDescent="0.25">
      <c r="A781" s="1" t="s">
        <v>11</v>
      </c>
      <c r="B781" s="1" t="s">
        <v>1092</v>
      </c>
      <c r="C781" s="1" t="s">
        <v>23</v>
      </c>
      <c r="D781" s="1" t="s">
        <v>1275</v>
      </c>
      <c r="E781" s="1" t="s">
        <v>1063</v>
      </c>
      <c r="F781" s="1" t="s">
        <v>14</v>
      </c>
      <c r="G781" s="1">
        <v>4930445</v>
      </c>
      <c r="H781" s="1">
        <v>245000</v>
      </c>
      <c r="I781" s="1">
        <v>0</v>
      </c>
      <c r="J781" s="1" t="s">
        <v>14</v>
      </c>
      <c r="K781" s="1">
        <v>5175445</v>
      </c>
    </row>
    <row r="782" spans="1:11" x14ac:dyDescent="0.25">
      <c r="A782" s="1" t="s">
        <v>11</v>
      </c>
      <c r="B782" s="1" t="s">
        <v>1092</v>
      </c>
      <c r="C782" s="1" t="s">
        <v>26</v>
      </c>
      <c r="D782" s="1" t="s">
        <v>1276</v>
      </c>
      <c r="E782" s="1" t="s">
        <v>1277</v>
      </c>
      <c r="F782" s="1" t="s">
        <v>14</v>
      </c>
      <c r="G782" s="1">
        <v>1845055</v>
      </c>
      <c r="H782" s="1">
        <v>220000</v>
      </c>
      <c r="I782" s="1">
        <v>0</v>
      </c>
      <c r="J782" s="1" t="s">
        <v>14</v>
      </c>
      <c r="K782" s="1">
        <v>2065055</v>
      </c>
    </row>
    <row r="783" spans="1:11" x14ac:dyDescent="0.25">
      <c r="A783" s="1" t="s">
        <v>11</v>
      </c>
      <c r="B783" s="1" t="s">
        <v>1092</v>
      </c>
      <c r="C783" s="1" t="s">
        <v>26</v>
      </c>
      <c r="D783" s="1" t="s">
        <v>1278</v>
      </c>
      <c r="E783" s="1" t="s">
        <v>1279</v>
      </c>
      <c r="F783" s="1" t="s">
        <v>14</v>
      </c>
      <c r="G783" s="1">
        <v>99975</v>
      </c>
      <c r="H783" s="1">
        <v>25000</v>
      </c>
      <c r="I783" s="1">
        <v>0</v>
      </c>
      <c r="J783" s="1" t="s">
        <v>14</v>
      </c>
      <c r="K783" s="1">
        <v>124975</v>
      </c>
    </row>
    <row r="784" spans="1:11" x14ac:dyDescent="0.25">
      <c r="A784" s="1" t="s">
        <v>11</v>
      </c>
      <c r="B784" s="1" t="s">
        <v>1092</v>
      </c>
      <c r="C784" s="1" t="s">
        <v>26</v>
      </c>
      <c r="D784" s="1" t="s">
        <v>1280</v>
      </c>
      <c r="E784" s="1" t="s">
        <v>1281</v>
      </c>
      <c r="F784" s="1" t="s">
        <v>14</v>
      </c>
      <c r="G784" s="1">
        <v>2378000</v>
      </c>
      <c r="H784" s="1">
        <v>0</v>
      </c>
      <c r="I784" s="1">
        <v>0</v>
      </c>
      <c r="J784" s="1" t="s">
        <v>14</v>
      </c>
      <c r="K784" s="1">
        <v>2378000</v>
      </c>
    </row>
    <row r="785" spans="1:11" x14ac:dyDescent="0.25">
      <c r="A785" s="1" t="s">
        <v>11</v>
      </c>
      <c r="B785" s="1" t="s">
        <v>1092</v>
      </c>
      <c r="C785" s="1" t="s">
        <v>26</v>
      </c>
      <c r="D785" s="1" t="s">
        <v>1282</v>
      </c>
      <c r="E785" s="1" t="s">
        <v>1283</v>
      </c>
      <c r="F785" s="1" t="s">
        <v>14</v>
      </c>
      <c r="G785" s="1">
        <v>579300</v>
      </c>
      <c r="H785" s="1">
        <v>0</v>
      </c>
      <c r="I785" s="1">
        <v>0</v>
      </c>
      <c r="J785" s="1" t="s">
        <v>14</v>
      </c>
      <c r="K785" s="1">
        <v>579300</v>
      </c>
    </row>
    <row r="786" spans="1:11" x14ac:dyDescent="0.25">
      <c r="A786" s="1" t="s">
        <v>11</v>
      </c>
      <c r="B786" s="1" t="s">
        <v>1092</v>
      </c>
      <c r="C786" s="1" t="s">
        <v>26</v>
      </c>
      <c r="D786" s="1" t="s">
        <v>1284</v>
      </c>
      <c r="E786" s="1" t="s">
        <v>1285</v>
      </c>
      <c r="F786" s="1" t="s">
        <v>14</v>
      </c>
      <c r="G786" s="1">
        <v>18995</v>
      </c>
      <c r="H786" s="1">
        <v>0</v>
      </c>
      <c r="I786" s="1">
        <v>0</v>
      </c>
      <c r="J786" s="1" t="s">
        <v>14</v>
      </c>
      <c r="K786" s="1">
        <v>18995</v>
      </c>
    </row>
    <row r="787" spans="1:11" x14ac:dyDescent="0.25">
      <c r="A787" s="1" t="s">
        <v>11</v>
      </c>
      <c r="B787" s="1" t="s">
        <v>1092</v>
      </c>
      <c r="C787" s="1" t="s">
        <v>26</v>
      </c>
      <c r="D787" s="1" t="s">
        <v>1286</v>
      </c>
      <c r="E787" s="1" t="s">
        <v>1287</v>
      </c>
      <c r="F787" s="1" t="s">
        <v>14</v>
      </c>
      <c r="G787" s="1">
        <v>9120</v>
      </c>
      <c r="H787" s="1">
        <v>0</v>
      </c>
      <c r="I787" s="1">
        <v>0</v>
      </c>
      <c r="J787" s="1" t="s">
        <v>14</v>
      </c>
      <c r="K787" s="1">
        <v>9120</v>
      </c>
    </row>
    <row r="788" spans="1:11" x14ac:dyDescent="0.25">
      <c r="A788" s="1" t="s">
        <v>11</v>
      </c>
      <c r="B788" s="1" t="s">
        <v>1092</v>
      </c>
      <c r="C788" s="1" t="s">
        <v>23</v>
      </c>
      <c r="D788" s="1" t="s">
        <v>1288</v>
      </c>
      <c r="E788" s="1" t="s">
        <v>1289</v>
      </c>
      <c r="F788" s="1" t="s">
        <v>14</v>
      </c>
      <c r="G788" s="1">
        <v>280100</v>
      </c>
      <c r="H788" s="1">
        <v>147500</v>
      </c>
      <c r="I788" s="1">
        <v>0</v>
      </c>
      <c r="J788" s="1" t="s">
        <v>14</v>
      </c>
      <c r="K788" s="1">
        <v>427600</v>
      </c>
    </row>
    <row r="789" spans="1:11" x14ac:dyDescent="0.25">
      <c r="A789" s="1" t="s">
        <v>11</v>
      </c>
      <c r="B789" s="1" t="s">
        <v>1092</v>
      </c>
      <c r="C789" s="1" t="s">
        <v>26</v>
      </c>
      <c r="D789" s="1" t="s">
        <v>1290</v>
      </c>
      <c r="E789" s="1" t="s">
        <v>1291</v>
      </c>
      <c r="F789" s="1" t="s">
        <v>14</v>
      </c>
      <c r="G789" s="1">
        <v>216500</v>
      </c>
      <c r="H789" s="1">
        <v>121000</v>
      </c>
      <c r="I789" s="1">
        <v>0</v>
      </c>
      <c r="J789" s="1" t="s">
        <v>14</v>
      </c>
      <c r="K789" s="1">
        <v>337500</v>
      </c>
    </row>
    <row r="790" spans="1:11" x14ac:dyDescent="0.25">
      <c r="A790" s="1" t="s">
        <v>11</v>
      </c>
      <c r="B790" s="1" t="s">
        <v>1092</v>
      </c>
      <c r="C790" s="1" t="s">
        <v>26</v>
      </c>
      <c r="D790" s="1" t="s">
        <v>1292</v>
      </c>
      <c r="E790" s="1" t="s">
        <v>1293</v>
      </c>
      <c r="F790" s="1" t="s">
        <v>14</v>
      </c>
      <c r="G790" s="1">
        <v>54412</v>
      </c>
      <c r="H790" s="1">
        <v>12688</v>
      </c>
      <c r="I790" s="1">
        <v>0</v>
      </c>
      <c r="J790" s="1" t="s">
        <v>14</v>
      </c>
      <c r="K790" s="1">
        <v>67100</v>
      </c>
    </row>
    <row r="791" spans="1:11" x14ac:dyDescent="0.25">
      <c r="A791" s="1" t="s">
        <v>11</v>
      </c>
      <c r="B791" s="1" t="s">
        <v>1092</v>
      </c>
      <c r="C791" s="1" t="s">
        <v>26</v>
      </c>
      <c r="D791" s="1" t="s">
        <v>1294</v>
      </c>
      <c r="E791" s="1" t="s">
        <v>1295</v>
      </c>
      <c r="F791" s="1" t="s">
        <v>14</v>
      </c>
      <c r="G791" s="1">
        <v>0</v>
      </c>
      <c r="H791" s="1">
        <v>11600</v>
      </c>
      <c r="I791" s="1">
        <v>0</v>
      </c>
      <c r="J791" s="1" t="s">
        <v>14</v>
      </c>
      <c r="K791" s="1">
        <v>11600</v>
      </c>
    </row>
    <row r="792" spans="1:11" x14ac:dyDescent="0.25">
      <c r="A792" s="1" t="s">
        <v>11</v>
      </c>
      <c r="B792" s="1" t="s">
        <v>1092</v>
      </c>
      <c r="C792" s="1" t="s">
        <v>26</v>
      </c>
      <c r="D792" s="1" t="s">
        <v>1296</v>
      </c>
      <c r="E792" s="1" t="s">
        <v>1297</v>
      </c>
      <c r="F792" s="1" t="s">
        <v>14</v>
      </c>
      <c r="G792" s="1">
        <v>9188</v>
      </c>
      <c r="H792" s="1">
        <v>2212</v>
      </c>
      <c r="I792" s="1">
        <v>0</v>
      </c>
      <c r="J792" s="1" t="s">
        <v>14</v>
      </c>
      <c r="K792" s="1">
        <v>11400</v>
      </c>
    </row>
    <row r="793" spans="1:11" x14ac:dyDescent="0.25">
      <c r="A793" s="1" t="s">
        <v>11</v>
      </c>
      <c r="B793" s="1" t="s">
        <v>1092</v>
      </c>
      <c r="C793" s="1" t="s">
        <v>18</v>
      </c>
      <c r="D793" s="1" t="s">
        <v>1298</v>
      </c>
      <c r="E793" s="1" t="s">
        <v>1299</v>
      </c>
      <c r="F793" s="1" t="s">
        <v>14</v>
      </c>
      <c r="G793" s="1">
        <v>2633983538.5599999</v>
      </c>
      <c r="H793" s="1">
        <v>14921513.84</v>
      </c>
      <c r="I793" s="1">
        <v>607545.71</v>
      </c>
      <c r="J793" s="1" t="s">
        <v>14</v>
      </c>
      <c r="K793" s="1">
        <v>2648297506.6900001</v>
      </c>
    </row>
    <row r="794" spans="1:11" x14ac:dyDescent="0.25">
      <c r="A794" s="1" t="s">
        <v>11</v>
      </c>
      <c r="B794" s="1" t="s">
        <v>1092</v>
      </c>
      <c r="C794" s="1" t="s">
        <v>21</v>
      </c>
      <c r="D794" s="1" t="s">
        <v>1300</v>
      </c>
      <c r="E794" s="1" t="s">
        <v>1098</v>
      </c>
      <c r="F794" s="1" t="s">
        <v>14</v>
      </c>
      <c r="G794" s="1">
        <v>23968010.489999998</v>
      </c>
      <c r="H794" s="1">
        <v>710468.67</v>
      </c>
      <c r="I794" s="1">
        <v>22983</v>
      </c>
      <c r="J794" s="1" t="s">
        <v>14</v>
      </c>
      <c r="K794" s="1">
        <v>24655496.16</v>
      </c>
    </row>
    <row r="795" spans="1:11" x14ac:dyDescent="0.25">
      <c r="A795" s="1" t="s">
        <v>11</v>
      </c>
      <c r="B795" s="1" t="s">
        <v>1092</v>
      </c>
      <c r="C795" s="1" t="s">
        <v>23</v>
      </c>
      <c r="D795" s="1" t="s">
        <v>1301</v>
      </c>
      <c r="E795" s="1" t="s">
        <v>1100</v>
      </c>
      <c r="F795" s="1" t="s">
        <v>14</v>
      </c>
      <c r="G795" s="1">
        <v>23220675.489999998</v>
      </c>
      <c r="H795" s="1">
        <v>634968.67000000004</v>
      </c>
      <c r="I795" s="1">
        <v>22983</v>
      </c>
      <c r="J795" s="1" t="s">
        <v>14</v>
      </c>
      <c r="K795" s="1">
        <v>23832661.16</v>
      </c>
    </row>
    <row r="796" spans="1:11" x14ac:dyDescent="0.25">
      <c r="A796" s="1" t="s">
        <v>11</v>
      </c>
      <c r="B796" s="1" t="s">
        <v>1092</v>
      </c>
      <c r="C796" s="1" t="s">
        <v>26</v>
      </c>
      <c r="D796" s="1" t="s">
        <v>1302</v>
      </c>
      <c r="E796" s="1" t="s">
        <v>1100</v>
      </c>
      <c r="F796" s="1" t="s">
        <v>14</v>
      </c>
      <c r="G796" s="1">
        <v>23220675.489999998</v>
      </c>
      <c r="H796" s="1">
        <v>634968.67000000004</v>
      </c>
      <c r="I796" s="1">
        <v>22983</v>
      </c>
      <c r="J796" s="1" t="s">
        <v>14</v>
      </c>
      <c r="K796" s="1">
        <v>23832661.16</v>
      </c>
    </row>
    <row r="797" spans="1:11" x14ac:dyDescent="0.25">
      <c r="A797" s="1" t="s">
        <v>11</v>
      </c>
      <c r="B797" s="1" t="s">
        <v>1092</v>
      </c>
      <c r="C797" s="1" t="s">
        <v>23</v>
      </c>
      <c r="D797" s="1" t="s">
        <v>1303</v>
      </c>
      <c r="E797" s="1" t="s">
        <v>1103</v>
      </c>
      <c r="F797" s="1" t="s">
        <v>14</v>
      </c>
      <c r="G797" s="1">
        <v>747335</v>
      </c>
      <c r="H797" s="1">
        <v>75500</v>
      </c>
      <c r="I797" s="1">
        <v>0</v>
      </c>
      <c r="J797" s="1" t="s">
        <v>14</v>
      </c>
      <c r="K797" s="1">
        <v>822835</v>
      </c>
    </row>
    <row r="798" spans="1:11" x14ac:dyDescent="0.25">
      <c r="A798" s="1" t="s">
        <v>11</v>
      </c>
      <c r="B798" s="1" t="s">
        <v>1092</v>
      </c>
      <c r="C798" s="1" t="s">
        <v>26</v>
      </c>
      <c r="D798" s="1" t="s">
        <v>1304</v>
      </c>
      <c r="E798" s="1" t="s">
        <v>1105</v>
      </c>
      <c r="F798" s="1" t="s">
        <v>14</v>
      </c>
      <c r="G798" s="1">
        <v>255032</v>
      </c>
      <c r="H798" s="1">
        <v>0</v>
      </c>
      <c r="I798" s="1">
        <v>0</v>
      </c>
      <c r="J798" s="1" t="s">
        <v>14</v>
      </c>
      <c r="K798" s="1">
        <v>255032</v>
      </c>
    </row>
    <row r="799" spans="1:11" x14ac:dyDescent="0.25">
      <c r="A799" s="1" t="s">
        <v>11</v>
      </c>
      <c r="B799" s="1" t="s">
        <v>1092</v>
      </c>
      <c r="C799" s="1" t="s">
        <v>26</v>
      </c>
      <c r="D799" s="1" t="s">
        <v>1305</v>
      </c>
      <c r="E799" s="1" t="s">
        <v>1107</v>
      </c>
      <c r="F799" s="1" t="s">
        <v>14</v>
      </c>
      <c r="G799" s="1">
        <v>112300</v>
      </c>
      <c r="H799" s="1">
        <v>26500</v>
      </c>
      <c r="I799" s="1">
        <v>0</v>
      </c>
      <c r="J799" s="1" t="s">
        <v>14</v>
      </c>
      <c r="K799" s="1">
        <v>138800</v>
      </c>
    </row>
    <row r="800" spans="1:11" x14ac:dyDescent="0.25">
      <c r="A800" s="1" t="s">
        <v>11</v>
      </c>
      <c r="B800" s="1" t="s">
        <v>1092</v>
      </c>
      <c r="C800" s="1" t="s">
        <v>26</v>
      </c>
      <c r="D800" s="1" t="s">
        <v>1306</v>
      </c>
      <c r="E800" s="1" t="s">
        <v>1113</v>
      </c>
      <c r="F800" s="1" t="s">
        <v>14</v>
      </c>
      <c r="G800" s="1">
        <v>279665</v>
      </c>
      <c r="H800" s="1">
        <v>41176</v>
      </c>
      <c r="I800" s="1">
        <v>0</v>
      </c>
      <c r="J800" s="1" t="s">
        <v>14</v>
      </c>
      <c r="K800" s="1">
        <v>320841</v>
      </c>
    </row>
    <row r="801" spans="1:11" x14ac:dyDescent="0.25">
      <c r="A801" s="1" t="s">
        <v>11</v>
      </c>
      <c r="B801" s="1" t="s">
        <v>1092</v>
      </c>
      <c r="C801" s="1" t="s">
        <v>26</v>
      </c>
      <c r="D801" s="1" t="s">
        <v>1307</v>
      </c>
      <c r="E801" s="1" t="s">
        <v>1115</v>
      </c>
      <c r="F801" s="1" t="s">
        <v>14</v>
      </c>
      <c r="G801" s="1">
        <v>47202</v>
      </c>
      <c r="H801" s="1">
        <v>0</v>
      </c>
      <c r="I801" s="1">
        <v>0</v>
      </c>
      <c r="J801" s="1" t="s">
        <v>14</v>
      </c>
      <c r="K801" s="1">
        <v>47202</v>
      </c>
    </row>
    <row r="802" spans="1:11" x14ac:dyDescent="0.25">
      <c r="A802" s="1" t="s">
        <v>11</v>
      </c>
      <c r="B802" s="1" t="s">
        <v>1092</v>
      </c>
      <c r="C802" s="1" t="s">
        <v>26</v>
      </c>
      <c r="D802" s="1" t="s">
        <v>1308</v>
      </c>
      <c r="E802" s="1" t="s">
        <v>1123</v>
      </c>
      <c r="F802" s="1" t="s">
        <v>14</v>
      </c>
      <c r="G802" s="1">
        <v>53136</v>
      </c>
      <c r="H802" s="1">
        <v>7824</v>
      </c>
      <c r="I802" s="1">
        <v>0</v>
      </c>
      <c r="J802" s="1" t="s">
        <v>14</v>
      </c>
      <c r="K802" s="1">
        <v>60960</v>
      </c>
    </row>
    <row r="803" spans="1:11" x14ac:dyDescent="0.25">
      <c r="A803" s="1" t="s">
        <v>11</v>
      </c>
      <c r="B803" s="1" t="s">
        <v>1092</v>
      </c>
      <c r="C803" s="1" t="s">
        <v>21</v>
      </c>
      <c r="D803" s="1" t="s">
        <v>1309</v>
      </c>
      <c r="E803" s="1" t="s">
        <v>1125</v>
      </c>
      <c r="F803" s="1" t="s">
        <v>14</v>
      </c>
      <c r="G803" s="1">
        <v>1662103835.2</v>
      </c>
      <c r="H803" s="1">
        <v>0</v>
      </c>
      <c r="I803" s="1">
        <v>0</v>
      </c>
      <c r="J803" s="1" t="s">
        <v>14</v>
      </c>
      <c r="K803" s="1">
        <v>1662103835.2</v>
      </c>
    </row>
    <row r="804" spans="1:11" x14ac:dyDescent="0.25">
      <c r="A804" s="1" t="s">
        <v>11</v>
      </c>
      <c r="B804" s="1" t="s">
        <v>1092</v>
      </c>
      <c r="C804" s="1" t="s">
        <v>23</v>
      </c>
      <c r="D804" s="1" t="s">
        <v>1310</v>
      </c>
      <c r="E804" s="1" t="s">
        <v>1127</v>
      </c>
      <c r="F804" s="1" t="s">
        <v>14</v>
      </c>
      <c r="G804" s="1">
        <v>1662103797.2</v>
      </c>
      <c r="H804" s="1">
        <v>0</v>
      </c>
      <c r="I804" s="1">
        <v>0</v>
      </c>
      <c r="J804" s="1" t="s">
        <v>14</v>
      </c>
      <c r="K804" s="1">
        <v>1662103797.2</v>
      </c>
    </row>
    <row r="805" spans="1:11" x14ac:dyDescent="0.25">
      <c r="A805" s="1" t="s">
        <v>11</v>
      </c>
      <c r="B805" s="1" t="s">
        <v>1092</v>
      </c>
      <c r="C805" s="1" t="s">
        <v>26</v>
      </c>
      <c r="D805" s="1" t="s">
        <v>1311</v>
      </c>
      <c r="E805" s="1" t="s">
        <v>1129</v>
      </c>
      <c r="F805" s="1" t="s">
        <v>14</v>
      </c>
      <c r="G805" s="1">
        <v>96744000</v>
      </c>
      <c r="H805" s="1">
        <v>0</v>
      </c>
      <c r="I805" s="1">
        <v>0</v>
      </c>
      <c r="J805" s="1" t="s">
        <v>14</v>
      </c>
      <c r="K805" s="1">
        <v>96744000</v>
      </c>
    </row>
    <row r="806" spans="1:11" x14ac:dyDescent="0.25">
      <c r="A806" s="1" t="s">
        <v>11</v>
      </c>
      <c r="B806" s="1" t="s">
        <v>1092</v>
      </c>
      <c r="C806" s="1" t="s">
        <v>26</v>
      </c>
      <c r="D806" s="1" t="s">
        <v>1312</v>
      </c>
      <c r="E806" s="1" t="s">
        <v>1131</v>
      </c>
      <c r="F806" s="1" t="s">
        <v>14</v>
      </c>
      <c r="G806" s="1">
        <v>893195613</v>
      </c>
      <c r="H806" s="1">
        <v>0</v>
      </c>
      <c r="I806" s="1">
        <v>0</v>
      </c>
      <c r="J806" s="1" t="s">
        <v>14</v>
      </c>
      <c r="K806" s="1">
        <v>893195613</v>
      </c>
    </row>
    <row r="807" spans="1:11" x14ac:dyDescent="0.25">
      <c r="A807" s="1" t="s">
        <v>11</v>
      </c>
      <c r="B807" s="1" t="s">
        <v>1092</v>
      </c>
      <c r="C807" s="1" t="s">
        <v>26</v>
      </c>
      <c r="D807" s="1" t="s">
        <v>1313</v>
      </c>
      <c r="E807" s="1" t="s">
        <v>1133</v>
      </c>
      <c r="F807" s="1" t="s">
        <v>14</v>
      </c>
      <c r="G807" s="1">
        <v>22728333</v>
      </c>
      <c r="H807" s="1">
        <v>0</v>
      </c>
      <c r="I807" s="1">
        <v>0</v>
      </c>
      <c r="J807" s="1" t="s">
        <v>14</v>
      </c>
      <c r="K807" s="1">
        <v>22728333</v>
      </c>
    </row>
    <row r="808" spans="1:11" x14ac:dyDescent="0.25">
      <c r="A808" s="1" t="s">
        <v>11</v>
      </c>
      <c r="B808" s="1" t="s">
        <v>1092</v>
      </c>
      <c r="C808" s="1" t="s">
        <v>26</v>
      </c>
      <c r="D808" s="1" t="s">
        <v>1314</v>
      </c>
      <c r="E808" s="1" t="s">
        <v>1315</v>
      </c>
      <c r="F808" s="1" t="s">
        <v>14</v>
      </c>
      <c r="G808" s="1">
        <v>4861216</v>
      </c>
      <c r="H808" s="1">
        <v>0</v>
      </c>
      <c r="I808" s="1">
        <v>0</v>
      </c>
      <c r="J808" s="1" t="s">
        <v>14</v>
      </c>
      <c r="K808" s="1">
        <v>4861216</v>
      </c>
    </row>
    <row r="809" spans="1:11" x14ac:dyDescent="0.25">
      <c r="A809" s="1" t="s">
        <v>11</v>
      </c>
      <c r="B809" s="1" t="s">
        <v>1092</v>
      </c>
      <c r="C809" s="1" t="s">
        <v>26</v>
      </c>
      <c r="D809" s="1" t="s">
        <v>1316</v>
      </c>
      <c r="E809" s="1" t="s">
        <v>1135</v>
      </c>
      <c r="F809" s="1" t="s">
        <v>14</v>
      </c>
      <c r="G809" s="1">
        <v>23842321</v>
      </c>
      <c r="H809" s="1">
        <v>0</v>
      </c>
      <c r="I809" s="1">
        <v>0</v>
      </c>
      <c r="J809" s="1" t="s">
        <v>14</v>
      </c>
      <c r="K809" s="1">
        <v>23842321</v>
      </c>
    </row>
    <row r="810" spans="1:11" x14ac:dyDescent="0.25">
      <c r="A810" s="1" t="s">
        <v>11</v>
      </c>
      <c r="B810" s="1" t="s">
        <v>1092</v>
      </c>
      <c r="C810" s="1" t="s">
        <v>26</v>
      </c>
      <c r="D810" s="1" t="s">
        <v>1317</v>
      </c>
      <c r="E810" s="1" t="s">
        <v>1318</v>
      </c>
      <c r="F810" s="1" t="s">
        <v>14</v>
      </c>
      <c r="G810" s="1">
        <v>6468211</v>
      </c>
      <c r="H810" s="1">
        <v>0</v>
      </c>
      <c r="I810" s="1">
        <v>0</v>
      </c>
      <c r="J810" s="1" t="s">
        <v>14</v>
      </c>
      <c r="K810" s="1">
        <v>6468211</v>
      </c>
    </row>
    <row r="811" spans="1:11" x14ac:dyDescent="0.25">
      <c r="A811" s="1" t="s">
        <v>11</v>
      </c>
      <c r="B811" s="1" t="s">
        <v>1092</v>
      </c>
      <c r="C811" s="1" t="s">
        <v>26</v>
      </c>
      <c r="D811" s="1" t="s">
        <v>1319</v>
      </c>
      <c r="E811" s="1" t="s">
        <v>224</v>
      </c>
      <c r="F811" s="1" t="s">
        <v>14</v>
      </c>
      <c r="G811" s="1">
        <v>3733644</v>
      </c>
      <c r="H811" s="1">
        <v>0</v>
      </c>
      <c r="I811" s="1">
        <v>0</v>
      </c>
      <c r="J811" s="1" t="s">
        <v>14</v>
      </c>
      <c r="K811" s="1">
        <v>3733644</v>
      </c>
    </row>
    <row r="812" spans="1:11" x14ac:dyDescent="0.25">
      <c r="A812" s="1" t="s">
        <v>11</v>
      </c>
      <c r="B812" s="1" t="s">
        <v>1092</v>
      </c>
      <c r="C812" s="1" t="s">
        <v>26</v>
      </c>
      <c r="D812" s="1" t="s">
        <v>1320</v>
      </c>
      <c r="E812" s="1" t="s">
        <v>1138</v>
      </c>
      <c r="F812" s="1" t="s">
        <v>14</v>
      </c>
      <c r="G812" s="1">
        <v>48535200</v>
      </c>
      <c r="H812" s="1">
        <v>0</v>
      </c>
      <c r="I812" s="1">
        <v>0</v>
      </c>
      <c r="J812" s="1" t="s">
        <v>14</v>
      </c>
      <c r="K812" s="1">
        <v>48535200</v>
      </c>
    </row>
    <row r="813" spans="1:11" x14ac:dyDescent="0.25">
      <c r="A813" s="1" t="s">
        <v>11</v>
      </c>
      <c r="B813" s="1" t="s">
        <v>1092</v>
      </c>
      <c r="C813" s="1" t="s">
        <v>26</v>
      </c>
      <c r="D813" s="1" t="s">
        <v>1321</v>
      </c>
      <c r="E813" s="1" t="s">
        <v>1142</v>
      </c>
      <c r="F813" s="1" t="s">
        <v>14</v>
      </c>
      <c r="G813" s="1">
        <v>84907864</v>
      </c>
      <c r="H813" s="1">
        <v>0</v>
      </c>
      <c r="I813" s="1">
        <v>0</v>
      </c>
      <c r="J813" s="1" t="s">
        <v>14</v>
      </c>
      <c r="K813" s="1">
        <v>84907864</v>
      </c>
    </row>
    <row r="814" spans="1:11" x14ac:dyDescent="0.25">
      <c r="A814" s="1" t="s">
        <v>11</v>
      </c>
      <c r="B814" s="1" t="s">
        <v>1092</v>
      </c>
      <c r="C814" s="1" t="s">
        <v>26</v>
      </c>
      <c r="D814" s="1" t="s">
        <v>1322</v>
      </c>
      <c r="E814" s="1" t="s">
        <v>673</v>
      </c>
      <c r="F814" s="1" t="s">
        <v>14</v>
      </c>
      <c r="G814" s="1">
        <v>10193024</v>
      </c>
      <c r="H814" s="1">
        <v>0</v>
      </c>
      <c r="I814" s="1">
        <v>0</v>
      </c>
      <c r="J814" s="1" t="s">
        <v>14</v>
      </c>
      <c r="K814" s="1">
        <v>10193024</v>
      </c>
    </row>
    <row r="815" spans="1:11" x14ac:dyDescent="0.25">
      <c r="A815" s="1" t="s">
        <v>11</v>
      </c>
      <c r="B815" s="1" t="s">
        <v>1092</v>
      </c>
      <c r="C815" s="1" t="s">
        <v>26</v>
      </c>
      <c r="D815" s="1" t="s">
        <v>1323</v>
      </c>
      <c r="E815" s="1" t="s">
        <v>675</v>
      </c>
      <c r="F815" s="1" t="s">
        <v>14</v>
      </c>
      <c r="G815" s="1">
        <v>85793804</v>
      </c>
      <c r="H815" s="1">
        <v>0</v>
      </c>
      <c r="I815" s="1">
        <v>0</v>
      </c>
      <c r="J815" s="1" t="s">
        <v>14</v>
      </c>
      <c r="K815" s="1">
        <v>85793804</v>
      </c>
    </row>
    <row r="816" spans="1:11" x14ac:dyDescent="0.25">
      <c r="A816" s="1" t="s">
        <v>11</v>
      </c>
      <c r="B816" s="1" t="s">
        <v>1092</v>
      </c>
      <c r="C816" s="1" t="s">
        <v>26</v>
      </c>
      <c r="D816" s="1" t="s">
        <v>1324</v>
      </c>
      <c r="E816" s="1" t="s">
        <v>1146</v>
      </c>
      <c r="F816" s="1" t="s">
        <v>14</v>
      </c>
      <c r="G816" s="1">
        <v>43844887.93</v>
      </c>
      <c r="H816" s="1">
        <v>0</v>
      </c>
      <c r="I816" s="1">
        <v>0</v>
      </c>
      <c r="J816" s="1" t="s">
        <v>14</v>
      </c>
      <c r="K816" s="1">
        <v>43844887.93</v>
      </c>
    </row>
    <row r="817" spans="1:11" x14ac:dyDescent="0.25">
      <c r="A817" s="1" t="s">
        <v>11</v>
      </c>
      <c r="B817" s="1" t="s">
        <v>1092</v>
      </c>
      <c r="C817" s="1" t="s">
        <v>26</v>
      </c>
      <c r="D817" s="1" t="s">
        <v>1325</v>
      </c>
      <c r="E817" s="1" t="s">
        <v>1148</v>
      </c>
      <c r="F817" s="1" t="s">
        <v>14</v>
      </c>
      <c r="G817" s="1">
        <v>92147995</v>
      </c>
      <c r="H817" s="1">
        <v>0</v>
      </c>
      <c r="I817" s="1">
        <v>0</v>
      </c>
      <c r="J817" s="1" t="s">
        <v>14</v>
      </c>
      <c r="K817" s="1">
        <v>92147995</v>
      </c>
    </row>
    <row r="818" spans="1:11" x14ac:dyDescent="0.25">
      <c r="A818" s="1" t="s">
        <v>11</v>
      </c>
      <c r="B818" s="1" t="s">
        <v>1092</v>
      </c>
      <c r="C818" s="1" t="s">
        <v>26</v>
      </c>
      <c r="D818" s="1" t="s">
        <v>1326</v>
      </c>
      <c r="E818" s="1" t="s">
        <v>1150</v>
      </c>
      <c r="F818" s="1" t="s">
        <v>14</v>
      </c>
      <c r="G818" s="1">
        <v>125933604</v>
      </c>
      <c r="H818" s="1">
        <v>0</v>
      </c>
      <c r="I818" s="1">
        <v>0</v>
      </c>
      <c r="J818" s="1" t="s">
        <v>14</v>
      </c>
      <c r="K818" s="1">
        <v>125933604</v>
      </c>
    </row>
    <row r="819" spans="1:11" x14ac:dyDescent="0.25">
      <c r="A819" s="1" t="s">
        <v>11</v>
      </c>
      <c r="B819" s="1" t="s">
        <v>1092</v>
      </c>
      <c r="C819" s="1" t="s">
        <v>26</v>
      </c>
      <c r="D819" s="1" t="s">
        <v>1327</v>
      </c>
      <c r="E819" s="1" t="s">
        <v>1152</v>
      </c>
      <c r="F819" s="1" t="s">
        <v>14</v>
      </c>
      <c r="G819" s="1">
        <v>24816309</v>
      </c>
      <c r="H819" s="1">
        <v>0</v>
      </c>
      <c r="I819" s="1">
        <v>0</v>
      </c>
      <c r="J819" s="1" t="s">
        <v>14</v>
      </c>
      <c r="K819" s="1">
        <v>24816309</v>
      </c>
    </row>
    <row r="820" spans="1:11" x14ac:dyDescent="0.25">
      <c r="A820" s="1" t="s">
        <v>11</v>
      </c>
      <c r="B820" s="1" t="s">
        <v>1092</v>
      </c>
      <c r="C820" s="1" t="s">
        <v>26</v>
      </c>
      <c r="D820" s="1" t="s">
        <v>1328</v>
      </c>
      <c r="E820" s="1" t="s">
        <v>1154</v>
      </c>
      <c r="F820" s="1" t="s">
        <v>14</v>
      </c>
      <c r="G820" s="1">
        <v>42118046.270000003</v>
      </c>
      <c r="H820" s="1">
        <v>0</v>
      </c>
      <c r="I820" s="1">
        <v>0</v>
      </c>
      <c r="J820" s="1" t="s">
        <v>14</v>
      </c>
      <c r="K820" s="1">
        <v>42118046.270000003</v>
      </c>
    </row>
    <row r="821" spans="1:11" x14ac:dyDescent="0.25">
      <c r="A821" s="1" t="s">
        <v>11</v>
      </c>
      <c r="B821" s="1" t="s">
        <v>1092</v>
      </c>
      <c r="C821" s="1" t="s">
        <v>26</v>
      </c>
      <c r="D821" s="1" t="s">
        <v>1329</v>
      </c>
      <c r="E821" s="1" t="s">
        <v>1156</v>
      </c>
      <c r="F821" s="1" t="s">
        <v>14</v>
      </c>
      <c r="G821" s="1">
        <v>31343357</v>
      </c>
      <c r="H821" s="1">
        <v>0</v>
      </c>
      <c r="I821" s="1">
        <v>0</v>
      </c>
      <c r="J821" s="1" t="s">
        <v>14</v>
      </c>
      <c r="K821" s="1">
        <v>31343357</v>
      </c>
    </row>
    <row r="822" spans="1:11" x14ac:dyDescent="0.25">
      <c r="A822" s="1" t="s">
        <v>11</v>
      </c>
      <c r="B822" s="1" t="s">
        <v>1092</v>
      </c>
      <c r="C822" s="1" t="s">
        <v>26</v>
      </c>
      <c r="D822" s="1" t="s">
        <v>1330</v>
      </c>
      <c r="E822" s="1" t="s">
        <v>1158</v>
      </c>
      <c r="F822" s="1" t="s">
        <v>14</v>
      </c>
      <c r="G822" s="1">
        <v>20896368</v>
      </c>
      <c r="H822" s="1">
        <v>0</v>
      </c>
      <c r="I822" s="1">
        <v>0</v>
      </c>
      <c r="J822" s="1" t="s">
        <v>14</v>
      </c>
      <c r="K822" s="1">
        <v>20896368</v>
      </c>
    </row>
    <row r="823" spans="1:11" x14ac:dyDescent="0.25">
      <c r="A823" s="1" t="s">
        <v>11</v>
      </c>
      <c r="B823" s="1" t="s">
        <v>1092</v>
      </c>
      <c r="C823" s="1" t="s">
        <v>23</v>
      </c>
      <c r="D823" s="1" t="s">
        <v>1331</v>
      </c>
      <c r="E823" s="1" t="s">
        <v>1160</v>
      </c>
      <c r="F823" s="1" t="s">
        <v>14</v>
      </c>
      <c r="G823" s="1">
        <v>38</v>
      </c>
      <c r="H823" s="1">
        <v>0</v>
      </c>
      <c r="I823" s="1">
        <v>0</v>
      </c>
      <c r="J823" s="1" t="s">
        <v>14</v>
      </c>
      <c r="K823" s="1">
        <v>38</v>
      </c>
    </row>
    <row r="824" spans="1:11" x14ac:dyDescent="0.25">
      <c r="A824" s="1" t="s">
        <v>11</v>
      </c>
      <c r="B824" s="1" t="s">
        <v>1092</v>
      </c>
      <c r="C824" s="1" t="s">
        <v>26</v>
      </c>
      <c r="D824" s="1" t="s">
        <v>1332</v>
      </c>
      <c r="E824" s="1" t="s">
        <v>1170</v>
      </c>
      <c r="F824" s="1" t="s">
        <v>14</v>
      </c>
      <c r="G824" s="1">
        <v>38</v>
      </c>
      <c r="H824" s="1">
        <v>0</v>
      </c>
      <c r="I824" s="1">
        <v>0</v>
      </c>
      <c r="J824" s="1" t="s">
        <v>14</v>
      </c>
      <c r="K824" s="1">
        <v>38</v>
      </c>
    </row>
    <row r="825" spans="1:11" x14ac:dyDescent="0.25">
      <c r="A825" s="1" t="s">
        <v>11</v>
      </c>
      <c r="B825" s="1" t="s">
        <v>1092</v>
      </c>
      <c r="C825" s="1" t="s">
        <v>21</v>
      </c>
      <c r="D825" s="1" t="s">
        <v>1333</v>
      </c>
      <c r="E825" s="1" t="s">
        <v>1178</v>
      </c>
      <c r="F825" s="1" t="s">
        <v>14</v>
      </c>
      <c r="G825" s="1">
        <v>947911692.87</v>
      </c>
      <c r="H825" s="1">
        <v>14211045.17</v>
      </c>
      <c r="I825" s="1">
        <v>584562.71</v>
      </c>
      <c r="J825" s="1" t="s">
        <v>14</v>
      </c>
      <c r="K825" s="1">
        <v>961538175.33000004</v>
      </c>
    </row>
    <row r="826" spans="1:11" x14ac:dyDescent="0.25">
      <c r="A826" s="1" t="s">
        <v>11</v>
      </c>
      <c r="B826" s="1" t="s">
        <v>1092</v>
      </c>
      <c r="C826" s="1" t="s">
        <v>23</v>
      </c>
      <c r="D826" s="1" t="s">
        <v>1334</v>
      </c>
      <c r="E826" s="1" t="s">
        <v>1189</v>
      </c>
      <c r="F826" s="1" t="s">
        <v>14</v>
      </c>
      <c r="G826" s="1">
        <v>146637502.72</v>
      </c>
      <c r="H826" s="1">
        <v>263273</v>
      </c>
      <c r="I826" s="1">
        <v>0</v>
      </c>
      <c r="J826" s="1" t="s">
        <v>14</v>
      </c>
      <c r="K826" s="1">
        <v>146900775.72</v>
      </c>
    </row>
    <row r="827" spans="1:11" x14ac:dyDescent="0.25">
      <c r="A827" s="1" t="s">
        <v>11</v>
      </c>
      <c r="B827" s="1" t="s">
        <v>1092</v>
      </c>
      <c r="C827" s="1" t="s">
        <v>26</v>
      </c>
      <c r="D827" s="1" t="s">
        <v>1335</v>
      </c>
      <c r="E827" s="1" t="s">
        <v>1336</v>
      </c>
      <c r="F827" s="1" t="s">
        <v>14</v>
      </c>
      <c r="G827" s="1">
        <v>145321137.72</v>
      </c>
      <c r="H827" s="1">
        <v>0</v>
      </c>
      <c r="I827" s="1">
        <v>0</v>
      </c>
      <c r="J827" s="1" t="s">
        <v>14</v>
      </c>
      <c r="K827" s="1">
        <v>145321137.72</v>
      </c>
    </row>
    <row r="828" spans="1:11" x14ac:dyDescent="0.25">
      <c r="A828" s="1" t="s">
        <v>11</v>
      </c>
      <c r="B828" s="1" t="s">
        <v>1092</v>
      </c>
      <c r="C828" s="1" t="s">
        <v>26</v>
      </c>
      <c r="D828" s="1" t="s">
        <v>1337</v>
      </c>
      <c r="E828" s="1" t="s">
        <v>439</v>
      </c>
      <c r="F828" s="1" t="s">
        <v>14</v>
      </c>
      <c r="G828" s="1">
        <v>1316365</v>
      </c>
      <c r="H828" s="1">
        <v>263273</v>
      </c>
      <c r="I828" s="1">
        <v>0</v>
      </c>
      <c r="J828" s="1" t="s">
        <v>14</v>
      </c>
      <c r="K828" s="1">
        <v>1579638</v>
      </c>
    </row>
    <row r="829" spans="1:11" x14ac:dyDescent="0.25">
      <c r="A829" s="1" t="s">
        <v>11</v>
      </c>
      <c r="B829" s="1" t="s">
        <v>1092</v>
      </c>
      <c r="C829" s="1" t="s">
        <v>23</v>
      </c>
      <c r="D829" s="1" t="s">
        <v>1338</v>
      </c>
      <c r="E829" s="1" t="s">
        <v>227</v>
      </c>
      <c r="F829" s="1" t="s">
        <v>14</v>
      </c>
      <c r="G829" s="1">
        <v>9830758</v>
      </c>
      <c r="H829" s="1">
        <v>0</v>
      </c>
      <c r="I829" s="1">
        <v>0</v>
      </c>
      <c r="J829" s="1" t="s">
        <v>14</v>
      </c>
      <c r="K829" s="1">
        <v>9830758</v>
      </c>
    </row>
    <row r="830" spans="1:11" x14ac:dyDescent="0.25">
      <c r="A830" s="1" t="s">
        <v>11</v>
      </c>
      <c r="B830" s="1" t="s">
        <v>1092</v>
      </c>
      <c r="C830" s="1" t="s">
        <v>26</v>
      </c>
      <c r="D830" s="1" t="s">
        <v>1339</v>
      </c>
      <c r="E830" s="1" t="s">
        <v>1195</v>
      </c>
      <c r="F830" s="1" t="s">
        <v>14</v>
      </c>
      <c r="G830" s="1">
        <v>8261491</v>
      </c>
      <c r="H830" s="1">
        <v>0</v>
      </c>
      <c r="I830" s="1">
        <v>0</v>
      </c>
      <c r="J830" s="1" t="s">
        <v>14</v>
      </c>
      <c r="K830" s="1">
        <v>8261491</v>
      </c>
    </row>
    <row r="831" spans="1:11" x14ac:dyDescent="0.25">
      <c r="A831" s="1" t="s">
        <v>11</v>
      </c>
      <c r="B831" s="1" t="s">
        <v>1092</v>
      </c>
      <c r="C831" s="1" t="s">
        <v>26</v>
      </c>
      <c r="D831" s="1" t="s">
        <v>1340</v>
      </c>
      <c r="E831" s="1" t="s">
        <v>1197</v>
      </c>
      <c r="F831" s="1" t="s">
        <v>14</v>
      </c>
      <c r="G831" s="1">
        <v>1569267</v>
      </c>
      <c r="H831" s="1">
        <v>0</v>
      </c>
      <c r="I831" s="1">
        <v>0</v>
      </c>
      <c r="J831" s="1" t="s">
        <v>14</v>
      </c>
      <c r="K831" s="1">
        <v>1569267</v>
      </c>
    </row>
    <row r="832" spans="1:11" x14ac:dyDescent="0.25">
      <c r="A832" s="1" t="s">
        <v>11</v>
      </c>
      <c r="B832" s="1" t="s">
        <v>1092</v>
      </c>
      <c r="C832" s="1" t="s">
        <v>23</v>
      </c>
      <c r="D832" s="1" t="s">
        <v>1341</v>
      </c>
      <c r="E832" s="1" t="s">
        <v>437</v>
      </c>
      <c r="F832" s="1" t="s">
        <v>14</v>
      </c>
      <c r="G832" s="1">
        <v>39692143</v>
      </c>
      <c r="H832" s="1">
        <v>182437</v>
      </c>
      <c r="I832" s="1">
        <v>0</v>
      </c>
      <c r="J832" s="1" t="s">
        <v>14</v>
      </c>
      <c r="K832" s="1">
        <v>39874580</v>
      </c>
    </row>
    <row r="833" spans="1:11" x14ac:dyDescent="0.25">
      <c r="A833" s="1" t="s">
        <v>11</v>
      </c>
      <c r="B833" s="1" t="s">
        <v>1092</v>
      </c>
      <c r="C833" s="1" t="s">
        <v>26</v>
      </c>
      <c r="D833" s="1" t="s">
        <v>1342</v>
      </c>
      <c r="E833" s="1" t="s">
        <v>1212</v>
      </c>
      <c r="F833" s="1" t="s">
        <v>14</v>
      </c>
      <c r="G833" s="1">
        <v>6311522</v>
      </c>
      <c r="H833" s="1">
        <v>153308</v>
      </c>
      <c r="I833" s="1">
        <v>0</v>
      </c>
      <c r="J833" s="1" t="s">
        <v>14</v>
      </c>
      <c r="K833" s="1">
        <v>6464830</v>
      </c>
    </row>
    <row r="834" spans="1:11" x14ac:dyDescent="0.25">
      <c r="A834" s="1" t="s">
        <v>11</v>
      </c>
      <c r="B834" s="1" t="s">
        <v>1092</v>
      </c>
      <c r="C834" s="1" t="s">
        <v>26</v>
      </c>
      <c r="D834" s="1" t="s">
        <v>1343</v>
      </c>
      <c r="E834" s="1" t="s">
        <v>1214</v>
      </c>
      <c r="F834" s="1" t="s">
        <v>14</v>
      </c>
      <c r="G834" s="1">
        <v>20788164</v>
      </c>
      <c r="H834" s="1">
        <v>0</v>
      </c>
      <c r="I834" s="1">
        <v>0</v>
      </c>
      <c r="J834" s="1" t="s">
        <v>14</v>
      </c>
      <c r="K834" s="1">
        <v>20788164</v>
      </c>
    </row>
    <row r="835" spans="1:11" x14ac:dyDescent="0.25">
      <c r="A835" s="1" t="s">
        <v>11</v>
      </c>
      <c r="B835" s="1" t="s">
        <v>1092</v>
      </c>
      <c r="C835" s="1" t="s">
        <v>26</v>
      </c>
      <c r="D835" s="1" t="s">
        <v>1344</v>
      </c>
      <c r="E835" s="1" t="s">
        <v>1345</v>
      </c>
      <c r="F835" s="1" t="s">
        <v>14</v>
      </c>
      <c r="G835" s="1">
        <v>10315822</v>
      </c>
      <c r="H835" s="1">
        <v>0</v>
      </c>
      <c r="I835" s="1">
        <v>0</v>
      </c>
      <c r="J835" s="1" t="s">
        <v>14</v>
      </c>
      <c r="K835" s="1">
        <v>10315822</v>
      </c>
    </row>
    <row r="836" spans="1:11" x14ac:dyDescent="0.25">
      <c r="A836" s="1" t="s">
        <v>11</v>
      </c>
      <c r="B836" s="1" t="s">
        <v>1092</v>
      </c>
      <c r="C836" s="1" t="s">
        <v>26</v>
      </c>
      <c r="D836" s="1" t="s">
        <v>1346</v>
      </c>
      <c r="E836" s="1" t="s">
        <v>1347</v>
      </c>
      <c r="F836" s="1" t="s">
        <v>14</v>
      </c>
      <c r="G836" s="1">
        <v>0</v>
      </c>
      <c r="H836" s="1">
        <v>29129</v>
      </c>
      <c r="I836" s="1">
        <v>0</v>
      </c>
      <c r="J836" s="1" t="s">
        <v>14</v>
      </c>
      <c r="K836" s="1">
        <v>29129</v>
      </c>
    </row>
    <row r="837" spans="1:11" x14ac:dyDescent="0.25">
      <c r="A837" s="1" t="s">
        <v>11</v>
      </c>
      <c r="B837" s="1" t="s">
        <v>1092</v>
      </c>
      <c r="C837" s="1" t="s">
        <v>26</v>
      </c>
      <c r="D837" s="1" t="s">
        <v>1348</v>
      </c>
      <c r="E837" s="1" t="s">
        <v>1349</v>
      </c>
      <c r="F837" s="1" t="s">
        <v>14</v>
      </c>
      <c r="G837" s="1">
        <v>338786</v>
      </c>
      <c r="H837" s="1">
        <v>0</v>
      </c>
      <c r="I837" s="1">
        <v>0</v>
      </c>
      <c r="J837" s="1" t="s">
        <v>14</v>
      </c>
      <c r="K837" s="1">
        <v>338786</v>
      </c>
    </row>
    <row r="838" spans="1:11" x14ac:dyDescent="0.25">
      <c r="A838" s="1" t="s">
        <v>11</v>
      </c>
      <c r="B838" s="1" t="s">
        <v>1092</v>
      </c>
      <c r="C838" s="1" t="s">
        <v>26</v>
      </c>
      <c r="D838" s="1" t="s">
        <v>1350</v>
      </c>
      <c r="E838" s="1" t="s">
        <v>1351</v>
      </c>
      <c r="F838" s="1" t="s">
        <v>14</v>
      </c>
      <c r="G838" s="1">
        <v>1937849</v>
      </c>
      <c r="H838" s="1">
        <v>0</v>
      </c>
      <c r="I838" s="1">
        <v>0</v>
      </c>
      <c r="J838" s="1" t="s">
        <v>14</v>
      </c>
      <c r="K838" s="1">
        <v>1937849</v>
      </c>
    </row>
    <row r="839" spans="1:11" x14ac:dyDescent="0.25">
      <c r="A839" s="1" t="s">
        <v>11</v>
      </c>
      <c r="B839" s="1" t="s">
        <v>1092</v>
      </c>
      <c r="C839" s="1" t="s">
        <v>23</v>
      </c>
      <c r="D839" s="1" t="s">
        <v>1352</v>
      </c>
      <c r="E839" s="1" t="s">
        <v>566</v>
      </c>
      <c r="F839" s="1" t="s">
        <v>14</v>
      </c>
      <c r="G839" s="1">
        <v>43090082.649999999</v>
      </c>
      <c r="H839" s="1">
        <v>4105586.17</v>
      </c>
      <c r="I839" s="1">
        <v>0</v>
      </c>
      <c r="J839" s="1" t="s">
        <v>14</v>
      </c>
      <c r="K839" s="1">
        <v>47195668.82</v>
      </c>
    </row>
    <row r="840" spans="1:11" x14ac:dyDescent="0.25">
      <c r="A840" s="1" t="s">
        <v>11</v>
      </c>
      <c r="B840" s="1" t="s">
        <v>1092</v>
      </c>
      <c r="C840" s="1" t="s">
        <v>26</v>
      </c>
      <c r="D840" s="1" t="s">
        <v>1353</v>
      </c>
      <c r="E840" s="1" t="s">
        <v>1219</v>
      </c>
      <c r="F840" s="1" t="s">
        <v>14</v>
      </c>
      <c r="G840" s="1">
        <v>2921845.51</v>
      </c>
      <c r="H840" s="1">
        <v>0</v>
      </c>
      <c r="I840" s="1">
        <v>0</v>
      </c>
      <c r="J840" s="1" t="s">
        <v>14</v>
      </c>
      <c r="K840" s="1">
        <v>2921845.51</v>
      </c>
    </row>
    <row r="841" spans="1:11" x14ac:dyDescent="0.25">
      <c r="A841" s="1" t="s">
        <v>11</v>
      </c>
      <c r="B841" s="1" t="s">
        <v>1092</v>
      </c>
      <c r="C841" s="1" t="s">
        <v>26</v>
      </c>
      <c r="D841" s="1" t="s">
        <v>1354</v>
      </c>
      <c r="E841" s="1" t="s">
        <v>1221</v>
      </c>
      <c r="F841" s="1" t="s">
        <v>14</v>
      </c>
      <c r="G841" s="1">
        <v>898594.49</v>
      </c>
      <c r="H841" s="1">
        <v>0</v>
      </c>
      <c r="I841" s="1">
        <v>0</v>
      </c>
      <c r="J841" s="1" t="s">
        <v>14</v>
      </c>
      <c r="K841" s="1">
        <v>898594.49</v>
      </c>
    </row>
    <row r="842" spans="1:11" x14ac:dyDescent="0.25">
      <c r="A842" s="1" t="s">
        <v>11</v>
      </c>
      <c r="B842" s="1" t="s">
        <v>1092</v>
      </c>
      <c r="C842" s="1" t="s">
        <v>26</v>
      </c>
      <c r="D842" s="1" t="s">
        <v>1355</v>
      </c>
      <c r="E842" s="1" t="s">
        <v>1223</v>
      </c>
      <c r="F842" s="1" t="s">
        <v>14</v>
      </c>
      <c r="G842" s="1">
        <v>21430</v>
      </c>
      <c r="H842" s="1">
        <v>0</v>
      </c>
      <c r="I842" s="1">
        <v>0</v>
      </c>
      <c r="J842" s="1" t="s">
        <v>14</v>
      </c>
      <c r="K842" s="1">
        <v>21430</v>
      </c>
    </row>
    <row r="843" spans="1:11" x14ac:dyDescent="0.25">
      <c r="A843" s="1" t="s">
        <v>11</v>
      </c>
      <c r="B843" s="1" t="s">
        <v>1092</v>
      </c>
      <c r="C843" s="1" t="s">
        <v>26</v>
      </c>
      <c r="D843" s="1" t="s">
        <v>1356</v>
      </c>
      <c r="E843" s="1" t="s">
        <v>1225</v>
      </c>
      <c r="F843" s="1" t="s">
        <v>14</v>
      </c>
      <c r="G843" s="1">
        <v>16795888.73</v>
      </c>
      <c r="H843" s="1">
        <v>1633021.79</v>
      </c>
      <c r="I843" s="1">
        <v>0</v>
      </c>
      <c r="J843" s="1" t="s">
        <v>14</v>
      </c>
      <c r="K843" s="1">
        <v>18428910.52</v>
      </c>
    </row>
    <row r="844" spans="1:11" x14ac:dyDescent="0.25">
      <c r="A844" s="1" t="s">
        <v>11</v>
      </c>
      <c r="B844" s="1" t="s">
        <v>1092</v>
      </c>
      <c r="C844" s="1" t="s">
        <v>26</v>
      </c>
      <c r="D844" s="1" t="s">
        <v>1357</v>
      </c>
      <c r="E844" s="1" t="s">
        <v>1227</v>
      </c>
      <c r="F844" s="1" t="s">
        <v>14</v>
      </c>
      <c r="G844" s="1">
        <v>11318068.880000001</v>
      </c>
      <c r="H844" s="1">
        <v>1308673.94</v>
      </c>
      <c r="I844" s="1">
        <v>0</v>
      </c>
      <c r="J844" s="1" t="s">
        <v>14</v>
      </c>
      <c r="K844" s="1">
        <v>12626742.82</v>
      </c>
    </row>
    <row r="845" spans="1:11" x14ac:dyDescent="0.25">
      <c r="A845" s="1" t="s">
        <v>11</v>
      </c>
      <c r="B845" s="1" t="s">
        <v>1092</v>
      </c>
      <c r="C845" s="1" t="s">
        <v>26</v>
      </c>
      <c r="D845" s="1" t="s">
        <v>1358</v>
      </c>
      <c r="E845" s="1" t="s">
        <v>1229</v>
      </c>
      <c r="F845" s="1" t="s">
        <v>14</v>
      </c>
      <c r="G845" s="1">
        <v>2653051.54</v>
      </c>
      <c r="H845" s="1">
        <v>271989.34000000003</v>
      </c>
      <c r="I845" s="1">
        <v>0</v>
      </c>
      <c r="J845" s="1" t="s">
        <v>14</v>
      </c>
      <c r="K845" s="1">
        <v>2925040.88</v>
      </c>
    </row>
    <row r="846" spans="1:11" x14ac:dyDescent="0.25">
      <c r="A846" s="1" t="s">
        <v>11</v>
      </c>
      <c r="B846" s="1" t="s">
        <v>1092</v>
      </c>
      <c r="C846" s="1" t="s">
        <v>26</v>
      </c>
      <c r="D846" s="1" t="s">
        <v>1359</v>
      </c>
      <c r="E846" s="1" t="s">
        <v>1231</v>
      </c>
      <c r="F846" s="1" t="s">
        <v>14</v>
      </c>
      <c r="G846" s="1">
        <v>4800226</v>
      </c>
      <c r="H846" s="1">
        <v>492348</v>
      </c>
      <c r="I846" s="1">
        <v>0</v>
      </c>
      <c r="J846" s="1" t="s">
        <v>14</v>
      </c>
      <c r="K846" s="1">
        <v>5292574</v>
      </c>
    </row>
    <row r="847" spans="1:11" x14ac:dyDescent="0.25">
      <c r="A847" s="1" t="s">
        <v>11</v>
      </c>
      <c r="B847" s="1" t="s">
        <v>1092</v>
      </c>
      <c r="C847" s="1" t="s">
        <v>26</v>
      </c>
      <c r="D847" s="1" t="s">
        <v>1360</v>
      </c>
      <c r="E847" s="1" t="s">
        <v>1233</v>
      </c>
      <c r="F847" s="1" t="s">
        <v>14</v>
      </c>
      <c r="G847" s="1">
        <v>2187967.84</v>
      </c>
      <c r="H847" s="1">
        <v>249051.66</v>
      </c>
      <c r="I847" s="1">
        <v>0</v>
      </c>
      <c r="J847" s="1" t="s">
        <v>14</v>
      </c>
      <c r="K847" s="1">
        <v>2437019.5</v>
      </c>
    </row>
    <row r="848" spans="1:11" x14ac:dyDescent="0.25">
      <c r="A848" s="1" t="s">
        <v>11</v>
      </c>
      <c r="B848" s="1" t="s">
        <v>1092</v>
      </c>
      <c r="C848" s="1" t="s">
        <v>26</v>
      </c>
      <c r="D848" s="1" t="s">
        <v>1361</v>
      </c>
      <c r="E848" s="1" t="s">
        <v>1235</v>
      </c>
      <c r="F848" s="1" t="s">
        <v>14</v>
      </c>
      <c r="G848" s="1">
        <v>524258.66</v>
      </c>
      <c r="H848" s="1">
        <v>51516.44</v>
      </c>
      <c r="I848" s="1">
        <v>0</v>
      </c>
      <c r="J848" s="1" t="s">
        <v>14</v>
      </c>
      <c r="K848" s="1">
        <v>575775.1</v>
      </c>
    </row>
    <row r="849" spans="1:11" x14ac:dyDescent="0.25">
      <c r="A849" s="1" t="s">
        <v>11</v>
      </c>
      <c r="B849" s="1" t="s">
        <v>1092</v>
      </c>
      <c r="C849" s="1" t="s">
        <v>26</v>
      </c>
      <c r="D849" s="1" t="s">
        <v>1362</v>
      </c>
      <c r="E849" s="1" t="s">
        <v>1237</v>
      </c>
      <c r="F849" s="1" t="s">
        <v>14</v>
      </c>
      <c r="G849" s="1">
        <v>968751</v>
      </c>
      <c r="H849" s="1">
        <v>98985</v>
      </c>
      <c r="I849" s="1">
        <v>0</v>
      </c>
      <c r="J849" s="1" t="s">
        <v>14</v>
      </c>
      <c r="K849" s="1">
        <v>1067736</v>
      </c>
    </row>
    <row r="850" spans="1:11" x14ac:dyDescent="0.25">
      <c r="A850" s="1" t="s">
        <v>11</v>
      </c>
      <c r="B850" s="1" t="s">
        <v>1092</v>
      </c>
      <c r="C850" s="1" t="s">
        <v>23</v>
      </c>
      <c r="D850" s="1" t="s">
        <v>1363</v>
      </c>
      <c r="E850" s="1" t="s">
        <v>1239</v>
      </c>
      <c r="F850" s="1" t="s">
        <v>14</v>
      </c>
      <c r="G850" s="1">
        <v>653866111</v>
      </c>
      <c r="H850" s="1">
        <v>5860738</v>
      </c>
      <c r="I850" s="1">
        <v>0</v>
      </c>
      <c r="J850" s="1" t="s">
        <v>14</v>
      </c>
      <c r="K850" s="1">
        <v>659726849</v>
      </c>
    </row>
    <row r="851" spans="1:11" x14ac:dyDescent="0.25">
      <c r="A851" s="1" t="s">
        <v>11</v>
      </c>
      <c r="B851" s="1" t="s">
        <v>1092</v>
      </c>
      <c r="C851" s="1" t="s">
        <v>26</v>
      </c>
      <c r="D851" s="1" t="s">
        <v>1364</v>
      </c>
      <c r="E851" s="1" t="s">
        <v>1239</v>
      </c>
      <c r="F851" s="1" t="s">
        <v>14</v>
      </c>
      <c r="G851" s="1">
        <v>1666976</v>
      </c>
      <c r="H851" s="1">
        <v>93770</v>
      </c>
      <c r="I851" s="1">
        <v>0</v>
      </c>
      <c r="J851" s="1" t="s">
        <v>14</v>
      </c>
      <c r="K851" s="1">
        <v>1760746</v>
      </c>
    </row>
    <row r="852" spans="1:11" x14ac:dyDescent="0.25">
      <c r="A852" s="1" t="s">
        <v>11</v>
      </c>
      <c r="B852" s="1" t="s">
        <v>1092</v>
      </c>
      <c r="C852" s="1" t="s">
        <v>26</v>
      </c>
      <c r="D852" s="1" t="s">
        <v>1365</v>
      </c>
      <c r="E852" s="1" t="s">
        <v>1366</v>
      </c>
      <c r="F852" s="1" t="s">
        <v>14</v>
      </c>
      <c r="G852" s="1">
        <v>520375140</v>
      </c>
      <c r="H852" s="1">
        <v>0</v>
      </c>
      <c r="I852" s="1">
        <v>0</v>
      </c>
      <c r="J852" s="1" t="s">
        <v>14</v>
      </c>
      <c r="K852" s="1">
        <v>520375140</v>
      </c>
    </row>
    <row r="853" spans="1:11" x14ac:dyDescent="0.25">
      <c r="A853" s="1" t="s">
        <v>11</v>
      </c>
      <c r="B853" s="1" t="s">
        <v>1092</v>
      </c>
      <c r="C853" s="1" t="s">
        <v>26</v>
      </c>
      <c r="D853" s="1" t="s">
        <v>1367</v>
      </c>
      <c r="E853" s="1" t="s">
        <v>1368</v>
      </c>
      <c r="F853" s="1" t="s">
        <v>14</v>
      </c>
      <c r="G853" s="1">
        <v>131665347</v>
      </c>
      <c r="H853" s="1">
        <v>4831219</v>
      </c>
      <c r="I853" s="1">
        <v>0</v>
      </c>
      <c r="J853" s="1" t="s">
        <v>14</v>
      </c>
      <c r="K853" s="1">
        <v>136496566</v>
      </c>
    </row>
    <row r="854" spans="1:11" x14ac:dyDescent="0.25">
      <c r="A854" s="1" t="s">
        <v>11</v>
      </c>
      <c r="B854" s="1" t="s">
        <v>1092</v>
      </c>
      <c r="C854" s="1" t="s">
        <v>26</v>
      </c>
      <c r="D854" s="1" t="s">
        <v>1369</v>
      </c>
      <c r="E854" s="1" t="s">
        <v>1370</v>
      </c>
      <c r="F854" s="1" t="s">
        <v>14</v>
      </c>
      <c r="G854" s="1">
        <v>0</v>
      </c>
      <c r="H854" s="1">
        <v>917932</v>
      </c>
      <c r="I854" s="1">
        <v>0</v>
      </c>
      <c r="J854" s="1" t="s">
        <v>14</v>
      </c>
      <c r="K854" s="1">
        <v>917932</v>
      </c>
    </row>
    <row r="855" spans="1:11" x14ac:dyDescent="0.25">
      <c r="A855" s="1" t="s">
        <v>11</v>
      </c>
      <c r="B855" s="1" t="s">
        <v>1092</v>
      </c>
      <c r="C855" s="1" t="s">
        <v>26</v>
      </c>
      <c r="D855" s="1" t="s">
        <v>1371</v>
      </c>
      <c r="E855" s="1" t="s">
        <v>1244</v>
      </c>
      <c r="F855" s="1" t="s">
        <v>14</v>
      </c>
      <c r="G855" s="1">
        <v>158648</v>
      </c>
      <c r="H855" s="1">
        <v>17817</v>
      </c>
      <c r="I855" s="1">
        <v>0</v>
      </c>
      <c r="J855" s="1" t="s">
        <v>14</v>
      </c>
      <c r="K855" s="1">
        <v>176465</v>
      </c>
    </row>
    <row r="856" spans="1:11" x14ac:dyDescent="0.25">
      <c r="A856" s="1" t="s">
        <v>11</v>
      </c>
      <c r="B856" s="1" t="s">
        <v>1092</v>
      </c>
      <c r="C856" s="1" t="s">
        <v>23</v>
      </c>
      <c r="D856" s="1" t="s">
        <v>1372</v>
      </c>
      <c r="E856" s="1" t="s">
        <v>1246</v>
      </c>
      <c r="F856" s="1" t="s">
        <v>14</v>
      </c>
      <c r="G856" s="1">
        <v>730831</v>
      </c>
      <c r="H856" s="1">
        <v>46188</v>
      </c>
      <c r="I856" s="1">
        <v>0</v>
      </c>
      <c r="J856" s="1" t="s">
        <v>14</v>
      </c>
      <c r="K856" s="1">
        <v>777019</v>
      </c>
    </row>
    <row r="857" spans="1:11" x14ac:dyDescent="0.25">
      <c r="A857" s="1" t="s">
        <v>11</v>
      </c>
      <c r="B857" s="1" t="s">
        <v>1092</v>
      </c>
      <c r="C857" s="1" t="s">
        <v>26</v>
      </c>
      <c r="D857" s="1" t="s">
        <v>1373</v>
      </c>
      <c r="E857" s="1" t="s">
        <v>1246</v>
      </c>
      <c r="F857" s="1" t="s">
        <v>14</v>
      </c>
      <c r="G857" s="1">
        <v>255600</v>
      </c>
      <c r="H857" s="1">
        <v>0</v>
      </c>
      <c r="I857" s="1">
        <v>0</v>
      </c>
      <c r="J857" s="1" t="s">
        <v>14</v>
      </c>
      <c r="K857" s="1">
        <v>255600</v>
      </c>
    </row>
    <row r="858" spans="1:11" x14ac:dyDescent="0.25">
      <c r="A858" s="1" t="s">
        <v>11</v>
      </c>
      <c r="B858" s="1" t="s">
        <v>1092</v>
      </c>
      <c r="C858" s="1" t="s">
        <v>26</v>
      </c>
      <c r="D858" s="1" t="s">
        <v>1374</v>
      </c>
      <c r="E858" s="1" t="s">
        <v>1249</v>
      </c>
      <c r="F858" s="1" t="s">
        <v>14</v>
      </c>
      <c r="G858" s="1">
        <v>291876</v>
      </c>
      <c r="H858" s="1">
        <v>5200</v>
      </c>
      <c r="I858" s="1">
        <v>0</v>
      </c>
      <c r="J858" s="1" t="s">
        <v>14</v>
      </c>
      <c r="K858" s="1">
        <v>297076</v>
      </c>
    </row>
    <row r="859" spans="1:11" x14ac:dyDescent="0.25">
      <c r="A859" s="1" t="s">
        <v>11</v>
      </c>
      <c r="B859" s="1" t="s">
        <v>1092</v>
      </c>
      <c r="C859" s="1" t="s">
        <v>26</v>
      </c>
      <c r="D859" s="1" t="s">
        <v>1375</v>
      </c>
      <c r="E859" s="1" t="s">
        <v>1376</v>
      </c>
      <c r="F859" s="1" t="s">
        <v>14</v>
      </c>
      <c r="G859" s="1">
        <v>80000</v>
      </c>
      <c r="H859" s="1">
        <v>40000</v>
      </c>
      <c r="I859" s="1">
        <v>0</v>
      </c>
      <c r="J859" s="1" t="s">
        <v>14</v>
      </c>
      <c r="K859" s="1">
        <v>120000</v>
      </c>
    </row>
    <row r="860" spans="1:11" x14ac:dyDescent="0.25">
      <c r="A860" s="1" t="s">
        <v>11</v>
      </c>
      <c r="B860" s="1" t="s">
        <v>1092</v>
      </c>
      <c r="C860" s="1" t="s">
        <v>26</v>
      </c>
      <c r="D860" s="1" t="s">
        <v>1377</v>
      </c>
      <c r="E860" s="1" t="s">
        <v>1253</v>
      </c>
      <c r="F860" s="1" t="s">
        <v>14</v>
      </c>
      <c r="G860" s="1">
        <v>54791</v>
      </c>
      <c r="H860" s="1">
        <v>988</v>
      </c>
      <c r="I860" s="1">
        <v>0</v>
      </c>
      <c r="J860" s="1" t="s">
        <v>14</v>
      </c>
      <c r="K860" s="1">
        <v>55779</v>
      </c>
    </row>
    <row r="861" spans="1:11" x14ac:dyDescent="0.25">
      <c r="A861" s="1" t="s">
        <v>11</v>
      </c>
      <c r="B861" s="1" t="s">
        <v>1092</v>
      </c>
      <c r="C861" s="1" t="s">
        <v>26</v>
      </c>
      <c r="D861" s="1" t="s">
        <v>1378</v>
      </c>
      <c r="E861" s="1" t="s">
        <v>1255</v>
      </c>
      <c r="F861" s="1" t="s">
        <v>14</v>
      </c>
      <c r="G861" s="1">
        <v>48564</v>
      </c>
      <c r="H861" s="1">
        <v>0</v>
      </c>
      <c r="I861" s="1">
        <v>0</v>
      </c>
      <c r="J861" s="1" t="s">
        <v>14</v>
      </c>
      <c r="K861" s="1">
        <v>48564</v>
      </c>
    </row>
    <row r="862" spans="1:11" x14ac:dyDescent="0.25">
      <c r="A862" s="1" t="s">
        <v>11</v>
      </c>
      <c r="B862" s="1" t="s">
        <v>1092</v>
      </c>
      <c r="C862" s="1" t="s">
        <v>23</v>
      </c>
      <c r="D862" s="1" t="s">
        <v>1379</v>
      </c>
      <c r="E862" s="1" t="s">
        <v>1263</v>
      </c>
      <c r="F862" s="1" t="s">
        <v>14</v>
      </c>
      <c r="G862" s="1">
        <v>26084923.5</v>
      </c>
      <c r="H862" s="1">
        <v>0</v>
      </c>
      <c r="I862" s="1">
        <v>0</v>
      </c>
      <c r="J862" s="1" t="s">
        <v>14</v>
      </c>
      <c r="K862" s="1">
        <v>26084923.5</v>
      </c>
    </row>
    <row r="863" spans="1:11" x14ac:dyDescent="0.25">
      <c r="A863" s="1" t="s">
        <v>11</v>
      </c>
      <c r="B863" s="1" t="s">
        <v>1092</v>
      </c>
      <c r="C863" s="1" t="s">
        <v>26</v>
      </c>
      <c r="D863" s="1" t="s">
        <v>1380</v>
      </c>
      <c r="E863" s="1" t="s">
        <v>1265</v>
      </c>
      <c r="F863" s="1" t="s">
        <v>14</v>
      </c>
      <c r="G863" s="1">
        <v>15815424.279999999</v>
      </c>
      <c r="H863" s="1">
        <v>0</v>
      </c>
      <c r="I863" s="1">
        <v>0</v>
      </c>
      <c r="J863" s="1" t="s">
        <v>14</v>
      </c>
      <c r="K863" s="1">
        <v>15815424.279999999</v>
      </c>
    </row>
    <row r="864" spans="1:11" x14ac:dyDescent="0.25">
      <c r="A864" s="1" t="s">
        <v>11</v>
      </c>
      <c r="B864" s="1" t="s">
        <v>1092</v>
      </c>
      <c r="C864" s="1" t="s">
        <v>26</v>
      </c>
      <c r="D864" s="1" t="s">
        <v>1381</v>
      </c>
      <c r="E864" s="1" t="s">
        <v>1267</v>
      </c>
      <c r="F864" s="1" t="s">
        <v>14</v>
      </c>
      <c r="G864" s="1">
        <v>5399922.0800000001</v>
      </c>
      <c r="H864" s="1">
        <v>0</v>
      </c>
      <c r="I864" s="1">
        <v>0</v>
      </c>
      <c r="J864" s="1" t="s">
        <v>14</v>
      </c>
      <c r="K864" s="1">
        <v>5399922.0800000001</v>
      </c>
    </row>
    <row r="865" spans="1:11" x14ac:dyDescent="0.25">
      <c r="A865" s="1" t="s">
        <v>11</v>
      </c>
      <c r="B865" s="1" t="s">
        <v>1092</v>
      </c>
      <c r="C865" s="1" t="s">
        <v>26</v>
      </c>
      <c r="D865" s="1" t="s">
        <v>1382</v>
      </c>
      <c r="E865" s="1" t="s">
        <v>1269</v>
      </c>
      <c r="F865" s="1" t="s">
        <v>14</v>
      </c>
      <c r="G865" s="1">
        <v>4869577.1399999997</v>
      </c>
      <c r="H865" s="1">
        <v>0</v>
      </c>
      <c r="I865" s="1">
        <v>0</v>
      </c>
      <c r="J865" s="1" t="s">
        <v>14</v>
      </c>
      <c r="K865" s="1">
        <v>4869577.1399999997</v>
      </c>
    </row>
    <row r="866" spans="1:11" x14ac:dyDescent="0.25">
      <c r="A866" s="1" t="s">
        <v>11</v>
      </c>
      <c r="B866" s="1" t="s">
        <v>1092</v>
      </c>
      <c r="C866" s="1" t="s">
        <v>23</v>
      </c>
      <c r="D866" s="1" t="s">
        <v>1383</v>
      </c>
      <c r="E866" s="1" t="s">
        <v>1273</v>
      </c>
      <c r="F866" s="1" t="s">
        <v>14</v>
      </c>
      <c r="G866" s="1">
        <v>26784286</v>
      </c>
      <c r="H866" s="1">
        <v>3658623</v>
      </c>
      <c r="I866" s="1">
        <v>0</v>
      </c>
      <c r="J866" s="1" t="s">
        <v>14</v>
      </c>
      <c r="K866" s="1">
        <v>30442909</v>
      </c>
    </row>
    <row r="867" spans="1:11" x14ac:dyDescent="0.25">
      <c r="A867" s="1" t="s">
        <v>11</v>
      </c>
      <c r="B867" s="1" t="s">
        <v>1092</v>
      </c>
      <c r="C867" s="1" t="s">
        <v>26</v>
      </c>
      <c r="D867" s="1" t="s">
        <v>1384</v>
      </c>
      <c r="E867" s="1" t="s">
        <v>1273</v>
      </c>
      <c r="F867" s="1" t="s">
        <v>14</v>
      </c>
      <c r="G867" s="1">
        <v>26784286</v>
      </c>
      <c r="H867" s="1">
        <v>3658623</v>
      </c>
      <c r="I867" s="1">
        <v>0</v>
      </c>
      <c r="J867" s="1" t="s">
        <v>14</v>
      </c>
      <c r="K867" s="1">
        <v>30442909</v>
      </c>
    </row>
    <row r="868" spans="1:11" x14ac:dyDescent="0.25">
      <c r="A868" s="1" t="s">
        <v>11</v>
      </c>
      <c r="B868" s="1" t="s">
        <v>1092</v>
      </c>
      <c r="C868" s="1" t="s">
        <v>23</v>
      </c>
      <c r="D868" s="1" t="s">
        <v>1385</v>
      </c>
      <c r="E868" s="1" t="s">
        <v>1063</v>
      </c>
      <c r="F868" s="1" t="s">
        <v>14</v>
      </c>
      <c r="G868" s="1">
        <v>391900</v>
      </c>
      <c r="H868" s="1">
        <v>59900</v>
      </c>
      <c r="I868" s="1">
        <v>0</v>
      </c>
      <c r="J868" s="1" t="s">
        <v>14</v>
      </c>
      <c r="K868" s="1">
        <v>451800</v>
      </c>
    </row>
    <row r="869" spans="1:11" x14ac:dyDescent="0.25">
      <c r="A869" s="1" t="s">
        <v>11</v>
      </c>
      <c r="B869" s="1" t="s">
        <v>1092</v>
      </c>
      <c r="C869" s="1" t="s">
        <v>26</v>
      </c>
      <c r="D869" s="1" t="s">
        <v>1386</v>
      </c>
      <c r="E869" s="1" t="s">
        <v>1279</v>
      </c>
      <c r="F869" s="1" t="s">
        <v>14</v>
      </c>
      <c r="G869" s="1">
        <v>391900</v>
      </c>
      <c r="H869" s="1">
        <v>59900</v>
      </c>
      <c r="I869" s="1">
        <v>0</v>
      </c>
      <c r="J869" s="1" t="s">
        <v>14</v>
      </c>
      <c r="K869" s="1">
        <v>451800</v>
      </c>
    </row>
    <row r="870" spans="1:11" x14ac:dyDescent="0.25">
      <c r="A870" s="1" t="s">
        <v>11</v>
      </c>
      <c r="B870" s="1" t="s">
        <v>1092</v>
      </c>
      <c r="C870" s="1" t="s">
        <v>23</v>
      </c>
      <c r="D870" s="1" t="s">
        <v>1387</v>
      </c>
      <c r="E870" s="1" t="s">
        <v>1289</v>
      </c>
      <c r="F870" s="1" t="s">
        <v>14</v>
      </c>
      <c r="G870" s="1">
        <v>803155</v>
      </c>
      <c r="H870" s="1">
        <v>34300</v>
      </c>
      <c r="I870" s="1">
        <v>0</v>
      </c>
      <c r="J870" s="1" t="s">
        <v>14</v>
      </c>
      <c r="K870" s="1">
        <v>837455</v>
      </c>
    </row>
    <row r="871" spans="1:11" x14ac:dyDescent="0.25">
      <c r="A871" s="1" t="s">
        <v>11</v>
      </c>
      <c r="B871" s="1" t="s">
        <v>1092</v>
      </c>
      <c r="C871" s="1" t="s">
        <v>26</v>
      </c>
      <c r="D871" s="1" t="s">
        <v>1388</v>
      </c>
      <c r="E871" s="1" t="s">
        <v>1291</v>
      </c>
      <c r="F871" s="1" t="s">
        <v>14</v>
      </c>
      <c r="G871" s="1">
        <v>590000</v>
      </c>
      <c r="H871" s="1">
        <v>34300</v>
      </c>
      <c r="I871" s="1">
        <v>0</v>
      </c>
      <c r="J871" s="1" t="s">
        <v>14</v>
      </c>
      <c r="K871" s="1">
        <v>624300</v>
      </c>
    </row>
    <row r="872" spans="1:11" x14ac:dyDescent="0.25">
      <c r="A872" s="1" t="s">
        <v>11</v>
      </c>
      <c r="B872" s="1" t="s">
        <v>1092</v>
      </c>
      <c r="C872" s="1" t="s">
        <v>26</v>
      </c>
      <c r="D872" s="1" t="s">
        <v>1389</v>
      </c>
      <c r="E872" s="1" t="s">
        <v>1293</v>
      </c>
      <c r="F872" s="1" t="s">
        <v>14</v>
      </c>
      <c r="G872" s="1">
        <v>202905</v>
      </c>
      <c r="H872" s="1">
        <v>0</v>
      </c>
      <c r="I872" s="1">
        <v>0</v>
      </c>
      <c r="J872" s="1" t="s">
        <v>14</v>
      </c>
      <c r="K872" s="1">
        <v>202905</v>
      </c>
    </row>
    <row r="873" spans="1:11" x14ac:dyDescent="0.25">
      <c r="A873" s="1" t="s">
        <v>11</v>
      </c>
      <c r="B873" s="1" t="s">
        <v>1092</v>
      </c>
      <c r="C873" s="1" t="s">
        <v>26</v>
      </c>
      <c r="D873" s="1" t="s">
        <v>1390</v>
      </c>
      <c r="E873" s="1" t="s">
        <v>1297</v>
      </c>
      <c r="F873" s="1" t="s">
        <v>14</v>
      </c>
      <c r="G873" s="1">
        <v>10250</v>
      </c>
      <c r="H873" s="1">
        <v>0</v>
      </c>
      <c r="I873" s="1">
        <v>0</v>
      </c>
      <c r="J873" s="1" t="s">
        <v>14</v>
      </c>
      <c r="K873" s="1">
        <v>10250</v>
      </c>
    </row>
    <row r="874" spans="1:11" x14ac:dyDescent="0.25">
      <c r="A874" s="1" t="s">
        <v>11</v>
      </c>
      <c r="B874" s="1" t="s">
        <v>1092</v>
      </c>
      <c r="C874" s="1" t="s">
        <v>23</v>
      </c>
      <c r="D874" s="1" t="s">
        <v>1391</v>
      </c>
      <c r="E874" s="1" t="s">
        <v>1392</v>
      </c>
      <c r="F874" s="1" t="s">
        <v>14</v>
      </c>
      <c r="G874" s="1">
        <v>0</v>
      </c>
      <c r="H874" s="1">
        <v>0</v>
      </c>
      <c r="I874" s="1">
        <v>584562.71</v>
      </c>
      <c r="J874" s="1" t="s">
        <v>173</v>
      </c>
      <c r="K874" s="1">
        <v>-584562.71</v>
      </c>
    </row>
    <row r="875" spans="1:11" x14ac:dyDescent="0.25">
      <c r="A875" s="1" t="s">
        <v>11</v>
      </c>
      <c r="B875" s="1" t="s">
        <v>1092</v>
      </c>
      <c r="C875" s="1" t="s">
        <v>26</v>
      </c>
      <c r="D875" s="1" t="s">
        <v>1393</v>
      </c>
      <c r="E875" s="1" t="s">
        <v>1394</v>
      </c>
      <c r="F875" s="1" t="s">
        <v>14</v>
      </c>
      <c r="G875" s="1">
        <v>0</v>
      </c>
      <c r="H875" s="1">
        <v>0</v>
      </c>
      <c r="I875" s="1">
        <v>584562.71</v>
      </c>
      <c r="J875" s="1" t="s">
        <v>173</v>
      </c>
      <c r="K875" s="1">
        <v>-584562.71</v>
      </c>
    </row>
    <row r="876" spans="1:11" x14ac:dyDescent="0.25">
      <c r="A876" s="1" t="s">
        <v>11</v>
      </c>
      <c r="B876" s="1" t="s">
        <v>1092</v>
      </c>
      <c r="C876" s="1" t="s">
        <v>18</v>
      </c>
      <c r="D876" s="1" t="s">
        <v>1395</v>
      </c>
      <c r="E876" s="1" t="s">
        <v>1396</v>
      </c>
      <c r="F876" s="1" t="s">
        <v>14</v>
      </c>
      <c r="G876" s="1">
        <v>4691233551.5900002</v>
      </c>
      <c r="H876" s="1">
        <v>177045782.22999999</v>
      </c>
      <c r="I876" s="1">
        <v>1405626.58</v>
      </c>
      <c r="J876" s="1" t="s">
        <v>14</v>
      </c>
      <c r="K876" s="1">
        <v>4866873707.2399998</v>
      </c>
    </row>
    <row r="877" spans="1:11" x14ac:dyDescent="0.25">
      <c r="A877" s="1" t="s">
        <v>11</v>
      </c>
      <c r="B877" s="1" t="s">
        <v>1092</v>
      </c>
      <c r="C877" s="1" t="s">
        <v>21</v>
      </c>
      <c r="D877" s="1" t="s">
        <v>1397</v>
      </c>
      <c r="E877" s="1" t="s">
        <v>1098</v>
      </c>
      <c r="F877" s="1" t="s">
        <v>14</v>
      </c>
      <c r="G877" s="1">
        <v>94716843.069999993</v>
      </c>
      <c r="H877" s="1">
        <v>3616716.12</v>
      </c>
      <c r="I877" s="1">
        <v>1365827.58</v>
      </c>
      <c r="J877" s="1" t="s">
        <v>14</v>
      </c>
      <c r="K877" s="1">
        <v>96967731.609999999</v>
      </c>
    </row>
    <row r="878" spans="1:11" x14ac:dyDescent="0.25">
      <c r="A878" s="1" t="s">
        <v>11</v>
      </c>
      <c r="B878" s="1" t="s">
        <v>1092</v>
      </c>
      <c r="C878" s="1" t="s">
        <v>23</v>
      </c>
      <c r="D878" s="1" t="s">
        <v>1398</v>
      </c>
      <c r="E878" s="1" t="s">
        <v>1100</v>
      </c>
      <c r="F878" s="1" t="s">
        <v>14</v>
      </c>
      <c r="G878" s="1">
        <v>21108754.370000001</v>
      </c>
      <c r="H878" s="1">
        <v>2703796.12</v>
      </c>
      <c r="I878" s="1">
        <v>1365827.58</v>
      </c>
      <c r="J878" s="1" t="s">
        <v>14</v>
      </c>
      <c r="K878" s="1">
        <v>22446722.91</v>
      </c>
    </row>
    <row r="879" spans="1:11" x14ac:dyDescent="0.25">
      <c r="A879" s="1" t="s">
        <v>11</v>
      </c>
      <c r="B879" s="1" t="s">
        <v>1092</v>
      </c>
      <c r="C879" s="1" t="s">
        <v>26</v>
      </c>
      <c r="D879" s="1" t="s">
        <v>1399</v>
      </c>
      <c r="E879" s="1" t="s">
        <v>1100</v>
      </c>
      <c r="F879" s="1" t="s">
        <v>14</v>
      </c>
      <c r="G879" s="1">
        <v>21108754.370000001</v>
      </c>
      <c r="H879" s="1">
        <v>2703796.12</v>
      </c>
      <c r="I879" s="1">
        <v>1365827.58</v>
      </c>
      <c r="J879" s="1" t="s">
        <v>14</v>
      </c>
      <c r="K879" s="1">
        <v>22446722.91</v>
      </c>
    </row>
    <row r="880" spans="1:11" x14ac:dyDescent="0.25">
      <c r="A880" s="1" t="s">
        <v>11</v>
      </c>
      <c r="B880" s="1" t="s">
        <v>1092</v>
      </c>
      <c r="C880" s="1" t="s">
        <v>23</v>
      </c>
      <c r="D880" s="1" t="s">
        <v>1400</v>
      </c>
      <c r="E880" s="1" t="s">
        <v>1103</v>
      </c>
      <c r="F880" s="1" t="s">
        <v>14</v>
      </c>
      <c r="G880" s="1">
        <v>73608088.700000003</v>
      </c>
      <c r="H880" s="1">
        <v>912920</v>
      </c>
      <c r="I880" s="1">
        <v>0</v>
      </c>
      <c r="J880" s="1" t="s">
        <v>14</v>
      </c>
      <c r="K880" s="1">
        <v>74521008.700000003</v>
      </c>
    </row>
    <row r="881" spans="1:11" x14ac:dyDescent="0.25">
      <c r="A881" s="1" t="s">
        <v>11</v>
      </c>
      <c r="B881" s="1" t="s">
        <v>1092</v>
      </c>
      <c r="C881" s="1" t="s">
        <v>26</v>
      </c>
      <c r="D881" s="1" t="s">
        <v>1401</v>
      </c>
      <c r="E881" s="1" t="s">
        <v>1105</v>
      </c>
      <c r="F881" s="1" t="s">
        <v>14</v>
      </c>
      <c r="G881" s="1">
        <v>116872</v>
      </c>
      <c r="H881" s="1">
        <v>2400</v>
      </c>
      <c r="I881" s="1">
        <v>0</v>
      </c>
      <c r="J881" s="1" t="s">
        <v>14</v>
      </c>
      <c r="K881" s="1">
        <v>119272</v>
      </c>
    </row>
    <row r="882" spans="1:11" x14ac:dyDescent="0.25">
      <c r="A882" s="1" t="s">
        <v>11</v>
      </c>
      <c r="B882" s="1" t="s">
        <v>1092</v>
      </c>
      <c r="C882" s="1" t="s">
        <v>26</v>
      </c>
      <c r="D882" s="1" t="s">
        <v>1402</v>
      </c>
      <c r="E882" s="1" t="s">
        <v>1107</v>
      </c>
      <c r="F882" s="1" t="s">
        <v>14</v>
      </c>
      <c r="G882" s="1">
        <v>160316</v>
      </c>
      <c r="H882" s="1">
        <v>0</v>
      </c>
      <c r="I882" s="1">
        <v>0</v>
      </c>
      <c r="J882" s="1" t="s">
        <v>14</v>
      </c>
      <c r="K882" s="1">
        <v>160316</v>
      </c>
    </row>
    <row r="883" spans="1:11" x14ac:dyDescent="0.25">
      <c r="A883" s="1" t="s">
        <v>11</v>
      </c>
      <c r="B883" s="1" t="s">
        <v>1092</v>
      </c>
      <c r="C883" s="1" t="s">
        <v>26</v>
      </c>
      <c r="D883" s="1" t="s">
        <v>1403</v>
      </c>
      <c r="E883" s="1" t="s">
        <v>258</v>
      </c>
      <c r="F883" s="1" t="s">
        <v>14</v>
      </c>
      <c r="G883" s="1">
        <v>8099215</v>
      </c>
      <c r="H883" s="1">
        <v>0</v>
      </c>
      <c r="I883" s="1">
        <v>0</v>
      </c>
      <c r="J883" s="1" t="s">
        <v>14</v>
      </c>
      <c r="K883" s="1">
        <v>8099215</v>
      </c>
    </row>
    <row r="884" spans="1:11" x14ac:dyDescent="0.25">
      <c r="A884" s="1" t="s">
        <v>11</v>
      </c>
      <c r="B884" s="1" t="s">
        <v>1092</v>
      </c>
      <c r="C884" s="1" t="s">
        <v>26</v>
      </c>
      <c r="D884" s="1" t="s">
        <v>1404</v>
      </c>
      <c r="E884" s="1" t="s">
        <v>1111</v>
      </c>
      <c r="F884" s="1" t="s">
        <v>14</v>
      </c>
      <c r="G884" s="1">
        <v>200000</v>
      </c>
      <c r="H884" s="1">
        <v>0</v>
      </c>
      <c r="I884" s="1">
        <v>0</v>
      </c>
      <c r="J884" s="1" t="s">
        <v>14</v>
      </c>
      <c r="K884" s="1">
        <v>200000</v>
      </c>
    </row>
    <row r="885" spans="1:11" x14ac:dyDescent="0.25">
      <c r="A885" s="1" t="s">
        <v>11</v>
      </c>
      <c r="B885" s="1" t="s">
        <v>1092</v>
      </c>
      <c r="C885" s="1" t="s">
        <v>26</v>
      </c>
      <c r="D885" s="1" t="s">
        <v>1405</v>
      </c>
      <c r="E885" s="1" t="s">
        <v>1113</v>
      </c>
      <c r="F885" s="1" t="s">
        <v>14</v>
      </c>
      <c r="G885" s="1">
        <v>53414879.859999999</v>
      </c>
      <c r="H885" s="1">
        <v>770300</v>
      </c>
      <c r="I885" s="1">
        <v>0</v>
      </c>
      <c r="J885" s="1" t="s">
        <v>14</v>
      </c>
      <c r="K885" s="1">
        <v>54185179.859999999</v>
      </c>
    </row>
    <row r="886" spans="1:11" x14ac:dyDescent="0.25">
      <c r="A886" s="1" t="s">
        <v>11</v>
      </c>
      <c r="B886" s="1" t="s">
        <v>1092</v>
      </c>
      <c r="C886" s="1" t="s">
        <v>26</v>
      </c>
      <c r="D886" s="1" t="s">
        <v>1406</v>
      </c>
      <c r="E886" s="1" t="s">
        <v>1115</v>
      </c>
      <c r="F886" s="1" t="s">
        <v>14</v>
      </c>
      <c r="G886" s="1">
        <v>11660</v>
      </c>
      <c r="H886" s="1">
        <v>0</v>
      </c>
      <c r="I886" s="1">
        <v>0</v>
      </c>
      <c r="J886" s="1" t="s">
        <v>14</v>
      </c>
      <c r="K886" s="1">
        <v>11660</v>
      </c>
    </row>
    <row r="887" spans="1:11" x14ac:dyDescent="0.25">
      <c r="A887" s="1" t="s">
        <v>11</v>
      </c>
      <c r="B887" s="1" t="s">
        <v>1092</v>
      </c>
      <c r="C887" s="1" t="s">
        <v>26</v>
      </c>
      <c r="D887" s="1" t="s">
        <v>1407</v>
      </c>
      <c r="E887" s="1" t="s">
        <v>1117</v>
      </c>
      <c r="F887" s="1" t="s">
        <v>14</v>
      </c>
      <c r="G887" s="1">
        <v>15414</v>
      </c>
      <c r="H887" s="1">
        <v>0</v>
      </c>
      <c r="I887" s="1">
        <v>0</v>
      </c>
      <c r="J887" s="1" t="s">
        <v>14</v>
      </c>
      <c r="K887" s="1">
        <v>15414</v>
      </c>
    </row>
    <row r="888" spans="1:11" x14ac:dyDescent="0.25">
      <c r="A888" s="1" t="s">
        <v>11</v>
      </c>
      <c r="B888" s="1" t="s">
        <v>1092</v>
      </c>
      <c r="C888" s="1" t="s">
        <v>26</v>
      </c>
      <c r="D888" s="1" t="s">
        <v>1408</v>
      </c>
      <c r="E888" s="1" t="s">
        <v>1121</v>
      </c>
      <c r="F888" s="1" t="s">
        <v>14</v>
      </c>
      <c r="G888" s="1">
        <v>1480919</v>
      </c>
      <c r="H888" s="1">
        <v>0</v>
      </c>
      <c r="I888" s="1">
        <v>0</v>
      </c>
      <c r="J888" s="1" t="s">
        <v>14</v>
      </c>
      <c r="K888" s="1">
        <v>1480919</v>
      </c>
    </row>
    <row r="889" spans="1:11" x14ac:dyDescent="0.25">
      <c r="A889" s="1" t="s">
        <v>11</v>
      </c>
      <c r="B889" s="1" t="s">
        <v>1092</v>
      </c>
      <c r="C889" s="1" t="s">
        <v>26</v>
      </c>
      <c r="D889" s="1" t="s">
        <v>1409</v>
      </c>
      <c r="E889" s="1" t="s">
        <v>1123</v>
      </c>
      <c r="F889" s="1" t="s">
        <v>14</v>
      </c>
      <c r="G889" s="1">
        <v>10108812.84</v>
      </c>
      <c r="H889" s="1">
        <v>140220</v>
      </c>
      <c r="I889" s="1">
        <v>0</v>
      </c>
      <c r="J889" s="1" t="s">
        <v>14</v>
      </c>
      <c r="K889" s="1">
        <v>10249032.84</v>
      </c>
    </row>
    <row r="890" spans="1:11" x14ac:dyDescent="0.25">
      <c r="A890" s="1" t="s">
        <v>11</v>
      </c>
      <c r="B890" s="1" t="s">
        <v>1092</v>
      </c>
      <c r="C890" s="1" t="s">
        <v>21</v>
      </c>
      <c r="D890" s="1" t="s">
        <v>1410</v>
      </c>
      <c r="E890" s="1" t="s">
        <v>1125</v>
      </c>
      <c r="F890" s="1" t="s">
        <v>14</v>
      </c>
      <c r="G890" s="1">
        <v>1759809160.6900001</v>
      </c>
      <c r="H890" s="1">
        <v>6793544.7599999998</v>
      </c>
      <c r="I890" s="1">
        <v>39799</v>
      </c>
      <c r="J890" s="1" t="s">
        <v>14</v>
      </c>
      <c r="K890" s="1">
        <v>1766562906.45</v>
      </c>
    </row>
    <row r="891" spans="1:11" x14ac:dyDescent="0.25">
      <c r="A891" s="1" t="s">
        <v>11</v>
      </c>
      <c r="B891" s="1" t="s">
        <v>1092</v>
      </c>
      <c r="C891" s="1" t="s">
        <v>23</v>
      </c>
      <c r="D891" s="1" t="s">
        <v>1411</v>
      </c>
      <c r="E891" s="1" t="s">
        <v>1127</v>
      </c>
      <c r="F891" s="1" t="s">
        <v>14</v>
      </c>
      <c r="G891" s="1">
        <v>1734226097.6900001</v>
      </c>
      <c r="H891" s="1">
        <v>4793444.76</v>
      </c>
      <c r="I891" s="1">
        <v>39799</v>
      </c>
      <c r="J891" s="1" t="s">
        <v>14</v>
      </c>
      <c r="K891" s="1">
        <v>1738979743.45</v>
      </c>
    </row>
    <row r="892" spans="1:11" x14ac:dyDescent="0.25">
      <c r="A892" s="1" t="s">
        <v>11</v>
      </c>
      <c r="B892" s="1" t="s">
        <v>1092</v>
      </c>
      <c r="C892" s="1" t="s">
        <v>26</v>
      </c>
      <c r="D892" s="1" t="s">
        <v>1412</v>
      </c>
      <c r="E892" s="1" t="s">
        <v>1129</v>
      </c>
      <c r="F892" s="1" t="s">
        <v>14</v>
      </c>
      <c r="G892" s="1">
        <v>196272000</v>
      </c>
      <c r="H892" s="1">
        <v>0</v>
      </c>
      <c r="I892" s="1">
        <v>0</v>
      </c>
      <c r="J892" s="1" t="s">
        <v>14</v>
      </c>
      <c r="K892" s="1">
        <v>196272000</v>
      </c>
    </row>
    <row r="893" spans="1:11" x14ac:dyDescent="0.25">
      <c r="A893" s="1" t="s">
        <v>11</v>
      </c>
      <c r="B893" s="1" t="s">
        <v>1092</v>
      </c>
      <c r="C893" s="1" t="s">
        <v>26</v>
      </c>
      <c r="D893" s="1" t="s">
        <v>1413</v>
      </c>
      <c r="E893" s="1" t="s">
        <v>1131</v>
      </c>
      <c r="F893" s="1" t="s">
        <v>14</v>
      </c>
      <c r="G893" s="1">
        <v>818187181</v>
      </c>
      <c r="H893" s="1">
        <v>3218333</v>
      </c>
      <c r="I893" s="1">
        <v>0</v>
      </c>
      <c r="J893" s="1" t="s">
        <v>14</v>
      </c>
      <c r="K893" s="1">
        <v>821405514</v>
      </c>
    </row>
    <row r="894" spans="1:11" x14ac:dyDescent="0.25">
      <c r="A894" s="1" t="s">
        <v>11</v>
      </c>
      <c r="B894" s="1" t="s">
        <v>1092</v>
      </c>
      <c r="C894" s="1" t="s">
        <v>26</v>
      </c>
      <c r="D894" s="1" t="s">
        <v>1414</v>
      </c>
      <c r="E894" s="1" t="s">
        <v>1133</v>
      </c>
      <c r="F894" s="1" t="s">
        <v>14</v>
      </c>
      <c r="G894" s="1">
        <v>43105831</v>
      </c>
      <c r="H894" s="1">
        <v>0</v>
      </c>
      <c r="I894" s="1">
        <v>0</v>
      </c>
      <c r="J894" s="1" t="s">
        <v>14</v>
      </c>
      <c r="K894" s="1">
        <v>43105831</v>
      </c>
    </row>
    <row r="895" spans="1:11" x14ac:dyDescent="0.25">
      <c r="A895" s="1" t="s">
        <v>11</v>
      </c>
      <c r="B895" s="1" t="s">
        <v>1092</v>
      </c>
      <c r="C895" s="1" t="s">
        <v>26</v>
      </c>
      <c r="D895" s="1" t="s">
        <v>1415</v>
      </c>
      <c r="E895" s="1" t="s">
        <v>1416</v>
      </c>
      <c r="F895" s="1" t="s">
        <v>14</v>
      </c>
      <c r="G895" s="1">
        <v>6775262</v>
      </c>
      <c r="H895" s="1">
        <v>0</v>
      </c>
      <c r="I895" s="1">
        <v>0</v>
      </c>
      <c r="J895" s="1" t="s">
        <v>14</v>
      </c>
      <c r="K895" s="1">
        <v>6775262</v>
      </c>
    </row>
    <row r="896" spans="1:11" x14ac:dyDescent="0.25">
      <c r="A896" s="1" t="s">
        <v>11</v>
      </c>
      <c r="B896" s="1" t="s">
        <v>1092</v>
      </c>
      <c r="C896" s="1" t="s">
        <v>26</v>
      </c>
      <c r="D896" s="1" t="s">
        <v>1417</v>
      </c>
      <c r="E896" s="1" t="s">
        <v>1315</v>
      </c>
      <c r="F896" s="1" t="s">
        <v>14</v>
      </c>
      <c r="G896" s="1">
        <v>5950632</v>
      </c>
      <c r="H896" s="1">
        <v>0</v>
      </c>
      <c r="I896" s="1">
        <v>0</v>
      </c>
      <c r="J896" s="1" t="s">
        <v>14</v>
      </c>
      <c r="K896" s="1">
        <v>5950632</v>
      </c>
    </row>
    <row r="897" spans="1:11" x14ac:dyDescent="0.25">
      <c r="A897" s="1" t="s">
        <v>11</v>
      </c>
      <c r="B897" s="1" t="s">
        <v>1092</v>
      </c>
      <c r="C897" s="1" t="s">
        <v>26</v>
      </c>
      <c r="D897" s="1" t="s">
        <v>1418</v>
      </c>
      <c r="E897" s="1" t="s">
        <v>1135</v>
      </c>
      <c r="F897" s="1" t="s">
        <v>14</v>
      </c>
      <c r="G897" s="1">
        <v>6431501</v>
      </c>
      <c r="H897" s="1">
        <v>40435</v>
      </c>
      <c r="I897" s="1">
        <v>0</v>
      </c>
      <c r="J897" s="1" t="s">
        <v>14</v>
      </c>
      <c r="K897" s="1">
        <v>6471936</v>
      </c>
    </row>
    <row r="898" spans="1:11" x14ac:dyDescent="0.25">
      <c r="A898" s="1" t="s">
        <v>11</v>
      </c>
      <c r="B898" s="1" t="s">
        <v>1092</v>
      </c>
      <c r="C898" s="1" t="s">
        <v>26</v>
      </c>
      <c r="D898" s="1" t="s">
        <v>1419</v>
      </c>
      <c r="E898" s="1" t="s">
        <v>1318</v>
      </c>
      <c r="F898" s="1" t="s">
        <v>14</v>
      </c>
      <c r="G898" s="1">
        <v>7354393</v>
      </c>
      <c r="H898" s="1">
        <v>0</v>
      </c>
      <c r="I898" s="1">
        <v>0</v>
      </c>
      <c r="J898" s="1" t="s">
        <v>14</v>
      </c>
      <c r="K898" s="1">
        <v>7354393</v>
      </c>
    </row>
    <row r="899" spans="1:11" x14ac:dyDescent="0.25">
      <c r="A899" s="1" t="s">
        <v>11</v>
      </c>
      <c r="B899" s="1" t="s">
        <v>1092</v>
      </c>
      <c r="C899" s="1" t="s">
        <v>26</v>
      </c>
      <c r="D899" s="1" t="s">
        <v>1420</v>
      </c>
      <c r="E899" s="1" t="s">
        <v>224</v>
      </c>
      <c r="F899" s="1" t="s">
        <v>14</v>
      </c>
      <c r="G899" s="1">
        <v>3339741</v>
      </c>
      <c r="H899" s="1">
        <v>0</v>
      </c>
      <c r="I899" s="1">
        <v>0</v>
      </c>
      <c r="J899" s="1" t="s">
        <v>14</v>
      </c>
      <c r="K899" s="1">
        <v>3339741</v>
      </c>
    </row>
    <row r="900" spans="1:11" x14ac:dyDescent="0.25">
      <c r="A900" s="1" t="s">
        <v>11</v>
      </c>
      <c r="B900" s="1" t="s">
        <v>1092</v>
      </c>
      <c r="C900" s="1" t="s">
        <v>26</v>
      </c>
      <c r="D900" s="1" t="s">
        <v>1421</v>
      </c>
      <c r="E900" s="1" t="s">
        <v>1422</v>
      </c>
      <c r="F900" s="1" t="s">
        <v>14</v>
      </c>
      <c r="G900" s="1">
        <v>3623507</v>
      </c>
      <c r="H900" s="1">
        <v>0</v>
      </c>
      <c r="I900" s="1">
        <v>0</v>
      </c>
      <c r="J900" s="1" t="s">
        <v>14</v>
      </c>
      <c r="K900" s="1">
        <v>3623507</v>
      </c>
    </row>
    <row r="901" spans="1:11" x14ac:dyDescent="0.25">
      <c r="A901" s="1" t="s">
        <v>11</v>
      </c>
      <c r="B901" s="1" t="s">
        <v>1092</v>
      </c>
      <c r="C901" s="1" t="s">
        <v>26</v>
      </c>
      <c r="D901" s="1" t="s">
        <v>1423</v>
      </c>
      <c r="E901" s="1" t="s">
        <v>1138</v>
      </c>
      <c r="F901" s="1" t="s">
        <v>14</v>
      </c>
      <c r="G901" s="1">
        <v>41434200</v>
      </c>
      <c r="H901" s="1">
        <v>270000</v>
      </c>
      <c r="I901" s="1">
        <v>0</v>
      </c>
      <c r="J901" s="1" t="s">
        <v>14</v>
      </c>
      <c r="K901" s="1">
        <v>41704200</v>
      </c>
    </row>
    <row r="902" spans="1:11" x14ac:dyDescent="0.25">
      <c r="A902" s="1" t="s">
        <v>11</v>
      </c>
      <c r="B902" s="1" t="s">
        <v>1092</v>
      </c>
      <c r="C902" s="1" t="s">
        <v>26</v>
      </c>
      <c r="D902" s="1" t="s">
        <v>1424</v>
      </c>
      <c r="E902" s="1" t="s">
        <v>1425</v>
      </c>
      <c r="F902" s="1" t="s">
        <v>14</v>
      </c>
      <c r="G902" s="1">
        <v>6000000</v>
      </c>
      <c r="H902" s="1">
        <v>0</v>
      </c>
      <c r="I902" s="1">
        <v>0</v>
      </c>
      <c r="J902" s="1" t="s">
        <v>14</v>
      </c>
      <c r="K902" s="1">
        <v>6000000</v>
      </c>
    </row>
    <row r="903" spans="1:11" x14ac:dyDescent="0.25">
      <c r="A903" s="1" t="s">
        <v>11</v>
      </c>
      <c r="B903" s="1" t="s">
        <v>1092</v>
      </c>
      <c r="C903" s="1" t="s">
        <v>26</v>
      </c>
      <c r="D903" s="1" t="s">
        <v>1426</v>
      </c>
      <c r="E903" s="1" t="s">
        <v>1140</v>
      </c>
      <c r="F903" s="1" t="s">
        <v>14</v>
      </c>
      <c r="G903" s="1">
        <v>58785728</v>
      </c>
      <c r="H903" s="1">
        <v>11635</v>
      </c>
      <c r="I903" s="1">
        <v>39799</v>
      </c>
      <c r="J903" s="1" t="s">
        <v>14</v>
      </c>
      <c r="K903" s="1">
        <v>58757564</v>
      </c>
    </row>
    <row r="904" spans="1:11" x14ac:dyDescent="0.25">
      <c r="A904" s="1" t="s">
        <v>11</v>
      </c>
      <c r="B904" s="1" t="s">
        <v>1092</v>
      </c>
      <c r="C904" s="1" t="s">
        <v>26</v>
      </c>
      <c r="D904" s="1" t="s">
        <v>1427</v>
      </c>
      <c r="E904" s="1" t="s">
        <v>1142</v>
      </c>
      <c r="F904" s="1" t="s">
        <v>14</v>
      </c>
      <c r="G904" s="1">
        <v>75922293</v>
      </c>
      <c r="H904" s="1">
        <v>0</v>
      </c>
      <c r="I904" s="1">
        <v>0</v>
      </c>
      <c r="J904" s="1" t="s">
        <v>14</v>
      </c>
      <c r="K904" s="1">
        <v>75922293</v>
      </c>
    </row>
    <row r="905" spans="1:11" x14ac:dyDescent="0.25">
      <c r="A905" s="1" t="s">
        <v>11</v>
      </c>
      <c r="B905" s="1" t="s">
        <v>1092</v>
      </c>
      <c r="C905" s="1" t="s">
        <v>26</v>
      </c>
      <c r="D905" s="1" t="s">
        <v>1428</v>
      </c>
      <c r="E905" s="1" t="s">
        <v>673</v>
      </c>
      <c r="F905" s="1" t="s">
        <v>14</v>
      </c>
      <c r="G905" s="1">
        <v>9114312</v>
      </c>
      <c r="H905" s="1">
        <v>0</v>
      </c>
      <c r="I905" s="1">
        <v>0</v>
      </c>
      <c r="J905" s="1" t="s">
        <v>14</v>
      </c>
      <c r="K905" s="1">
        <v>9114312</v>
      </c>
    </row>
    <row r="906" spans="1:11" x14ac:dyDescent="0.25">
      <c r="A906" s="1" t="s">
        <v>11</v>
      </c>
      <c r="B906" s="1" t="s">
        <v>1092</v>
      </c>
      <c r="C906" s="1" t="s">
        <v>26</v>
      </c>
      <c r="D906" s="1" t="s">
        <v>1429</v>
      </c>
      <c r="E906" s="1" t="s">
        <v>675</v>
      </c>
      <c r="F906" s="1" t="s">
        <v>14</v>
      </c>
      <c r="G906" s="1">
        <v>76981504</v>
      </c>
      <c r="H906" s="1">
        <v>0</v>
      </c>
      <c r="I906" s="1">
        <v>0</v>
      </c>
      <c r="J906" s="1" t="s">
        <v>14</v>
      </c>
      <c r="K906" s="1">
        <v>76981504</v>
      </c>
    </row>
    <row r="907" spans="1:11" x14ac:dyDescent="0.25">
      <c r="A907" s="1" t="s">
        <v>11</v>
      </c>
      <c r="B907" s="1" t="s">
        <v>1092</v>
      </c>
      <c r="C907" s="1" t="s">
        <v>26</v>
      </c>
      <c r="D907" s="1" t="s">
        <v>1430</v>
      </c>
      <c r="E907" s="1" t="s">
        <v>1146</v>
      </c>
      <c r="F907" s="1" t="s">
        <v>14</v>
      </c>
      <c r="G907" s="1">
        <v>44874163.920000002</v>
      </c>
      <c r="H907" s="1">
        <v>0</v>
      </c>
      <c r="I907" s="1">
        <v>0</v>
      </c>
      <c r="J907" s="1" t="s">
        <v>14</v>
      </c>
      <c r="K907" s="1">
        <v>44874163.920000002</v>
      </c>
    </row>
    <row r="908" spans="1:11" x14ac:dyDescent="0.25">
      <c r="A908" s="1" t="s">
        <v>11</v>
      </c>
      <c r="B908" s="1" t="s">
        <v>1092</v>
      </c>
      <c r="C908" s="1" t="s">
        <v>26</v>
      </c>
      <c r="D908" s="1" t="s">
        <v>1431</v>
      </c>
      <c r="E908" s="1" t="s">
        <v>1148</v>
      </c>
      <c r="F908" s="1" t="s">
        <v>14</v>
      </c>
      <c r="G908" s="1">
        <v>91233630</v>
      </c>
      <c r="H908" s="1">
        <v>276995</v>
      </c>
      <c r="I908" s="1">
        <v>0</v>
      </c>
      <c r="J908" s="1" t="s">
        <v>14</v>
      </c>
      <c r="K908" s="1">
        <v>91510625</v>
      </c>
    </row>
    <row r="909" spans="1:11" x14ac:dyDescent="0.25">
      <c r="A909" s="1" t="s">
        <v>11</v>
      </c>
      <c r="B909" s="1" t="s">
        <v>1092</v>
      </c>
      <c r="C909" s="1" t="s">
        <v>26</v>
      </c>
      <c r="D909" s="1" t="s">
        <v>1432</v>
      </c>
      <c r="E909" s="1" t="s">
        <v>1150</v>
      </c>
      <c r="F909" s="1" t="s">
        <v>14</v>
      </c>
      <c r="G909" s="1">
        <v>122094314</v>
      </c>
      <c r="H909" s="1">
        <v>391052</v>
      </c>
      <c r="I909" s="1">
        <v>0</v>
      </c>
      <c r="J909" s="1" t="s">
        <v>14</v>
      </c>
      <c r="K909" s="1">
        <v>122485366</v>
      </c>
    </row>
    <row r="910" spans="1:11" x14ac:dyDescent="0.25">
      <c r="A910" s="1" t="s">
        <v>11</v>
      </c>
      <c r="B910" s="1" t="s">
        <v>1092</v>
      </c>
      <c r="C910" s="1" t="s">
        <v>26</v>
      </c>
      <c r="D910" s="1" t="s">
        <v>1433</v>
      </c>
      <c r="E910" s="1" t="s">
        <v>1152</v>
      </c>
      <c r="F910" s="1" t="s">
        <v>14</v>
      </c>
      <c r="G910" s="1">
        <v>25177460</v>
      </c>
      <c r="H910" s="1">
        <v>79384</v>
      </c>
      <c r="I910" s="1">
        <v>0</v>
      </c>
      <c r="J910" s="1" t="s">
        <v>14</v>
      </c>
      <c r="K910" s="1">
        <v>25256844</v>
      </c>
    </row>
    <row r="911" spans="1:11" x14ac:dyDescent="0.25">
      <c r="A911" s="1" t="s">
        <v>11</v>
      </c>
      <c r="B911" s="1" t="s">
        <v>1092</v>
      </c>
      <c r="C911" s="1" t="s">
        <v>26</v>
      </c>
      <c r="D911" s="1" t="s">
        <v>1434</v>
      </c>
      <c r="E911" s="1" t="s">
        <v>1154</v>
      </c>
      <c r="F911" s="1" t="s">
        <v>14</v>
      </c>
      <c r="G911" s="1">
        <v>40824089.770000003</v>
      </c>
      <c r="H911" s="1">
        <v>342039.76</v>
      </c>
      <c r="I911" s="1">
        <v>0</v>
      </c>
      <c r="J911" s="1" t="s">
        <v>14</v>
      </c>
      <c r="K911" s="1">
        <v>41166129.530000001</v>
      </c>
    </row>
    <row r="912" spans="1:11" x14ac:dyDescent="0.25">
      <c r="A912" s="1" t="s">
        <v>11</v>
      </c>
      <c r="B912" s="1" t="s">
        <v>1092</v>
      </c>
      <c r="C912" s="1" t="s">
        <v>26</v>
      </c>
      <c r="D912" s="1" t="s">
        <v>1435</v>
      </c>
      <c r="E912" s="1" t="s">
        <v>1156</v>
      </c>
      <c r="F912" s="1" t="s">
        <v>14</v>
      </c>
      <c r="G912" s="1">
        <v>30446071</v>
      </c>
      <c r="H912" s="1">
        <v>98143</v>
      </c>
      <c r="I912" s="1">
        <v>0</v>
      </c>
      <c r="J912" s="1" t="s">
        <v>14</v>
      </c>
      <c r="K912" s="1">
        <v>30544214</v>
      </c>
    </row>
    <row r="913" spans="1:11" x14ac:dyDescent="0.25">
      <c r="A913" s="1" t="s">
        <v>11</v>
      </c>
      <c r="B913" s="1" t="s">
        <v>1092</v>
      </c>
      <c r="C913" s="1" t="s">
        <v>26</v>
      </c>
      <c r="D913" s="1" t="s">
        <v>1436</v>
      </c>
      <c r="E913" s="1" t="s">
        <v>1158</v>
      </c>
      <c r="F913" s="1" t="s">
        <v>14</v>
      </c>
      <c r="G913" s="1">
        <v>20298284</v>
      </c>
      <c r="H913" s="1">
        <v>65428</v>
      </c>
      <c r="I913" s="1">
        <v>0</v>
      </c>
      <c r="J913" s="1" t="s">
        <v>14</v>
      </c>
      <c r="K913" s="1">
        <v>20363712</v>
      </c>
    </row>
    <row r="914" spans="1:11" x14ac:dyDescent="0.25">
      <c r="A914" s="1" t="s">
        <v>11</v>
      </c>
      <c r="B914" s="1" t="s">
        <v>1092</v>
      </c>
      <c r="C914" s="1" t="s">
        <v>23</v>
      </c>
      <c r="D914" s="1" t="s">
        <v>1437</v>
      </c>
      <c r="E914" s="1" t="s">
        <v>1160</v>
      </c>
      <c r="F914" s="1" t="s">
        <v>14</v>
      </c>
      <c r="G914" s="1">
        <v>7978117</v>
      </c>
      <c r="H914" s="1">
        <v>0</v>
      </c>
      <c r="I914" s="1">
        <v>0</v>
      </c>
      <c r="J914" s="1" t="s">
        <v>14</v>
      </c>
      <c r="K914" s="1">
        <v>7978117</v>
      </c>
    </row>
    <row r="915" spans="1:11" x14ac:dyDescent="0.25">
      <c r="A915" s="1" t="s">
        <v>11</v>
      </c>
      <c r="B915" s="1" t="s">
        <v>1092</v>
      </c>
      <c r="C915" s="1" t="s">
        <v>26</v>
      </c>
      <c r="D915" s="1" t="s">
        <v>1438</v>
      </c>
      <c r="E915" s="1" t="s">
        <v>1162</v>
      </c>
      <c r="F915" s="1" t="s">
        <v>14</v>
      </c>
      <c r="G915" s="1">
        <v>2315000</v>
      </c>
      <c r="H915" s="1">
        <v>0</v>
      </c>
      <c r="I915" s="1">
        <v>0</v>
      </c>
      <c r="J915" s="1" t="s">
        <v>14</v>
      </c>
      <c r="K915" s="1">
        <v>2315000</v>
      </c>
    </row>
    <row r="916" spans="1:11" x14ac:dyDescent="0.25">
      <c r="A916" s="1" t="s">
        <v>11</v>
      </c>
      <c r="B916" s="1" t="s">
        <v>1092</v>
      </c>
      <c r="C916" s="1" t="s">
        <v>26</v>
      </c>
      <c r="D916" s="1" t="s">
        <v>1439</v>
      </c>
      <c r="E916" s="1" t="s">
        <v>1164</v>
      </c>
      <c r="F916" s="1" t="s">
        <v>14</v>
      </c>
      <c r="G916" s="1">
        <v>605000</v>
      </c>
      <c r="H916" s="1">
        <v>0</v>
      </c>
      <c r="I916" s="1">
        <v>0</v>
      </c>
      <c r="J916" s="1" t="s">
        <v>14</v>
      </c>
      <c r="K916" s="1">
        <v>605000</v>
      </c>
    </row>
    <row r="917" spans="1:11" x14ac:dyDescent="0.25">
      <c r="A917" s="1" t="s">
        <v>11</v>
      </c>
      <c r="B917" s="1" t="s">
        <v>1092</v>
      </c>
      <c r="C917" s="1" t="s">
        <v>26</v>
      </c>
      <c r="D917" s="1" t="s">
        <v>1440</v>
      </c>
      <c r="E917" s="1" t="s">
        <v>1166</v>
      </c>
      <c r="F917" s="1" t="s">
        <v>14</v>
      </c>
      <c r="G917" s="1">
        <v>4333709</v>
      </c>
      <c r="H917" s="1">
        <v>0</v>
      </c>
      <c r="I917" s="1">
        <v>0</v>
      </c>
      <c r="J917" s="1" t="s">
        <v>14</v>
      </c>
      <c r="K917" s="1">
        <v>4333709</v>
      </c>
    </row>
    <row r="918" spans="1:11" x14ac:dyDescent="0.25">
      <c r="A918" s="1" t="s">
        <v>11</v>
      </c>
      <c r="B918" s="1" t="s">
        <v>1092</v>
      </c>
      <c r="C918" s="1" t="s">
        <v>26</v>
      </c>
      <c r="D918" s="1" t="s">
        <v>1441</v>
      </c>
      <c r="E918" s="1" t="s">
        <v>1172</v>
      </c>
      <c r="F918" s="1" t="s">
        <v>14</v>
      </c>
      <c r="G918" s="1">
        <v>209000</v>
      </c>
      <c r="H918" s="1">
        <v>0</v>
      </c>
      <c r="I918" s="1">
        <v>0</v>
      </c>
      <c r="J918" s="1" t="s">
        <v>14</v>
      </c>
      <c r="K918" s="1">
        <v>209000</v>
      </c>
    </row>
    <row r="919" spans="1:11" x14ac:dyDescent="0.25">
      <c r="A919" s="1" t="s">
        <v>11</v>
      </c>
      <c r="B919" s="1" t="s">
        <v>1092</v>
      </c>
      <c r="C919" s="1" t="s">
        <v>26</v>
      </c>
      <c r="D919" s="1" t="s">
        <v>1442</v>
      </c>
      <c r="E919" s="1" t="s">
        <v>1174</v>
      </c>
      <c r="F919" s="1" t="s">
        <v>14</v>
      </c>
      <c r="G919" s="1">
        <v>400457</v>
      </c>
      <c r="H919" s="1">
        <v>0</v>
      </c>
      <c r="I919" s="1">
        <v>0</v>
      </c>
      <c r="J919" s="1" t="s">
        <v>14</v>
      </c>
      <c r="K919" s="1">
        <v>400457</v>
      </c>
    </row>
    <row r="920" spans="1:11" x14ac:dyDescent="0.25">
      <c r="A920" s="1" t="s">
        <v>11</v>
      </c>
      <c r="B920" s="1" t="s">
        <v>1092</v>
      </c>
      <c r="C920" s="1" t="s">
        <v>26</v>
      </c>
      <c r="D920" s="1" t="s">
        <v>1443</v>
      </c>
      <c r="E920" s="1" t="s">
        <v>1176</v>
      </c>
      <c r="F920" s="1" t="s">
        <v>14</v>
      </c>
      <c r="G920" s="1">
        <v>114951</v>
      </c>
      <c r="H920" s="1">
        <v>0</v>
      </c>
      <c r="I920" s="1">
        <v>0</v>
      </c>
      <c r="J920" s="1" t="s">
        <v>14</v>
      </c>
      <c r="K920" s="1">
        <v>114951</v>
      </c>
    </row>
    <row r="921" spans="1:11" x14ac:dyDescent="0.25">
      <c r="A921" s="1" t="s">
        <v>11</v>
      </c>
      <c r="B921" s="1" t="s">
        <v>1092</v>
      </c>
      <c r="C921" s="1" t="s">
        <v>23</v>
      </c>
      <c r="D921" s="1" t="s">
        <v>1444</v>
      </c>
      <c r="E921" s="1" t="s">
        <v>1445</v>
      </c>
      <c r="F921" s="1" t="s">
        <v>14</v>
      </c>
      <c r="G921" s="1">
        <v>17604946</v>
      </c>
      <c r="H921" s="1">
        <v>2000100</v>
      </c>
      <c r="I921" s="1">
        <v>0</v>
      </c>
      <c r="J921" s="1" t="s">
        <v>14</v>
      </c>
      <c r="K921" s="1">
        <v>19605046</v>
      </c>
    </row>
    <row r="922" spans="1:11" x14ac:dyDescent="0.25">
      <c r="A922" s="1" t="s">
        <v>11</v>
      </c>
      <c r="B922" s="1" t="s">
        <v>1092</v>
      </c>
      <c r="C922" s="1" t="s">
        <v>26</v>
      </c>
      <c r="D922" s="1" t="s">
        <v>1446</v>
      </c>
      <c r="E922" s="1" t="s">
        <v>1447</v>
      </c>
      <c r="F922" s="1" t="s">
        <v>14</v>
      </c>
      <c r="G922" s="1">
        <v>17604946</v>
      </c>
      <c r="H922" s="1">
        <v>2000100</v>
      </c>
      <c r="I922" s="1">
        <v>0</v>
      </c>
      <c r="J922" s="1" t="s">
        <v>14</v>
      </c>
      <c r="K922" s="1">
        <v>19605046</v>
      </c>
    </row>
    <row r="923" spans="1:11" x14ac:dyDescent="0.25">
      <c r="A923" s="1" t="s">
        <v>11</v>
      </c>
      <c r="B923" s="1" t="s">
        <v>1092</v>
      </c>
      <c r="C923" s="1" t="s">
        <v>21</v>
      </c>
      <c r="D923" s="1" t="s">
        <v>1448</v>
      </c>
      <c r="E923" s="1" t="s">
        <v>1178</v>
      </c>
      <c r="F923" s="1" t="s">
        <v>14</v>
      </c>
      <c r="G923" s="1">
        <v>2836707547.8299999</v>
      </c>
      <c r="H923" s="1">
        <v>166635521.34999999</v>
      </c>
      <c r="I923" s="1">
        <v>0</v>
      </c>
      <c r="J923" s="1" t="s">
        <v>14</v>
      </c>
      <c r="K923" s="1">
        <v>3003343069.1799998</v>
      </c>
    </row>
    <row r="924" spans="1:11" x14ac:dyDescent="0.25">
      <c r="A924" s="1" t="s">
        <v>11</v>
      </c>
      <c r="B924" s="1" t="s">
        <v>1092</v>
      </c>
      <c r="C924" s="1" t="s">
        <v>23</v>
      </c>
      <c r="D924" s="1" t="s">
        <v>1449</v>
      </c>
      <c r="E924" s="1" t="s">
        <v>1180</v>
      </c>
      <c r="F924" s="1" t="s">
        <v>14</v>
      </c>
      <c r="G924" s="1">
        <v>25115092</v>
      </c>
      <c r="H924" s="1">
        <v>0</v>
      </c>
      <c r="I924" s="1">
        <v>0</v>
      </c>
      <c r="J924" s="1" t="s">
        <v>14</v>
      </c>
      <c r="K924" s="1">
        <v>25115092</v>
      </c>
    </row>
    <row r="925" spans="1:11" x14ac:dyDescent="0.25">
      <c r="A925" s="1" t="s">
        <v>11</v>
      </c>
      <c r="B925" s="1" t="s">
        <v>1092</v>
      </c>
      <c r="C925" s="1" t="s">
        <v>26</v>
      </c>
      <c r="D925" s="1" t="s">
        <v>1450</v>
      </c>
      <c r="E925" s="1" t="s">
        <v>1451</v>
      </c>
      <c r="F925" s="1" t="s">
        <v>14</v>
      </c>
      <c r="G925" s="1">
        <v>20112682</v>
      </c>
      <c r="H925" s="1">
        <v>0</v>
      </c>
      <c r="I925" s="1">
        <v>0</v>
      </c>
      <c r="J925" s="1" t="s">
        <v>14</v>
      </c>
      <c r="K925" s="1">
        <v>20112682</v>
      </c>
    </row>
    <row r="926" spans="1:11" x14ac:dyDescent="0.25">
      <c r="A926" s="1" t="s">
        <v>11</v>
      </c>
      <c r="B926" s="1" t="s">
        <v>1092</v>
      </c>
      <c r="C926" s="1" t="s">
        <v>26</v>
      </c>
      <c r="D926" s="1" t="s">
        <v>1452</v>
      </c>
      <c r="E926" s="1" t="s">
        <v>552</v>
      </c>
      <c r="F926" s="1" t="s">
        <v>14</v>
      </c>
      <c r="G926" s="1">
        <v>1200000</v>
      </c>
      <c r="H926" s="1">
        <v>0</v>
      </c>
      <c r="I926" s="1">
        <v>0</v>
      </c>
      <c r="J926" s="1" t="s">
        <v>14</v>
      </c>
      <c r="K926" s="1">
        <v>1200000</v>
      </c>
    </row>
    <row r="927" spans="1:11" x14ac:dyDescent="0.25">
      <c r="A927" s="1" t="s">
        <v>11</v>
      </c>
      <c r="B927" s="1" t="s">
        <v>1092</v>
      </c>
      <c r="C927" s="1" t="s">
        <v>26</v>
      </c>
      <c r="D927" s="1" t="s">
        <v>1453</v>
      </c>
      <c r="E927" s="1" t="s">
        <v>1454</v>
      </c>
      <c r="F927" s="1" t="s">
        <v>14</v>
      </c>
      <c r="G927" s="1">
        <v>3574410</v>
      </c>
      <c r="H927" s="1">
        <v>0</v>
      </c>
      <c r="I927" s="1">
        <v>0</v>
      </c>
      <c r="J927" s="1" t="s">
        <v>14</v>
      </c>
      <c r="K927" s="1">
        <v>3574410</v>
      </c>
    </row>
    <row r="928" spans="1:11" x14ac:dyDescent="0.25">
      <c r="A928" s="1" t="s">
        <v>11</v>
      </c>
      <c r="B928" s="1" t="s">
        <v>1092</v>
      </c>
      <c r="C928" s="1" t="s">
        <v>26</v>
      </c>
      <c r="D928" s="1" t="s">
        <v>1455</v>
      </c>
      <c r="E928" s="1" t="s">
        <v>1187</v>
      </c>
      <c r="F928" s="1" t="s">
        <v>14</v>
      </c>
      <c r="G928" s="1">
        <v>228000</v>
      </c>
      <c r="H928" s="1">
        <v>0</v>
      </c>
      <c r="I928" s="1">
        <v>0</v>
      </c>
      <c r="J928" s="1" t="s">
        <v>14</v>
      </c>
      <c r="K928" s="1">
        <v>228000</v>
      </c>
    </row>
    <row r="929" spans="1:11" x14ac:dyDescent="0.25">
      <c r="A929" s="1" t="s">
        <v>11</v>
      </c>
      <c r="B929" s="1" t="s">
        <v>1092</v>
      </c>
      <c r="C929" s="1" t="s">
        <v>23</v>
      </c>
      <c r="D929" s="1" t="s">
        <v>1456</v>
      </c>
      <c r="E929" s="1" t="s">
        <v>1189</v>
      </c>
      <c r="F929" s="1" t="s">
        <v>14</v>
      </c>
      <c r="G929" s="1">
        <v>43746735</v>
      </c>
      <c r="H929" s="1">
        <v>8749347</v>
      </c>
      <c r="I929" s="1">
        <v>0</v>
      </c>
      <c r="J929" s="1" t="s">
        <v>14</v>
      </c>
      <c r="K929" s="1">
        <v>52496082</v>
      </c>
    </row>
    <row r="930" spans="1:11" x14ac:dyDescent="0.25">
      <c r="A930" s="1" t="s">
        <v>11</v>
      </c>
      <c r="B930" s="1" t="s">
        <v>1092</v>
      </c>
      <c r="C930" s="1" t="s">
        <v>26</v>
      </c>
      <c r="D930" s="1" t="s">
        <v>1457</v>
      </c>
      <c r="E930" s="1" t="s">
        <v>439</v>
      </c>
      <c r="F930" s="1" t="s">
        <v>14</v>
      </c>
      <c r="G930" s="1">
        <v>43746735</v>
      </c>
      <c r="H930" s="1">
        <v>8749347</v>
      </c>
      <c r="I930" s="1">
        <v>0</v>
      </c>
      <c r="J930" s="1" t="s">
        <v>14</v>
      </c>
      <c r="K930" s="1">
        <v>52496082</v>
      </c>
    </row>
    <row r="931" spans="1:11" x14ac:dyDescent="0.25">
      <c r="A931" s="1" t="s">
        <v>11</v>
      </c>
      <c r="B931" s="1" t="s">
        <v>1092</v>
      </c>
      <c r="C931" s="1" t="s">
        <v>23</v>
      </c>
      <c r="D931" s="1" t="s">
        <v>1458</v>
      </c>
      <c r="E931" s="1" t="s">
        <v>227</v>
      </c>
      <c r="F931" s="1" t="s">
        <v>14</v>
      </c>
      <c r="G931" s="1">
        <v>25781104</v>
      </c>
      <c r="H931" s="1">
        <v>665810</v>
      </c>
      <c r="I931" s="1">
        <v>0</v>
      </c>
      <c r="J931" s="1" t="s">
        <v>14</v>
      </c>
      <c r="K931" s="1">
        <v>26446914</v>
      </c>
    </row>
    <row r="932" spans="1:11" x14ac:dyDescent="0.25">
      <c r="A932" s="1" t="s">
        <v>11</v>
      </c>
      <c r="B932" s="1" t="s">
        <v>1092</v>
      </c>
      <c r="C932" s="1" t="s">
        <v>26</v>
      </c>
      <c r="D932" s="1" t="s">
        <v>1459</v>
      </c>
      <c r="E932" s="1" t="s">
        <v>1195</v>
      </c>
      <c r="F932" s="1" t="s">
        <v>14</v>
      </c>
      <c r="G932" s="1">
        <v>2999578</v>
      </c>
      <c r="H932" s="1">
        <v>0</v>
      </c>
      <c r="I932" s="1">
        <v>0</v>
      </c>
      <c r="J932" s="1" t="s">
        <v>14</v>
      </c>
      <c r="K932" s="1">
        <v>2999578</v>
      </c>
    </row>
    <row r="933" spans="1:11" x14ac:dyDescent="0.25">
      <c r="A933" s="1" t="s">
        <v>11</v>
      </c>
      <c r="B933" s="1" t="s">
        <v>1092</v>
      </c>
      <c r="C933" s="1" t="s">
        <v>26</v>
      </c>
      <c r="D933" s="1" t="s">
        <v>1460</v>
      </c>
      <c r="E933" s="1" t="s">
        <v>1461</v>
      </c>
      <c r="F933" s="1" t="s">
        <v>14</v>
      </c>
      <c r="G933" s="1">
        <v>20546385</v>
      </c>
      <c r="H933" s="1">
        <v>559504</v>
      </c>
      <c r="I933" s="1">
        <v>0</v>
      </c>
      <c r="J933" s="1" t="s">
        <v>14</v>
      </c>
      <c r="K933" s="1">
        <v>21105889</v>
      </c>
    </row>
    <row r="934" spans="1:11" x14ac:dyDescent="0.25">
      <c r="A934" s="1" t="s">
        <v>11</v>
      </c>
      <c r="B934" s="1" t="s">
        <v>1092</v>
      </c>
      <c r="C934" s="1" t="s">
        <v>26</v>
      </c>
      <c r="D934" s="1" t="s">
        <v>1462</v>
      </c>
      <c r="E934" s="1" t="s">
        <v>1463</v>
      </c>
      <c r="F934" s="1" t="s">
        <v>14</v>
      </c>
      <c r="G934" s="1">
        <v>1664812</v>
      </c>
      <c r="H934" s="1">
        <v>106306</v>
      </c>
      <c r="I934" s="1">
        <v>0</v>
      </c>
      <c r="J934" s="1" t="s">
        <v>14</v>
      </c>
      <c r="K934" s="1">
        <v>1771118</v>
      </c>
    </row>
    <row r="935" spans="1:11" x14ac:dyDescent="0.25">
      <c r="A935" s="1" t="s">
        <v>11</v>
      </c>
      <c r="B935" s="1" t="s">
        <v>1092</v>
      </c>
      <c r="C935" s="1" t="s">
        <v>26</v>
      </c>
      <c r="D935" s="1" t="s">
        <v>1464</v>
      </c>
      <c r="E935" s="1" t="s">
        <v>1197</v>
      </c>
      <c r="F935" s="1" t="s">
        <v>14</v>
      </c>
      <c r="G935" s="1">
        <v>570329</v>
      </c>
      <c r="H935" s="1">
        <v>0</v>
      </c>
      <c r="I935" s="1">
        <v>0</v>
      </c>
      <c r="J935" s="1" t="s">
        <v>14</v>
      </c>
      <c r="K935" s="1">
        <v>570329</v>
      </c>
    </row>
    <row r="936" spans="1:11" x14ac:dyDescent="0.25">
      <c r="A936" s="1" t="s">
        <v>11</v>
      </c>
      <c r="B936" s="1" t="s">
        <v>1092</v>
      </c>
      <c r="C936" s="1" t="s">
        <v>23</v>
      </c>
      <c r="D936" s="1" t="s">
        <v>1465</v>
      </c>
      <c r="E936" s="1" t="s">
        <v>437</v>
      </c>
      <c r="F936" s="1" t="s">
        <v>14</v>
      </c>
      <c r="G936" s="1">
        <v>27926497</v>
      </c>
      <c r="H936" s="1">
        <v>0</v>
      </c>
      <c r="I936" s="1">
        <v>0</v>
      </c>
      <c r="J936" s="1" t="s">
        <v>14</v>
      </c>
      <c r="K936" s="1">
        <v>27926497</v>
      </c>
    </row>
    <row r="937" spans="1:11" x14ac:dyDescent="0.25">
      <c r="A937" s="1" t="s">
        <v>11</v>
      </c>
      <c r="B937" s="1" t="s">
        <v>1092</v>
      </c>
      <c r="C937" s="1" t="s">
        <v>26</v>
      </c>
      <c r="D937" s="1" t="s">
        <v>1466</v>
      </c>
      <c r="E937" s="1" t="s">
        <v>1212</v>
      </c>
      <c r="F937" s="1" t="s">
        <v>14</v>
      </c>
      <c r="G937" s="1">
        <v>6145820</v>
      </c>
      <c r="H937" s="1">
        <v>0</v>
      </c>
      <c r="I937" s="1">
        <v>0</v>
      </c>
      <c r="J937" s="1" t="s">
        <v>14</v>
      </c>
      <c r="K937" s="1">
        <v>6145820</v>
      </c>
    </row>
    <row r="938" spans="1:11" x14ac:dyDescent="0.25">
      <c r="A938" s="1" t="s">
        <v>11</v>
      </c>
      <c r="B938" s="1" t="s">
        <v>1092</v>
      </c>
      <c r="C938" s="1" t="s">
        <v>26</v>
      </c>
      <c r="D938" s="1" t="s">
        <v>1467</v>
      </c>
      <c r="E938" s="1" t="s">
        <v>1214</v>
      </c>
      <c r="F938" s="1" t="s">
        <v>14</v>
      </c>
      <c r="G938" s="1">
        <v>21441690</v>
      </c>
      <c r="H938" s="1">
        <v>0</v>
      </c>
      <c r="I938" s="1">
        <v>0</v>
      </c>
      <c r="J938" s="1" t="s">
        <v>14</v>
      </c>
      <c r="K938" s="1">
        <v>21441690</v>
      </c>
    </row>
    <row r="939" spans="1:11" x14ac:dyDescent="0.25">
      <c r="A939" s="1" t="s">
        <v>11</v>
      </c>
      <c r="B939" s="1" t="s">
        <v>1092</v>
      </c>
      <c r="C939" s="1" t="s">
        <v>26</v>
      </c>
      <c r="D939" s="1" t="s">
        <v>1468</v>
      </c>
      <c r="E939" s="1" t="s">
        <v>1345</v>
      </c>
      <c r="F939" s="1" t="s">
        <v>14</v>
      </c>
      <c r="G939" s="1">
        <v>284863</v>
      </c>
      <c r="H939" s="1">
        <v>0</v>
      </c>
      <c r="I939" s="1">
        <v>0</v>
      </c>
      <c r="J939" s="1" t="s">
        <v>14</v>
      </c>
      <c r="K939" s="1">
        <v>284863</v>
      </c>
    </row>
    <row r="940" spans="1:11" x14ac:dyDescent="0.25">
      <c r="A940" s="1" t="s">
        <v>11</v>
      </c>
      <c r="B940" s="1" t="s">
        <v>1092</v>
      </c>
      <c r="C940" s="1" t="s">
        <v>26</v>
      </c>
      <c r="D940" s="1" t="s">
        <v>1469</v>
      </c>
      <c r="E940" s="1" t="s">
        <v>1351</v>
      </c>
      <c r="F940" s="1" t="s">
        <v>14</v>
      </c>
      <c r="G940" s="1">
        <v>54124</v>
      </c>
      <c r="H940" s="1">
        <v>0</v>
      </c>
      <c r="I940" s="1">
        <v>0</v>
      </c>
      <c r="J940" s="1" t="s">
        <v>14</v>
      </c>
      <c r="K940" s="1">
        <v>54124</v>
      </c>
    </row>
    <row r="941" spans="1:11" x14ac:dyDescent="0.25">
      <c r="A941" s="1" t="s">
        <v>11</v>
      </c>
      <c r="B941" s="1" t="s">
        <v>1092</v>
      </c>
      <c r="C941" s="1" t="s">
        <v>23</v>
      </c>
      <c r="D941" s="1" t="s">
        <v>1470</v>
      </c>
      <c r="E941" s="1" t="s">
        <v>566</v>
      </c>
      <c r="F941" s="1" t="s">
        <v>14</v>
      </c>
      <c r="G941" s="1">
        <v>165311389.97</v>
      </c>
      <c r="H941" s="1">
        <v>8863556.3499999996</v>
      </c>
      <c r="I941" s="1">
        <v>0</v>
      </c>
      <c r="J941" s="1" t="s">
        <v>14</v>
      </c>
      <c r="K941" s="1">
        <v>174174946.31999999</v>
      </c>
    </row>
    <row r="942" spans="1:11" x14ac:dyDescent="0.25">
      <c r="A942" s="1" t="s">
        <v>11</v>
      </c>
      <c r="B942" s="1" t="s">
        <v>1092</v>
      </c>
      <c r="C942" s="1" t="s">
        <v>26</v>
      </c>
      <c r="D942" s="1" t="s">
        <v>1471</v>
      </c>
      <c r="E942" s="1" t="s">
        <v>1219</v>
      </c>
      <c r="F942" s="1" t="s">
        <v>14</v>
      </c>
      <c r="G942" s="1">
        <v>28062325</v>
      </c>
      <c r="H942" s="1">
        <v>1923255.52</v>
      </c>
      <c r="I942" s="1">
        <v>0</v>
      </c>
      <c r="J942" s="1" t="s">
        <v>14</v>
      </c>
      <c r="K942" s="1">
        <v>29985580.52</v>
      </c>
    </row>
    <row r="943" spans="1:11" x14ac:dyDescent="0.25">
      <c r="A943" s="1" t="s">
        <v>11</v>
      </c>
      <c r="B943" s="1" t="s">
        <v>1092</v>
      </c>
      <c r="C943" s="1" t="s">
        <v>26</v>
      </c>
      <c r="D943" s="1" t="s">
        <v>1472</v>
      </c>
      <c r="E943" s="1" t="s">
        <v>1221</v>
      </c>
      <c r="F943" s="1" t="s">
        <v>14</v>
      </c>
      <c r="G943" s="1">
        <v>8417657.3900000006</v>
      </c>
      <c r="H943" s="1">
        <v>852734.88</v>
      </c>
      <c r="I943" s="1">
        <v>0</v>
      </c>
      <c r="J943" s="1" t="s">
        <v>14</v>
      </c>
      <c r="K943" s="1">
        <v>9270392.2699999996</v>
      </c>
    </row>
    <row r="944" spans="1:11" x14ac:dyDescent="0.25">
      <c r="A944" s="1" t="s">
        <v>11</v>
      </c>
      <c r="B944" s="1" t="s">
        <v>1092</v>
      </c>
      <c r="C944" s="1" t="s">
        <v>26</v>
      </c>
      <c r="D944" s="1" t="s">
        <v>1473</v>
      </c>
      <c r="E944" s="1" t="s">
        <v>1223</v>
      </c>
      <c r="F944" s="1" t="s">
        <v>14</v>
      </c>
      <c r="G944" s="1">
        <v>21920</v>
      </c>
      <c r="H944" s="1">
        <v>4390</v>
      </c>
      <c r="I944" s="1">
        <v>0</v>
      </c>
      <c r="J944" s="1" t="s">
        <v>14</v>
      </c>
      <c r="K944" s="1">
        <v>26310</v>
      </c>
    </row>
    <row r="945" spans="1:11" x14ac:dyDescent="0.25">
      <c r="A945" s="1" t="s">
        <v>11</v>
      </c>
      <c r="B945" s="1" t="s">
        <v>1092</v>
      </c>
      <c r="C945" s="1" t="s">
        <v>26</v>
      </c>
      <c r="D945" s="1" t="s">
        <v>1474</v>
      </c>
      <c r="E945" s="1" t="s">
        <v>1225</v>
      </c>
      <c r="F945" s="1" t="s">
        <v>14</v>
      </c>
      <c r="G945" s="1">
        <v>30397834.379999999</v>
      </c>
      <c r="H945" s="1">
        <v>2918774.55</v>
      </c>
      <c r="I945" s="1">
        <v>0</v>
      </c>
      <c r="J945" s="1" t="s">
        <v>14</v>
      </c>
      <c r="K945" s="1">
        <v>33316608.93</v>
      </c>
    </row>
    <row r="946" spans="1:11" x14ac:dyDescent="0.25">
      <c r="A946" s="1" t="s">
        <v>11</v>
      </c>
      <c r="B946" s="1" t="s">
        <v>1092</v>
      </c>
      <c r="C946" s="1" t="s">
        <v>26</v>
      </c>
      <c r="D946" s="1" t="s">
        <v>1475</v>
      </c>
      <c r="E946" s="1" t="s">
        <v>1227</v>
      </c>
      <c r="F946" s="1" t="s">
        <v>14</v>
      </c>
      <c r="G946" s="1">
        <v>8329448.1600000001</v>
      </c>
      <c r="H946" s="1">
        <v>952030.95</v>
      </c>
      <c r="I946" s="1">
        <v>0</v>
      </c>
      <c r="J946" s="1" t="s">
        <v>14</v>
      </c>
      <c r="K946" s="1">
        <v>9281479.1099999994</v>
      </c>
    </row>
    <row r="947" spans="1:11" x14ac:dyDescent="0.25">
      <c r="A947" s="1" t="s">
        <v>11</v>
      </c>
      <c r="B947" s="1" t="s">
        <v>1092</v>
      </c>
      <c r="C947" s="1" t="s">
        <v>26</v>
      </c>
      <c r="D947" s="1" t="s">
        <v>1476</v>
      </c>
      <c r="E947" s="1" t="s">
        <v>1229</v>
      </c>
      <c r="F947" s="1" t="s">
        <v>14</v>
      </c>
      <c r="G947" s="1">
        <v>1490018.24</v>
      </c>
      <c r="H947" s="1">
        <v>152803</v>
      </c>
      <c r="I947" s="1">
        <v>0</v>
      </c>
      <c r="J947" s="1" t="s">
        <v>14</v>
      </c>
      <c r="K947" s="1">
        <v>1642821.24</v>
      </c>
    </row>
    <row r="948" spans="1:11" x14ac:dyDescent="0.25">
      <c r="A948" s="1" t="s">
        <v>11</v>
      </c>
      <c r="B948" s="1" t="s">
        <v>1092</v>
      </c>
      <c r="C948" s="1" t="s">
        <v>26</v>
      </c>
      <c r="D948" s="1" t="s">
        <v>1477</v>
      </c>
      <c r="E948" s="1" t="s">
        <v>1231</v>
      </c>
      <c r="F948" s="1" t="s">
        <v>14</v>
      </c>
      <c r="G948" s="1">
        <v>12673194</v>
      </c>
      <c r="H948" s="1">
        <v>1231708</v>
      </c>
      <c r="I948" s="1">
        <v>0</v>
      </c>
      <c r="J948" s="1" t="s">
        <v>14</v>
      </c>
      <c r="K948" s="1">
        <v>13904902</v>
      </c>
    </row>
    <row r="949" spans="1:11" x14ac:dyDescent="0.25">
      <c r="A949" s="1" t="s">
        <v>11</v>
      </c>
      <c r="B949" s="1" t="s">
        <v>1092</v>
      </c>
      <c r="C949" s="1" t="s">
        <v>26</v>
      </c>
      <c r="D949" s="1" t="s">
        <v>1478</v>
      </c>
      <c r="E949" s="1" t="s">
        <v>1479</v>
      </c>
      <c r="F949" s="1" t="s">
        <v>14</v>
      </c>
      <c r="G949" s="1">
        <v>71442771</v>
      </c>
      <c r="H949" s="1">
        <v>367500</v>
      </c>
      <c r="I949" s="1">
        <v>0</v>
      </c>
      <c r="J949" s="1" t="s">
        <v>14</v>
      </c>
      <c r="K949" s="1">
        <v>71810271</v>
      </c>
    </row>
    <row r="950" spans="1:11" x14ac:dyDescent="0.25">
      <c r="A950" s="1" t="s">
        <v>11</v>
      </c>
      <c r="B950" s="1" t="s">
        <v>1092</v>
      </c>
      <c r="C950" s="1" t="s">
        <v>26</v>
      </c>
      <c r="D950" s="1" t="s">
        <v>1480</v>
      </c>
      <c r="E950" s="1" t="s">
        <v>1233</v>
      </c>
      <c r="F950" s="1" t="s">
        <v>14</v>
      </c>
      <c r="G950" s="1">
        <v>1634723.94</v>
      </c>
      <c r="H950" s="1">
        <v>183711.17</v>
      </c>
      <c r="I950" s="1">
        <v>0</v>
      </c>
      <c r="J950" s="1" t="s">
        <v>14</v>
      </c>
      <c r="K950" s="1">
        <v>1818435.11</v>
      </c>
    </row>
    <row r="951" spans="1:11" x14ac:dyDescent="0.25">
      <c r="A951" s="1" t="s">
        <v>11</v>
      </c>
      <c r="B951" s="1" t="s">
        <v>1092</v>
      </c>
      <c r="C951" s="1" t="s">
        <v>26</v>
      </c>
      <c r="D951" s="1" t="s">
        <v>1481</v>
      </c>
      <c r="E951" s="1" t="s">
        <v>1235</v>
      </c>
      <c r="F951" s="1" t="s">
        <v>14</v>
      </c>
      <c r="G951" s="1">
        <v>293734.86</v>
      </c>
      <c r="H951" s="1">
        <v>28814.28</v>
      </c>
      <c r="I951" s="1">
        <v>0</v>
      </c>
      <c r="J951" s="1" t="s">
        <v>14</v>
      </c>
      <c r="K951" s="1">
        <v>322549.14</v>
      </c>
    </row>
    <row r="952" spans="1:11" x14ac:dyDescent="0.25">
      <c r="A952" s="1" t="s">
        <v>11</v>
      </c>
      <c r="B952" s="1" t="s">
        <v>1092</v>
      </c>
      <c r="C952" s="1" t="s">
        <v>26</v>
      </c>
      <c r="D952" s="1" t="s">
        <v>1482</v>
      </c>
      <c r="E952" s="1" t="s">
        <v>1237</v>
      </c>
      <c r="F952" s="1" t="s">
        <v>14</v>
      </c>
      <c r="G952" s="1">
        <v>2547763</v>
      </c>
      <c r="H952" s="1">
        <v>247834</v>
      </c>
      <c r="I952" s="1">
        <v>0</v>
      </c>
      <c r="J952" s="1" t="s">
        <v>14</v>
      </c>
      <c r="K952" s="1">
        <v>2795597</v>
      </c>
    </row>
    <row r="953" spans="1:11" x14ac:dyDescent="0.25">
      <c r="A953" s="1" t="s">
        <v>11</v>
      </c>
      <c r="B953" s="1" t="s">
        <v>1092</v>
      </c>
      <c r="C953" s="1" t="s">
        <v>23</v>
      </c>
      <c r="D953" s="1" t="s">
        <v>1483</v>
      </c>
      <c r="E953" s="1" t="s">
        <v>1239</v>
      </c>
      <c r="F953" s="1" t="s">
        <v>14</v>
      </c>
      <c r="G953" s="1">
        <v>2210404767</v>
      </c>
      <c r="H953" s="1">
        <v>130576606</v>
      </c>
      <c r="I953" s="1">
        <v>0</v>
      </c>
      <c r="J953" s="1" t="s">
        <v>14</v>
      </c>
      <c r="K953" s="1">
        <v>2340981373</v>
      </c>
    </row>
    <row r="954" spans="1:11" x14ac:dyDescent="0.25">
      <c r="A954" s="1" t="s">
        <v>11</v>
      </c>
      <c r="B954" s="1" t="s">
        <v>1092</v>
      </c>
      <c r="C954" s="1" t="s">
        <v>26</v>
      </c>
      <c r="D954" s="1" t="s">
        <v>1484</v>
      </c>
      <c r="E954" s="1" t="s">
        <v>1485</v>
      </c>
      <c r="F954" s="1" t="s">
        <v>14</v>
      </c>
      <c r="G954" s="1">
        <v>10039598</v>
      </c>
      <c r="H954" s="1">
        <v>0</v>
      </c>
      <c r="I954" s="1">
        <v>0</v>
      </c>
      <c r="J954" s="1" t="s">
        <v>14</v>
      </c>
      <c r="K954" s="1">
        <v>10039598</v>
      </c>
    </row>
    <row r="955" spans="1:11" x14ac:dyDescent="0.25">
      <c r="A955" s="1" t="s">
        <v>11</v>
      </c>
      <c r="B955" s="1" t="s">
        <v>1092</v>
      </c>
      <c r="C955" s="1" t="s">
        <v>26</v>
      </c>
      <c r="D955" s="1" t="s">
        <v>1486</v>
      </c>
      <c r="E955" s="1" t="s">
        <v>1487</v>
      </c>
      <c r="F955" s="1" t="s">
        <v>14</v>
      </c>
      <c r="G955" s="1">
        <v>22342947</v>
      </c>
      <c r="H955" s="1">
        <v>0</v>
      </c>
      <c r="I955" s="1">
        <v>0</v>
      </c>
      <c r="J955" s="1" t="s">
        <v>14</v>
      </c>
      <c r="K955" s="1">
        <v>22342947</v>
      </c>
    </row>
    <row r="956" spans="1:11" x14ac:dyDescent="0.25">
      <c r="A956" s="1" t="s">
        <v>11</v>
      </c>
      <c r="B956" s="1" t="s">
        <v>1092</v>
      </c>
      <c r="C956" s="1" t="s">
        <v>26</v>
      </c>
      <c r="D956" s="1" t="s">
        <v>1488</v>
      </c>
      <c r="E956" s="1" t="s">
        <v>1489</v>
      </c>
      <c r="F956" s="1" t="s">
        <v>14</v>
      </c>
      <c r="G956" s="1">
        <v>658355560</v>
      </c>
      <c r="H956" s="1">
        <v>0</v>
      </c>
      <c r="I956" s="1">
        <v>0</v>
      </c>
      <c r="J956" s="1" t="s">
        <v>14</v>
      </c>
      <c r="K956" s="1">
        <v>658355560</v>
      </c>
    </row>
    <row r="957" spans="1:11" x14ac:dyDescent="0.25">
      <c r="A957" s="1" t="s">
        <v>11</v>
      </c>
      <c r="B957" s="1" t="s">
        <v>1092</v>
      </c>
      <c r="C957" s="1" t="s">
        <v>26</v>
      </c>
      <c r="D957" s="1" t="s">
        <v>1490</v>
      </c>
      <c r="E957" s="1" t="s">
        <v>1241</v>
      </c>
      <c r="F957" s="1" t="s">
        <v>14</v>
      </c>
      <c r="G957" s="1">
        <v>95712873</v>
      </c>
      <c r="H957" s="1">
        <v>7585751</v>
      </c>
      <c r="I957" s="1">
        <v>0</v>
      </c>
      <c r="J957" s="1" t="s">
        <v>14</v>
      </c>
      <c r="K957" s="1">
        <v>103298624</v>
      </c>
    </row>
    <row r="958" spans="1:11" x14ac:dyDescent="0.25">
      <c r="A958" s="1" t="s">
        <v>11</v>
      </c>
      <c r="B958" s="1" t="s">
        <v>1092</v>
      </c>
      <c r="C958" s="1" t="s">
        <v>26</v>
      </c>
      <c r="D958" s="1" t="s">
        <v>1491</v>
      </c>
      <c r="E958" s="1" t="s">
        <v>1492</v>
      </c>
      <c r="F958" s="1" t="s">
        <v>14</v>
      </c>
      <c r="G958" s="1">
        <v>1359485944</v>
      </c>
      <c r="H958" s="1">
        <v>118247112</v>
      </c>
      <c r="I958" s="1">
        <v>0</v>
      </c>
      <c r="J958" s="1" t="s">
        <v>14</v>
      </c>
      <c r="K958" s="1">
        <v>1477733056</v>
      </c>
    </row>
    <row r="959" spans="1:11" x14ac:dyDescent="0.25">
      <c r="A959" s="1" t="s">
        <v>11</v>
      </c>
      <c r="B959" s="1" t="s">
        <v>1092</v>
      </c>
      <c r="C959" s="1" t="s">
        <v>26</v>
      </c>
      <c r="D959" s="1" t="s">
        <v>1493</v>
      </c>
      <c r="E959" s="1" t="s">
        <v>1239</v>
      </c>
      <c r="F959" s="1" t="s">
        <v>14</v>
      </c>
      <c r="G959" s="1">
        <v>8031990</v>
      </c>
      <c r="H959" s="1">
        <v>1260000</v>
      </c>
      <c r="I959" s="1">
        <v>0</v>
      </c>
      <c r="J959" s="1" t="s">
        <v>14</v>
      </c>
      <c r="K959" s="1">
        <v>9291990</v>
      </c>
    </row>
    <row r="960" spans="1:11" x14ac:dyDescent="0.25">
      <c r="A960" s="1" t="s">
        <v>11</v>
      </c>
      <c r="B960" s="1" t="s">
        <v>1092</v>
      </c>
      <c r="C960" s="1" t="s">
        <v>26</v>
      </c>
      <c r="D960" s="1" t="s">
        <v>1494</v>
      </c>
      <c r="E960" s="1" t="s">
        <v>1495</v>
      </c>
      <c r="F960" s="1" t="s">
        <v>14</v>
      </c>
      <c r="G960" s="1">
        <v>12755626</v>
      </c>
      <c r="H960" s="1">
        <v>0</v>
      </c>
      <c r="I960" s="1">
        <v>0</v>
      </c>
      <c r="J960" s="1" t="s">
        <v>14</v>
      </c>
      <c r="K960" s="1">
        <v>12755626</v>
      </c>
    </row>
    <row r="961" spans="1:11" x14ac:dyDescent="0.25">
      <c r="A961" s="1" t="s">
        <v>11</v>
      </c>
      <c r="B961" s="1" t="s">
        <v>1092</v>
      </c>
      <c r="C961" s="1" t="s">
        <v>26</v>
      </c>
      <c r="D961" s="1" t="s">
        <v>1496</v>
      </c>
      <c r="E961" s="1" t="s">
        <v>1497</v>
      </c>
      <c r="F961" s="1" t="s">
        <v>14</v>
      </c>
      <c r="G961" s="1">
        <v>14412927</v>
      </c>
      <c r="H961" s="1">
        <v>1441293</v>
      </c>
      <c r="I961" s="1">
        <v>0</v>
      </c>
      <c r="J961" s="1" t="s">
        <v>14</v>
      </c>
      <c r="K961" s="1">
        <v>15854220</v>
      </c>
    </row>
    <row r="962" spans="1:11" x14ac:dyDescent="0.25">
      <c r="A962" s="1" t="s">
        <v>11</v>
      </c>
      <c r="B962" s="1" t="s">
        <v>1092</v>
      </c>
      <c r="C962" s="1" t="s">
        <v>26</v>
      </c>
      <c r="D962" s="1" t="s">
        <v>1498</v>
      </c>
      <c r="E962" s="1" t="s">
        <v>1499</v>
      </c>
      <c r="F962" s="1" t="s">
        <v>14</v>
      </c>
      <c r="G962" s="1">
        <v>23597935</v>
      </c>
      <c r="H962" s="1">
        <v>2042450</v>
      </c>
      <c r="I962" s="1">
        <v>0</v>
      </c>
      <c r="J962" s="1" t="s">
        <v>14</v>
      </c>
      <c r="K962" s="1">
        <v>25640385</v>
      </c>
    </row>
    <row r="963" spans="1:11" x14ac:dyDescent="0.25">
      <c r="A963" s="1" t="s">
        <v>11</v>
      </c>
      <c r="B963" s="1" t="s">
        <v>1092</v>
      </c>
      <c r="C963" s="1" t="s">
        <v>26</v>
      </c>
      <c r="D963" s="1" t="s">
        <v>1500</v>
      </c>
      <c r="E963" s="1" t="s">
        <v>1501</v>
      </c>
      <c r="F963" s="1" t="s">
        <v>14</v>
      </c>
      <c r="G963" s="1">
        <v>1905738</v>
      </c>
      <c r="H963" s="1">
        <v>0</v>
      </c>
      <c r="I963" s="1">
        <v>0</v>
      </c>
      <c r="J963" s="1" t="s">
        <v>14</v>
      </c>
      <c r="K963" s="1">
        <v>1905738</v>
      </c>
    </row>
    <row r="964" spans="1:11" x14ac:dyDescent="0.25">
      <c r="A964" s="1" t="s">
        <v>11</v>
      </c>
      <c r="B964" s="1" t="s">
        <v>1092</v>
      </c>
      <c r="C964" s="1" t="s">
        <v>26</v>
      </c>
      <c r="D964" s="1" t="s">
        <v>1502</v>
      </c>
      <c r="E964" s="1" t="s">
        <v>1244</v>
      </c>
      <c r="F964" s="1" t="s">
        <v>14</v>
      </c>
      <c r="G964" s="1">
        <v>70067</v>
      </c>
      <c r="H964" s="1">
        <v>0</v>
      </c>
      <c r="I964" s="1">
        <v>0</v>
      </c>
      <c r="J964" s="1" t="s">
        <v>14</v>
      </c>
      <c r="K964" s="1">
        <v>70067</v>
      </c>
    </row>
    <row r="965" spans="1:11" x14ac:dyDescent="0.25">
      <c r="A965" s="1" t="s">
        <v>11</v>
      </c>
      <c r="B965" s="1" t="s">
        <v>1092</v>
      </c>
      <c r="C965" s="1" t="s">
        <v>26</v>
      </c>
      <c r="D965" s="1" t="s">
        <v>1503</v>
      </c>
      <c r="E965" s="1" t="s">
        <v>1504</v>
      </c>
      <c r="F965" s="1" t="s">
        <v>14</v>
      </c>
      <c r="G965" s="1">
        <v>3693562</v>
      </c>
      <c r="H965" s="1">
        <v>0</v>
      </c>
      <c r="I965" s="1">
        <v>0</v>
      </c>
      <c r="J965" s="1" t="s">
        <v>14</v>
      </c>
      <c r="K965" s="1">
        <v>3693562</v>
      </c>
    </row>
    <row r="966" spans="1:11" x14ac:dyDescent="0.25">
      <c r="A966" s="1" t="s">
        <v>11</v>
      </c>
      <c r="B966" s="1" t="s">
        <v>1092</v>
      </c>
      <c r="C966" s="1" t="s">
        <v>23</v>
      </c>
      <c r="D966" s="1" t="s">
        <v>1505</v>
      </c>
      <c r="E966" s="1" t="s">
        <v>1246</v>
      </c>
      <c r="F966" s="1" t="s">
        <v>14</v>
      </c>
      <c r="G966" s="1">
        <v>327250</v>
      </c>
      <c r="H966" s="1">
        <v>0</v>
      </c>
      <c r="I966" s="1">
        <v>0</v>
      </c>
      <c r="J966" s="1" t="s">
        <v>14</v>
      </c>
      <c r="K966" s="1">
        <v>327250</v>
      </c>
    </row>
    <row r="967" spans="1:11" x14ac:dyDescent="0.25">
      <c r="A967" s="1" t="s">
        <v>11</v>
      </c>
      <c r="B967" s="1" t="s">
        <v>1092</v>
      </c>
      <c r="C967" s="1" t="s">
        <v>26</v>
      </c>
      <c r="D967" s="1" t="s">
        <v>1506</v>
      </c>
      <c r="E967" s="1" t="s">
        <v>1246</v>
      </c>
      <c r="F967" s="1" t="s">
        <v>14</v>
      </c>
      <c r="G967" s="1">
        <v>40000</v>
      </c>
      <c r="H967" s="1">
        <v>0</v>
      </c>
      <c r="I967" s="1">
        <v>0</v>
      </c>
      <c r="J967" s="1" t="s">
        <v>14</v>
      </c>
      <c r="K967" s="1">
        <v>40000</v>
      </c>
    </row>
    <row r="968" spans="1:11" x14ac:dyDescent="0.25">
      <c r="A968" s="1" t="s">
        <v>11</v>
      </c>
      <c r="B968" s="1" t="s">
        <v>1092</v>
      </c>
      <c r="C968" s="1" t="s">
        <v>26</v>
      </c>
      <c r="D968" s="1" t="s">
        <v>1507</v>
      </c>
      <c r="E968" s="1" t="s">
        <v>1249</v>
      </c>
      <c r="F968" s="1" t="s">
        <v>14</v>
      </c>
      <c r="G968" s="1">
        <v>235000</v>
      </c>
      <c r="H968" s="1">
        <v>0</v>
      </c>
      <c r="I968" s="1">
        <v>0</v>
      </c>
      <c r="J968" s="1" t="s">
        <v>14</v>
      </c>
      <c r="K968" s="1">
        <v>235000</v>
      </c>
    </row>
    <row r="969" spans="1:11" x14ac:dyDescent="0.25">
      <c r="A969" s="1" t="s">
        <v>11</v>
      </c>
      <c r="B969" s="1" t="s">
        <v>1092</v>
      </c>
      <c r="C969" s="1" t="s">
        <v>26</v>
      </c>
      <c r="D969" s="1" t="s">
        <v>1508</v>
      </c>
      <c r="E969" s="1" t="s">
        <v>1253</v>
      </c>
      <c r="F969" s="1" t="s">
        <v>14</v>
      </c>
      <c r="G969" s="1">
        <v>44650</v>
      </c>
      <c r="H969" s="1">
        <v>0</v>
      </c>
      <c r="I969" s="1">
        <v>0</v>
      </c>
      <c r="J969" s="1" t="s">
        <v>14</v>
      </c>
      <c r="K969" s="1">
        <v>44650</v>
      </c>
    </row>
    <row r="970" spans="1:11" x14ac:dyDescent="0.25">
      <c r="A970" s="1" t="s">
        <v>11</v>
      </c>
      <c r="B970" s="1" t="s">
        <v>1092</v>
      </c>
      <c r="C970" s="1" t="s">
        <v>26</v>
      </c>
      <c r="D970" s="1" t="s">
        <v>1509</v>
      </c>
      <c r="E970" s="1" t="s">
        <v>1255</v>
      </c>
      <c r="F970" s="1" t="s">
        <v>14</v>
      </c>
      <c r="G970" s="1">
        <v>7600</v>
      </c>
      <c r="H970" s="1">
        <v>0</v>
      </c>
      <c r="I970" s="1">
        <v>0</v>
      </c>
      <c r="J970" s="1" t="s">
        <v>14</v>
      </c>
      <c r="K970" s="1">
        <v>7600</v>
      </c>
    </row>
    <row r="971" spans="1:11" x14ac:dyDescent="0.25">
      <c r="A971" s="1" t="s">
        <v>11</v>
      </c>
      <c r="B971" s="1" t="s">
        <v>1092</v>
      </c>
      <c r="C971" s="1" t="s">
        <v>23</v>
      </c>
      <c r="D971" s="1" t="s">
        <v>1510</v>
      </c>
      <c r="E971" s="1" t="s">
        <v>1257</v>
      </c>
      <c r="F971" s="1" t="s">
        <v>14</v>
      </c>
      <c r="G971" s="1">
        <v>161146237</v>
      </c>
      <c r="H971" s="1">
        <v>8331696</v>
      </c>
      <c r="I971" s="1">
        <v>0</v>
      </c>
      <c r="J971" s="1" t="s">
        <v>14</v>
      </c>
      <c r="K971" s="1">
        <v>169477933</v>
      </c>
    </row>
    <row r="972" spans="1:11" x14ac:dyDescent="0.25">
      <c r="A972" s="1" t="s">
        <v>11</v>
      </c>
      <c r="B972" s="1" t="s">
        <v>1092</v>
      </c>
      <c r="C972" s="1" t="s">
        <v>26</v>
      </c>
      <c r="D972" s="1" t="s">
        <v>1511</v>
      </c>
      <c r="E972" s="1" t="s">
        <v>1512</v>
      </c>
      <c r="F972" s="1" t="s">
        <v>14</v>
      </c>
      <c r="G972" s="1">
        <v>4100000</v>
      </c>
      <c r="H972" s="1">
        <v>0</v>
      </c>
      <c r="I972" s="1">
        <v>0</v>
      </c>
      <c r="J972" s="1" t="s">
        <v>14</v>
      </c>
      <c r="K972" s="1">
        <v>4100000</v>
      </c>
    </row>
    <row r="973" spans="1:11" x14ac:dyDescent="0.25">
      <c r="A973" s="1" t="s">
        <v>11</v>
      </c>
      <c r="B973" s="1" t="s">
        <v>1092</v>
      </c>
      <c r="C973" s="1" t="s">
        <v>26</v>
      </c>
      <c r="D973" s="1" t="s">
        <v>1513</v>
      </c>
      <c r="E973" s="1" t="s">
        <v>1514</v>
      </c>
      <c r="F973" s="1" t="s">
        <v>14</v>
      </c>
      <c r="G973" s="1">
        <v>54561449</v>
      </c>
      <c r="H973" s="1">
        <v>6200148</v>
      </c>
      <c r="I973" s="1">
        <v>0</v>
      </c>
      <c r="J973" s="1" t="s">
        <v>14</v>
      </c>
      <c r="K973" s="1">
        <v>60761597</v>
      </c>
    </row>
    <row r="974" spans="1:11" x14ac:dyDescent="0.25">
      <c r="A974" s="1" t="s">
        <v>11</v>
      </c>
      <c r="B974" s="1" t="s">
        <v>1092</v>
      </c>
      <c r="C974" s="1" t="s">
        <v>26</v>
      </c>
      <c r="D974" s="1" t="s">
        <v>1515</v>
      </c>
      <c r="E974" s="1" t="s">
        <v>1516</v>
      </c>
      <c r="F974" s="1" t="s">
        <v>14</v>
      </c>
      <c r="G974" s="1">
        <v>44687814</v>
      </c>
      <c r="H974" s="1">
        <v>370680</v>
      </c>
      <c r="I974" s="1">
        <v>0</v>
      </c>
      <c r="J974" s="1" t="s">
        <v>14</v>
      </c>
      <c r="K974" s="1">
        <v>45058494</v>
      </c>
    </row>
    <row r="975" spans="1:11" x14ac:dyDescent="0.25">
      <c r="A975" s="1" t="s">
        <v>11</v>
      </c>
      <c r="B975" s="1" t="s">
        <v>1092</v>
      </c>
      <c r="C975" s="1" t="s">
        <v>26</v>
      </c>
      <c r="D975" s="1" t="s">
        <v>1517</v>
      </c>
      <c r="E975" s="1" t="s">
        <v>1518</v>
      </c>
      <c r="F975" s="1" t="s">
        <v>14</v>
      </c>
      <c r="G975" s="1">
        <v>6632159</v>
      </c>
      <c r="H975" s="1">
        <v>0</v>
      </c>
      <c r="I975" s="1">
        <v>0</v>
      </c>
      <c r="J975" s="1" t="s">
        <v>14</v>
      </c>
      <c r="K975" s="1">
        <v>6632159</v>
      </c>
    </row>
    <row r="976" spans="1:11" x14ac:dyDescent="0.25">
      <c r="A976" s="1" t="s">
        <v>11</v>
      </c>
      <c r="B976" s="1" t="s">
        <v>1092</v>
      </c>
      <c r="C976" s="1" t="s">
        <v>26</v>
      </c>
      <c r="D976" s="1" t="s">
        <v>1519</v>
      </c>
      <c r="E976" s="1" t="s">
        <v>1520</v>
      </c>
      <c r="F976" s="1" t="s">
        <v>14</v>
      </c>
      <c r="G976" s="1">
        <v>12947035</v>
      </c>
      <c r="H976" s="1">
        <v>1035998</v>
      </c>
      <c r="I976" s="1">
        <v>0</v>
      </c>
      <c r="J976" s="1" t="s">
        <v>14</v>
      </c>
      <c r="K976" s="1">
        <v>13983033</v>
      </c>
    </row>
    <row r="977" spans="1:11" x14ac:dyDescent="0.25">
      <c r="A977" s="1" t="s">
        <v>11</v>
      </c>
      <c r="B977" s="1" t="s">
        <v>1092</v>
      </c>
      <c r="C977" s="1" t="s">
        <v>26</v>
      </c>
      <c r="D977" s="1" t="s">
        <v>1521</v>
      </c>
      <c r="E977" s="1" t="s">
        <v>1522</v>
      </c>
      <c r="F977" s="1" t="s">
        <v>14</v>
      </c>
      <c r="G977" s="1">
        <v>15246523</v>
      </c>
      <c r="H977" s="1">
        <v>0</v>
      </c>
      <c r="I977" s="1">
        <v>0</v>
      </c>
      <c r="J977" s="1" t="s">
        <v>14</v>
      </c>
      <c r="K977" s="1">
        <v>15246523</v>
      </c>
    </row>
    <row r="978" spans="1:11" x14ac:dyDescent="0.25">
      <c r="A978" s="1" t="s">
        <v>11</v>
      </c>
      <c r="B978" s="1" t="s">
        <v>1092</v>
      </c>
      <c r="C978" s="1" t="s">
        <v>26</v>
      </c>
      <c r="D978" s="1" t="s">
        <v>1523</v>
      </c>
      <c r="E978" s="1" t="s">
        <v>1524</v>
      </c>
      <c r="F978" s="1" t="s">
        <v>14</v>
      </c>
      <c r="G978" s="1">
        <v>779000</v>
      </c>
      <c r="H978" s="1">
        <v>0</v>
      </c>
      <c r="I978" s="1">
        <v>0</v>
      </c>
      <c r="J978" s="1" t="s">
        <v>14</v>
      </c>
      <c r="K978" s="1">
        <v>779000</v>
      </c>
    </row>
    <row r="979" spans="1:11" x14ac:dyDescent="0.25">
      <c r="A979" s="1" t="s">
        <v>11</v>
      </c>
      <c r="B979" s="1" t="s">
        <v>1092</v>
      </c>
      <c r="C979" s="1" t="s">
        <v>26</v>
      </c>
      <c r="D979" s="1" t="s">
        <v>1525</v>
      </c>
      <c r="E979" s="1" t="s">
        <v>1526</v>
      </c>
      <c r="F979" s="1" t="s">
        <v>14</v>
      </c>
      <c r="G979" s="1">
        <v>8909188</v>
      </c>
      <c r="H979" s="1">
        <v>457601</v>
      </c>
      <c r="I979" s="1">
        <v>0</v>
      </c>
      <c r="J979" s="1" t="s">
        <v>14</v>
      </c>
      <c r="K979" s="1">
        <v>9366789</v>
      </c>
    </row>
    <row r="980" spans="1:11" x14ac:dyDescent="0.25">
      <c r="A980" s="1" t="s">
        <v>11</v>
      </c>
      <c r="B980" s="1" t="s">
        <v>1092</v>
      </c>
      <c r="C980" s="1" t="s">
        <v>26</v>
      </c>
      <c r="D980" s="1" t="s">
        <v>1527</v>
      </c>
      <c r="E980" s="1" t="s">
        <v>1528</v>
      </c>
      <c r="F980" s="1" t="s">
        <v>14</v>
      </c>
      <c r="G980" s="1">
        <v>8490685</v>
      </c>
      <c r="H980" s="1">
        <v>70429</v>
      </c>
      <c r="I980" s="1">
        <v>0</v>
      </c>
      <c r="J980" s="1" t="s">
        <v>14</v>
      </c>
      <c r="K980" s="1">
        <v>8561114</v>
      </c>
    </row>
    <row r="981" spans="1:11" x14ac:dyDescent="0.25">
      <c r="A981" s="1" t="s">
        <v>11</v>
      </c>
      <c r="B981" s="1" t="s">
        <v>1092</v>
      </c>
      <c r="C981" s="1" t="s">
        <v>26</v>
      </c>
      <c r="D981" s="1" t="s">
        <v>1529</v>
      </c>
      <c r="E981" s="1" t="s">
        <v>1530</v>
      </c>
      <c r="F981" s="1" t="s">
        <v>14</v>
      </c>
      <c r="G981" s="1">
        <v>21970</v>
      </c>
      <c r="H981" s="1">
        <v>0</v>
      </c>
      <c r="I981" s="1">
        <v>0</v>
      </c>
      <c r="J981" s="1" t="s">
        <v>14</v>
      </c>
      <c r="K981" s="1">
        <v>21970</v>
      </c>
    </row>
    <row r="982" spans="1:11" x14ac:dyDescent="0.25">
      <c r="A982" s="1" t="s">
        <v>11</v>
      </c>
      <c r="B982" s="1" t="s">
        <v>1092</v>
      </c>
      <c r="C982" s="1" t="s">
        <v>26</v>
      </c>
      <c r="D982" s="1" t="s">
        <v>1531</v>
      </c>
      <c r="E982" s="1" t="s">
        <v>1532</v>
      </c>
      <c r="F982" s="1" t="s">
        <v>14</v>
      </c>
      <c r="G982" s="1">
        <v>2257912</v>
      </c>
      <c r="H982" s="1">
        <v>196840</v>
      </c>
      <c r="I982" s="1">
        <v>0</v>
      </c>
      <c r="J982" s="1" t="s">
        <v>14</v>
      </c>
      <c r="K982" s="1">
        <v>2454752</v>
      </c>
    </row>
    <row r="983" spans="1:11" x14ac:dyDescent="0.25">
      <c r="A983" s="1" t="s">
        <v>11</v>
      </c>
      <c r="B983" s="1" t="s">
        <v>1092</v>
      </c>
      <c r="C983" s="1" t="s">
        <v>26</v>
      </c>
      <c r="D983" s="1" t="s">
        <v>1533</v>
      </c>
      <c r="E983" s="1" t="s">
        <v>1534</v>
      </c>
      <c r="F983" s="1" t="s">
        <v>14</v>
      </c>
      <c r="G983" s="1">
        <v>2512502</v>
      </c>
      <c r="H983" s="1">
        <v>0</v>
      </c>
      <c r="I983" s="1">
        <v>0</v>
      </c>
      <c r="J983" s="1" t="s">
        <v>14</v>
      </c>
      <c r="K983" s="1">
        <v>2512502</v>
      </c>
    </row>
    <row r="984" spans="1:11" x14ac:dyDescent="0.25">
      <c r="A984" s="1" t="s">
        <v>11</v>
      </c>
      <c r="B984" s="1" t="s">
        <v>1092</v>
      </c>
      <c r="C984" s="1" t="s">
        <v>23</v>
      </c>
      <c r="D984" s="1" t="s">
        <v>1535</v>
      </c>
      <c r="E984" s="1" t="s">
        <v>1263</v>
      </c>
      <c r="F984" s="1" t="s">
        <v>14</v>
      </c>
      <c r="G984" s="1">
        <v>102603930.86</v>
      </c>
      <c r="H984" s="1">
        <v>0</v>
      </c>
      <c r="I984" s="1">
        <v>0</v>
      </c>
      <c r="J984" s="1" t="s">
        <v>14</v>
      </c>
      <c r="K984" s="1">
        <v>102603930.86</v>
      </c>
    </row>
    <row r="985" spans="1:11" x14ac:dyDescent="0.25">
      <c r="A985" s="1" t="s">
        <v>11</v>
      </c>
      <c r="B985" s="1" t="s">
        <v>1092</v>
      </c>
      <c r="C985" s="1" t="s">
        <v>26</v>
      </c>
      <c r="D985" s="1" t="s">
        <v>1536</v>
      </c>
      <c r="E985" s="1" t="s">
        <v>1265</v>
      </c>
      <c r="F985" s="1" t="s">
        <v>14</v>
      </c>
      <c r="G985" s="1">
        <v>26072064.710000001</v>
      </c>
      <c r="H985" s="1">
        <v>0</v>
      </c>
      <c r="I985" s="1">
        <v>0</v>
      </c>
      <c r="J985" s="1" t="s">
        <v>14</v>
      </c>
      <c r="K985" s="1">
        <v>26072064.710000001</v>
      </c>
    </row>
    <row r="986" spans="1:11" x14ac:dyDescent="0.25">
      <c r="A986" s="1" t="s">
        <v>11</v>
      </c>
      <c r="B986" s="1" t="s">
        <v>1092</v>
      </c>
      <c r="C986" s="1" t="s">
        <v>26</v>
      </c>
      <c r="D986" s="1" t="s">
        <v>1537</v>
      </c>
      <c r="E986" s="1" t="s">
        <v>1538</v>
      </c>
      <c r="F986" s="1" t="s">
        <v>14</v>
      </c>
      <c r="G986" s="1">
        <v>730221.48</v>
      </c>
      <c r="H986" s="1">
        <v>0</v>
      </c>
      <c r="I986" s="1">
        <v>0</v>
      </c>
      <c r="J986" s="1" t="s">
        <v>14</v>
      </c>
      <c r="K986" s="1">
        <v>730221.48</v>
      </c>
    </row>
    <row r="987" spans="1:11" x14ac:dyDescent="0.25">
      <c r="A987" s="1" t="s">
        <v>11</v>
      </c>
      <c r="B987" s="1" t="s">
        <v>1092</v>
      </c>
      <c r="C987" s="1" t="s">
        <v>26</v>
      </c>
      <c r="D987" s="1" t="s">
        <v>1539</v>
      </c>
      <c r="E987" s="1" t="s">
        <v>1267</v>
      </c>
      <c r="F987" s="1" t="s">
        <v>14</v>
      </c>
      <c r="G987" s="1">
        <v>54773493.729999997</v>
      </c>
      <c r="H987" s="1">
        <v>0</v>
      </c>
      <c r="I987" s="1">
        <v>0</v>
      </c>
      <c r="J987" s="1" t="s">
        <v>14</v>
      </c>
      <c r="K987" s="1">
        <v>54773493.729999997</v>
      </c>
    </row>
    <row r="988" spans="1:11" x14ac:dyDescent="0.25">
      <c r="A988" s="1" t="s">
        <v>11</v>
      </c>
      <c r="B988" s="1" t="s">
        <v>1092</v>
      </c>
      <c r="C988" s="1" t="s">
        <v>26</v>
      </c>
      <c r="D988" s="1" t="s">
        <v>1540</v>
      </c>
      <c r="E988" s="1" t="s">
        <v>1269</v>
      </c>
      <c r="F988" s="1" t="s">
        <v>14</v>
      </c>
      <c r="G988" s="1">
        <v>1316011.07</v>
      </c>
      <c r="H988" s="1">
        <v>0</v>
      </c>
      <c r="I988" s="1">
        <v>0</v>
      </c>
      <c r="J988" s="1" t="s">
        <v>14</v>
      </c>
      <c r="K988" s="1">
        <v>1316011.07</v>
      </c>
    </row>
    <row r="989" spans="1:11" x14ac:dyDescent="0.25">
      <c r="A989" s="1" t="s">
        <v>11</v>
      </c>
      <c r="B989" s="1" t="s">
        <v>1092</v>
      </c>
      <c r="C989" s="1" t="s">
        <v>26</v>
      </c>
      <c r="D989" s="1" t="s">
        <v>1541</v>
      </c>
      <c r="E989" s="1" t="s">
        <v>1542</v>
      </c>
      <c r="F989" s="1" t="s">
        <v>14</v>
      </c>
      <c r="G989" s="1">
        <v>19712139.870000001</v>
      </c>
      <c r="H989" s="1">
        <v>0</v>
      </c>
      <c r="I989" s="1">
        <v>0</v>
      </c>
      <c r="J989" s="1" t="s">
        <v>14</v>
      </c>
      <c r="K989" s="1">
        <v>19712139.870000001</v>
      </c>
    </row>
    <row r="990" spans="1:11" x14ac:dyDescent="0.25">
      <c r="A990" s="1" t="s">
        <v>11</v>
      </c>
      <c r="B990" s="1" t="s">
        <v>1092</v>
      </c>
      <c r="C990" s="1" t="s">
        <v>23</v>
      </c>
      <c r="D990" s="1" t="s">
        <v>1543</v>
      </c>
      <c r="E990" s="1" t="s">
        <v>1273</v>
      </c>
      <c r="F990" s="1" t="s">
        <v>14</v>
      </c>
      <c r="G990" s="1">
        <v>69707092</v>
      </c>
      <c r="H990" s="1">
        <v>9062610</v>
      </c>
      <c r="I990" s="1">
        <v>0</v>
      </c>
      <c r="J990" s="1" t="s">
        <v>14</v>
      </c>
      <c r="K990" s="1">
        <v>78769702</v>
      </c>
    </row>
    <row r="991" spans="1:11" x14ac:dyDescent="0.25">
      <c r="A991" s="1" t="s">
        <v>11</v>
      </c>
      <c r="B991" s="1" t="s">
        <v>1092</v>
      </c>
      <c r="C991" s="1" t="s">
        <v>26</v>
      </c>
      <c r="D991" s="1" t="s">
        <v>1544</v>
      </c>
      <c r="E991" s="1" t="s">
        <v>1273</v>
      </c>
      <c r="F991" s="1" t="s">
        <v>14</v>
      </c>
      <c r="G991" s="1">
        <v>69707092</v>
      </c>
      <c r="H991" s="1">
        <v>9062610</v>
      </c>
      <c r="I991" s="1">
        <v>0</v>
      </c>
      <c r="J991" s="1" t="s">
        <v>14</v>
      </c>
      <c r="K991" s="1">
        <v>78769702</v>
      </c>
    </row>
    <row r="992" spans="1:11" x14ac:dyDescent="0.25">
      <c r="A992" s="1" t="s">
        <v>11</v>
      </c>
      <c r="B992" s="1" t="s">
        <v>1092</v>
      </c>
      <c r="C992" s="1" t="s">
        <v>23</v>
      </c>
      <c r="D992" s="1" t="s">
        <v>1545</v>
      </c>
      <c r="E992" s="1" t="s">
        <v>1063</v>
      </c>
      <c r="F992" s="1" t="s">
        <v>14</v>
      </c>
      <c r="G992" s="1">
        <v>1725430</v>
      </c>
      <c r="H992" s="1">
        <v>300000</v>
      </c>
      <c r="I992" s="1">
        <v>0</v>
      </c>
      <c r="J992" s="1" t="s">
        <v>14</v>
      </c>
      <c r="K992" s="1">
        <v>2025430</v>
      </c>
    </row>
    <row r="993" spans="1:11" x14ac:dyDescent="0.25">
      <c r="A993" s="1" t="s">
        <v>11</v>
      </c>
      <c r="B993" s="1" t="s">
        <v>1092</v>
      </c>
      <c r="C993" s="1" t="s">
        <v>26</v>
      </c>
      <c r="D993" s="1" t="s">
        <v>1546</v>
      </c>
      <c r="E993" s="1" t="s">
        <v>1277</v>
      </c>
      <c r="F993" s="1" t="s">
        <v>14</v>
      </c>
      <c r="G993" s="1">
        <v>1299388</v>
      </c>
      <c r="H993" s="1">
        <v>300000</v>
      </c>
      <c r="I993" s="1">
        <v>0</v>
      </c>
      <c r="J993" s="1" t="s">
        <v>14</v>
      </c>
      <c r="K993" s="1">
        <v>1599388</v>
      </c>
    </row>
    <row r="994" spans="1:11" x14ac:dyDescent="0.25">
      <c r="A994" s="1" t="s">
        <v>11</v>
      </c>
      <c r="B994" s="1" t="s">
        <v>1092</v>
      </c>
      <c r="C994" s="1" t="s">
        <v>26</v>
      </c>
      <c r="D994" s="1" t="s">
        <v>1547</v>
      </c>
      <c r="E994" s="1" t="s">
        <v>1279</v>
      </c>
      <c r="F994" s="1" t="s">
        <v>14</v>
      </c>
      <c r="G994" s="1">
        <v>185875</v>
      </c>
      <c r="H994" s="1">
        <v>0</v>
      </c>
      <c r="I994" s="1">
        <v>0</v>
      </c>
      <c r="J994" s="1" t="s">
        <v>14</v>
      </c>
      <c r="K994" s="1">
        <v>185875</v>
      </c>
    </row>
    <row r="995" spans="1:11" x14ac:dyDescent="0.25">
      <c r="A995" s="1" t="s">
        <v>11</v>
      </c>
      <c r="B995" s="1" t="s">
        <v>1092</v>
      </c>
      <c r="C995" s="1" t="s">
        <v>26</v>
      </c>
      <c r="D995" s="1" t="s">
        <v>1548</v>
      </c>
      <c r="E995" s="1" t="s">
        <v>1283</v>
      </c>
      <c r="F995" s="1" t="s">
        <v>14</v>
      </c>
      <c r="G995" s="1">
        <v>190772</v>
      </c>
      <c r="H995" s="1">
        <v>0</v>
      </c>
      <c r="I995" s="1">
        <v>0</v>
      </c>
      <c r="J995" s="1" t="s">
        <v>14</v>
      </c>
      <c r="K995" s="1">
        <v>190772</v>
      </c>
    </row>
    <row r="996" spans="1:11" x14ac:dyDescent="0.25">
      <c r="A996" s="1" t="s">
        <v>11</v>
      </c>
      <c r="B996" s="1" t="s">
        <v>1092</v>
      </c>
      <c r="C996" s="1" t="s">
        <v>26</v>
      </c>
      <c r="D996" s="1" t="s">
        <v>1549</v>
      </c>
      <c r="E996" s="1" t="s">
        <v>1285</v>
      </c>
      <c r="F996" s="1" t="s">
        <v>14</v>
      </c>
      <c r="G996" s="1">
        <v>49395</v>
      </c>
      <c r="H996" s="1">
        <v>0</v>
      </c>
      <c r="I996" s="1">
        <v>0</v>
      </c>
      <c r="J996" s="1" t="s">
        <v>14</v>
      </c>
      <c r="K996" s="1">
        <v>49395</v>
      </c>
    </row>
    <row r="997" spans="1:11" x14ac:dyDescent="0.25">
      <c r="A997" s="1" t="s">
        <v>11</v>
      </c>
      <c r="B997" s="1" t="s">
        <v>1092</v>
      </c>
      <c r="C997" s="1" t="s">
        <v>23</v>
      </c>
      <c r="D997" s="1" t="s">
        <v>1550</v>
      </c>
      <c r="E997" s="1" t="s">
        <v>1289</v>
      </c>
      <c r="F997" s="1" t="s">
        <v>14</v>
      </c>
      <c r="G997" s="1">
        <v>2912023</v>
      </c>
      <c r="H997" s="1">
        <v>85896</v>
      </c>
      <c r="I997" s="1">
        <v>0</v>
      </c>
      <c r="J997" s="1" t="s">
        <v>14</v>
      </c>
      <c r="K997" s="1">
        <v>2997919</v>
      </c>
    </row>
    <row r="998" spans="1:11" x14ac:dyDescent="0.25">
      <c r="A998" s="1" t="s">
        <v>11</v>
      </c>
      <c r="B998" s="1" t="s">
        <v>1092</v>
      </c>
      <c r="C998" s="1" t="s">
        <v>26</v>
      </c>
      <c r="D998" s="1" t="s">
        <v>1551</v>
      </c>
      <c r="E998" s="1" t="s">
        <v>1291</v>
      </c>
      <c r="F998" s="1" t="s">
        <v>14</v>
      </c>
      <c r="G998" s="1">
        <v>2815500</v>
      </c>
      <c r="H998" s="1">
        <v>81900</v>
      </c>
      <c r="I998" s="1">
        <v>0</v>
      </c>
      <c r="J998" s="1" t="s">
        <v>14</v>
      </c>
      <c r="K998" s="1">
        <v>2897400</v>
      </c>
    </row>
    <row r="999" spans="1:11" x14ac:dyDescent="0.25">
      <c r="A999" s="1" t="s">
        <v>11</v>
      </c>
      <c r="B999" s="1" t="s">
        <v>1092</v>
      </c>
      <c r="C999" s="1" t="s">
        <v>26</v>
      </c>
      <c r="D999" s="1" t="s">
        <v>1552</v>
      </c>
      <c r="E999" s="1" t="s">
        <v>1293</v>
      </c>
      <c r="F999" s="1" t="s">
        <v>14</v>
      </c>
      <c r="G999" s="1">
        <v>85828</v>
      </c>
      <c r="H999" s="1">
        <v>3358</v>
      </c>
      <c r="I999" s="1">
        <v>0</v>
      </c>
      <c r="J999" s="1" t="s">
        <v>14</v>
      </c>
      <c r="K999" s="1">
        <v>89186</v>
      </c>
    </row>
    <row r="1000" spans="1:11" x14ac:dyDescent="0.25">
      <c r="A1000" s="1" t="s">
        <v>11</v>
      </c>
      <c r="B1000" s="1" t="s">
        <v>1092</v>
      </c>
      <c r="C1000" s="1" t="s">
        <v>26</v>
      </c>
      <c r="D1000" s="1" t="s">
        <v>1553</v>
      </c>
      <c r="E1000" s="1" t="s">
        <v>1297</v>
      </c>
      <c r="F1000" s="1" t="s">
        <v>14</v>
      </c>
      <c r="G1000" s="1">
        <v>10695</v>
      </c>
      <c r="H1000" s="1">
        <v>638</v>
      </c>
      <c r="I1000" s="1">
        <v>0</v>
      </c>
      <c r="J1000" s="1" t="s">
        <v>14</v>
      </c>
      <c r="K1000" s="1">
        <v>11333</v>
      </c>
    </row>
    <row r="1001" spans="1:11" x14ac:dyDescent="0.25">
      <c r="A1001" s="1" t="s">
        <v>11</v>
      </c>
      <c r="B1001" s="1" t="s">
        <v>1092</v>
      </c>
      <c r="C1001" s="1" t="s">
        <v>18</v>
      </c>
      <c r="D1001" s="1" t="s">
        <v>1554</v>
      </c>
      <c r="E1001" s="1" t="s">
        <v>1555</v>
      </c>
      <c r="F1001" s="1" t="s">
        <v>14</v>
      </c>
      <c r="G1001" s="1">
        <v>365569909.91000003</v>
      </c>
      <c r="H1001" s="1">
        <v>544838.5</v>
      </c>
      <c r="I1001" s="1">
        <v>0</v>
      </c>
      <c r="J1001" s="1" t="s">
        <v>14</v>
      </c>
      <c r="K1001" s="1">
        <v>366114748.41000003</v>
      </c>
    </row>
    <row r="1002" spans="1:11" x14ac:dyDescent="0.25">
      <c r="A1002" s="1" t="s">
        <v>11</v>
      </c>
      <c r="B1002" s="1" t="s">
        <v>1092</v>
      </c>
      <c r="C1002" s="1" t="s">
        <v>21</v>
      </c>
      <c r="D1002" s="1" t="s">
        <v>1556</v>
      </c>
      <c r="E1002" s="1" t="s">
        <v>1098</v>
      </c>
      <c r="F1002" s="1" t="s">
        <v>14</v>
      </c>
      <c r="G1002" s="1">
        <v>283987.58</v>
      </c>
      <c r="H1002" s="1">
        <v>65900</v>
      </c>
      <c r="I1002" s="1">
        <v>0</v>
      </c>
      <c r="J1002" s="1" t="s">
        <v>14</v>
      </c>
      <c r="K1002" s="1">
        <v>349887.58</v>
      </c>
    </row>
    <row r="1003" spans="1:11" x14ac:dyDescent="0.25">
      <c r="A1003" s="1" t="s">
        <v>11</v>
      </c>
      <c r="B1003" s="1" t="s">
        <v>1092</v>
      </c>
      <c r="C1003" s="1" t="s">
        <v>23</v>
      </c>
      <c r="D1003" s="1" t="s">
        <v>1557</v>
      </c>
      <c r="E1003" s="1" t="s">
        <v>1100</v>
      </c>
      <c r="F1003" s="1" t="s">
        <v>14</v>
      </c>
      <c r="G1003" s="1">
        <v>279387.58</v>
      </c>
      <c r="H1003" s="1">
        <v>0</v>
      </c>
      <c r="I1003" s="1">
        <v>0</v>
      </c>
      <c r="J1003" s="1" t="s">
        <v>14</v>
      </c>
      <c r="K1003" s="1">
        <v>279387.58</v>
      </c>
    </row>
    <row r="1004" spans="1:11" x14ac:dyDescent="0.25">
      <c r="A1004" s="1" t="s">
        <v>11</v>
      </c>
      <c r="B1004" s="1" t="s">
        <v>1092</v>
      </c>
      <c r="C1004" s="1" t="s">
        <v>26</v>
      </c>
      <c r="D1004" s="1" t="s">
        <v>1558</v>
      </c>
      <c r="E1004" s="1" t="s">
        <v>1100</v>
      </c>
      <c r="F1004" s="1" t="s">
        <v>14</v>
      </c>
      <c r="G1004" s="1">
        <v>279387.58</v>
      </c>
      <c r="H1004" s="1">
        <v>0</v>
      </c>
      <c r="I1004" s="1">
        <v>0</v>
      </c>
      <c r="J1004" s="1" t="s">
        <v>14</v>
      </c>
      <c r="K1004" s="1">
        <v>279387.58</v>
      </c>
    </row>
    <row r="1005" spans="1:11" x14ac:dyDescent="0.25">
      <c r="A1005" s="1" t="s">
        <v>11</v>
      </c>
      <c r="B1005" s="1" t="s">
        <v>1092</v>
      </c>
      <c r="C1005" s="1" t="s">
        <v>23</v>
      </c>
      <c r="D1005" s="1" t="s">
        <v>1559</v>
      </c>
      <c r="E1005" s="1" t="s">
        <v>1103</v>
      </c>
      <c r="F1005" s="1" t="s">
        <v>14</v>
      </c>
      <c r="G1005" s="1">
        <v>4600</v>
      </c>
      <c r="H1005" s="1">
        <v>65900</v>
      </c>
      <c r="I1005" s="1">
        <v>0</v>
      </c>
      <c r="J1005" s="1" t="s">
        <v>14</v>
      </c>
      <c r="K1005" s="1">
        <v>70500</v>
      </c>
    </row>
    <row r="1006" spans="1:11" x14ac:dyDescent="0.25">
      <c r="A1006" s="1" t="s">
        <v>11</v>
      </c>
      <c r="B1006" s="1" t="s">
        <v>1092</v>
      </c>
      <c r="C1006" s="1" t="s">
        <v>26</v>
      </c>
      <c r="D1006" s="1" t="s">
        <v>1560</v>
      </c>
      <c r="E1006" s="1" t="s">
        <v>1107</v>
      </c>
      <c r="F1006" s="1" t="s">
        <v>14</v>
      </c>
      <c r="G1006" s="1">
        <v>3866</v>
      </c>
      <c r="H1006" s="1">
        <v>0</v>
      </c>
      <c r="I1006" s="1">
        <v>0</v>
      </c>
      <c r="J1006" s="1" t="s">
        <v>14</v>
      </c>
      <c r="K1006" s="1">
        <v>3866</v>
      </c>
    </row>
    <row r="1007" spans="1:11" x14ac:dyDescent="0.25">
      <c r="A1007" s="1" t="s">
        <v>11</v>
      </c>
      <c r="B1007" s="1" t="s">
        <v>1092</v>
      </c>
      <c r="C1007" s="1" t="s">
        <v>26</v>
      </c>
      <c r="D1007" s="1" t="s">
        <v>1561</v>
      </c>
      <c r="E1007" s="1" t="s">
        <v>1113</v>
      </c>
      <c r="F1007" s="1" t="s">
        <v>14</v>
      </c>
      <c r="G1007" s="1">
        <v>0</v>
      </c>
      <c r="H1007" s="1">
        <v>55378</v>
      </c>
      <c r="I1007" s="1">
        <v>0</v>
      </c>
      <c r="J1007" s="1" t="s">
        <v>14</v>
      </c>
      <c r="K1007" s="1">
        <v>55378</v>
      </c>
    </row>
    <row r="1008" spans="1:11" x14ac:dyDescent="0.25">
      <c r="A1008" s="1" t="s">
        <v>11</v>
      </c>
      <c r="B1008" s="1" t="s">
        <v>1092</v>
      </c>
      <c r="C1008" s="1" t="s">
        <v>26</v>
      </c>
      <c r="D1008" s="1" t="s">
        <v>1562</v>
      </c>
      <c r="E1008" s="1" t="s">
        <v>1117</v>
      </c>
      <c r="F1008" s="1" t="s">
        <v>14</v>
      </c>
      <c r="G1008" s="1">
        <v>734</v>
      </c>
      <c r="H1008" s="1">
        <v>0</v>
      </c>
      <c r="I1008" s="1">
        <v>0</v>
      </c>
      <c r="J1008" s="1" t="s">
        <v>14</v>
      </c>
      <c r="K1008" s="1">
        <v>734</v>
      </c>
    </row>
    <row r="1009" spans="1:11" x14ac:dyDescent="0.25">
      <c r="A1009" s="1" t="s">
        <v>11</v>
      </c>
      <c r="B1009" s="1" t="s">
        <v>1092</v>
      </c>
      <c r="C1009" s="1" t="s">
        <v>26</v>
      </c>
      <c r="D1009" s="1" t="s">
        <v>1563</v>
      </c>
      <c r="E1009" s="1" t="s">
        <v>1123</v>
      </c>
      <c r="F1009" s="1" t="s">
        <v>14</v>
      </c>
      <c r="G1009" s="1">
        <v>0</v>
      </c>
      <c r="H1009" s="1">
        <v>10522</v>
      </c>
      <c r="I1009" s="1">
        <v>0</v>
      </c>
      <c r="J1009" s="1" t="s">
        <v>14</v>
      </c>
      <c r="K1009" s="1">
        <v>10522</v>
      </c>
    </row>
    <row r="1010" spans="1:11" x14ac:dyDescent="0.25">
      <c r="A1010" s="1" t="s">
        <v>11</v>
      </c>
      <c r="B1010" s="1" t="s">
        <v>1092</v>
      </c>
      <c r="C1010" s="1" t="s">
        <v>21</v>
      </c>
      <c r="D1010" s="1" t="s">
        <v>1564</v>
      </c>
      <c r="E1010" s="1" t="s">
        <v>1125</v>
      </c>
      <c r="F1010" s="1" t="s">
        <v>14</v>
      </c>
      <c r="G1010" s="1">
        <v>356521787</v>
      </c>
      <c r="H1010" s="1">
        <v>0</v>
      </c>
      <c r="I1010" s="1">
        <v>0</v>
      </c>
      <c r="J1010" s="1" t="s">
        <v>14</v>
      </c>
      <c r="K1010" s="1">
        <v>356521787</v>
      </c>
    </row>
    <row r="1011" spans="1:11" x14ac:dyDescent="0.25">
      <c r="A1011" s="1" t="s">
        <v>11</v>
      </c>
      <c r="B1011" s="1" t="s">
        <v>1092</v>
      </c>
      <c r="C1011" s="1" t="s">
        <v>23</v>
      </c>
      <c r="D1011" s="1" t="s">
        <v>1565</v>
      </c>
      <c r="E1011" s="1" t="s">
        <v>1127</v>
      </c>
      <c r="F1011" s="1" t="s">
        <v>14</v>
      </c>
      <c r="G1011" s="1">
        <v>356105287</v>
      </c>
      <c r="H1011" s="1">
        <v>0</v>
      </c>
      <c r="I1011" s="1">
        <v>0</v>
      </c>
      <c r="J1011" s="1" t="s">
        <v>14</v>
      </c>
      <c r="K1011" s="1">
        <v>356105287</v>
      </c>
    </row>
    <row r="1012" spans="1:11" x14ac:dyDescent="0.25">
      <c r="A1012" s="1" t="s">
        <v>11</v>
      </c>
      <c r="B1012" s="1" t="s">
        <v>1092</v>
      </c>
      <c r="C1012" s="1" t="s">
        <v>26</v>
      </c>
      <c r="D1012" s="1" t="s">
        <v>1566</v>
      </c>
      <c r="E1012" s="1" t="s">
        <v>1129</v>
      </c>
      <c r="F1012" s="1" t="s">
        <v>14</v>
      </c>
      <c r="G1012" s="1">
        <v>206712000</v>
      </c>
      <c r="H1012" s="1">
        <v>0</v>
      </c>
      <c r="I1012" s="1">
        <v>0</v>
      </c>
      <c r="J1012" s="1" t="s">
        <v>14</v>
      </c>
      <c r="K1012" s="1">
        <v>206712000</v>
      </c>
    </row>
    <row r="1013" spans="1:11" x14ac:dyDescent="0.25">
      <c r="A1013" s="1" t="s">
        <v>11</v>
      </c>
      <c r="B1013" s="1" t="s">
        <v>1092</v>
      </c>
      <c r="C1013" s="1" t="s">
        <v>26</v>
      </c>
      <c r="D1013" s="1" t="s">
        <v>1567</v>
      </c>
      <c r="E1013" s="1" t="s">
        <v>1131</v>
      </c>
      <c r="F1013" s="1" t="s">
        <v>14</v>
      </c>
      <c r="G1013" s="1">
        <v>58548000</v>
      </c>
      <c r="H1013" s="1">
        <v>0</v>
      </c>
      <c r="I1013" s="1">
        <v>0</v>
      </c>
      <c r="J1013" s="1" t="s">
        <v>14</v>
      </c>
      <c r="K1013" s="1">
        <v>58548000</v>
      </c>
    </row>
    <row r="1014" spans="1:11" x14ac:dyDescent="0.25">
      <c r="A1014" s="1" t="s">
        <v>11</v>
      </c>
      <c r="B1014" s="1" t="s">
        <v>1092</v>
      </c>
      <c r="C1014" s="1" t="s">
        <v>26</v>
      </c>
      <c r="D1014" s="1" t="s">
        <v>1568</v>
      </c>
      <c r="E1014" s="1" t="s">
        <v>224</v>
      </c>
      <c r="F1014" s="1" t="s">
        <v>14</v>
      </c>
      <c r="G1014" s="1">
        <v>1609066</v>
      </c>
      <c r="H1014" s="1">
        <v>0</v>
      </c>
      <c r="I1014" s="1">
        <v>0</v>
      </c>
      <c r="J1014" s="1" t="s">
        <v>14</v>
      </c>
      <c r="K1014" s="1">
        <v>1609066</v>
      </c>
    </row>
    <row r="1015" spans="1:11" x14ac:dyDescent="0.25">
      <c r="A1015" s="1" t="s">
        <v>11</v>
      </c>
      <c r="B1015" s="1" t="s">
        <v>1092</v>
      </c>
      <c r="C1015" s="1" t="s">
        <v>26</v>
      </c>
      <c r="D1015" s="1" t="s">
        <v>1569</v>
      </c>
      <c r="E1015" s="1" t="s">
        <v>1142</v>
      </c>
      <c r="F1015" s="1" t="s">
        <v>14</v>
      </c>
      <c r="G1015" s="1">
        <v>5352858</v>
      </c>
      <c r="H1015" s="1">
        <v>0</v>
      </c>
      <c r="I1015" s="1">
        <v>0</v>
      </c>
      <c r="J1015" s="1" t="s">
        <v>14</v>
      </c>
      <c r="K1015" s="1">
        <v>5352858</v>
      </c>
    </row>
    <row r="1016" spans="1:11" x14ac:dyDescent="0.25">
      <c r="A1016" s="1" t="s">
        <v>11</v>
      </c>
      <c r="B1016" s="1" t="s">
        <v>1092</v>
      </c>
      <c r="C1016" s="1" t="s">
        <v>26</v>
      </c>
      <c r="D1016" s="1" t="s">
        <v>1570</v>
      </c>
      <c r="E1016" s="1" t="s">
        <v>673</v>
      </c>
      <c r="F1016" s="1" t="s">
        <v>14</v>
      </c>
      <c r="G1016" s="1">
        <v>642600</v>
      </c>
      <c r="H1016" s="1">
        <v>0</v>
      </c>
      <c r="I1016" s="1">
        <v>0</v>
      </c>
      <c r="J1016" s="1" t="s">
        <v>14</v>
      </c>
      <c r="K1016" s="1">
        <v>642600</v>
      </c>
    </row>
    <row r="1017" spans="1:11" x14ac:dyDescent="0.25">
      <c r="A1017" s="1" t="s">
        <v>11</v>
      </c>
      <c r="B1017" s="1" t="s">
        <v>1092</v>
      </c>
      <c r="C1017" s="1" t="s">
        <v>26</v>
      </c>
      <c r="D1017" s="1" t="s">
        <v>1571</v>
      </c>
      <c r="E1017" s="1" t="s">
        <v>675</v>
      </c>
      <c r="F1017" s="1" t="s">
        <v>14</v>
      </c>
      <c r="G1017" s="1">
        <v>5352858</v>
      </c>
      <c r="H1017" s="1">
        <v>0</v>
      </c>
      <c r="I1017" s="1">
        <v>0</v>
      </c>
      <c r="J1017" s="1" t="s">
        <v>14</v>
      </c>
      <c r="K1017" s="1">
        <v>5352858</v>
      </c>
    </row>
    <row r="1018" spans="1:11" x14ac:dyDescent="0.25">
      <c r="A1018" s="1" t="s">
        <v>11</v>
      </c>
      <c r="B1018" s="1" t="s">
        <v>1092</v>
      </c>
      <c r="C1018" s="1" t="s">
        <v>26</v>
      </c>
      <c r="D1018" s="1" t="s">
        <v>1572</v>
      </c>
      <c r="E1018" s="1" t="s">
        <v>1146</v>
      </c>
      <c r="F1018" s="1" t="s">
        <v>14</v>
      </c>
      <c r="G1018" s="1">
        <v>11379642</v>
      </c>
      <c r="H1018" s="1">
        <v>0</v>
      </c>
      <c r="I1018" s="1">
        <v>0</v>
      </c>
      <c r="J1018" s="1" t="s">
        <v>14</v>
      </c>
      <c r="K1018" s="1">
        <v>11379642</v>
      </c>
    </row>
    <row r="1019" spans="1:11" x14ac:dyDescent="0.25">
      <c r="A1019" s="1" t="s">
        <v>11</v>
      </c>
      <c r="B1019" s="1" t="s">
        <v>1092</v>
      </c>
      <c r="C1019" s="1" t="s">
        <v>26</v>
      </c>
      <c r="D1019" s="1" t="s">
        <v>1573</v>
      </c>
      <c r="E1019" s="1" t="s">
        <v>1148</v>
      </c>
      <c r="F1019" s="1" t="s">
        <v>14</v>
      </c>
      <c r="G1019" s="1">
        <v>17778981</v>
      </c>
      <c r="H1019" s="1">
        <v>0</v>
      </c>
      <c r="I1019" s="1">
        <v>0</v>
      </c>
      <c r="J1019" s="1" t="s">
        <v>14</v>
      </c>
      <c r="K1019" s="1">
        <v>17778981</v>
      </c>
    </row>
    <row r="1020" spans="1:11" x14ac:dyDescent="0.25">
      <c r="A1020" s="1" t="s">
        <v>11</v>
      </c>
      <c r="B1020" s="1" t="s">
        <v>1092</v>
      </c>
      <c r="C1020" s="1" t="s">
        <v>26</v>
      </c>
      <c r="D1020" s="1" t="s">
        <v>1574</v>
      </c>
      <c r="E1020" s="1" t="s">
        <v>1150</v>
      </c>
      <c r="F1020" s="1" t="s">
        <v>14</v>
      </c>
      <c r="G1020" s="1">
        <v>25099897</v>
      </c>
      <c r="H1020" s="1">
        <v>0</v>
      </c>
      <c r="I1020" s="1">
        <v>0</v>
      </c>
      <c r="J1020" s="1" t="s">
        <v>14</v>
      </c>
      <c r="K1020" s="1">
        <v>25099897</v>
      </c>
    </row>
    <row r="1021" spans="1:11" x14ac:dyDescent="0.25">
      <c r="A1021" s="1" t="s">
        <v>11</v>
      </c>
      <c r="B1021" s="1" t="s">
        <v>1092</v>
      </c>
      <c r="C1021" s="1" t="s">
        <v>26</v>
      </c>
      <c r="D1021" s="1" t="s">
        <v>1575</v>
      </c>
      <c r="E1021" s="1" t="s">
        <v>1152</v>
      </c>
      <c r="F1021" s="1" t="s">
        <v>14</v>
      </c>
      <c r="G1021" s="1">
        <v>4951329</v>
      </c>
      <c r="H1021" s="1">
        <v>0</v>
      </c>
      <c r="I1021" s="1">
        <v>0</v>
      </c>
      <c r="J1021" s="1" t="s">
        <v>14</v>
      </c>
      <c r="K1021" s="1">
        <v>4951329</v>
      </c>
    </row>
    <row r="1022" spans="1:11" x14ac:dyDescent="0.25">
      <c r="A1022" s="1" t="s">
        <v>11</v>
      </c>
      <c r="B1022" s="1" t="s">
        <v>1092</v>
      </c>
      <c r="C1022" s="1" t="s">
        <v>26</v>
      </c>
      <c r="D1022" s="1" t="s">
        <v>1576</v>
      </c>
      <c r="E1022" s="1" t="s">
        <v>1154</v>
      </c>
      <c r="F1022" s="1" t="s">
        <v>14</v>
      </c>
      <c r="G1022" s="1">
        <v>8301336</v>
      </c>
      <c r="H1022" s="1">
        <v>0</v>
      </c>
      <c r="I1022" s="1">
        <v>0</v>
      </c>
      <c r="J1022" s="1" t="s">
        <v>14</v>
      </c>
      <c r="K1022" s="1">
        <v>8301336</v>
      </c>
    </row>
    <row r="1023" spans="1:11" x14ac:dyDescent="0.25">
      <c r="A1023" s="1" t="s">
        <v>11</v>
      </c>
      <c r="B1023" s="1" t="s">
        <v>1092</v>
      </c>
      <c r="C1023" s="1" t="s">
        <v>26</v>
      </c>
      <c r="D1023" s="1" t="s">
        <v>1577</v>
      </c>
      <c r="E1023" s="1" t="s">
        <v>1156</v>
      </c>
      <c r="F1023" s="1" t="s">
        <v>14</v>
      </c>
      <c r="G1023" s="1">
        <v>6225952</v>
      </c>
      <c r="H1023" s="1">
        <v>0</v>
      </c>
      <c r="I1023" s="1">
        <v>0</v>
      </c>
      <c r="J1023" s="1" t="s">
        <v>14</v>
      </c>
      <c r="K1023" s="1">
        <v>6225952</v>
      </c>
    </row>
    <row r="1024" spans="1:11" x14ac:dyDescent="0.25">
      <c r="A1024" s="1" t="s">
        <v>11</v>
      </c>
      <c r="B1024" s="1" t="s">
        <v>1092</v>
      </c>
      <c r="C1024" s="1" t="s">
        <v>26</v>
      </c>
      <c r="D1024" s="1" t="s">
        <v>1578</v>
      </c>
      <c r="E1024" s="1" t="s">
        <v>1158</v>
      </c>
      <c r="F1024" s="1" t="s">
        <v>14</v>
      </c>
      <c r="G1024" s="1">
        <v>4150768</v>
      </c>
      <c r="H1024" s="1">
        <v>0</v>
      </c>
      <c r="I1024" s="1">
        <v>0</v>
      </c>
      <c r="J1024" s="1" t="s">
        <v>14</v>
      </c>
      <c r="K1024" s="1">
        <v>4150768</v>
      </c>
    </row>
    <row r="1025" spans="1:11" x14ac:dyDescent="0.25">
      <c r="A1025" s="1" t="s">
        <v>11</v>
      </c>
      <c r="B1025" s="1" t="s">
        <v>1092</v>
      </c>
      <c r="C1025" s="1" t="s">
        <v>23</v>
      </c>
      <c r="D1025" s="1" t="s">
        <v>1579</v>
      </c>
      <c r="E1025" s="1" t="s">
        <v>1160</v>
      </c>
      <c r="F1025" s="1" t="s">
        <v>14</v>
      </c>
      <c r="G1025" s="1">
        <v>416500</v>
      </c>
      <c r="H1025" s="1">
        <v>0</v>
      </c>
      <c r="I1025" s="1">
        <v>0</v>
      </c>
      <c r="J1025" s="1" t="s">
        <v>14</v>
      </c>
      <c r="K1025" s="1">
        <v>416500</v>
      </c>
    </row>
    <row r="1026" spans="1:11" x14ac:dyDescent="0.25">
      <c r="A1026" s="1" t="s">
        <v>11</v>
      </c>
      <c r="B1026" s="1" t="s">
        <v>1092</v>
      </c>
      <c r="C1026" s="1" t="s">
        <v>26</v>
      </c>
      <c r="D1026" s="1" t="s">
        <v>1580</v>
      </c>
      <c r="E1026" s="1" t="s">
        <v>1164</v>
      </c>
      <c r="F1026" s="1" t="s">
        <v>14</v>
      </c>
      <c r="G1026" s="1">
        <v>350000</v>
      </c>
      <c r="H1026" s="1">
        <v>0</v>
      </c>
      <c r="I1026" s="1">
        <v>0</v>
      </c>
      <c r="J1026" s="1" t="s">
        <v>14</v>
      </c>
      <c r="K1026" s="1">
        <v>350000</v>
      </c>
    </row>
    <row r="1027" spans="1:11" x14ac:dyDescent="0.25">
      <c r="A1027" s="1" t="s">
        <v>11</v>
      </c>
      <c r="B1027" s="1" t="s">
        <v>1092</v>
      </c>
      <c r="C1027" s="1" t="s">
        <v>26</v>
      </c>
      <c r="D1027" s="1" t="s">
        <v>1581</v>
      </c>
      <c r="E1027" s="1" t="s">
        <v>1176</v>
      </c>
      <c r="F1027" s="1" t="s">
        <v>14</v>
      </c>
      <c r="G1027" s="1">
        <v>66500</v>
      </c>
      <c r="H1027" s="1">
        <v>0</v>
      </c>
      <c r="I1027" s="1">
        <v>0</v>
      </c>
      <c r="J1027" s="1" t="s">
        <v>14</v>
      </c>
      <c r="K1027" s="1">
        <v>66500</v>
      </c>
    </row>
    <row r="1028" spans="1:11" x14ac:dyDescent="0.25">
      <c r="A1028" s="1" t="s">
        <v>11</v>
      </c>
      <c r="B1028" s="1" t="s">
        <v>1092</v>
      </c>
      <c r="C1028" s="1" t="s">
        <v>21</v>
      </c>
      <c r="D1028" s="1" t="s">
        <v>1582</v>
      </c>
      <c r="E1028" s="1" t="s">
        <v>1178</v>
      </c>
      <c r="F1028" s="1" t="s">
        <v>14</v>
      </c>
      <c r="G1028" s="1">
        <v>8764135.3300000001</v>
      </c>
      <c r="H1028" s="1">
        <v>478938.5</v>
      </c>
      <c r="I1028" s="1">
        <v>0</v>
      </c>
      <c r="J1028" s="1" t="s">
        <v>14</v>
      </c>
      <c r="K1028" s="1">
        <v>9243073.8300000001</v>
      </c>
    </row>
    <row r="1029" spans="1:11" x14ac:dyDescent="0.25">
      <c r="A1029" s="1" t="s">
        <v>11</v>
      </c>
      <c r="B1029" s="1" t="s">
        <v>1092</v>
      </c>
      <c r="C1029" s="1" t="s">
        <v>23</v>
      </c>
      <c r="D1029" s="1" t="s">
        <v>1583</v>
      </c>
      <c r="E1029" s="1" t="s">
        <v>1189</v>
      </c>
      <c r="F1029" s="1" t="s">
        <v>14</v>
      </c>
      <c r="G1029" s="1">
        <v>108715</v>
      </c>
      <c r="H1029" s="1">
        <v>21743</v>
      </c>
      <c r="I1029" s="1">
        <v>0</v>
      </c>
      <c r="J1029" s="1" t="s">
        <v>14</v>
      </c>
      <c r="K1029" s="1">
        <v>130458</v>
      </c>
    </row>
    <row r="1030" spans="1:11" x14ac:dyDescent="0.25">
      <c r="A1030" s="1" t="s">
        <v>11</v>
      </c>
      <c r="B1030" s="1" t="s">
        <v>1092</v>
      </c>
      <c r="C1030" s="1" t="s">
        <v>26</v>
      </c>
      <c r="D1030" s="1" t="s">
        <v>1584</v>
      </c>
      <c r="E1030" s="1" t="s">
        <v>439</v>
      </c>
      <c r="F1030" s="1" t="s">
        <v>14</v>
      </c>
      <c r="G1030" s="1">
        <v>108715</v>
      </c>
      <c r="H1030" s="1">
        <v>21743</v>
      </c>
      <c r="I1030" s="1">
        <v>0</v>
      </c>
      <c r="J1030" s="1" t="s">
        <v>14</v>
      </c>
      <c r="K1030" s="1">
        <v>130458</v>
      </c>
    </row>
    <row r="1031" spans="1:11" x14ac:dyDescent="0.25">
      <c r="A1031" s="1" t="s">
        <v>11</v>
      </c>
      <c r="B1031" s="1" t="s">
        <v>1092</v>
      </c>
      <c r="C1031" s="1" t="s">
        <v>23</v>
      </c>
      <c r="D1031" s="1" t="s">
        <v>1585</v>
      </c>
      <c r="E1031" s="1" t="s">
        <v>227</v>
      </c>
      <c r="F1031" s="1" t="s">
        <v>14</v>
      </c>
      <c r="G1031" s="1">
        <v>532602</v>
      </c>
      <c r="H1031" s="1">
        <v>0</v>
      </c>
      <c r="I1031" s="1">
        <v>0</v>
      </c>
      <c r="J1031" s="1" t="s">
        <v>14</v>
      </c>
      <c r="K1031" s="1">
        <v>532602</v>
      </c>
    </row>
    <row r="1032" spans="1:11" x14ac:dyDescent="0.25">
      <c r="A1032" s="1" t="s">
        <v>11</v>
      </c>
      <c r="B1032" s="1" t="s">
        <v>1092</v>
      </c>
      <c r="C1032" s="1" t="s">
        <v>26</v>
      </c>
      <c r="D1032" s="1" t="s">
        <v>1586</v>
      </c>
      <c r="E1032" s="1" t="s">
        <v>1195</v>
      </c>
      <c r="F1032" s="1" t="s">
        <v>14</v>
      </c>
      <c r="G1032" s="1">
        <v>447564</v>
      </c>
      <c r="H1032" s="1">
        <v>0</v>
      </c>
      <c r="I1032" s="1">
        <v>0</v>
      </c>
      <c r="J1032" s="1" t="s">
        <v>14</v>
      </c>
      <c r="K1032" s="1">
        <v>447564</v>
      </c>
    </row>
    <row r="1033" spans="1:11" x14ac:dyDescent="0.25">
      <c r="A1033" s="1" t="s">
        <v>11</v>
      </c>
      <c r="B1033" s="1" t="s">
        <v>1092</v>
      </c>
      <c r="C1033" s="1" t="s">
        <v>26</v>
      </c>
      <c r="D1033" s="1" t="s">
        <v>1587</v>
      </c>
      <c r="E1033" s="1" t="s">
        <v>1197</v>
      </c>
      <c r="F1033" s="1" t="s">
        <v>14</v>
      </c>
      <c r="G1033" s="1">
        <v>85038</v>
      </c>
      <c r="H1033" s="1">
        <v>0</v>
      </c>
      <c r="I1033" s="1">
        <v>0</v>
      </c>
      <c r="J1033" s="1" t="s">
        <v>14</v>
      </c>
      <c r="K1033" s="1">
        <v>85038</v>
      </c>
    </row>
    <row r="1034" spans="1:11" x14ac:dyDescent="0.25">
      <c r="A1034" s="1" t="s">
        <v>11</v>
      </c>
      <c r="B1034" s="1" t="s">
        <v>1092</v>
      </c>
      <c r="C1034" s="1" t="s">
        <v>23</v>
      </c>
      <c r="D1034" s="1" t="s">
        <v>1588</v>
      </c>
      <c r="E1034" s="1" t="s">
        <v>437</v>
      </c>
      <c r="F1034" s="1" t="s">
        <v>14</v>
      </c>
      <c r="G1034" s="1">
        <v>1256110</v>
      </c>
      <c r="H1034" s="1">
        <v>0</v>
      </c>
      <c r="I1034" s="1">
        <v>0</v>
      </c>
      <c r="J1034" s="1" t="s">
        <v>14</v>
      </c>
      <c r="K1034" s="1">
        <v>1256110</v>
      </c>
    </row>
    <row r="1035" spans="1:11" x14ac:dyDescent="0.25">
      <c r="A1035" s="1" t="s">
        <v>11</v>
      </c>
      <c r="B1035" s="1" t="s">
        <v>1092</v>
      </c>
      <c r="C1035" s="1" t="s">
        <v>26</v>
      </c>
      <c r="D1035" s="1" t="s">
        <v>1589</v>
      </c>
      <c r="E1035" s="1" t="s">
        <v>1212</v>
      </c>
      <c r="F1035" s="1" t="s">
        <v>14</v>
      </c>
      <c r="G1035" s="1">
        <v>281480</v>
      </c>
      <c r="H1035" s="1">
        <v>0</v>
      </c>
      <c r="I1035" s="1">
        <v>0</v>
      </c>
      <c r="J1035" s="1" t="s">
        <v>14</v>
      </c>
      <c r="K1035" s="1">
        <v>281480</v>
      </c>
    </row>
    <row r="1036" spans="1:11" x14ac:dyDescent="0.25">
      <c r="A1036" s="1" t="s">
        <v>11</v>
      </c>
      <c r="B1036" s="1" t="s">
        <v>1092</v>
      </c>
      <c r="C1036" s="1" t="s">
        <v>26</v>
      </c>
      <c r="D1036" s="1" t="s">
        <v>1590</v>
      </c>
      <c r="E1036" s="1" t="s">
        <v>1214</v>
      </c>
      <c r="F1036" s="1" t="s">
        <v>14</v>
      </c>
      <c r="G1036" s="1">
        <v>974630</v>
      </c>
      <c r="H1036" s="1">
        <v>0</v>
      </c>
      <c r="I1036" s="1">
        <v>0</v>
      </c>
      <c r="J1036" s="1" t="s">
        <v>14</v>
      </c>
      <c r="K1036" s="1">
        <v>974630</v>
      </c>
    </row>
    <row r="1037" spans="1:11" x14ac:dyDescent="0.25">
      <c r="A1037" s="1" t="s">
        <v>11</v>
      </c>
      <c r="B1037" s="1" t="s">
        <v>1092</v>
      </c>
      <c r="C1037" s="1" t="s">
        <v>23</v>
      </c>
      <c r="D1037" s="1" t="s">
        <v>1591</v>
      </c>
      <c r="E1037" s="1" t="s">
        <v>566</v>
      </c>
      <c r="F1037" s="1" t="s">
        <v>14</v>
      </c>
      <c r="G1037" s="1">
        <v>2288617.7799999998</v>
      </c>
      <c r="H1037" s="1">
        <v>299321.5</v>
      </c>
      <c r="I1037" s="1">
        <v>0</v>
      </c>
      <c r="J1037" s="1" t="s">
        <v>14</v>
      </c>
      <c r="K1037" s="1">
        <v>2587939.2799999998</v>
      </c>
    </row>
    <row r="1038" spans="1:11" x14ac:dyDescent="0.25">
      <c r="A1038" s="1" t="s">
        <v>11</v>
      </c>
      <c r="B1038" s="1" t="s">
        <v>1092</v>
      </c>
      <c r="C1038" s="1" t="s">
        <v>26</v>
      </c>
      <c r="D1038" s="1" t="s">
        <v>1592</v>
      </c>
      <c r="E1038" s="1" t="s">
        <v>1225</v>
      </c>
      <c r="F1038" s="1" t="s">
        <v>14</v>
      </c>
      <c r="G1038" s="1">
        <v>450543.02</v>
      </c>
      <c r="H1038" s="1">
        <v>44044.160000000003</v>
      </c>
      <c r="I1038" s="1">
        <v>0</v>
      </c>
      <c r="J1038" s="1" t="s">
        <v>14</v>
      </c>
      <c r="K1038" s="1">
        <v>494587.18</v>
      </c>
    </row>
    <row r="1039" spans="1:11" x14ac:dyDescent="0.25">
      <c r="A1039" s="1" t="s">
        <v>11</v>
      </c>
      <c r="B1039" s="1" t="s">
        <v>1092</v>
      </c>
      <c r="C1039" s="1" t="s">
        <v>26</v>
      </c>
      <c r="D1039" s="1" t="s">
        <v>1593</v>
      </c>
      <c r="E1039" s="1" t="s">
        <v>1227</v>
      </c>
      <c r="F1039" s="1" t="s">
        <v>14</v>
      </c>
      <c r="G1039" s="1">
        <v>492312.5</v>
      </c>
      <c r="H1039" s="1">
        <v>56673.57</v>
      </c>
      <c r="I1039" s="1">
        <v>0</v>
      </c>
      <c r="J1039" s="1" t="s">
        <v>14</v>
      </c>
      <c r="K1039" s="1">
        <v>548986.06999999995</v>
      </c>
    </row>
    <row r="1040" spans="1:11" x14ac:dyDescent="0.25">
      <c r="A1040" s="1" t="s">
        <v>11</v>
      </c>
      <c r="B1040" s="1" t="s">
        <v>1092</v>
      </c>
      <c r="C1040" s="1" t="s">
        <v>26</v>
      </c>
      <c r="D1040" s="1" t="s">
        <v>1594</v>
      </c>
      <c r="E1040" s="1" t="s">
        <v>1229</v>
      </c>
      <c r="F1040" s="1" t="s">
        <v>14</v>
      </c>
      <c r="G1040" s="1">
        <v>82818.2</v>
      </c>
      <c r="H1040" s="1">
        <v>8513.31</v>
      </c>
      <c r="I1040" s="1">
        <v>0</v>
      </c>
      <c r="J1040" s="1" t="s">
        <v>14</v>
      </c>
      <c r="K1040" s="1">
        <v>91331.51</v>
      </c>
    </row>
    <row r="1041" spans="1:11" x14ac:dyDescent="0.25">
      <c r="A1041" s="1" t="s">
        <v>11</v>
      </c>
      <c r="B1041" s="1" t="s">
        <v>1092</v>
      </c>
      <c r="C1041" s="1" t="s">
        <v>26</v>
      </c>
      <c r="D1041" s="1" t="s">
        <v>1595</v>
      </c>
      <c r="E1041" s="1" t="s">
        <v>1231</v>
      </c>
      <c r="F1041" s="1" t="s">
        <v>14</v>
      </c>
      <c r="G1041" s="1">
        <v>960056</v>
      </c>
      <c r="H1041" s="1">
        <v>148485</v>
      </c>
      <c r="I1041" s="1">
        <v>0</v>
      </c>
      <c r="J1041" s="1" t="s">
        <v>14</v>
      </c>
      <c r="K1041" s="1">
        <v>1108541</v>
      </c>
    </row>
    <row r="1042" spans="1:11" x14ac:dyDescent="0.25">
      <c r="A1042" s="1" t="s">
        <v>11</v>
      </c>
      <c r="B1042" s="1" t="s">
        <v>1092</v>
      </c>
      <c r="C1042" s="1" t="s">
        <v>26</v>
      </c>
      <c r="D1042" s="1" t="s">
        <v>1596</v>
      </c>
      <c r="E1042" s="1" t="s">
        <v>1233</v>
      </c>
      <c r="F1042" s="1" t="s">
        <v>14</v>
      </c>
      <c r="G1042" s="1">
        <v>93925.3</v>
      </c>
      <c r="H1042" s="1">
        <v>10436.43</v>
      </c>
      <c r="I1042" s="1">
        <v>0</v>
      </c>
      <c r="J1042" s="1" t="s">
        <v>14</v>
      </c>
      <c r="K1042" s="1">
        <v>104361.73</v>
      </c>
    </row>
    <row r="1043" spans="1:11" x14ac:dyDescent="0.25">
      <c r="A1043" s="1" t="s">
        <v>11</v>
      </c>
      <c r="B1043" s="1" t="s">
        <v>1092</v>
      </c>
      <c r="C1043" s="1" t="s">
        <v>26</v>
      </c>
      <c r="D1043" s="1" t="s">
        <v>1597</v>
      </c>
      <c r="E1043" s="1" t="s">
        <v>1235</v>
      </c>
      <c r="F1043" s="1" t="s">
        <v>14</v>
      </c>
      <c r="G1043" s="1">
        <v>15802.76</v>
      </c>
      <c r="H1043" s="1">
        <v>1528.03</v>
      </c>
      <c r="I1043" s="1">
        <v>0</v>
      </c>
      <c r="J1043" s="1" t="s">
        <v>14</v>
      </c>
      <c r="K1043" s="1">
        <v>17330.79</v>
      </c>
    </row>
    <row r="1044" spans="1:11" x14ac:dyDescent="0.25">
      <c r="A1044" s="1" t="s">
        <v>11</v>
      </c>
      <c r="B1044" s="1" t="s">
        <v>1092</v>
      </c>
      <c r="C1044" s="1" t="s">
        <v>26</v>
      </c>
      <c r="D1044" s="1" t="s">
        <v>1598</v>
      </c>
      <c r="E1044" s="1" t="s">
        <v>1237</v>
      </c>
      <c r="F1044" s="1" t="s">
        <v>14</v>
      </c>
      <c r="G1044" s="1">
        <v>193160</v>
      </c>
      <c r="H1044" s="1">
        <v>29641</v>
      </c>
      <c r="I1044" s="1">
        <v>0</v>
      </c>
      <c r="J1044" s="1" t="s">
        <v>14</v>
      </c>
      <c r="K1044" s="1">
        <v>222801</v>
      </c>
    </row>
    <row r="1045" spans="1:11" x14ac:dyDescent="0.25">
      <c r="A1045" s="1" t="s">
        <v>11</v>
      </c>
      <c r="B1045" s="1" t="s">
        <v>1092</v>
      </c>
      <c r="C1045" s="1" t="s">
        <v>23</v>
      </c>
      <c r="D1045" s="1" t="s">
        <v>1599</v>
      </c>
      <c r="E1045" s="1" t="s">
        <v>1263</v>
      </c>
      <c r="F1045" s="1" t="s">
        <v>14</v>
      </c>
      <c r="G1045" s="1">
        <v>3516294.55</v>
      </c>
      <c r="H1045" s="1">
        <v>0</v>
      </c>
      <c r="I1045" s="1">
        <v>0</v>
      </c>
      <c r="J1045" s="1" t="s">
        <v>14</v>
      </c>
      <c r="K1045" s="1">
        <v>3516294.55</v>
      </c>
    </row>
    <row r="1046" spans="1:11" x14ac:dyDescent="0.25">
      <c r="A1046" s="1" t="s">
        <v>11</v>
      </c>
      <c r="B1046" s="1" t="s">
        <v>1092</v>
      </c>
      <c r="C1046" s="1" t="s">
        <v>26</v>
      </c>
      <c r="D1046" s="1" t="s">
        <v>1600</v>
      </c>
      <c r="E1046" s="1" t="s">
        <v>1265</v>
      </c>
      <c r="F1046" s="1" t="s">
        <v>14</v>
      </c>
      <c r="G1046" s="1">
        <v>811053.15</v>
      </c>
      <c r="H1046" s="1">
        <v>0</v>
      </c>
      <c r="I1046" s="1">
        <v>0</v>
      </c>
      <c r="J1046" s="1" t="s">
        <v>14</v>
      </c>
      <c r="K1046" s="1">
        <v>811053.15</v>
      </c>
    </row>
    <row r="1047" spans="1:11" x14ac:dyDescent="0.25">
      <c r="A1047" s="1" t="s">
        <v>11</v>
      </c>
      <c r="B1047" s="1" t="s">
        <v>1092</v>
      </c>
      <c r="C1047" s="1" t="s">
        <v>26</v>
      </c>
      <c r="D1047" s="1" t="s">
        <v>1601</v>
      </c>
      <c r="E1047" s="1" t="s">
        <v>1267</v>
      </c>
      <c r="F1047" s="1" t="s">
        <v>14</v>
      </c>
      <c r="G1047" s="1">
        <v>2689054.26</v>
      </c>
      <c r="H1047" s="1">
        <v>0</v>
      </c>
      <c r="I1047" s="1">
        <v>0</v>
      </c>
      <c r="J1047" s="1" t="s">
        <v>14</v>
      </c>
      <c r="K1047" s="1">
        <v>2689054.26</v>
      </c>
    </row>
    <row r="1048" spans="1:11" x14ac:dyDescent="0.25">
      <c r="A1048" s="1" t="s">
        <v>11</v>
      </c>
      <c r="B1048" s="1" t="s">
        <v>1092</v>
      </c>
      <c r="C1048" s="1" t="s">
        <v>26</v>
      </c>
      <c r="D1048" s="1" t="s">
        <v>1602</v>
      </c>
      <c r="E1048" s="1" t="s">
        <v>1269</v>
      </c>
      <c r="F1048" s="1" t="s">
        <v>14</v>
      </c>
      <c r="G1048" s="1">
        <v>16187.14</v>
      </c>
      <c r="H1048" s="1">
        <v>0</v>
      </c>
      <c r="I1048" s="1">
        <v>0</v>
      </c>
      <c r="J1048" s="1" t="s">
        <v>14</v>
      </c>
      <c r="K1048" s="1">
        <v>16187.14</v>
      </c>
    </row>
    <row r="1049" spans="1:11" x14ac:dyDescent="0.25">
      <c r="A1049" s="1" t="s">
        <v>11</v>
      </c>
      <c r="B1049" s="1" t="s">
        <v>1092</v>
      </c>
      <c r="C1049" s="1" t="s">
        <v>23</v>
      </c>
      <c r="D1049" s="1" t="s">
        <v>1603</v>
      </c>
      <c r="E1049" s="1" t="s">
        <v>1273</v>
      </c>
      <c r="F1049" s="1" t="s">
        <v>14</v>
      </c>
      <c r="G1049" s="1">
        <v>1041796</v>
      </c>
      <c r="H1049" s="1">
        <v>157874</v>
      </c>
      <c r="I1049" s="1">
        <v>0</v>
      </c>
      <c r="J1049" s="1" t="s">
        <v>14</v>
      </c>
      <c r="K1049" s="1">
        <v>1199670</v>
      </c>
    </row>
    <row r="1050" spans="1:11" x14ac:dyDescent="0.25">
      <c r="A1050" s="1" t="s">
        <v>11</v>
      </c>
      <c r="B1050" s="1" t="s">
        <v>1092</v>
      </c>
      <c r="C1050" s="1" t="s">
        <v>26</v>
      </c>
      <c r="D1050" s="1" t="s">
        <v>1604</v>
      </c>
      <c r="E1050" s="1" t="s">
        <v>1273</v>
      </c>
      <c r="F1050" s="1" t="s">
        <v>14</v>
      </c>
      <c r="G1050" s="1">
        <v>1041796</v>
      </c>
      <c r="H1050" s="1">
        <v>157874</v>
      </c>
      <c r="I1050" s="1">
        <v>0</v>
      </c>
      <c r="J1050" s="1" t="s">
        <v>14</v>
      </c>
      <c r="K1050" s="1">
        <v>1199670</v>
      </c>
    </row>
    <row r="1051" spans="1:11" x14ac:dyDescent="0.25">
      <c r="A1051" s="1" t="s">
        <v>11</v>
      </c>
      <c r="B1051" s="1" t="s">
        <v>1092</v>
      </c>
      <c r="C1051" s="1" t="s">
        <v>23</v>
      </c>
      <c r="D1051" s="1" t="s">
        <v>1605</v>
      </c>
      <c r="E1051" s="1" t="s">
        <v>1289</v>
      </c>
      <c r="F1051" s="1" t="s">
        <v>14</v>
      </c>
      <c r="G1051" s="1">
        <v>20000</v>
      </c>
      <c r="H1051" s="1">
        <v>0</v>
      </c>
      <c r="I1051" s="1">
        <v>0</v>
      </c>
      <c r="J1051" s="1" t="s">
        <v>14</v>
      </c>
      <c r="K1051" s="1">
        <v>20000</v>
      </c>
    </row>
    <row r="1052" spans="1:11" x14ac:dyDescent="0.25">
      <c r="A1052" s="1" t="s">
        <v>11</v>
      </c>
      <c r="B1052" s="1" t="s">
        <v>1092</v>
      </c>
      <c r="C1052" s="1" t="s">
        <v>26</v>
      </c>
      <c r="D1052" s="1" t="s">
        <v>1606</v>
      </c>
      <c r="E1052" s="1" t="s">
        <v>1291</v>
      </c>
      <c r="F1052" s="1" t="s">
        <v>14</v>
      </c>
      <c r="G1052" s="1">
        <v>20000</v>
      </c>
      <c r="H1052" s="1">
        <v>0</v>
      </c>
      <c r="I1052" s="1">
        <v>0</v>
      </c>
      <c r="J1052" s="1" t="s">
        <v>14</v>
      </c>
      <c r="K1052" s="1">
        <v>20000</v>
      </c>
    </row>
    <row r="1053" spans="1:11" x14ac:dyDescent="0.25">
      <c r="A1053" s="1" t="s">
        <v>11</v>
      </c>
      <c r="B1053" s="1" t="s">
        <v>1092</v>
      </c>
      <c r="C1053" s="1" t="s">
        <v>15</v>
      </c>
      <c r="D1053" s="1" t="s">
        <v>1607</v>
      </c>
      <c r="E1053" s="1" t="s">
        <v>1608</v>
      </c>
      <c r="F1053" s="1" t="s">
        <v>14</v>
      </c>
      <c r="G1053" s="1">
        <v>1625519503.29</v>
      </c>
      <c r="H1053" s="1">
        <v>82445620.620000005</v>
      </c>
      <c r="I1053" s="1">
        <v>36003.99</v>
      </c>
      <c r="J1053" s="1" t="s">
        <v>14</v>
      </c>
      <c r="K1053" s="1">
        <v>1707929119.9200001</v>
      </c>
    </row>
    <row r="1054" spans="1:11" x14ac:dyDescent="0.25">
      <c r="A1054" s="1" t="s">
        <v>11</v>
      </c>
      <c r="B1054" s="1" t="s">
        <v>1092</v>
      </c>
      <c r="C1054" s="1" t="s">
        <v>18</v>
      </c>
      <c r="D1054" s="1" t="s">
        <v>1609</v>
      </c>
      <c r="E1054" s="1" t="s">
        <v>1610</v>
      </c>
      <c r="F1054" s="1" t="s">
        <v>14</v>
      </c>
      <c r="G1054" s="1">
        <v>1165958214.51</v>
      </c>
      <c r="H1054" s="1">
        <v>32890040.859999999</v>
      </c>
      <c r="I1054" s="1">
        <v>36000</v>
      </c>
      <c r="J1054" s="1" t="s">
        <v>14</v>
      </c>
      <c r="K1054" s="1">
        <v>1198812255.3699999</v>
      </c>
    </row>
    <row r="1055" spans="1:11" x14ac:dyDescent="0.25">
      <c r="A1055" s="1" t="s">
        <v>11</v>
      </c>
      <c r="B1055" s="1" t="s">
        <v>1092</v>
      </c>
      <c r="C1055" s="1" t="s">
        <v>21</v>
      </c>
      <c r="D1055" s="1" t="s">
        <v>1611</v>
      </c>
      <c r="E1055" s="1" t="s">
        <v>1610</v>
      </c>
      <c r="F1055" s="1" t="s">
        <v>14</v>
      </c>
      <c r="G1055" s="1">
        <v>1165958214.51</v>
      </c>
      <c r="H1055" s="1">
        <v>32890040.859999999</v>
      </c>
      <c r="I1055" s="1">
        <v>36000</v>
      </c>
      <c r="J1055" s="1" t="s">
        <v>14</v>
      </c>
      <c r="K1055" s="1">
        <v>1198812255.3699999</v>
      </c>
    </row>
    <row r="1056" spans="1:11" x14ac:dyDescent="0.25">
      <c r="A1056" s="1" t="s">
        <v>11</v>
      </c>
      <c r="B1056" s="1" t="s">
        <v>1092</v>
      </c>
      <c r="C1056" s="1" t="s">
        <v>23</v>
      </c>
      <c r="D1056" s="1" t="s">
        <v>1612</v>
      </c>
      <c r="E1056" s="1" t="s">
        <v>1613</v>
      </c>
      <c r="F1056" s="1" t="s">
        <v>14</v>
      </c>
      <c r="G1056" s="1">
        <v>243357311.61000001</v>
      </c>
      <c r="H1056" s="1">
        <v>1225505.22</v>
      </c>
      <c r="I1056" s="1">
        <v>0</v>
      </c>
      <c r="J1056" s="1" t="s">
        <v>14</v>
      </c>
      <c r="K1056" s="1">
        <v>244582816.83000001</v>
      </c>
    </row>
    <row r="1057" spans="1:11" x14ac:dyDescent="0.25">
      <c r="A1057" s="1" t="s">
        <v>11</v>
      </c>
      <c r="B1057" s="1" t="s">
        <v>1092</v>
      </c>
      <c r="C1057" s="1" t="s">
        <v>26</v>
      </c>
      <c r="D1057" s="1" t="s">
        <v>1614</v>
      </c>
      <c r="E1057" s="1" t="s">
        <v>1615</v>
      </c>
      <c r="F1057" s="1" t="s">
        <v>14</v>
      </c>
      <c r="G1057" s="1">
        <v>3653706.15</v>
      </c>
      <c r="H1057" s="1">
        <v>238.02</v>
      </c>
      <c r="I1057" s="1">
        <v>0</v>
      </c>
      <c r="J1057" s="1" t="s">
        <v>14</v>
      </c>
      <c r="K1057" s="1">
        <v>3653944.17</v>
      </c>
    </row>
    <row r="1058" spans="1:11" x14ac:dyDescent="0.25">
      <c r="A1058" s="1" t="s">
        <v>11</v>
      </c>
      <c r="B1058" s="1" t="s">
        <v>1092</v>
      </c>
      <c r="C1058" s="1" t="s">
        <v>26</v>
      </c>
      <c r="D1058" s="1" t="s">
        <v>1616</v>
      </c>
      <c r="E1058" s="1" t="s">
        <v>1617</v>
      </c>
      <c r="F1058" s="1" t="s">
        <v>14</v>
      </c>
      <c r="G1058" s="1">
        <v>16462029.390000001</v>
      </c>
      <c r="H1058" s="1">
        <v>1225267.2</v>
      </c>
      <c r="I1058" s="1">
        <v>0</v>
      </c>
      <c r="J1058" s="1" t="s">
        <v>14</v>
      </c>
      <c r="K1058" s="1">
        <v>17687296.59</v>
      </c>
    </row>
    <row r="1059" spans="1:11" x14ac:dyDescent="0.25">
      <c r="A1059" s="1" t="s">
        <v>11</v>
      </c>
      <c r="B1059" s="1" t="s">
        <v>1092</v>
      </c>
      <c r="C1059" s="1" t="s">
        <v>26</v>
      </c>
      <c r="D1059" s="1" t="s">
        <v>1618</v>
      </c>
      <c r="E1059" s="1" t="s">
        <v>1619</v>
      </c>
      <c r="F1059" s="1" t="s">
        <v>14</v>
      </c>
      <c r="G1059" s="1">
        <v>1660127.9</v>
      </c>
      <c r="H1059" s="1">
        <v>0</v>
      </c>
      <c r="I1059" s="1">
        <v>0</v>
      </c>
      <c r="J1059" s="1" t="s">
        <v>14</v>
      </c>
      <c r="K1059" s="1">
        <v>1660127.9</v>
      </c>
    </row>
    <row r="1060" spans="1:11" x14ac:dyDescent="0.25">
      <c r="A1060" s="1" t="s">
        <v>11</v>
      </c>
      <c r="B1060" s="1" t="s">
        <v>1092</v>
      </c>
      <c r="C1060" s="1" t="s">
        <v>26</v>
      </c>
      <c r="D1060" s="1" t="s">
        <v>1620</v>
      </c>
      <c r="E1060" s="1" t="s">
        <v>1621</v>
      </c>
      <c r="F1060" s="1" t="s">
        <v>14</v>
      </c>
      <c r="G1060" s="1">
        <v>221581448.16999999</v>
      </c>
      <c r="H1060" s="1">
        <v>0</v>
      </c>
      <c r="I1060" s="1">
        <v>0</v>
      </c>
      <c r="J1060" s="1" t="s">
        <v>14</v>
      </c>
      <c r="K1060" s="1">
        <v>221581448.16999999</v>
      </c>
    </row>
    <row r="1061" spans="1:11" x14ac:dyDescent="0.25">
      <c r="A1061" s="1" t="s">
        <v>11</v>
      </c>
      <c r="B1061" s="1" t="s">
        <v>1092</v>
      </c>
      <c r="C1061" s="1" t="s">
        <v>23</v>
      </c>
      <c r="D1061" s="1" t="s">
        <v>1622</v>
      </c>
      <c r="E1061" s="1" t="s">
        <v>1623</v>
      </c>
      <c r="F1061" s="1" t="s">
        <v>14</v>
      </c>
      <c r="G1061" s="1">
        <v>4551763</v>
      </c>
      <c r="H1061" s="1">
        <v>0</v>
      </c>
      <c r="I1061" s="1">
        <v>0</v>
      </c>
      <c r="J1061" s="1" t="s">
        <v>14</v>
      </c>
      <c r="K1061" s="1">
        <v>4551763</v>
      </c>
    </row>
    <row r="1062" spans="1:11" x14ac:dyDescent="0.25">
      <c r="A1062" s="1" t="s">
        <v>11</v>
      </c>
      <c r="B1062" s="1" t="s">
        <v>1092</v>
      </c>
      <c r="C1062" s="1" t="s">
        <v>26</v>
      </c>
      <c r="D1062" s="1" t="s">
        <v>1624</v>
      </c>
      <c r="E1062" s="1" t="s">
        <v>1621</v>
      </c>
      <c r="F1062" s="1" t="s">
        <v>14</v>
      </c>
      <c r="G1062" s="1">
        <v>4551763</v>
      </c>
      <c r="H1062" s="1">
        <v>0</v>
      </c>
      <c r="I1062" s="1">
        <v>0</v>
      </c>
      <c r="J1062" s="1" t="s">
        <v>14</v>
      </c>
      <c r="K1062" s="1">
        <v>4551763</v>
      </c>
    </row>
    <row r="1063" spans="1:11" x14ac:dyDescent="0.25">
      <c r="A1063" s="1" t="s">
        <v>11</v>
      </c>
      <c r="B1063" s="1" t="s">
        <v>1092</v>
      </c>
      <c r="C1063" s="1" t="s">
        <v>23</v>
      </c>
      <c r="D1063" s="1" t="s">
        <v>1625</v>
      </c>
      <c r="E1063" s="1" t="s">
        <v>1021</v>
      </c>
      <c r="F1063" s="1" t="s">
        <v>14</v>
      </c>
      <c r="G1063" s="1">
        <v>766382495.89999998</v>
      </c>
      <c r="H1063" s="1">
        <v>31664535.640000001</v>
      </c>
      <c r="I1063" s="1">
        <v>36000</v>
      </c>
      <c r="J1063" s="1" t="s">
        <v>14</v>
      </c>
      <c r="K1063" s="1">
        <v>798011031.53999996</v>
      </c>
    </row>
    <row r="1064" spans="1:11" x14ac:dyDescent="0.25">
      <c r="A1064" s="1" t="s">
        <v>11</v>
      </c>
      <c r="B1064" s="1" t="s">
        <v>1092</v>
      </c>
      <c r="C1064" s="1" t="s">
        <v>26</v>
      </c>
      <c r="D1064" s="1" t="s">
        <v>1626</v>
      </c>
      <c r="E1064" s="1" t="s">
        <v>1627</v>
      </c>
      <c r="F1064" s="1" t="s">
        <v>14</v>
      </c>
      <c r="G1064" s="1">
        <v>765479244.79999995</v>
      </c>
      <c r="H1064" s="1">
        <v>28605535.640000001</v>
      </c>
      <c r="I1064" s="1">
        <v>0</v>
      </c>
      <c r="J1064" s="1" t="s">
        <v>14</v>
      </c>
      <c r="K1064" s="1">
        <v>794084780.44000006</v>
      </c>
    </row>
    <row r="1065" spans="1:11" x14ac:dyDescent="0.25">
      <c r="A1065" s="1" t="s">
        <v>11</v>
      </c>
      <c r="B1065" s="1" t="s">
        <v>1092</v>
      </c>
      <c r="C1065" s="1" t="s">
        <v>26</v>
      </c>
      <c r="D1065" s="1" t="s">
        <v>1628</v>
      </c>
      <c r="E1065" s="1" t="s">
        <v>1629</v>
      </c>
      <c r="F1065" s="1" t="s">
        <v>14</v>
      </c>
      <c r="G1065" s="1">
        <v>903251.1</v>
      </c>
      <c r="H1065" s="1">
        <v>3059000</v>
      </c>
      <c r="I1065" s="1">
        <v>36000</v>
      </c>
      <c r="J1065" s="1" t="s">
        <v>14</v>
      </c>
      <c r="K1065" s="1">
        <v>3926251.1</v>
      </c>
    </row>
    <row r="1066" spans="1:11" x14ac:dyDescent="0.25">
      <c r="A1066" s="1" t="s">
        <v>11</v>
      </c>
      <c r="B1066" s="1" t="s">
        <v>1092</v>
      </c>
      <c r="C1066" s="1" t="s">
        <v>23</v>
      </c>
      <c r="D1066" s="1" t="s">
        <v>1630</v>
      </c>
      <c r="E1066" s="1" t="s">
        <v>1033</v>
      </c>
      <c r="F1066" s="1" t="s">
        <v>14</v>
      </c>
      <c r="G1066" s="1">
        <v>6688853</v>
      </c>
      <c r="H1066" s="1">
        <v>0</v>
      </c>
      <c r="I1066" s="1">
        <v>0</v>
      </c>
      <c r="J1066" s="1" t="s">
        <v>14</v>
      </c>
      <c r="K1066" s="1">
        <v>6688853</v>
      </c>
    </row>
    <row r="1067" spans="1:11" x14ac:dyDescent="0.25">
      <c r="A1067" s="1" t="s">
        <v>11</v>
      </c>
      <c r="B1067" s="1" t="s">
        <v>1092</v>
      </c>
      <c r="C1067" s="1" t="s">
        <v>26</v>
      </c>
      <c r="D1067" s="1" t="s">
        <v>1631</v>
      </c>
      <c r="E1067" s="1" t="s">
        <v>1033</v>
      </c>
      <c r="F1067" s="1" t="s">
        <v>14</v>
      </c>
      <c r="G1067" s="1">
        <v>6688853</v>
      </c>
      <c r="H1067" s="1">
        <v>0</v>
      </c>
      <c r="I1067" s="1">
        <v>0</v>
      </c>
      <c r="J1067" s="1" t="s">
        <v>14</v>
      </c>
      <c r="K1067" s="1">
        <v>6688853</v>
      </c>
    </row>
    <row r="1068" spans="1:11" x14ac:dyDescent="0.25">
      <c r="A1068" s="1" t="s">
        <v>11</v>
      </c>
      <c r="B1068" s="1" t="s">
        <v>1092</v>
      </c>
      <c r="C1068" s="1" t="s">
        <v>23</v>
      </c>
      <c r="D1068" s="1" t="s">
        <v>1632</v>
      </c>
      <c r="E1068" s="1" t="s">
        <v>1036</v>
      </c>
      <c r="F1068" s="1" t="s">
        <v>14</v>
      </c>
      <c r="G1068" s="1">
        <v>144977791</v>
      </c>
      <c r="H1068" s="1">
        <v>0</v>
      </c>
      <c r="I1068" s="1">
        <v>0</v>
      </c>
      <c r="J1068" s="1" t="s">
        <v>14</v>
      </c>
      <c r="K1068" s="1">
        <v>144977791</v>
      </c>
    </row>
    <row r="1069" spans="1:11" x14ac:dyDescent="0.25">
      <c r="A1069" s="1" t="s">
        <v>11</v>
      </c>
      <c r="B1069" s="1" t="s">
        <v>1092</v>
      </c>
      <c r="C1069" s="1" t="s">
        <v>26</v>
      </c>
      <c r="D1069" s="1" t="s">
        <v>1633</v>
      </c>
      <c r="E1069" s="1" t="s">
        <v>1036</v>
      </c>
      <c r="F1069" s="1" t="s">
        <v>14</v>
      </c>
      <c r="G1069" s="1">
        <v>144977791</v>
      </c>
      <c r="H1069" s="1">
        <v>0</v>
      </c>
      <c r="I1069" s="1">
        <v>0</v>
      </c>
      <c r="J1069" s="1" t="s">
        <v>14</v>
      </c>
      <c r="K1069" s="1">
        <v>144977791</v>
      </c>
    </row>
    <row r="1070" spans="1:11" x14ac:dyDescent="0.25">
      <c r="A1070" s="1" t="s">
        <v>11</v>
      </c>
      <c r="B1070" s="1" t="s">
        <v>1092</v>
      </c>
      <c r="C1070" s="1" t="s">
        <v>18</v>
      </c>
      <c r="D1070" s="1" t="s">
        <v>1634</v>
      </c>
      <c r="E1070" s="1" t="s">
        <v>1635</v>
      </c>
      <c r="F1070" s="1" t="s">
        <v>14</v>
      </c>
      <c r="G1070" s="1">
        <v>12996240.289999999</v>
      </c>
      <c r="H1070" s="1">
        <v>2855640.76</v>
      </c>
      <c r="I1070" s="1">
        <v>0</v>
      </c>
      <c r="J1070" s="1" t="s">
        <v>14</v>
      </c>
      <c r="K1070" s="1">
        <v>15851881.050000001</v>
      </c>
    </row>
    <row r="1071" spans="1:11" x14ac:dyDescent="0.25">
      <c r="A1071" s="1" t="s">
        <v>11</v>
      </c>
      <c r="B1071" s="1" t="s">
        <v>1092</v>
      </c>
      <c r="C1071" s="1" t="s">
        <v>21</v>
      </c>
      <c r="D1071" s="1" t="s">
        <v>1636</v>
      </c>
      <c r="E1071" s="1" t="s">
        <v>1635</v>
      </c>
      <c r="F1071" s="1" t="s">
        <v>14</v>
      </c>
      <c r="G1071" s="1">
        <v>12996240.289999999</v>
      </c>
      <c r="H1071" s="1">
        <v>2855640.76</v>
      </c>
      <c r="I1071" s="1">
        <v>0</v>
      </c>
      <c r="J1071" s="1" t="s">
        <v>14</v>
      </c>
      <c r="K1071" s="1">
        <v>15851881.050000001</v>
      </c>
    </row>
    <row r="1072" spans="1:11" x14ac:dyDescent="0.25">
      <c r="A1072" s="1" t="s">
        <v>11</v>
      </c>
      <c r="B1072" s="1" t="s">
        <v>1092</v>
      </c>
      <c r="C1072" s="1" t="s">
        <v>23</v>
      </c>
      <c r="D1072" s="1" t="s">
        <v>1637</v>
      </c>
      <c r="E1072" s="1" t="s">
        <v>1638</v>
      </c>
      <c r="F1072" s="1" t="s">
        <v>14</v>
      </c>
      <c r="G1072" s="1">
        <v>12996240.289999999</v>
      </c>
      <c r="H1072" s="1">
        <v>2838298.76</v>
      </c>
      <c r="I1072" s="1">
        <v>0</v>
      </c>
      <c r="J1072" s="1" t="s">
        <v>14</v>
      </c>
      <c r="K1072" s="1">
        <v>15834539.050000001</v>
      </c>
    </row>
    <row r="1073" spans="1:11" x14ac:dyDescent="0.25">
      <c r="A1073" s="1" t="s">
        <v>11</v>
      </c>
      <c r="B1073" s="1" t="s">
        <v>1092</v>
      </c>
      <c r="C1073" s="1" t="s">
        <v>26</v>
      </c>
      <c r="D1073" s="1" t="s">
        <v>1639</v>
      </c>
      <c r="E1073" s="1" t="s">
        <v>1640</v>
      </c>
      <c r="F1073" s="1" t="s">
        <v>14</v>
      </c>
      <c r="G1073" s="1">
        <v>12996240.289999999</v>
      </c>
      <c r="H1073" s="1">
        <v>2838298.76</v>
      </c>
      <c r="I1073" s="1">
        <v>0</v>
      </c>
      <c r="J1073" s="1" t="s">
        <v>14</v>
      </c>
      <c r="K1073" s="1">
        <v>15834539.050000001</v>
      </c>
    </row>
    <row r="1074" spans="1:11" x14ac:dyDescent="0.25">
      <c r="A1074" s="1" t="s">
        <v>11</v>
      </c>
      <c r="B1074" s="1" t="s">
        <v>1092</v>
      </c>
      <c r="C1074" s="1" t="s">
        <v>23</v>
      </c>
      <c r="D1074" s="1" t="s">
        <v>1641</v>
      </c>
      <c r="E1074" s="1" t="s">
        <v>1642</v>
      </c>
      <c r="F1074" s="1" t="s">
        <v>14</v>
      </c>
      <c r="G1074" s="1">
        <v>0</v>
      </c>
      <c r="H1074" s="1">
        <v>17342</v>
      </c>
      <c r="I1074" s="1">
        <v>0</v>
      </c>
      <c r="J1074" s="1" t="s">
        <v>14</v>
      </c>
      <c r="K1074" s="1">
        <v>17342</v>
      </c>
    </row>
    <row r="1075" spans="1:11" x14ac:dyDescent="0.25">
      <c r="A1075" s="1" t="s">
        <v>11</v>
      </c>
      <c r="B1075" s="1" t="s">
        <v>1092</v>
      </c>
      <c r="C1075" s="1" t="s">
        <v>26</v>
      </c>
      <c r="D1075" s="1" t="s">
        <v>1643</v>
      </c>
      <c r="E1075" s="1" t="s">
        <v>1644</v>
      </c>
      <c r="F1075" s="1" t="s">
        <v>14</v>
      </c>
      <c r="G1075" s="1">
        <v>0</v>
      </c>
      <c r="H1075" s="1">
        <v>17342</v>
      </c>
      <c r="I1075" s="1">
        <v>0</v>
      </c>
      <c r="J1075" s="1" t="s">
        <v>14</v>
      </c>
      <c r="K1075" s="1">
        <v>17342</v>
      </c>
    </row>
    <row r="1076" spans="1:11" x14ac:dyDescent="0.25">
      <c r="A1076" s="1" t="s">
        <v>11</v>
      </c>
      <c r="B1076" s="1" t="s">
        <v>1092</v>
      </c>
      <c r="C1076" s="1" t="s">
        <v>18</v>
      </c>
      <c r="D1076" s="1" t="s">
        <v>1645</v>
      </c>
      <c r="E1076" s="1" t="s">
        <v>1646</v>
      </c>
      <c r="F1076" s="1" t="s">
        <v>14</v>
      </c>
      <c r="G1076" s="1">
        <v>410153419</v>
      </c>
      <c r="H1076" s="1">
        <v>46699939</v>
      </c>
      <c r="I1076" s="1">
        <v>0</v>
      </c>
      <c r="J1076" s="1" t="s">
        <v>14</v>
      </c>
      <c r="K1076" s="1">
        <v>456853358</v>
      </c>
    </row>
    <row r="1077" spans="1:11" x14ac:dyDescent="0.25">
      <c r="A1077" s="1" t="s">
        <v>11</v>
      </c>
      <c r="B1077" s="1" t="s">
        <v>1092</v>
      </c>
      <c r="C1077" s="1" t="s">
        <v>21</v>
      </c>
      <c r="D1077" s="1" t="s">
        <v>1647</v>
      </c>
      <c r="E1077" s="1" t="s">
        <v>1646</v>
      </c>
      <c r="F1077" s="1" t="s">
        <v>14</v>
      </c>
      <c r="G1077" s="1">
        <v>410153419</v>
      </c>
      <c r="H1077" s="1">
        <v>46699939</v>
      </c>
      <c r="I1077" s="1">
        <v>0</v>
      </c>
      <c r="J1077" s="1" t="s">
        <v>14</v>
      </c>
      <c r="K1077" s="1">
        <v>456853358</v>
      </c>
    </row>
    <row r="1078" spans="1:11" x14ac:dyDescent="0.25">
      <c r="A1078" s="1" t="s">
        <v>11</v>
      </c>
      <c r="B1078" s="1" t="s">
        <v>1092</v>
      </c>
      <c r="C1078" s="1" t="s">
        <v>23</v>
      </c>
      <c r="D1078" s="1" t="s">
        <v>1648</v>
      </c>
      <c r="E1078" s="1" t="s">
        <v>719</v>
      </c>
      <c r="F1078" s="1" t="s">
        <v>14</v>
      </c>
      <c r="G1078" s="1">
        <v>409553950</v>
      </c>
      <c r="H1078" s="1">
        <v>46699939</v>
      </c>
      <c r="I1078" s="1">
        <v>0</v>
      </c>
      <c r="J1078" s="1" t="s">
        <v>14</v>
      </c>
      <c r="K1078" s="1">
        <v>456253889</v>
      </c>
    </row>
    <row r="1079" spans="1:11" x14ac:dyDescent="0.25">
      <c r="A1079" s="1" t="s">
        <v>11</v>
      </c>
      <c r="B1079" s="1" t="s">
        <v>1092</v>
      </c>
      <c r="C1079" s="1" t="s">
        <v>26</v>
      </c>
      <c r="D1079" s="1" t="s">
        <v>1649</v>
      </c>
      <c r="E1079" s="1" t="s">
        <v>1650</v>
      </c>
      <c r="F1079" s="1" t="s">
        <v>14</v>
      </c>
      <c r="G1079" s="1">
        <v>409553950</v>
      </c>
      <c r="H1079" s="1">
        <v>46699939</v>
      </c>
      <c r="I1079" s="1">
        <v>0</v>
      </c>
      <c r="J1079" s="1" t="s">
        <v>14</v>
      </c>
      <c r="K1079" s="1">
        <v>456253889</v>
      </c>
    </row>
    <row r="1080" spans="1:11" x14ac:dyDescent="0.25">
      <c r="A1080" s="1" t="s">
        <v>11</v>
      </c>
      <c r="B1080" s="1" t="s">
        <v>1092</v>
      </c>
      <c r="C1080" s="1" t="s">
        <v>23</v>
      </c>
      <c r="D1080" s="1" t="s">
        <v>1651</v>
      </c>
      <c r="E1080" s="1" t="s">
        <v>1652</v>
      </c>
      <c r="F1080" s="1" t="s">
        <v>14</v>
      </c>
      <c r="G1080" s="1">
        <v>599469</v>
      </c>
      <c r="H1080" s="1">
        <v>0</v>
      </c>
      <c r="I1080" s="1">
        <v>0</v>
      </c>
      <c r="J1080" s="1" t="s">
        <v>14</v>
      </c>
      <c r="K1080" s="1">
        <v>599469</v>
      </c>
    </row>
    <row r="1081" spans="1:11" x14ac:dyDescent="0.25">
      <c r="A1081" s="1" t="s">
        <v>11</v>
      </c>
      <c r="B1081" s="1" t="s">
        <v>1092</v>
      </c>
      <c r="C1081" s="1" t="s">
        <v>26</v>
      </c>
      <c r="D1081" s="1" t="s">
        <v>1653</v>
      </c>
      <c r="E1081" s="1" t="s">
        <v>1654</v>
      </c>
      <c r="F1081" s="1" t="s">
        <v>14</v>
      </c>
      <c r="G1081" s="1">
        <v>599469</v>
      </c>
      <c r="H1081" s="1">
        <v>0</v>
      </c>
      <c r="I1081" s="1">
        <v>0</v>
      </c>
      <c r="J1081" s="1" t="s">
        <v>14</v>
      </c>
      <c r="K1081" s="1">
        <v>599469</v>
      </c>
    </row>
    <row r="1082" spans="1:11" x14ac:dyDescent="0.25">
      <c r="A1082" s="1" t="s">
        <v>11</v>
      </c>
      <c r="B1082" s="1" t="s">
        <v>1092</v>
      </c>
      <c r="C1082" s="1" t="s">
        <v>18</v>
      </c>
      <c r="D1082" s="1" t="s">
        <v>1655</v>
      </c>
      <c r="E1082" s="1" t="s">
        <v>1656</v>
      </c>
      <c r="F1082" s="1" t="s">
        <v>14</v>
      </c>
      <c r="G1082" s="1">
        <v>36411629.490000002</v>
      </c>
      <c r="H1082" s="1">
        <v>0</v>
      </c>
      <c r="I1082" s="1">
        <v>3.99</v>
      </c>
      <c r="J1082" s="1" t="s">
        <v>14</v>
      </c>
      <c r="K1082" s="1">
        <v>36411625.5</v>
      </c>
    </row>
    <row r="1083" spans="1:11" x14ac:dyDescent="0.25">
      <c r="A1083" s="1" t="s">
        <v>11</v>
      </c>
      <c r="B1083" s="1" t="s">
        <v>1092</v>
      </c>
      <c r="C1083" s="1" t="s">
        <v>21</v>
      </c>
      <c r="D1083" s="1" t="s">
        <v>1657</v>
      </c>
      <c r="E1083" s="1" t="s">
        <v>1656</v>
      </c>
      <c r="F1083" s="1" t="s">
        <v>14</v>
      </c>
      <c r="G1083" s="1">
        <v>36411629.490000002</v>
      </c>
      <c r="H1083" s="1">
        <v>0</v>
      </c>
      <c r="I1083" s="1">
        <v>3.99</v>
      </c>
      <c r="J1083" s="1" t="s">
        <v>14</v>
      </c>
      <c r="K1083" s="1">
        <v>36411625.5</v>
      </c>
    </row>
    <row r="1084" spans="1:11" x14ac:dyDescent="0.25">
      <c r="A1084" s="1" t="s">
        <v>11</v>
      </c>
      <c r="B1084" s="1" t="s">
        <v>1092</v>
      </c>
      <c r="C1084" s="1" t="s">
        <v>23</v>
      </c>
      <c r="D1084" s="1" t="s">
        <v>1658</v>
      </c>
      <c r="E1084" s="1" t="s">
        <v>1659</v>
      </c>
      <c r="F1084" s="1" t="s">
        <v>14</v>
      </c>
      <c r="G1084" s="1">
        <v>36411273.520000003</v>
      </c>
      <c r="H1084" s="1">
        <v>0</v>
      </c>
      <c r="I1084" s="1">
        <v>0</v>
      </c>
      <c r="J1084" s="1" t="s">
        <v>14</v>
      </c>
      <c r="K1084" s="1">
        <v>36411273.520000003</v>
      </c>
    </row>
    <row r="1085" spans="1:11" x14ac:dyDescent="0.25">
      <c r="A1085" s="1" t="s">
        <v>11</v>
      </c>
      <c r="B1085" s="1" t="s">
        <v>1092</v>
      </c>
      <c r="C1085" s="1" t="s">
        <v>26</v>
      </c>
      <c r="D1085" s="1" t="s">
        <v>1660</v>
      </c>
      <c r="E1085" s="1" t="s">
        <v>1659</v>
      </c>
      <c r="F1085" s="1" t="s">
        <v>14</v>
      </c>
      <c r="G1085" s="1">
        <v>36411273.520000003</v>
      </c>
      <c r="H1085" s="1">
        <v>0</v>
      </c>
      <c r="I1085" s="1">
        <v>0</v>
      </c>
      <c r="J1085" s="1" t="s">
        <v>14</v>
      </c>
      <c r="K1085" s="1">
        <v>36411273.520000003</v>
      </c>
    </row>
    <row r="1086" spans="1:11" x14ac:dyDescent="0.25">
      <c r="A1086" s="1" t="s">
        <v>11</v>
      </c>
      <c r="B1086" s="1" t="s">
        <v>1092</v>
      </c>
      <c r="C1086" s="1" t="s">
        <v>23</v>
      </c>
      <c r="D1086" s="1" t="s">
        <v>1661</v>
      </c>
      <c r="E1086" s="1" t="s">
        <v>1071</v>
      </c>
      <c r="F1086" s="1" t="s">
        <v>14</v>
      </c>
      <c r="G1086" s="1">
        <v>355.97</v>
      </c>
      <c r="H1086" s="1">
        <v>0</v>
      </c>
      <c r="I1086" s="1">
        <v>3.99</v>
      </c>
      <c r="J1086" s="1" t="s">
        <v>14</v>
      </c>
      <c r="K1086" s="1">
        <v>351.98</v>
      </c>
    </row>
    <row r="1087" spans="1:11" x14ac:dyDescent="0.25">
      <c r="A1087" s="1" t="s">
        <v>11</v>
      </c>
      <c r="B1087" s="1" t="s">
        <v>1092</v>
      </c>
      <c r="C1087" s="1" t="s">
        <v>26</v>
      </c>
      <c r="D1087" s="1" t="s">
        <v>1662</v>
      </c>
      <c r="E1087" s="1" t="s">
        <v>1071</v>
      </c>
      <c r="F1087" s="1" t="s">
        <v>14</v>
      </c>
      <c r="G1087" s="1">
        <v>355.97</v>
      </c>
      <c r="H1087" s="1">
        <v>0</v>
      </c>
      <c r="I1087" s="1">
        <v>3.99</v>
      </c>
      <c r="J1087" s="1" t="s">
        <v>14</v>
      </c>
      <c r="K1087" s="1">
        <v>351.98</v>
      </c>
    </row>
    <row r="1088" spans="1:11" x14ac:dyDescent="0.25">
      <c r="A1088" s="1" t="s">
        <v>11</v>
      </c>
      <c r="B1088" s="1" t="s">
        <v>1092</v>
      </c>
      <c r="C1088" s="1" t="s">
        <v>15</v>
      </c>
      <c r="D1088" s="1" t="s">
        <v>1663</v>
      </c>
      <c r="E1088" s="1" t="s">
        <v>1664</v>
      </c>
      <c r="F1088" s="1" t="s">
        <v>14</v>
      </c>
      <c r="G1088" s="1">
        <v>700000000</v>
      </c>
      <c r="H1088" s="1">
        <v>70000000</v>
      </c>
      <c r="I1088" s="1">
        <v>0</v>
      </c>
      <c r="J1088" s="1" t="s">
        <v>14</v>
      </c>
      <c r="K1088" s="1">
        <v>770000000</v>
      </c>
    </row>
    <row r="1089" spans="1:11" x14ac:dyDescent="0.25">
      <c r="A1089" s="1" t="s">
        <v>11</v>
      </c>
      <c r="B1089" s="1" t="s">
        <v>1092</v>
      </c>
      <c r="C1089" s="1" t="s">
        <v>18</v>
      </c>
      <c r="D1089" s="1" t="s">
        <v>1665</v>
      </c>
      <c r="E1089" s="1" t="s">
        <v>1666</v>
      </c>
      <c r="F1089" s="1" t="s">
        <v>14</v>
      </c>
      <c r="G1089" s="1">
        <v>700000000</v>
      </c>
      <c r="H1089" s="1">
        <v>70000000</v>
      </c>
      <c r="I1089" s="1">
        <v>0</v>
      </c>
      <c r="J1089" s="1" t="s">
        <v>14</v>
      </c>
      <c r="K1089" s="1">
        <v>770000000</v>
      </c>
    </row>
    <row r="1090" spans="1:11" x14ac:dyDescent="0.25">
      <c r="A1090" s="1" t="s">
        <v>11</v>
      </c>
      <c r="B1090" s="1" t="s">
        <v>1092</v>
      </c>
      <c r="C1090" s="1" t="s">
        <v>21</v>
      </c>
      <c r="D1090" s="1" t="s">
        <v>1667</v>
      </c>
      <c r="E1090" s="1" t="s">
        <v>1668</v>
      </c>
      <c r="F1090" s="1" t="s">
        <v>14</v>
      </c>
      <c r="G1090" s="1">
        <v>700000000</v>
      </c>
      <c r="H1090" s="1">
        <v>70000000</v>
      </c>
      <c r="I1090" s="1">
        <v>0</v>
      </c>
      <c r="J1090" s="1" t="s">
        <v>14</v>
      </c>
      <c r="K1090" s="1">
        <v>770000000</v>
      </c>
    </row>
    <row r="1091" spans="1:11" x14ac:dyDescent="0.25">
      <c r="A1091" s="1" t="s">
        <v>11</v>
      </c>
      <c r="B1091" s="1" t="s">
        <v>1092</v>
      </c>
      <c r="C1091" s="1" t="s">
        <v>23</v>
      </c>
      <c r="D1091" s="1" t="s">
        <v>1669</v>
      </c>
      <c r="E1091" s="1" t="s">
        <v>1670</v>
      </c>
      <c r="F1091" s="1" t="s">
        <v>14</v>
      </c>
      <c r="G1091" s="1">
        <v>700000000</v>
      </c>
      <c r="H1091" s="1">
        <v>70000000</v>
      </c>
      <c r="I1091" s="1">
        <v>0</v>
      </c>
      <c r="J1091" s="1" t="s">
        <v>14</v>
      </c>
      <c r="K1091" s="1">
        <v>770000000</v>
      </c>
    </row>
    <row r="1092" spans="1:11" x14ac:dyDescent="0.25">
      <c r="A1092" s="1" t="s">
        <v>11</v>
      </c>
      <c r="B1092" s="1" t="s">
        <v>1092</v>
      </c>
      <c r="C1092" s="1" t="s">
        <v>26</v>
      </c>
      <c r="D1092" s="1" t="s">
        <v>1671</v>
      </c>
      <c r="E1092" s="1" t="s">
        <v>1670</v>
      </c>
      <c r="F1092" s="1" t="s">
        <v>14</v>
      </c>
      <c r="G1092" s="1">
        <v>700000000</v>
      </c>
      <c r="H1092" s="1">
        <v>70000000</v>
      </c>
      <c r="I1092" s="1">
        <v>0</v>
      </c>
      <c r="J1092" s="1" t="s">
        <v>14</v>
      </c>
      <c r="K1092" s="1">
        <v>770000000</v>
      </c>
    </row>
    <row r="1093" spans="1:11" x14ac:dyDescent="0.25">
      <c r="A1093" s="1" t="s">
        <v>11</v>
      </c>
      <c r="B1093" s="1" t="s">
        <v>1672</v>
      </c>
      <c r="C1093" s="1" t="s">
        <v>13</v>
      </c>
      <c r="D1093" s="1" t="s">
        <v>26</v>
      </c>
      <c r="E1093" s="1" t="s">
        <v>1673</v>
      </c>
      <c r="F1093" s="1" t="s">
        <v>14</v>
      </c>
      <c r="G1093" s="1">
        <v>43038375623.709999</v>
      </c>
      <c r="H1093" s="1">
        <v>1033697565.8200001</v>
      </c>
      <c r="I1093" s="1">
        <v>130757976.26000001</v>
      </c>
      <c r="J1093" s="1" t="s">
        <v>14</v>
      </c>
      <c r="K1093" s="1">
        <v>43941315213.269997</v>
      </c>
    </row>
    <row r="1094" spans="1:11" x14ac:dyDescent="0.25">
      <c r="A1094" s="1" t="s">
        <v>11</v>
      </c>
      <c r="B1094" s="1" t="s">
        <v>1672</v>
      </c>
      <c r="C1094" s="1" t="s">
        <v>15</v>
      </c>
      <c r="D1094" s="1" t="s">
        <v>1674</v>
      </c>
      <c r="E1094" s="1" t="s">
        <v>1675</v>
      </c>
      <c r="F1094" s="1" t="s">
        <v>14</v>
      </c>
      <c r="G1094" s="1">
        <v>43038375623.709999</v>
      </c>
      <c r="H1094" s="1">
        <v>1033697565.8200001</v>
      </c>
      <c r="I1094" s="1">
        <v>130757976.26000001</v>
      </c>
      <c r="J1094" s="1" t="s">
        <v>14</v>
      </c>
      <c r="K1094" s="1">
        <v>43941315213.269997</v>
      </c>
    </row>
    <row r="1095" spans="1:11" x14ac:dyDescent="0.25">
      <c r="A1095" s="1" t="s">
        <v>11</v>
      </c>
      <c r="B1095" s="1" t="s">
        <v>1672</v>
      </c>
      <c r="C1095" s="1" t="s">
        <v>18</v>
      </c>
      <c r="D1095" s="1" t="s">
        <v>1676</v>
      </c>
      <c r="E1095" s="1" t="s">
        <v>777</v>
      </c>
      <c r="F1095" s="1" t="s">
        <v>14</v>
      </c>
      <c r="G1095" s="1">
        <v>5284103251.3599997</v>
      </c>
      <c r="H1095" s="1">
        <v>66311287.009999998</v>
      </c>
      <c r="I1095" s="1">
        <v>5417853</v>
      </c>
      <c r="J1095" s="1" t="s">
        <v>14</v>
      </c>
      <c r="K1095" s="1">
        <v>5344996685.3699999</v>
      </c>
    </row>
    <row r="1096" spans="1:11" x14ac:dyDescent="0.25">
      <c r="A1096" s="1" t="s">
        <v>11</v>
      </c>
      <c r="B1096" s="1" t="s">
        <v>1672</v>
      </c>
      <c r="C1096" s="1" t="s">
        <v>21</v>
      </c>
      <c r="D1096" s="1" t="s">
        <v>1677</v>
      </c>
      <c r="E1096" s="1" t="s">
        <v>1098</v>
      </c>
      <c r="F1096" s="1" t="s">
        <v>14</v>
      </c>
      <c r="G1096" s="1">
        <v>881675982.48000002</v>
      </c>
      <c r="H1096" s="1">
        <v>60330624.200000003</v>
      </c>
      <c r="I1096" s="1">
        <v>5417853</v>
      </c>
      <c r="J1096" s="1" t="s">
        <v>14</v>
      </c>
      <c r="K1096" s="1">
        <v>936588753.67999995</v>
      </c>
    </row>
    <row r="1097" spans="1:11" x14ac:dyDescent="0.25">
      <c r="A1097" s="1" t="s">
        <v>11</v>
      </c>
      <c r="B1097" s="1" t="s">
        <v>1672</v>
      </c>
      <c r="C1097" s="1" t="s">
        <v>23</v>
      </c>
      <c r="D1097" s="1" t="s">
        <v>1678</v>
      </c>
      <c r="E1097" s="1" t="s">
        <v>1679</v>
      </c>
      <c r="F1097" s="1" t="s">
        <v>14</v>
      </c>
      <c r="G1097" s="1">
        <v>796495813</v>
      </c>
      <c r="H1097" s="1">
        <v>52789248</v>
      </c>
      <c r="I1097" s="1">
        <v>5377253</v>
      </c>
      <c r="J1097" s="1" t="s">
        <v>14</v>
      </c>
      <c r="K1097" s="1">
        <v>843907808</v>
      </c>
    </row>
    <row r="1098" spans="1:11" x14ac:dyDescent="0.25">
      <c r="A1098" s="1" t="s">
        <v>11</v>
      </c>
      <c r="B1098" s="1" t="s">
        <v>1672</v>
      </c>
      <c r="C1098" s="1" t="s">
        <v>26</v>
      </c>
      <c r="D1098" s="1" t="s">
        <v>1680</v>
      </c>
      <c r="E1098" s="1" t="s">
        <v>237</v>
      </c>
      <c r="F1098" s="1" t="s">
        <v>14</v>
      </c>
      <c r="G1098" s="1">
        <v>411172698</v>
      </c>
      <c r="H1098" s="1">
        <v>26449106</v>
      </c>
      <c r="I1098" s="1">
        <v>3541590</v>
      </c>
      <c r="J1098" s="1" t="s">
        <v>14</v>
      </c>
      <c r="K1098" s="1">
        <v>434080214</v>
      </c>
    </row>
    <row r="1099" spans="1:11" x14ac:dyDescent="0.25">
      <c r="A1099" s="1" t="s">
        <v>11</v>
      </c>
      <c r="B1099" s="1" t="s">
        <v>1672</v>
      </c>
      <c r="C1099" s="1" t="s">
        <v>26</v>
      </c>
      <c r="D1099" s="1" t="s">
        <v>1681</v>
      </c>
      <c r="E1099" s="1" t="s">
        <v>246</v>
      </c>
      <c r="F1099" s="1" t="s">
        <v>14</v>
      </c>
      <c r="G1099" s="1">
        <v>358620241</v>
      </c>
      <c r="H1099" s="1">
        <v>26340142</v>
      </c>
      <c r="I1099" s="1">
        <v>1835663</v>
      </c>
      <c r="J1099" s="1" t="s">
        <v>14</v>
      </c>
      <c r="K1099" s="1">
        <v>383124720</v>
      </c>
    </row>
    <row r="1100" spans="1:11" x14ac:dyDescent="0.25">
      <c r="A1100" s="1" t="s">
        <v>11</v>
      </c>
      <c r="B1100" s="1" t="s">
        <v>1672</v>
      </c>
      <c r="C1100" s="1" t="s">
        <v>26</v>
      </c>
      <c r="D1100" s="1" t="s">
        <v>1682</v>
      </c>
      <c r="E1100" s="1" t="s">
        <v>1683</v>
      </c>
      <c r="F1100" s="1" t="s">
        <v>14</v>
      </c>
      <c r="G1100" s="1">
        <v>26701914</v>
      </c>
      <c r="H1100" s="1">
        <v>0</v>
      </c>
      <c r="I1100" s="1">
        <v>0</v>
      </c>
      <c r="J1100" s="1" t="s">
        <v>14</v>
      </c>
      <c r="K1100" s="1">
        <v>26701914</v>
      </c>
    </row>
    <row r="1101" spans="1:11" x14ac:dyDescent="0.25">
      <c r="A1101" s="1" t="s">
        <v>11</v>
      </c>
      <c r="B1101" s="1" t="s">
        <v>1672</v>
      </c>
      <c r="C1101" s="1" t="s">
        <v>26</v>
      </c>
      <c r="D1101" s="1" t="s">
        <v>1684</v>
      </c>
      <c r="E1101" s="1" t="s">
        <v>1685</v>
      </c>
      <c r="F1101" s="1" t="s">
        <v>14</v>
      </c>
      <c r="G1101" s="1">
        <v>960</v>
      </c>
      <c r="H1101" s="1">
        <v>0</v>
      </c>
      <c r="I1101" s="1">
        <v>0</v>
      </c>
      <c r="J1101" s="1" t="s">
        <v>14</v>
      </c>
      <c r="K1101" s="1">
        <v>960</v>
      </c>
    </row>
    <row r="1102" spans="1:11" x14ac:dyDescent="0.25">
      <c r="A1102" s="1" t="s">
        <v>11</v>
      </c>
      <c r="B1102" s="1" t="s">
        <v>1672</v>
      </c>
      <c r="C1102" s="1" t="s">
        <v>23</v>
      </c>
      <c r="D1102" s="1" t="s">
        <v>1686</v>
      </c>
      <c r="E1102" s="1" t="s">
        <v>1100</v>
      </c>
      <c r="F1102" s="1" t="s">
        <v>14</v>
      </c>
      <c r="G1102" s="1">
        <v>77530442.480000004</v>
      </c>
      <c r="H1102" s="1">
        <v>6757716.2000000002</v>
      </c>
      <c r="I1102" s="1">
        <v>40600</v>
      </c>
      <c r="J1102" s="1" t="s">
        <v>14</v>
      </c>
      <c r="K1102" s="1">
        <v>84247558.680000007</v>
      </c>
    </row>
    <row r="1103" spans="1:11" x14ac:dyDescent="0.25">
      <c r="A1103" s="1" t="s">
        <v>11</v>
      </c>
      <c r="B1103" s="1" t="s">
        <v>1672</v>
      </c>
      <c r="C1103" s="1" t="s">
        <v>26</v>
      </c>
      <c r="D1103" s="1" t="s">
        <v>1687</v>
      </c>
      <c r="E1103" s="1" t="s">
        <v>1100</v>
      </c>
      <c r="F1103" s="1" t="s">
        <v>14</v>
      </c>
      <c r="G1103" s="1">
        <v>77530442.480000004</v>
      </c>
      <c r="H1103" s="1">
        <v>6757716.2000000002</v>
      </c>
      <c r="I1103" s="1">
        <v>40600</v>
      </c>
      <c r="J1103" s="1" t="s">
        <v>14</v>
      </c>
      <c r="K1103" s="1">
        <v>84247558.680000007</v>
      </c>
    </row>
    <row r="1104" spans="1:11" x14ac:dyDescent="0.25">
      <c r="A1104" s="1" t="s">
        <v>11</v>
      </c>
      <c r="B1104" s="1" t="s">
        <v>1672</v>
      </c>
      <c r="C1104" s="1" t="s">
        <v>23</v>
      </c>
      <c r="D1104" s="1" t="s">
        <v>1688</v>
      </c>
      <c r="E1104" s="1" t="s">
        <v>1103</v>
      </c>
      <c r="F1104" s="1" t="s">
        <v>14</v>
      </c>
      <c r="G1104" s="1">
        <v>7649727</v>
      </c>
      <c r="H1104" s="1">
        <v>783660</v>
      </c>
      <c r="I1104" s="1">
        <v>0</v>
      </c>
      <c r="J1104" s="1" t="s">
        <v>14</v>
      </c>
      <c r="K1104" s="1">
        <v>8433387</v>
      </c>
    </row>
    <row r="1105" spans="1:11" x14ac:dyDescent="0.25">
      <c r="A1105" s="1" t="s">
        <v>11</v>
      </c>
      <c r="B1105" s="1" t="s">
        <v>1672</v>
      </c>
      <c r="C1105" s="1" t="s">
        <v>26</v>
      </c>
      <c r="D1105" s="1" t="s">
        <v>1689</v>
      </c>
      <c r="E1105" s="1" t="s">
        <v>1111</v>
      </c>
      <c r="F1105" s="1" t="s">
        <v>14</v>
      </c>
      <c r="G1105" s="1">
        <v>4807</v>
      </c>
      <c r="H1105" s="1">
        <v>0</v>
      </c>
      <c r="I1105" s="1">
        <v>0</v>
      </c>
      <c r="J1105" s="1" t="s">
        <v>14</v>
      </c>
      <c r="K1105" s="1">
        <v>4807</v>
      </c>
    </row>
    <row r="1106" spans="1:11" x14ac:dyDescent="0.25">
      <c r="A1106" s="1" t="s">
        <v>11</v>
      </c>
      <c r="B1106" s="1" t="s">
        <v>1672</v>
      </c>
      <c r="C1106" s="1" t="s">
        <v>26</v>
      </c>
      <c r="D1106" s="1" t="s">
        <v>1690</v>
      </c>
      <c r="E1106" s="1" t="s">
        <v>1113</v>
      </c>
      <c r="F1106" s="1" t="s">
        <v>14</v>
      </c>
      <c r="G1106" s="1">
        <v>6453846</v>
      </c>
      <c r="H1106" s="1">
        <v>658547</v>
      </c>
      <c r="I1106" s="1">
        <v>0</v>
      </c>
      <c r="J1106" s="1" t="s">
        <v>14</v>
      </c>
      <c r="K1106" s="1">
        <v>7112393</v>
      </c>
    </row>
    <row r="1107" spans="1:11" x14ac:dyDescent="0.25">
      <c r="A1107" s="1" t="s">
        <v>11</v>
      </c>
      <c r="B1107" s="1" t="s">
        <v>1672</v>
      </c>
      <c r="C1107" s="1" t="s">
        <v>26</v>
      </c>
      <c r="D1107" s="1" t="s">
        <v>1691</v>
      </c>
      <c r="E1107" s="1" t="s">
        <v>1692</v>
      </c>
      <c r="F1107" s="1" t="s">
        <v>14</v>
      </c>
      <c r="G1107" s="1">
        <v>913</v>
      </c>
      <c r="H1107" s="1">
        <v>0</v>
      </c>
      <c r="I1107" s="1">
        <v>0</v>
      </c>
      <c r="J1107" s="1" t="s">
        <v>14</v>
      </c>
      <c r="K1107" s="1">
        <v>913</v>
      </c>
    </row>
    <row r="1108" spans="1:11" x14ac:dyDescent="0.25">
      <c r="A1108" s="1" t="s">
        <v>11</v>
      </c>
      <c r="B1108" s="1" t="s">
        <v>1672</v>
      </c>
      <c r="C1108" s="1" t="s">
        <v>26</v>
      </c>
      <c r="D1108" s="1" t="s">
        <v>1693</v>
      </c>
      <c r="E1108" s="1" t="s">
        <v>1123</v>
      </c>
      <c r="F1108" s="1" t="s">
        <v>14</v>
      </c>
      <c r="G1108" s="1">
        <v>1190161</v>
      </c>
      <c r="H1108" s="1">
        <v>125113</v>
      </c>
      <c r="I1108" s="1">
        <v>0</v>
      </c>
      <c r="J1108" s="1" t="s">
        <v>14</v>
      </c>
      <c r="K1108" s="1">
        <v>1315274</v>
      </c>
    </row>
    <row r="1109" spans="1:11" x14ac:dyDescent="0.25">
      <c r="A1109" s="1" t="s">
        <v>11</v>
      </c>
      <c r="B1109" s="1" t="s">
        <v>1672</v>
      </c>
      <c r="C1109" s="1" t="s">
        <v>21</v>
      </c>
      <c r="D1109" s="1" t="s">
        <v>1694</v>
      </c>
      <c r="E1109" s="1" t="s">
        <v>1125</v>
      </c>
      <c r="F1109" s="1" t="s">
        <v>14</v>
      </c>
      <c r="G1109" s="1">
        <v>4273395431.79</v>
      </c>
      <c r="H1109" s="1">
        <v>1144678</v>
      </c>
      <c r="I1109" s="1">
        <v>0</v>
      </c>
      <c r="J1109" s="1" t="s">
        <v>14</v>
      </c>
      <c r="K1109" s="1">
        <v>4274540109.79</v>
      </c>
    </row>
    <row r="1110" spans="1:11" x14ac:dyDescent="0.25">
      <c r="A1110" s="1" t="s">
        <v>11</v>
      </c>
      <c r="B1110" s="1" t="s">
        <v>1672</v>
      </c>
      <c r="C1110" s="1" t="s">
        <v>23</v>
      </c>
      <c r="D1110" s="1" t="s">
        <v>1695</v>
      </c>
      <c r="E1110" s="1" t="s">
        <v>1127</v>
      </c>
      <c r="F1110" s="1" t="s">
        <v>14</v>
      </c>
      <c r="G1110" s="1">
        <v>3937305617.79</v>
      </c>
      <c r="H1110" s="1">
        <v>0</v>
      </c>
      <c r="I1110" s="1">
        <v>0</v>
      </c>
      <c r="J1110" s="1" t="s">
        <v>14</v>
      </c>
      <c r="K1110" s="1">
        <v>3937305617.79</v>
      </c>
    </row>
    <row r="1111" spans="1:11" x14ac:dyDescent="0.25">
      <c r="A1111" s="1" t="s">
        <v>11</v>
      </c>
      <c r="B1111" s="1" t="s">
        <v>1672</v>
      </c>
      <c r="C1111" s="1" t="s">
        <v>26</v>
      </c>
      <c r="D1111" s="1" t="s">
        <v>1696</v>
      </c>
      <c r="E1111" s="1" t="s">
        <v>1129</v>
      </c>
      <c r="F1111" s="1" t="s">
        <v>14</v>
      </c>
      <c r="G1111" s="1">
        <v>1180826401</v>
      </c>
      <c r="H1111" s="1">
        <v>0</v>
      </c>
      <c r="I1111" s="1">
        <v>0</v>
      </c>
      <c r="J1111" s="1" t="s">
        <v>14</v>
      </c>
      <c r="K1111" s="1">
        <v>1180826401</v>
      </c>
    </row>
    <row r="1112" spans="1:11" x14ac:dyDescent="0.25">
      <c r="A1112" s="1" t="s">
        <v>11</v>
      </c>
      <c r="B1112" s="1" t="s">
        <v>1672</v>
      </c>
      <c r="C1112" s="1" t="s">
        <v>26</v>
      </c>
      <c r="D1112" s="1" t="s">
        <v>1697</v>
      </c>
      <c r="E1112" s="1" t="s">
        <v>1131</v>
      </c>
      <c r="F1112" s="1" t="s">
        <v>14</v>
      </c>
      <c r="G1112" s="1">
        <v>1162827485</v>
      </c>
      <c r="H1112" s="1">
        <v>0</v>
      </c>
      <c r="I1112" s="1">
        <v>0</v>
      </c>
      <c r="J1112" s="1" t="s">
        <v>14</v>
      </c>
      <c r="K1112" s="1">
        <v>1162827485</v>
      </c>
    </row>
    <row r="1113" spans="1:11" x14ac:dyDescent="0.25">
      <c r="A1113" s="1" t="s">
        <v>11</v>
      </c>
      <c r="B1113" s="1" t="s">
        <v>1672</v>
      </c>
      <c r="C1113" s="1" t="s">
        <v>26</v>
      </c>
      <c r="D1113" s="1" t="s">
        <v>1698</v>
      </c>
      <c r="E1113" s="1" t="s">
        <v>1416</v>
      </c>
      <c r="F1113" s="1" t="s">
        <v>14</v>
      </c>
      <c r="G1113" s="1">
        <v>785989</v>
      </c>
      <c r="H1113" s="1">
        <v>0</v>
      </c>
      <c r="I1113" s="1">
        <v>0</v>
      </c>
      <c r="J1113" s="1" t="s">
        <v>14</v>
      </c>
      <c r="K1113" s="1">
        <v>785989</v>
      </c>
    </row>
    <row r="1114" spans="1:11" x14ac:dyDescent="0.25">
      <c r="A1114" s="1" t="s">
        <v>11</v>
      </c>
      <c r="B1114" s="1" t="s">
        <v>1672</v>
      </c>
      <c r="C1114" s="1" t="s">
        <v>26</v>
      </c>
      <c r="D1114" s="1" t="s">
        <v>1699</v>
      </c>
      <c r="E1114" s="1" t="s">
        <v>1315</v>
      </c>
      <c r="F1114" s="1" t="s">
        <v>14</v>
      </c>
      <c r="G1114" s="1">
        <v>83064167</v>
      </c>
      <c r="H1114" s="1">
        <v>0</v>
      </c>
      <c r="I1114" s="1">
        <v>0</v>
      </c>
      <c r="J1114" s="1" t="s">
        <v>14</v>
      </c>
      <c r="K1114" s="1">
        <v>83064167</v>
      </c>
    </row>
    <row r="1115" spans="1:11" x14ac:dyDescent="0.25">
      <c r="A1115" s="1" t="s">
        <v>11</v>
      </c>
      <c r="B1115" s="1" t="s">
        <v>1672</v>
      </c>
      <c r="C1115" s="1" t="s">
        <v>26</v>
      </c>
      <c r="D1115" s="1" t="s">
        <v>1700</v>
      </c>
      <c r="E1115" s="1" t="s">
        <v>1135</v>
      </c>
      <c r="F1115" s="1" t="s">
        <v>14</v>
      </c>
      <c r="G1115" s="1">
        <v>159447802</v>
      </c>
      <c r="H1115" s="1">
        <v>0</v>
      </c>
      <c r="I1115" s="1">
        <v>0</v>
      </c>
      <c r="J1115" s="1" t="s">
        <v>14</v>
      </c>
      <c r="K1115" s="1">
        <v>159447802</v>
      </c>
    </row>
    <row r="1116" spans="1:11" x14ac:dyDescent="0.25">
      <c r="A1116" s="1" t="s">
        <v>11</v>
      </c>
      <c r="B1116" s="1" t="s">
        <v>1672</v>
      </c>
      <c r="C1116" s="1" t="s">
        <v>26</v>
      </c>
      <c r="D1116" s="1" t="s">
        <v>1701</v>
      </c>
      <c r="E1116" s="1" t="s">
        <v>1318</v>
      </c>
      <c r="F1116" s="1" t="s">
        <v>14</v>
      </c>
      <c r="G1116" s="1">
        <v>115254132</v>
      </c>
      <c r="H1116" s="1">
        <v>0</v>
      </c>
      <c r="I1116" s="1">
        <v>0</v>
      </c>
      <c r="J1116" s="1" t="s">
        <v>14</v>
      </c>
      <c r="K1116" s="1">
        <v>115254132</v>
      </c>
    </row>
    <row r="1117" spans="1:11" x14ac:dyDescent="0.25">
      <c r="A1117" s="1" t="s">
        <v>11</v>
      </c>
      <c r="B1117" s="1" t="s">
        <v>1672</v>
      </c>
      <c r="C1117" s="1" t="s">
        <v>26</v>
      </c>
      <c r="D1117" s="1" t="s">
        <v>1702</v>
      </c>
      <c r="E1117" s="1" t="s">
        <v>224</v>
      </c>
      <c r="F1117" s="1" t="s">
        <v>14</v>
      </c>
      <c r="G1117" s="1">
        <v>10942899</v>
      </c>
      <c r="H1117" s="1">
        <v>0</v>
      </c>
      <c r="I1117" s="1">
        <v>0</v>
      </c>
      <c r="J1117" s="1" t="s">
        <v>14</v>
      </c>
      <c r="K1117" s="1">
        <v>10942899</v>
      </c>
    </row>
    <row r="1118" spans="1:11" x14ac:dyDescent="0.25">
      <c r="A1118" s="1" t="s">
        <v>11</v>
      </c>
      <c r="B1118" s="1" t="s">
        <v>1672</v>
      </c>
      <c r="C1118" s="1" t="s">
        <v>26</v>
      </c>
      <c r="D1118" s="1" t="s">
        <v>1703</v>
      </c>
      <c r="E1118" s="1" t="s">
        <v>1422</v>
      </c>
      <c r="F1118" s="1" t="s">
        <v>14</v>
      </c>
      <c r="G1118" s="1">
        <v>2460000</v>
      </c>
      <c r="H1118" s="1">
        <v>0</v>
      </c>
      <c r="I1118" s="1">
        <v>0</v>
      </c>
      <c r="J1118" s="1" t="s">
        <v>14</v>
      </c>
      <c r="K1118" s="1">
        <v>2460000</v>
      </c>
    </row>
    <row r="1119" spans="1:11" x14ac:dyDescent="0.25">
      <c r="A1119" s="1" t="s">
        <v>11</v>
      </c>
      <c r="B1119" s="1" t="s">
        <v>1672</v>
      </c>
      <c r="C1119" s="1" t="s">
        <v>26</v>
      </c>
      <c r="D1119" s="1" t="s">
        <v>1704</v>
      </c>
      <c r="E1119" s="1" t="s">
        <v>1138</v>
      </c>
      <c r="F1119" s="1" t="s">
        <v>14</v>
      </c>
      <c r="G1119" s="1">
        <v>16221600</v>
      </c>
      <c r="H1119" s="1">
        <v>0</v>
      </c>
      <c r="I1119" s="1">
        <v>0</v>
      </c>
      <c r="J1119" s="1" t="s">
        <v>14</v>
      </c>
      <c r="K1119" s="1">
        <v>16221600</v>
      </c>
    </row>
    <row r="1120" spans="1:11" x14ac:dyDescent="0.25">
      <c r="A1120" s="1" t="s">
        <v>11</v>
      </c>
      <c r="B1120" s="1" t="s">
        <v>1672</v>
      </c>
      <c r="C1120" s="1" t="s">
        <v>26</v>
      </c>
      <c r="D1120" s="1" t="s">
        <v>1705</v>
      </c>
      <c r="E1120" s="1" t="s">
        <v>1140</v>
      </c>
      <c r="F1120" s="1" t="s">
        <v>14</v>
      </c>
      <c r="G1120" s="1">
        <v>5446</v>
      </c>
      <c r="H1120" s="1">
        <v>0</v>
      </c>
      <c r="I1120" s="1">
        <v>0</v>
      </c>
      <c r="J1120" s="1" t="s">
        <v>14</v>
      </c>
      <c r="K1120" s="1">
        <v>5446</v>
      </c>
    </row>
    <row r="1121" spans="1:11" x14ac:dyDescent="0.25">
      <c r="A1121" s="1" t="s">
        <v>11</v>
      </c>
      <c r="B1121" s="1" t="s">
        <v>1672</v>
      </c>
      <c r="C1121" s="1" t="s">
        <v>26</v>
      </c>
      <c r="D1121" s="1" t="s">
        <v>1706</v>
      </c>
      <c r="E1121" s="1" t="s">
        <v>1142</v>
      </c>
      <c r="F1121" s="1" t="s">
        <v>14</v>
      </c>
      <c r="G1121" s="1">
        <v>133723030</v>
      </c>
      <c r="H1121" s="1">
        <v>0</v>
      </c>
      <c r="I1121" s="1">
        <v>0</v>
      </c>
      <c r="J1121" s="1" t="s">
        <v>14</v>
      </c>
      <c r="K1121" s="1">
        <v>133723030</v>
      </c>
    </row>
    <row r="1122" spans="1:11" x14ac:dyDescent="0.25">
      <c r="A1122" s="1" t="s">
        <v>11</v>
      </c>
      <c r="B1122" s="1" t="s">
        <v>1672</v>
      </c>
      <c r="C1122" s="1" t="s">
        <v>26</v>
      </c>
      <c r="D1122" s="1" t="s">
        <v>1707</v>
      </c>
      <c r="E1122" s="1" t="s">
        <v>673</v>
      </c>
      <c r="F1122" s="1" t="s">
        <v>14</v>
      </c>
      <c r="G1122" s="1">
        <v>16053179</v>
      </c>
      <c r="H1122" s="1">
        <v>0</v>
      </c>
      <c r="I1122" s="1">
        <v>0</v>
      </c>
      <c r="J1122" s="1" t="s">
        <v>14</v>
      </c>
      <c r="K1122" s="1">
        <v>16053179</v>
      </c>
    </row>
    <row r="1123" spans="1:11" x14ac:dyDescent="0.25">
      <c r="A1123" s="1" t="s">
        <v>11</v>
      </c>
      <c r="B1123" s="1" t="s">
        <v>1672</v>
      </c>
      <c r="C1123" s="1" t="s">
        <v>26</v>
      </c>
      <c r="D1123" s="1" t="s">
        <v>1708</v>
      </c>
      <c r="E1123" s="1" t="s">
        <v>675</v>
      </c>
      <c r="F1123" s="1" t="s">
        <v>14</v>
      </c>
      <c r="G1123" s="1">
        <v>135976041</v>
      </c>
      <c r="H1123" s="1">
        <v>0</v>
      </c>
      <c r="I1123" s="1">
        <v>0</v>
      </c>
      <c r="J1123" s="1" t="s">
        <v>14</v>
      </c>
      <c r="K1123" s="1">
        <v>135976041</v>
      </c>
    </row>
    <row r="1124" spans="1:11" x14ac:dyDescent="0.25">
      <c r="A1124" s="1" t="s">
        <v>11</v>
      </c>
      <c r="B1124" s="1" t="s">
        <v>1672</v>
      </c>
      <c r="C1124" s="1" t="s">
        <v>26</v>
      </c>
      <c r="D1124" s="1" t="s">
        <v>1709</v>
      </c>
      <c r="E1124" s="1" t="s">
        <v>1146</v>
      </c>
      <c r="F1124" s="1" t="s">
        <v>14</v>
      </c>
      <c r="G1124" s="1">
        <v>125422366.20999999</v>
      </c>
      <c r="H1124" s="1">
        <v>0</v>
      </c>
      <c r="I1124" s="1">
        <v>0</v>
      </c>
      <c r="J1124" s="1" t="s">
        <v>14</v>
      </c>
      <c r="K1124" s="1">
        <v>125422366.20999999</v>
      </c>
    </row>
    <row r="1125" spans="1:11" x14ac:dyDescent="0.25">
      <c r="A1125" s="1" t="s">
        <v>11</v>
      </c>
      <c r="B1125" s="1" t="s">
        <v>1672</v>
      </c>
      <c r="C1125" s="1" t="s">
        <v>26</v>
      </c>
      <c r="D1125" s="1" t="s">
        <v>1710</v>
      </c>
      <c r="E1125" s="1" t="s">
        <v>1148</v>
      </c>
      <c r="F1125" s="1" t="s">
        <v>14</v>
      </c>
      <c r="G1125" s="1">
        <v>212578166</v>
      </c>
      <c r="H1125" s="1">
        <v>0</v>
      </c>
      <c r="I1125" s="1">
        <v>0</v>
      </c>
      <c r="J1125" s="1" t="s">
        <v>14</v>
      </c>
      <c r="K1125" s="1">
        <v>212578166</v>
      </c>
    </row>
    <row r="1126" spans="1:11" x14ac:dyDescent="0.25">
      <c r="A1126" s="1" t="s">
        <v>11</v>
      </c>
      <c r="B1126" s="1" t="s">
        <v>1672</v>
      </c>
      <c r="C1126" s="1" t="s">
        <v>26</v>
      </c>
      <c r="D1126" s="1" t="s">
        <v>1711</v>
      </c>
      <c r="E1126" s="1" t="s">
        <v>1150</v>
      </c>
      <c r="F1126" s="1" t="s">
        <v>14</v>
      </c>
      <c r="G1126" s="1">
        <v>300674470</v>
      </c>
      <c r="H1126" s="1">
        <v>0</v>
      </c>
      <c r="I1126" s="1">
        <v>0</v>
      </c>
      <c r="J1126" s="1" t="s">
        <v>14</v>
      </c>
      <c r="K1126" s="1">
        <v>300674470</v>
      </c>
    </row>
    <row r="1127" spans="1:11" x14ac:dyDescent="0.25">
      <c r="A1127" s="1" t="s">
        <v>11</v>
      </c>
      <c r="B1127" s="1" t="s">
        <v>1672</v>
      </c>
      <c r="C1127" s="1" t="s">
        <v>26</v>
      </c>
      <c r="D1127" s="1" t="s">
        <v>1712</v>
      </c>
      <c r="E1127" s="1" t="s">
        <v>1152</v>
      </c>
      <c r="F1127" s="1" t="s">
        <v>14</v>
      </c>
      <c r="G1127" s="1">
        <v>57176082</v>
      </c>
      <c r="H1127" s="1">
        <v>0</v>
      </c>
      <c r="I1127" s="1">
        <v>0</v>
      </c>
      <c r="J1127" s="1" t="s">
        <v>14</v>
      </c>
      <c r="K1127" s="1">
        <v>57176082</v>
      </c>
    </row>
    <row r="1128" spans="1:11" x14ac:dyDescent="0.25">
      <c r="A1128" s="1" t="s">
        <v>11</v>
      </c>
      <c r="B1128" s="1" t="s">
        <v>1672</v>
      </c>
      <c r="C1128" s="1" t="s">
        <v>26</v>
      </c>
      <c r="D1128" s="1" t="s">
        <v>1713</v>
      </c>
      <c r="E1128" s="1" t="s">
        <v>1154</v>
      </c>
      <c r="F1128" s="1" t="s">
        <v>14</v>
      </c>
      <c r="G1128" s="1">
        <v>99493093.579999998</v>
      </c>
      <c r="H1128" s="1">
        <v>0</v>
      </c>
      <c r="I1128" s="1">
        <v>0</v>
      </c>
      <c r="J1128" s="1" t="s">
        <v>14</v>
      </c>
      <c r="K1128" s="1">
        <v>99493093.579999998</v>
      </c>
    </row>
    <row r="1129" spans="1:11" x14ac:dyDescent="0.25">
      <c r="A1129" s="1" t="s">
        <v>11</v>
      </c>
      <c r="B1129" s="1" t="s">
        <v>1672</v>
      </c>
      <c r="C1129" s="1" t="s">
        <v>26</v>
      </c>
      <c r="D1129" s="1" t="s">
        <v>1714</v>
      </c>
      <c r="E1129" s="1" t="s">
        <v>1156</v>
      </c>
      <c r="F1129" s="1" t="s">
        <v>14</v>
      </c>
      <c r="G1129" s="1">
        <v>74608400</v>
      </c>
      <c r="H1129" s="1">
        <v>0</v>
      </c>
      <c r="I1129" s="1">
        <v>0</v>
      </c>
      <c r="J1129" s="1" t="s">
        <v>14</v>
      </c>
      <c r="K1129" s="1">
        <v>74608400</v>
      </c>
    </row>
    <row r="1130" spans="1:11" x14ac:dyDescent="0.25">
      <c r="A1130" s="1" t="s">
        <v>11</v>
      </c>
      <c r="B1130" s="1" t="s">
        <v>1672</v>
      </c>
      <c r="C1130" s="1" t="s">
        <v>26</v>
      </c>
      <c r="D1130" s="1" t="s">
        <v>1715</v>
      </c>
      <c r="E1130" s="1" t="s">
        <v>1158</v>
      </c>
      <c r="F1130" s="1" t="s">
        <v>14</v>
      </c>
      <c r="G1130" s="1">
        <v>49764869</v>
      </c>
      <c r="H1130" s="1">
        <v>0</v>
      </c>
      <c r="I1130" s="1">
        <v>0</v>
      </c>
      <c r="J1130" s="1" t="s">
        <v>14</v>
      </c>
      <c r="K1130" s="1">
        <v>49764869</v>
      </c>
    </row>
    <row r="1131" spans="1:11" x14ac:dyDescent="0.25">
      <c r="A1131" s="1" t="s">
        <v>11</v>
      </c>
      <c r="B1131" s="1" t="s">
        <v>1672</v>
      </c>
      <c r="C1131" s="1" t="s">
        <v>23</v>
      </c>
      <c r="D1131" s="1" t="s">
        <v>1716</v>
      </c>
      <c r="E1131" s="1" t="s">
        <v>1445</v>
      </c>
      <c r="F1131" s="1" t="s">
        <v>14</v>
      </c>
      <c r="G1131" s="1">
        <v>336089814</v>
      </c>
      <c r="H1131" s="1">
        <v>1144678</v>
      </c>
      <c r="I1131" s="1">
        <v>0</v>
      </c>
      <c r="J1131" s="1" t="s">
        <v>14</v>
      </c>
      <c r="K1131" s="1">
        <v>337234492</v>
      </c>
    </row>
    <row r="1132" spans="1:11" x14ac:dyDescent="0.25">
      <c r="A1132" s="1" t="s">
        <v>11</v>
      </c>
      <c r="B1132" s="1" t="s">
        <v>1672</v>
      </c>
      <c r="C1132" s="1" t="s">
        <v>26</v>
      </c>
      <c r="D1132" s="1" t="s">
        <v>1717</v>
      </c>
      <c r="E1132" s="1" t="s">
        <v>554</v>
      </c>
      <c r="F1132" s="1" t="s">
        <v>14</v>
      </c>
      <c r="G1132" s="1">
        <v>334661814</v>
      </c>
      <c r="H1132" s="1">
        <v>1144678</v>
      </c>
      <c r="I1132" s="1">
        <v>0</v>
      </c>
      <c r="J1132" s="1" t="s">
        <v>14</v>
      </c>
      <c r="K1132" s="1">
        <v>335806492</v>
      </c>
    </row>
    <row r="1133" spans="1:11" x14ac:dyDescent="0.25">
      <c r="A1133" s="1" t="s">
        <v>11</v>
      </c>
      <c r="B1133" s="1" t="s">
        <v>1672</v>
      </c>
      <c r="C1133" s="1" t="s">
        <v>26</v>
      </c>
      <c r="D1133" s="1" t="s">
        <v>1718</v>
      </c>
      <c r="E1133" s="1" t="s">
        <v>1447</v>
      </c>
      <c r="F1133" s="1" t="s">
        <v>14</v>
      </c>
      <c r="G1133" s="1">
        <v>1428000</v>
      </c>
      <c r="H1133" s="1">
        <v>0</v>
      </c>
      <c r="I1133" s="1">
        <v>0</v>
      </c>
      <c r="J1133" s="1" t="s">
        <v>14</v>
      </c>
      <c r="K1133" s="1">
        <v>1428000</v>
      </c>
    </row>
    <row r="1134" spans="1:11" x14ac:dyDescent="0.25">
      <c r="A1134" s="1" t="s">
        <v>11</v>
      </c>
      <c r="B1134" s="1" t="s">
        <v>1672</v>
      </c>
      <c r="C1134" s="1" t="s">
        <v>21</v>
      </c>
      <c r="D1134" s="1" t="s">
        <v>1719</v>
      </c>
      <c r="E1134" s="1" t="s">
        <v>1720</v>
      </c>
      <c r="F1134" s="1" t="s">
        <v>14</v>
      </c>
      <c r="G1134" s="1">
        <v>129031837.09</v>
      </c>
      <c r="H1134" s="1">
        <v>4835984.8099999996</v>
      </c>
      <c r="I1134" s="1">
        <v>0</v>
      </c>
      <c r="J1134" s="1" t="s">
        <v>14</v>
      </c>
      <c r="K1134" s="1">
        <v>133867821.90000001</v>
      </c>
    </row>
    <row r="1135" spans="1:11" x14ac:dyDescent="0.25">
      <c r="A1135" s="1" t="s">
        <v>11</v>
      </c>
      <c r="B1135" s="1" t="s">
        <v>1672</v>
      </c>
      <c r="C1135" s="1" t="s">
        <v>23</v>
      </c>
      <c r="D1135" s="1" t="s">
        <v>1721</v>
      </c>
      <c r="E1135" s="1" t="s">
        <v>1189</v>
      </c>
      <c r="F1135" s="1" t="s">
        <v>14</v>
      </c>
      <c r="G1135" s="1">
        <v>3772165</v>
      </c>
      <c r="H1135" s="1">
        <v>754433</v>
      </c>
      <c r="I1135" s="1">
        <v>0</v>
      </c>
      <c r="J1135" s="1" t="s">
        <v>14</v>
      </c>
      <c r="K1135" s="1">
        <v>4526598</v>
      </c>
    </row>
    <row r="1136" spans="1:11" x14ac:dyDescent="0.25">
      <c r="A1136" s="1" t="s">
        <v>11</v>
      </c>
      <c r="B1136" s="1" t="s">
        <v>1672</v>
      </c>
      <c r="C1136" s="1" t="s">
        <v>26</v>
      </c>
      <c r="D1136" s="1" t="s">
        <v>1722</v>
      </c>
      <c r="E1136" s="1" t="s">
        <v>439</v>
      </c>
      <c r="F1136" s="1" t="s">
        <v>14</v>
      </c>
      <c r="G1136" s="1">
        <v>3772165</v>
      </c>
      <c r="H1136" s="1">
        <v>754433</v>
      </c>
      <c r="I1136" s="1">
        <v>0</v>
      </c>
      <c r="J1136" s="1" t="s">
        <v>14</v>
      </c>
      <c r="K1136" s="1">
        <v>4526598</v>
      </c>
    </row>
    <row r="1137" spans="1:11" x14ac:dyDescent="0.25">
      <c r="A1137" s="1" t="s">
        <v>11</v>
      </c>
      <c r="B1137" s="1" t="s">
        <v>1672</v>
      </c>
      <c r="C1137" s="1" t="s">
        <v>23</v>
      </c>
      <c r="D1137" s="1" t="s">
        <v>1723</v>
      </c>
      <c r="E1137" s="1" t="s">
        <v>227</v>
      </c>
      <c r="F1137" s="1" t="s">
        <v>14</v>
      </c>
      <c r="G1137" s="1">
        <v>14124051</v>
      </c>
      <c r="H1137" s="1">
        <v>0</v>
      </c>
      <c r="I1137" s="1">
        <v>0</v>
      </c>
      <c r="J1137" s="1" t="s">
        <v>14</v>
      </c>
      <c r="K1137" s="1">
        <v>14124051</v>
      </c>
    </row>
    <row r="1138" spans="1:11" x14ac:dyDescent="0.25">
      <c r="A1138" s="1" t="s">
        <v>11</v>
      </c>
      <c r="B1138" s="1" t="s">
        <v>1672</v>
      </c>
      <c r="C1138" s="1" t="s">
        <v>26</v>
      </c>
      <c r="D1138" s="1" t="s">
        <v>1724</v>
      </c>
      <c r="E1138" s="1" t="s">
        <v>1195</v>
      </c>
      <c r="F1138" s="1" t="s">
        <v>14</v>
      </c>
      <c r="G1138" s="1">
        <v>11868949</v>
      </c>
      <c r="H1138" s="1">
        <v>0</v>
      </c>
      <c r="I1138" s="1">
        <v>0</v>
      </c>
      <c r="J1138" s="1" t="s">
        <v>14</v>
      </c>
      <c r="K1138" s="1">
        <v>11868949</v>
      </c>
    </row>
    <row r="1139" spans="1:11" x14ac:dyDescent="0.25">
      <c r="A1139" s="1" t="s">
        <v>11</v>
      </c>
      <c r="B1139" s="1" t="s">
        <v>1672</v>
      </c>
      <c r="C1139" s="1" t="s">
        <v>26</v>
      </c>
      <c r="D1139" s="1" t="s">
        <v>1725</v>
      </c>
      <c r="E1139" s="1" t="s">
        <v>1197</v>
      </c>
      <c r="F1139" s="1" t="s">
        <v>14</v>
      </c>
      <c r="G1139" s="1">
        <v>2255102</v>
      </c>
      <c r="H1139" s="1">
        <v>0</v>
      </c>
      <c r="I1139" s="1">
        <v>0</v>
      </c>
      <c r="J1139" s="1" t="s">
        <v>14</v>
      </c>
      <c r="K1139" s="1">
        <v>2255102</v>
      </c>
    </row>
    <row r="1140" spans="1:11" x14ac:dyDescent="0.25">
      <c r="A1140" s="1" t="s">
        <v>11</v>
      </c>
      <c r="B1140" s="1" t="s">
        <v>1672</v>
      </c>
      <c r="C1140" s="1" t="s">
        <v>23</v>
      </c>
      <c r="D1140" s="1" t="s">
        <v>1726</v>
      </c>
      <c r="E1140" s="1" t="s">
        <v>437</v>
      </c>
      <c r="F1140" s="1" t="s">
        <v>14</v>
      </c>
      <c r="G1140" s="1">
        <v>24452570</v>
      </c>
      <c r="H1140" s="1">
        <v>0</v>
      </c>
      <c r="I1140" s="1">
        <v>0</v>
      </c>
      <c r="J1140" s="1" t="s">
        <v>14</v>
      </c>
      <c r="K1140" s="1">
        <v>24452570</v>
      </c>
    </row>
    <row r="1141" spans="1:11" x14ac:dyDescent="0.25">
      <c r="A1141" s="1" t="s">
        <v>11</v>
      </c>
      <c r="B1141" s="1" t="s">
        <v>1672</v>
      </c>
      <c r="C1141" s="1" t="s">
        <v>26</v>
      </c>
      <c r="D1141" s="1" t="s">
        <v>1727</v>
      </c>
      <c r="E1141" s="1" t="s">
        <v>1212</v>
      </c>
      <c r="F1141" s="1" t="s">
        <v>14</v>
      </c>
      <c r="G1141" s="1">
        <v>5447420</v>
      </c>
      <c r="H1141" s="1">
        <v>0</v>
      </c>
      <c r="I1141" s="1">
        <v>0</v>
      </c>
      <c r="J1141" s="1" t="s">
        <v>14</v>
      </c>
      <c r="K1141" s="1">
        <v>5447420</v>
      </c>
    </row>
    <row r="1142" spans="1:11" x14ac:dyDescent="0.25">
      <c r="A1142" s="1" t="s">
        <v>11</v>
      </c>
      <c r="B1142" s="1" t="s">
        <v>1672</v>
      </c>
      <c r="C1142" s="1" t="s">
        <v>26</v>
      </c>
      <c r="D1142" s="1" t="s">
        <v>1728</v>
      </c>
      <c r="E1142" s="1" t="s">
        <v>1214</v>
      </c>
      <c r="F1142" s="1" t="s">
        <v>14</v>
      </c>
      <c r="G1142" s="1">
        <v>19005150</v>
      </c>
      <c r="H1142" s="1">
        <v>0</v>
      </c>
      <c r="I1142" s="1">
        <v>0</v>
      </c>
      <c r="J1142" s="1" t="s">
        <v>14</v>
      </c>
      <c r="K1142" s="1">
        <v>19005150</v>
      </c>
    </row>
    <row r="1143" spans="1:11" x14ac:dyDescent="0.25">
      <c r="A1143" s="1" t="s">
        <v>11</v>
      </c>
      <c r="B1143" s="1" t="s">
        <v>1672</v>
      </c>
      <c r="C1143" s="1" t="s">
        <v>23</v>
      </c>
      <c r="D1143" s="1" t="s">
        <v>1729</v>
      </c>
      <c r="E1143" s="1" t="s">
        <v>566</v>
      </c>
      <c r="F1143" s="1" t="s">
        <v>14</v>
      </c>
      <c r="G1143" s="1">
        <v>32523866.699999999</v>
      </c>
      <c r="H1143" s="1">
        <v>3071289.81</v>
      </c>
      <c r="I1143" s="1">
        <v>0</v>
      </c>
      <c r="J1143" s="1" t="s">
        <v>14</v>
      </c>
      <c r="K1143" s="1">
        <v>35595156.509999998</v>
      </c>
    </row>
    <row r="1144" spans="1:11" x14ac:dyDescent="0.25">
      <c r="A1144" s="1" t="s">
        <v>11</v>
      </c>
      <c r="B1144" s="1" t="s">
        <v>1672</v>
      </c>
      <c r="C1144" s="1" t="s">
        <v>26</v>
      </c>
      <c r="D1144" s="1" t="s">
        <v>1730</v>
      </c>
      <c r="E1144" s="1" t="s">
        <v>1219</v>
      </c>
      <c r="F1144" s="1" t="s">
        <v>14</v>
      </c>
      <c r="G1144" s="1">
        <v>6619004.4800000004</v>
      </c>
      <c r="H1144" s="1">
        <v>480826.97</v>
      </c>
      <c r="I1144" s="1">
        <v>0</v>
      </c>
      <c r="J1144" s="1" t="s">
        <v>14</v>
      </c>
      <c r="K1144" s="1">
        <v>7099831.4500000002</v>
      </c>
    </row>
    <row r="1145" spans="1:11" x14ac:dyDescent="0.25">
      <c r="A1145" s="1" t="s">
        <v>11</v>
      </c>
      <c r="B1145" s="1" t="s">
        <v>1672</v>
      </c>
      <c r="C1145" s="1" t="s">
        <v>26</v>
      </c>
      <c r="D1145" s="1" t="s">
        <v>1731</v>
      </c>
      <c r="E1145" s="1" t="s">
        <v>1225</v>
      </c>
      <c r="F1145" s="1" t="s">
        <v>14</v>
      </c>
      <c r="G1145" s="1">
        <v>19685263.850000001</v>
      </c>
      <c r="H1145" s="1">
        <v>1924390.81</v>
      </c>
      <c r="I1145" s="1">
        <v>0</v>
      </c>
      <c r="J1145" s="1" t="s">
        <v>14</v>
      </c>
      <c r="K1145" s="1">
        <v>21609654.66</v>
      </c>
    </row>
    <row r="1146" spans="1:11" x14ac:dyDescent="0.25">
      <c r="A1146" s="1" t="s">
        <v>11</v>
      </c>
      <c r="B1146" s="1" t="s">
        <v>1672</v>
      </c>
      <c r="C1146" s="1" t="s">
        <v>26</v>
      </c>
      <c r="D1146" s="1" t="s">
        <v>1732</v>
      </c>
      <c r="E1146" s="1" t="s">
        <v>1227</v>
      </c>
      <c r="F1146" s="1" t="s">
        <v>14</v>
      </c>
      <c r="G1146" s="1">
        <v>2460479.15</v>
      </c>
      <c r="H1146" s="1">
        <v>284684.56</v>
      </c>
      <c r="I1146" s="1">
        <v>0</v>
      </c>
      <c r="J1146" s="1" t="s">
        <v>14</v>
      </c>
      <c r="K1146" s="1">
        <v>2745163.71</v>
      </c>
    </row>
    <row r="1147" spans="1:11" x14ac:dyDescent="0.25">
      <c r="A1147" s="1" t="s">
        <v>11</v>
      </c>
      <c r="B1147" s="1" t="s">
        <v>1672</v>
      </c>
      <c r="C1147" s="1" t="s">
        <v>26</v>
      </c>
      <c r="D1147" s="1" t="s">
        <v>1733</v>
      </c>
      <c r="E1147" s="1" t="s">
        <v>1229</v>
      </c>
      <c r="F1147" s="1" t="s">
        <v>14</v>
      </c>
      <c r="G1147" s="1">
        <v>249249.74</v>
      </c>
      <c r="H1147" s="1">
        <v>25539.93</v>
      </c>
      <c r="I1147" s="1">
        <v>0</v>
      </c>
      <c r="J1147" s="1" t="s">
        <v>14</v>
      </c>
      <c r="K1147" s="1">
        <v>274789.67</v>
      </c>
    </row>
    <row r="1148" spans="1:11" x14ac:dyDescent="0.25">
      <c r="A1148" s="1" t="s">
        <v>11</v>
      </c>
      <c r="B1148" s="1" t="s">
        <v>1672</v>
      </c>
      <c r="C1148" s="1" t="s">
        <v>26</v>
      </c>
      <c r="D1148" s="1" t="s">
        <v>1734</v>
      </c>
      <c r="E1148" s="1" t="s">
        <v>1231</v>
      </c>
      <c r="F1148" s="1" t="s">
        <v>14</v>
      </c>
      <c r="G1148" s="1">
        <v>2483286</v>
      </c>
      <c r="H1148" s="1">
        <v>247009</v>
      </c>
      <c r="I1148" s="1">
        <v>0</v>
      </c>
      <c r="J1148" s="1" t="s">
        <v>14</v>
      </c>
      <c r="K1148" s="1">
        <v>2730295</v>
      </c>
    </row>
    <row r="1149" spans="1:11" x14ac:dyDescent="0.25">
      <c r="A1149" s="1" t="s">
        <v>11</v>
      </c>
      <c r="B1149" s="1" t="s">
        <v>1672</v>
      </c>
      <c r="C1149" s="1" t="s">
        <v>26</v>
      </c>
      <c r="D1149" s="1" t="s">
        <v>1735</v>
      </c>
      <c r="E1149" s="1" t="s">
        <v>1233</v>
      </c>
      <c r="F1149" s="1" t="s">
        <v>14</v>
      </c>
      <c r="G1149" s="1">
        <v>476466.48</v>
      </c>
      <c r="H1149" s="1">
        <v>54171.16</v>
      </c>
      <c r="I1149" s="1">
        <v>0</v>
      </c>
      <c r="J1149" s="1" t="s">
        <v>14</v>
      </c>
      <c r="K1149" s="1">
        <v>530637.64</v>
      </c>
    </row>
    <row r="1150" spans="1:11" x14ac:dyDescent="0.25">
      <c r="A1150" s="1" t="s">
        <v>11</v>
      </c>
      <c r="B1150" s="1" t="s">
        <v>1672</v>
      </c>
      <c r="C1150" s="1" t="s">
        <v>26</v>
      </c>
      <c r="D1150" s="1" t="s">
        <v>1736</v>
      </c>
      <c r="E1150" s="1" t="s">
        <v>1235</v>
      </c>
      <c r="F1150" s="1" t="s">
        <v>14</v>
      </c>
      <c r="G1150" s="1">
        <v>48757</v>
      </c>
      <c r="H1150" s="1">
        <v>4802.38</v>
      </c>
      <c r="I1150" s="1">
        <v>0</v>
      </c>
      <c r="J1150" s="1" t="s">
        <v>14</v>
      </c>
      <c r="K1150" s="1">
        <v>53559.38</v>
      </c>
    </row>
    <row r="1151" spans="1:11" x14ac:dyDescent="0.25">
      <c r="A1151" s="1" t="s">
        <v>11</v>
      </c>
      <c r="B1151" s="1" t="s">
        <v>1672</v>
      </c>
      <c r="C1151" s="1" t="s">
        <v>26</v>
      </c>
      <c r="D1151" s="1" t="s">
        <v>1737</v>
      </c>
      <c r="E1151" s="1" t="s">
        <v>1237</v>
      </c>
      <c r="F1151" s="1" t="s">
        <v>14</v>
      </c>
      <c r="G1151" s="1">
        <v>501360</v>
      </c>
      <c r="H1151" s="1">
        <v>49865</v>
      </c>
      <c r="I1151" s="1">
        <v>0</v>
      </c>
      <c r="J1151" s="1" t="s">
        <v>14</v>
      </c>
      <c r="K1151" s="1">
        <v>551225</v>
      </c>
    </row>
    <row r="1152" spans="1:11" x14ac:dyDescent="0.25">
      <c r="A1152" s="1" t="s">
        <v>11</v>
      </c>
      <c r="B1152" s="1" t="s">
        <v>1672</v>
      </c>
      <c r="C1152" s="1" t="s">
        <v>23</v>
      </c>
      <c r="D1152" s="1" t="s">
        <v>1738</v>
      </c>
      <c r="E1152" s="1" t="s">
        <v>1239</v>
      </c>
      <c r="F1152" s="1" t="s">
        <v>14</v>
      </c>
      <c r="G1152" s="1">
        <v>560000</v>
      </c>
      <c r="H1152" s="1">
        <v>0</v>
      </c>
      <c r="I1152" s="1">
        <v>0</v>
      </c>
      <c r="J1152" s="1" t="s">
        <v>14</v>
      </c>
      <c r="K1152" s="1">
        <v>560000</v>
      </c>
    </row>
    <row r="1153" spans="1:11" x14ac:dyDescent="0.25">
      <c r="A1153" s="1" t="s">
        <v>11</v>
      </c>
      <c r="B1153" s="1" t="s">
        <v>1672</v>
      </c>
      <c r="C1153" s="1" t="s">
        <v>26</v>
      </c>
      <c r="D1153" s="1" t="s">
        <v>1739</v>
      </c>
      <c r="E1153" s="1" t="s">
        <v>1239</v>
      </c>
      <c r="F1153" s="1" t="s">
        <v>14</v>
      </c>
      <c r="G1153" s="1">
        <v>560000</v>
      </c>
      <c r="H1153" s="1">
        <v>0</v>
      </c>
      <c r="I1153" s="1">
        <v>0</v>
      </c>
      <c r="J1153" s="1" t="s">
        <v>14</v>
      </c>
      <c r="K1153" s="1">
        <v>560000</v>
      </c>
    </row>
    <row r="1154" spans="1:11" x14ac:dyDescent="0.25">
      <c r="A1154" s="1" t="s">
        <v>11</v>
      </c>
      <c r="B1154" s="1" t="s">
        <v>1672</v>
      </c>
      <c r="C1154" s="1" t="s">
        <v>23</v>
      </c>
      <c r="D1154" s="1" t="s">
        <v>1740</v>
      </c>
      <c r="E1154" s="1" t="s">
        <v>1257</v>
      </c>
      <c r="F1154" s="1" t="s">
        <v>14</v>
      </c>
      <c r="G1154" s="1">
        <v>416000</v>
      </c>
      <c r="H1154" s="1">
        <v>750000</v>
      </c>
      <c r="I1154" s="1">
        <v>0</v>
      </c>
      <c r="J1154" s="1" t="s">
        <v>14</v>
      </c>
      <c r="K1154" s="1">
        <v>1166000</v>
      </c>
    </row>
    <row r="1155" spans="1:11" x14ac:dyDescent="0.25">
      <c r="A1155" s="1" t="s">
        <v>11</v>
      </c>
      <c r="B1155" s="1" t="s">
        <v>1672</v>
      </c>
      <c r="C1155" s="1" t="s">
        <v>26</v>
      </c>
      <c r="D1155" s="1" t="s">
        <v>1741</v>
      </c>
      <c r="E1155" s="1" t="s">
        <v>1518</v>
      </c>
      <c r="F1155" s="1" t="s">
        <v>14</v>
      </c>
      <c r="G1155" s="1">
        <v>0</v>
      </c>
      <c r="H1155" s="1">
        <v>750000</v>
      </c>
      <c r="I1155" s="1">
        <v>0</v>
      </c>
      <c r="J1155" s="1" t="s">
        <v>14</v>
      </c>
      <c r="K1155" s="1">
        <v>750000</v>
      </c>
    </row>
    <row r="1156" spans="1:11" x14ac:dyDescent="0.25">
      <c r="A1156" s="1" t="s">
        <v>11</v>
      </c>
      <c r="B1156" s="1" t="s">
        <v>1672</v>
      </c>
      <c r="C1156" s="1" t="s">
        <v>26</v>
      </c>
      <c r="D1156" s="1" t="s">
        <v>1742</v>
      </c>
      <c r="E1156" s="1" t="s">
        <v>1743</v>
      </c>
      <c r="F1156" s="1" t="s">
        <v>14</v>
      </c>
      <c r="G1156" s="1">
        <v>416000</v>
      </c>
      <c r="H1156" s="1">
        <v>0</v>
      </c>
      <c r="I1156" s="1">
        <v>0</v>
      </c>
      <c r="J1156" s="1" t="s">
        <v>14</v>
      </c>
      <c r="K1156" s="1">
        <v>416000</v>
      </c>
    </row>
    <row r="1157" spans="1:11" x14ac:dyDescent="0.25">
      <c r="A1157" s="1" t="s">
        <v>11</v>
      </c>
      <c r="B1157" s="1" t="s">
        <v>1672</v>
      </c>
      <c r="C1157" s="1" t="s">
        <v>23</v>
      </c>
      <c r="D1157" s="1" t="s">
        <v>1744</v>
      </c>
      <c r="E1157" s="1" t="s">
        <v>1263</v>
      </c>
      <c r="F1157" s="1" t="s">
        <v>14</v>
      </c>
      <c r="G1157" s="1">
        <v>51181212.390000001</v>
      </c>
      <c r="H1157" s="1">
        <v>0</v>
      </c>
      <c r="I1157" s="1">
        <v>0</v>
      </c>
      <c r="J1157" s="1" t="s">
        <v>14</v>
      </c>
      <c r="K1157" s="1">
        <v>51181212.390000001</v>
      </c>
    </row>
    <row r="1158" spans="1:11" x14ac:dyDescent="0.25">
      <c r="A1158" s="1" t="s">
        <v>11</v>
      </c>
      <c r="B1158" s="1" t="s">
        <v>1672</v>
      </c>
      <c r="C1158" s="1" t="s">
        <v>26</v>
      </c>
      <c r="D1158" s="1" t="s">
        <v>1745</v>
      </c>
      <c r="E1158" s="1" t="s">
        <v>1265</v>
      </c>
      <c r="F1158" s="1" t="s">
        <v>14</v>
      </c>
      <c r="G1158" s="1">
        <v>16783345.140000001</v>
      </c>
      <c r="H1158" s="1">
        <v>0</v>
      </c>
      <c r="I1158" s="1">
        <v>0</v>
      </c>
      <c r="J1158" s="1" t="s">
        <v>14</v>
      </c>
      <c r="K1158" s="1">
        <v>16783345.140000001</v>
      </c>
    </row>
    <row r="1159" spans="1:11" x14ac:dyDescent="0.25">
      <c r="A1159" s="1" t="s">
        <v>11</v>
      </c>
      <c r="B1159" s="1" t="s">
        <v>1672</v>
      </c>
      <c r="C1159" s="1" t="s">
        <v>26</v>
      </c>
      <c r="D1159" s="1" t="s">
        <v>1746</v>
      </c>
      <c r="E1159" s="1" t="s">
        <v>1538</v>
      </c>
      <c r="F1159" s="1" t="s">
        <v>14</v>
      </c>
      <c r="G1159" s="1">
        <v>21810955.879999999</v>
      </c>
      <c r="H1159" s="1">
        <v>0</v>
      </c>
      <c r="I1159" s="1">
        <v>0</v>
      </c>
      <c r="J1159" s="1" t="s">
        <v>14</v>
      </c>
      <c r="K1159" s="1">
        <v>21810955.879999999</v>
      </c>
    </row>
    <row r="1160" spans="1:11" x14ac:dyDescent="0.25">
      <c r="A1160" s="1" t="s">
        <v>11</v>
      </c>
      <c r="B1160" s="1" t="s">
        <v>1672</v>
      </c>
      <c r="C1160" s="1" t="s">
        <v>26</v>
      </c>
      <c r="D1160" s="1" t="s">
        <v>1747</v>
      </c>
      <c r="E1160" s="1" t="s">
        <v>1267</v>
      </c>
      <c r="F1160" s="1" t="s">
        <v>14</v>
      </c>
      <c r="G1160" s="1">
        <v>4412899.16</v>
      </c>
      <c r="H1160" s="1">
        <v>0</v>
      </c>
      <c r="I1160" s="1">
        <v>0</v>
      </c>
      <c r="J1160" s="1" t="s">
        <v>14</v>
      </c>
      <c r="K1160" s="1">
        <v>4412899.16</v>
      </c>
    </row>
    <row r="1161" spans="1:11" x14ac:dyDescent="0.25">
      <c r="A1161" s="1" t="s">
        <v>11</v>
      </c>
      <c r="B1161" s="1" t="s">
        <v>1672</v>
      </c>
      <c r="C1161" s="1" t="s">
        <v>26</v>
      </c>
      <c r="D1161" s="1" t="s">
        <v>1748</v>
      </c>
      <c r="E1161" s="1" t="s">
        <v>1269</v>
      </c>
      <c r="F1161" s="1" t="s">
        <v>14</v>
      </c>
      <c r="G1161" s="1">
        <v>7988031.5</v>
      </c>
      <c r="H1161" s="1">
        <v>0</v>
      </c>
      <c r="I1161" s="1">
        <v>0</v>
      </c>
      <c r="J1161" s="1" t="s">
        <v>14</v>
      </c>
      <c r="K1161" s="1">
        <v>7988031.5</v>
      </c>
    </row>
    <row r="1162" spans="1:11" x14ac:dyDescent="0.25">
      <c r="A1162" s="1" t="s">
        <v>11</v>
      </c>
      <c r="B1162" s="1" t="s">
        <v>1672</v>
      </c>
      <c r="C1162" s="1" t="s">
        <v>26</v>
      </c>
      <c r="D1162" s="1" t="s">
        <v>1749</v>
      </c>
      <c r="E1162" s="1" t="s">
        <v>1542</v>
      </c>
      <c r="F1162" s="1" t="s">
        <v>14</v>
      </c>
      <c r="G1162" s="1">
        <v>185980.71</v>
      </c>
      <c r="H1162" s="1">
        <v>0</v>
      </c>
      <c r="I1162" s="1">
        <v>0</v>
      </c>
      <c r="J1162" s="1" t="s">
        <v>14</v>
      </c>
      <c r="K1162" s="1">
        <v>185980.71</v>
      </c>
    </row>
    <row r="1163" spans="1:11" x14ac:dyDescent="0.25">
      <c r="A1163" s="1" t="s">
        <v>11</v>
      </c>
      <c r="B1163" s="1" t="s">
        <v>1672</v>
      </c>
      <c r="C1163" s="1" t="s">
        <v>23</v>
      </c>
      <c r="D1163" s="1" t="s">
        <v>1750</v>
      </c>
      <c r="E1163" s="1" t="s">
        <v>1273</v>
      </c>
      <c r="F1163" s="1" t="s">
        <v>14</v>
      </c>
      <c r="G1163" s="1">
        <v>1931972</v>
      </c>
      <c r="H1163" s="1">
        <v>260262</v>
      </c>
      <c r="I1163" s="1">
        <v>0</v>
      </c>
      <c r="J1163" s="1" t="s">
        <v>14</v>
      </c>
      <c r="K1163" s="1">
        <v>2192234</v>
      </c>
    </row>
    <row r="1164" spans="1:11" x14ac:dyDescent="0.25">
      <c r="A1164" s="1" t="s">
        <v>11</v>
      </c>
      <c r="B1164" s="1" t="s">
        <v>1672</v>
      </c>
      <c r="C1164" s="1" t="s">
        <v>26</v>
      </c>
      <c r="D1164" s="1" t="s">
        <v>1751</v>
      </c>
      <c r="E1164" s="1" t="s">
        <v>1273</v>
      </c>
      <c r="F1164" s="1" t="s">
        <v>14</v>
      </c>
      <c r="G1164" s="1">
        <v>1931972</v>
      </c>
      <c r="H1164" s="1">
        <v>260262</v>
      </c>
      <c r="I1164" s="1">
        <v>0</v>
      </c>
      <c r="J1164" s="1" t="s">
        <v>14</v>
      </c>
      <c r="K1164" s="1">
        <v>2192234</v>
      </c>
    </row>
    <row r="1165" spans="1:11" x14ac:dyDescent="0.25">
      <c r="A1165" s="1" t="s">
        <v>11</v>
      </c>
      <c r="B1165" s="1" t="s">
        <v>1672</v>
      </c>
      <c r="C1165" s="1" t="s">
        <v>23</v>
      </c>
      <c r="D1165" s="1" t="s">
        <v>1752</v>
      </c>
      <c r="E1165" s="1" t="s">
        <v>1063</v>
      </c>
      <c r="F1165" s="1" t="s">
        <v>14</v>
      </c>
      <c r="G1165" s="1">
        <v>70000</v>
      </c>
      <c r="H1165" s="1">
        <v>0</v>
      </c>
      <c r="I1165" s="1">
        <v>0</v>
      </c>
      <c r="J1165" s="1" t="s">
        <v>14</v>
      </c>
      <c r="K1165" s="1">
        <v>70000</v>
      </c>
    </row>
    <row r="1166" spans="1:11" x14ac:dyDescent="0.25">
      <c r="A1166" s="1" t="s">
        <v>11</v>
      </c>
      <c r="B1166" s="1" t="s">
        <v>1672</v>
      </c>
      <c r="C1166" s="1" t="s">
        <v>26</v>
      </c>
      <c r="D1166" s="1" t="s">
        <v>1753</v>
      </c>
      <c r="E1166" s="1" t="s">
        <v>1281</v>
      </c>
      <c r="F1166" s="1" t="s">
        <v>14</v>
      </c>
      <c r="G1166" s="1">
        <v>70000</v>
      </c>
      <c r="H1166" s="1">
        <v>0</v>
      </c>
      <c r="I1166" s="1">
        <v>0</v>
      </c>
      <c r="J1166" s="1" t="s">
        <v>14</v>
      </c>
      <c r="K1166" s="1">
        <v>70000</v>
      </c>
    </row>
    <row r="1167" spans="1:11" x14ac:dyDescent="0.25">
      <c r="A1167" s="1" t="s">
        <v>11</v>
      </c>
      <c r="B1167" s="1" t="s">
        <v>1672</v>
      </c>
      <c r="C1167" s="1" t="s">
        <v>18</v>
      </c>
      <c r="D1167" s="1" t="s">
        <v>1754</v>
      </c>
      <c r="E1167" s="1" t="s">
        <v>840</v>
      </c>
      <c r="F1167" s="1" t="s">
        <v>14</v>
      </c>
      <c r="G1167" s="1">
        <v>1295468346.1900001</v>
      </c>
      <c r="H1167" s="1">
        <v>21664632.66</v>
      </c>
      <c r="I1167" s="1">
        <v>43326</v>
      </c>
      <c r="J1167" s="1" t="s">
        <v>14</v>
      </c>
      <c r="K1167" s="1">
        <v>1317089652.8499999</v>
      </c>
    </row>
    <row r="1168" spans="1:11" x14ac:dyDescent="0.25">
      <c r="A1168" s="1" t="s">
        <v>11</v>
      </c>
      <c r="B1168" s="1" t="s">
        <v>1672</v>
      </c>
      <c r="C1168" s="1" t="s">
        <v>21</v>
      </c>
      <c r="D1168" s="1" t="s">
        <v>1755</v>
      </c>
      <c r="E1168" s="1" t="s">
        <v>1098</v>
      </c>
      <c r="F1168" s="1" t="s">
        <v>14</v>
      </c>
      <c r="G1168" s="1">
        <v>46903889.869999997</v>
      </c>
      <c r="H1168" s="1">
        <v>3066559.66</v>
      </c>
      <c r="I1168" s="1">
        <v>43326</v>
      </c>
      <c r="J1168" s="1" t="s">
        <v>14</v>
      </c>
      <c r="K1168" s="1">
        <v>49927123.530000001</v>
      </c>
    </row>
    <row r="1169" spans="1:11" x14ac:dyDescent="0.25">
      <c r="A1169" s="1" t="s">
        <v>11</v>
      </c>
      <c r="B1169" s="1" t="s">
        <v>1672</v>
      </c>
      <c r="C1169" s="1" t="s">
        <v>23</v>
      </c>
      <c r="D1169" s="1" t="s">
        <v>1756</v>
      </c>
      <c r="E1169" s="1" t="s">
        <v>1679</v>
      </c>
      <c r="F1169" s="1" t="s">
        <v>14</v>
      </c>
      <c r="G1169" s="1">
        <v>30560186</v>
      </c>
      <c r="H1169" s="1">
        <v>1176891</v>
      </c>
      <c r="I1169" s="1">
        <v>43326</v>
      </c>
      <c r="J1169" s="1" t="s">
        <v>14</v>
      </c>
      <c r="K1169" s="1">
        <v>31693751</v>
      </c>
    </row>
    <row r="1170" spans="1:11" x14ac:dyDescent="0.25">
      <c r="A1170" s="1" t="s">
        <v>11</v>
      </c>
      <c r="B1170" s="1" t="s">
        <v>1672</v>
      </c>
      <c r="C1170" s="1" t="s">
        <v>26</v>
      </c>
      <c r="D1170" s="1" t="s">
        <v>1757</v>
      </c>
      <c r="E1170" s="1" t="s">
        <v>237</v>
      </c>
      <c r="F1170" s="1" t="s">
        <v>14</v>
      </c>
      <c r="G1170" s="1">
        <v>8286494</v>
      </c>
      <c r="H1170" s="1">
        <v>551074</v>
      </c>
      <c r="I1170" s="1">
        <v>2750</v>
      </c>
      <c r="J1170" s="1" t="s">
        <v>14</v>
      </c>
      <c r="K1170" s="1">
        <v>8834818</v>
      </c>
    </row>
    <row r="1171" spans="1:11" x14ac:dyDescent="0.25">
      <c r="A1171" s="1" t="s">
        <v>11</v>
      </c>
      <c r="B1171" s="1" t="s">
        <v>1672</v>
      </c>
      <c r="C1171" s="1" t="s">
        <v>26</v>
      </c>
      <c r="D1171" s="1" t="s">
        <v>1758</v>
      </c>
      <c r="E1171" s="1" t="s">
        <v>246</v>
      </c>
      <c r="F1171" s="1" t="s">
        <v>14</v>
      </c>
      <c r="G1171" s="1">
        <v>11070127</v>
      </c>
      <c r="H1171" s="1">
        <v>625817</v>
      </c>
      <c r="I1171" s="1">
        <v>40576</v>
      </c>
      <c r="J1171" s="1" t="s">
        <v>14</v>
      </c>
      <c r="K1171" s="1">
        <v>11655368</v>
      </c>
    </row>
    <row r="1172" spans="1:11" x14ac:dyDescent="0.25">
      <c r="A1172" s="1" t="s">
        <v>11</v>
      </c>
      <c r="B1172" s="1" t="s">
        <v>1672</v>
      </c>
      <c r="C1172" s="1" t="s">
        <v>26</v>
      </c>
      <c r="D1172" s="1" t="s">
        <v>1759</v>
      </c>
      <c r="E1172" s="1" t="s">
        <v>1683</v>
      </c>
      <c r="F1172" s="1" t="s">
        <v>14</v>
      </c>
      <c r="G1172" s="1">
        <v>11203565</v>
      </c>
      <c r="H1172" s="1">
        <v>0</v>
      </c>
      <c r="I1172" s="1">
        <v>0</v>
      </c>
      <c r="J1172" s="1" t="s">
        <v>14</v>
      </c>
      <c r="K1172" s="1">
        <v>11203565</v>
      </c>
    </row>
    <row r="1173" spans="1:11" x14ac:dyDescent="0.25">
      <c r="A1173" s="1" t="s">
        <v>11</v>
      </c>
      <c r="B1173" s="1" t="s">
        <v>1672</v>
      </c>
      <c r="C1173" s="1" t="s">
        <v>23</v>
      </c>
      <c r="D1173" s="1" t="s">
        <v>1760</v>
      </c>
      <c r="E1173" s="1" t="s">
        <v>1100</v>
      </c>
      <c r="F1173" s="1" t="s">
        <v>14</v>
      </c>
      <c r="G1173" s="1">
        <v>12530863.369999999</v>
      </c>
      <c r="H1173" s="1">
        <v>1712068.66</v>
      </c>
      <c r="I1173" s="1">
        <v>0</v>
      </c>
      <c r="J1173" s="1" t="s">
        <v>14</v>
      </c>
      <c r="K1173" s="1">
        <v>14242932.029999999</v>
      </c>
    </row>
    <row r="1174" spans="1:11" x14ac:dyDescent="0.25">
      <c r="A1174" s="1" t="s">
        <v>11</v>
      </c>
      <c r="B1174" s="1" t="s">
        <v>1672</v>
      </c>
      <c r="C1174" s="1" t="s">
        <v>26</v>
      </c>
      <c r="D1174" s="1" t="s">
        <v>1761</v>
      </c>
      <c r="E1174" s="1" t="s">
        <v>1100</v>
      </c>
      <c r="F1174" s="1" t="s">
        <v>14</v>
      </c>
      <c r="G1174" s="1">
        <v>12530863.369999999</v>
      </c>
      <c r="H1174" s="1">
        <v>1712068.66</v>
      </c>
      <c r="I1174" s="1">
        <v>0</v>
      </c>
      <c r="J1174" s="1" t="s">
        <v>14</v>
      </c>
      <c r="K1174" s="1">
        <v>14242932.029999999</v>
      </c>
    </row>
    <row r="1175" spans="1:11" x14ac:dyDescent="0.25">
      <c r="A1175" s="1" t="s">
        <v>11</v>
      </c>
      <c r="B1175" s="1" t="s">
        <v>1672</v>
      </c>
      <c r="C1175" s="1" t="s">
        <v>23</v>
      </c>
      <c r="D1175" s="1" t="s">
        <v>1762</v>
      </c>
      <c r="E1175" s="1" t="s">
        <v>1103</v>
      </c>
      <c r="F1175" s="1" t="s">
        <v>14</v>
      </c>
      <c r="G1175" s="1">
        <v>3812840.5</v>
      </c>
      <c r="H1175" s="1">
        <v>177600</v>
      </c>
      <c r="I1175" s="1">
        <v>0</v>
      </c>
      <c r="J1175" s="1" t="s">
        <v>14</v>
      </c>
      <c r="K1175" s="1">
        <v>3990440.5</v>
      </c>
    </row>
    <row r="1176" spans="1:11" x14ac:dyDescent="0.25">
      <c r="A1176" s="1" t="s">
        <v>11</v>
      </c>
      <c r="B1176" s="1" t="s">
        <v>1672</v>
      </c>
      <c r="C1176" s="1" t="s">
        <v>26</v>
      </c>
      <c r="D1176" s="1" t="s">
        <v>1763</v>
      </c>
      <c r="E1176" s="1" t="s">
        <v>1105</v>
      </c>
      <c r="F1176" s="1" t="s">
        <v>14</v>
      </c>
      <c r="G1176" s="1">
        <v>108333</v>
      </c>
      <c r="H1176" s="1">
        <v>0</v>
      </c>
      <c r="I1176" s="1">
        <v>0</v>
      </c>
      <c r="J1176" s="1" t="s">
        <v>14</v>
      </c>
      <c r="K1176" s="1">
        <v>108333</v>
      </c>
    </row>
    <row r="1177" spans="1:11" x14ac:dyDescent="0.25">
      <c r="A1177" s="1" t="s">
        <v>11</v>
      </c>
      <c r="B1177" s="1" t="s">
        <v>1672</v>
      </c>
      <c r="C1177" s="1" t="s">
        <v>26</v>
      </c>
      <c r="D1177" s="1" t="s">
        <v>1764</v>
      </c>
      <c r="E1177" s="1" t="s">
        <v>1113</v>
      </c>
      <c r="F1177" s="1" t="s">
        <v>14</v>
      </c>
      <c r="G1177" s="1">
        <v>3445324.67</v>
      </c>
      <c r="H1177" s="1">
        <v>149242</v>
      </c>
      <c r="I1177" s="1">
        <v>0</v>
      </c>
      <c r="J1177" s="1" t="s">
        <v>14</v>
      </c>
      <c r="K1177" s="1">
        <v>3594566.67</v>
      </c>
    </row>
    <row r="1178" spans="1:11" x14ac:dyDescent="0.25">
      <c r="A1178" s="1" t="s">
        <v>11</v>
      </c>
      <c r="B1178" s="1" t="s">
        <v>1672</v>
      </c>
      <c r="C1178" s="1" t="s">
        <v>26</v>
      </c>
      <c r="D1178" s="1" t="s">
        <v>1765</v>
      </c>
      <c r="E1178" s="1" t="s">
        <v>1123</v>
      </c>
      <c r="F1178" s="1" t="s">
        <v>14</v>
      </c>
      <c r="G1178" s="1">
        <v>259182.83</v>
      </c>
      <c r="H1178" s="1">
        <v>28358</v>
      </c>
      <c r="I1178" s="1">
        <v>0</v>
      </c>
      <c r="J1178" s="1" t="s">
        <v>14</v>
      </c>
      <c r="K1178" s="1">
        <v>287540.83</v>
      </c>
    </row>
    <row r="1179" spans="1:11" x14ac:dyDescent="0.25">
      <c r="A1179" s="1" t="s">
        <v>11</v>
      </c>
      <c r="B1179" s="1" t="s">
        <v>1672</v>
      </c>
      <c r="C1179" s="1" t="s">
        <v>21</v>
      </c>
      <c r="D1179" s="1" t="s">
        <v>1766</v>
      </c>
      <c r="E1179" s="1" t="s">
        <v>1125</v>
      </c>
      <c r="F1179" s="1" t="s">
        <v>14</v>
      </c>
      <c r="G1179" s="1">
        <v>984644575.73000002</v>
      </c>
      <c r="H1179" s="1">
        <v>6470917.5</v>
      </c>
      <c r="I1179" s="1">
        <v>0</v>
      </c>
      <c r="J1179" s="1" t="s">
        <v>14</v>
      </c>
      <c r="K1179" s="1">
        <v>991115493.23000002</v>
      </c>
    </row>
    <row r="1180" spans="1:11" x14ac:dyDescent="0.25">
      <c r="A1180" s="1" t="s">
        <v>11</v>
      </c>
      <c r="B1180" s="1" t="s">
        <v>1672</v>
      </c>
      <c r="C1180" s="1" t="s">
        <v>23</v>
      </c>
      <c r="D1180" s="1" t="s">
        <v>1767</v>
      </c>
      <c r="E1180" s="1" t="s">
        <v>1127</v>
      </c>
      <c r="F1180" s="1" t="s">
        <v>14</v>
      </c>
      <c r="G1180" s="1">
        <v>524866699.73000002</v>
      </c>
      <c r="H1180" s="1">
        <v>258150.5</v>
      </c>
      <c r="I1180" s="1">
        <v>0</v>
      </c>
      <c r="J1180" s="1" t="s">
        <v>14</v>
      </c>
      <c r="K1180" s="1">
        <v>525124850.23000002</v>
      </c>
    </row>
    <row r="1181" spans="1:11" x14ac:dyDescent="0.25">
      <c r="A1181" s="1" t="s">
        <v>11</v>
      </c>
      <c r="B1181" s="1" t="s">
        <v>1672</v>
      </c>
      <c r="C1181" s="1" t="s">
        <v>26</v>
      </c>
      <c r="D1181" s="1" t="s">
        <v>1768</v>
      </c>
      <c r="E1181" s="1" t="s">
        <v>1131</v>
      </c>
      <c r="F1181" s="1" t="s">
        <v>14</v>
      </c>
      <c r="G1181" s="1">
        <v>314614012</v>
      </c>
      <c r="H1181" s="1">
        <v>60000</v>
      </c>
      <c r="I1181" s="1">
        <v>0</v>
      </c>
      <c r="J1181" s="1" t="s">
        <v>14</v>
      </c>
      <c r="K1181" s="1">
        <v>314674012</v>
      </c>
    </row>
    <row r="1182" spans="1:11" x14ac:dyDescent="0.25">
      <c r="A1182" s="1" t="s">
        <v>11</v>
      </c>
      <c r="B1182" s="1" t="s">
        <v>1672</v>
      </c>
      <c r="C1182" s="1" t="s">
        <v>26</v>
      </c>
      <c r="D1182" s="1" t="s">
        <v>1769</v>
      </c>
      <c r="E1182" s="1" t="s">
        <v>1133</v>
      </c>
      <c r="F1182" s="1" t="s">
        <v>14</v>
      </c>
      <c r="G1182" s="1">
        <v>6261667</v>
      </c>
      <c r="H1182" s="1">
        <v>0</v>
      </c>
      <c r="I1182" s="1">
        <v>0</v>
      </c>
      <c r="J1182" s="1" t="s">
        <v>14</v>
      </c>
      <c r="K1182" s="1">
        <v>6261667</v>
      </c>
    </row>
    <row r="1183" spans="1:11" x14ac:dyDescent="0.25">
      <c r="A1183" s="1" t="s">
        <v>11</v>
      </c>
      <c r="B1183" s="1" t="s">
        <v>1672</v>
      </c>
      <c r="C1183" s="1" t="s">
        <v>26</v>
      </c>
      <c r="D1183" s="1" t="s">
        <v>1770</v>
      </c>
      <c r="E1183" s="1" t="s">
        <v>1315</v>
      </c>
      <c r="F1183" s="1" t="s">
        <v>14</v>
      </c>
      <c r="G1183" s="1">
        <v>397174</v>
      </c>
      <c r="H1183" s="1">
        <v>0</v>
      </c>
      <c r="I1183" s="1">
        <v>0</v>
      </c>
      <c r="J1183" s="1" t="s">
        <v>14</v>
      </c>
      <c r="K1183" s="1">
        <v>397174</v>
      </c>
    </row>
    <row r="1184" spans="1:11" x14ac:dyDescent="0.25">
      <c r="A1184" s="1" t="s">
        <v>11</v>
      </c>
      <c r="B1184" s="1" t="s">
        <v>1672</v>
      </c>
      <c r="C1184" s="1" t="s">
        <v>26</v>
      </c>
      <c r="D1184" s="1" t="s">
        <v>1771</v>
      </c>
      <c r="E1184" s="1" t="s">
        <v>1135</v>
      </c>
      <c r="F1184" s="1" t="s">
        <v>14</v>
      </c>
      <c r="G1184" s="1">
        <v>1059144</v>
      </c>
      <c r="H1184" s="1">
        <v>0</v>
      </c>
      <c r="I1184" s="1">
        <v>0</v>
      </c>
      <c r="J1184" s="1" t="s">
        <v>14</v>
      </c>
      <c r="K1184" s="1">
        <v>1059144</v>
      </c>
    </row>
    <row r="1185" spans="1:11" x14ac:dyDescent="0.25">
      <c r="A1185" s="1" t="s">
        <v>11</v>
      </c>
      <c r="B1185" s="1" t="s">
        <v>1672</v>
      </c>
      <c r="C1185" s="1" t="s">
        <v>26</v>
      </c>
      <c r="D1185" s="1" t="s">
        <v>1772</v>
      </c>
      <c r="E1185" s="1" t="s">
        <v>1318</v>
      </c>
      <c r="F1185" s="1" t="s">
        <v>14</v>
      </c>
      <c r="G1185" s="1">
        <v>328696</v>
      </c>
      <c r="H1185" s="1">
        <v>0</v>
      </c>
      <c r="I1185" s="1">
        <v>0</v>
      </c>
      <c r="J1185" s="1" t="s">
        <v>14</v>
      </c>
      <c r="K1185" s="1">
        <v>328696</v>
      </c>
    </row>
    <row r="1186" spans="1:11" x14ac:dyDescent="0.25">
      <c r="A1186" s="1" t="s">
        <v>11</v>
      </c>
      <c r="B1186" s="1" t="s">
        <v>1672</v>
      </c>
      <c r="C1186" s="1" t="s">
        <v>26</v>
      </c>
      <c r="D1186" s="1" t="s">
        <v>1773</v>
      </c>
      <c r="E1186" s="1" t="s">
        <v>224</v>
      </c>
      <c r="F1186" s="1" t="s">
        <v>14</v>
      </c>
      <c r="G1186" s="1">
        <v>2754884</v>
      </c>
      <c r="H1186" s="1">
        <v>86667</v>
      </c>
      <c r="I1186" s="1">
        <v>0</v>
      </c>
      <c r="J1186" s="1" t="s">
        <v>14</v>
      </c>
      <c r="K1186" s="1">
        <v>2841551</v>
      </c>
    </row>
    <row r="1187" spans="1:11" x14ac:dyDescent="0.25">
      <c r="A1187" s="1" t="s">
        <v>11</v>
      </c>
      <c r="B1187" s="1" t="s">
        <v>1672</v>
      </c>
      <c r="C1187" s="1" t="s">
        <v>26</v>
      </c>
      <c r="D1187" s="1" t="s">
        <v>1774</v>
      </c>
      <c r="E1187" s="1" t="s">
        <v>1138</v>
      </c>
      <c r="F1187" s="1" t="s">
        <v>14</v>
      </c>
      <c r="G1187" s="1">
        <v>9547200</v>
      </c>
      <c r="H1187" s="1">
        <v>5400</v>
      </c>
      <c r="I1187" s="1">
        <v>0</v>
      </c>
      <c r="J1187" s="1" t="s">
        <v>14</v>
      </c>
      <c r="K1187" s="1">
        <v>9552600</v>
      </c>
    </row>
    <row r="1188" spans="1:11" x14ac:dyDescent="0.25">
      <c r="A1188" s="1" t="s">
        <v>11</v>
      </c>
      <c r="B1188" s="1" t="s">
        <v>1672</v>
      </c>
      <c r="C1188" s="1" t="s">
        <v>26</v>
      </c>
      <c r="D1188" s="1" t="s">
        <v>1775</v>
      </c>
      <c r="E1188" s="1" t="s">
        <v>1140</v>
      </c>
      <c r="F1188" s="1" t="s">
        <v>14</v>
      </c>
      <c r="G1188" s="1">
        <v>5334</v>
      </c>
      <c r="H1188" s="1">
        <v>0</v>
      </c>
      <c r="I1188" s="1">
        <v>0</v>
      </c>
      <c r="J1188" s="1" t="s">
        <v>14</v>
      </c>
      <c r="K1188" s="1">
        <v>5334</v>
      </c>
    </row>
    <row r="1189" spans="1:11" x14ac:dyDescent="0.25">
      <c r="A1189" s="1" t="s">
        <v>11</v>
      </c>
      <c r="B1189" s="1" t="s">
        <v>1672</v>
      </c>
      <c r="C1189" s="1" t="s">
        <v>26</v>
      </c>
      <c r="D1189" s="1" t="s">
        <v>1776</v>
      </c>
      <c r="E1189" s="1" t="s">
        <v>1142</v>
      </c>
      <c r="F1189" s="1" t="s">
        <v>14</v>
      </c>
      <c r="G1189" s="1">
        <v>28318421</v>
      </c>
      <c r="H1189" s="1">
        <v>0</v>
      </c>
      <c r="I1189" s="1">
        <v>0</v>
      </c>
      <c r="J1189" s="1" t="s">
        <v>14</v>
      </c>
      <c r="K1189" s="1">
        <v>28318421</v>
      </c>
    </row>
    <row r="1190" spans="1:11" x14ac:dyDescent="0.25">
      <c r="A1190" s="1" t="s">
        <v>11</v>
      </c>
      <c r="B1190" s="1" t="s">
        <v>1672</v>
      </c>
      <c r="C1190" s="1" t="s">
        <v>26</v>
      </c>
      <c r="D1190" s="1" t="s">
        <v>1777</v>
      </c>
      <c r="E1190" s="1" t="s">
        <v>673</v>
      </c>
      <c r="F1190" s="1" t="s">
        <v>14</v>
      </c>
      <c r="G1190" s="1">
        <v>3399566</v>
      </c>
      <c r="H1190" s="1">
        <v>0</v>
      </c>
      <c r="I1190" s="1">
        <v>0</v>
      </c>
      <c r="J1190" s="1" t="s">
        <v>14</v>
      </c>
      <c r="K1190" s="1">
        <v>3399566</v>
      </c>
    </row>
    <row r="1191" spans="1:11" x14ac:dyDescent="0.25">
      <c r="A1191" s="1" t="s">
        <v>11</v>
      </c>
      <c r="B1191" s="1" t="s">
        <v>1672</v>
      </c>
      <c r="C1191" s="1" t="s">
        <v>26</v>
      </c>
      <c r="D1191" s="1" t="s">
        <v>1778</v>
      </c>
      <c r="E1191" s="1" t="s">
        <v>675</v>
      </c>
      <c r="F1191" s="1" t="s">
        <v>14</v>
      </c>
      <c r="G1191" s="1">
        <v>28451301</v>
      </c>
      <c r="H1191" s="1">
        <v>0</v>
      </c>
      <c r="I1191" s="1">
        <v>0</v>
      </c>
      <c r="J1191" s="1" t="s">
        <v>14</v>
      </c>
      <c r="K1191" s="1">
        <v>28451301</v>
      </c>
    </row>
    <row r="1192" spans="1:11" x14ac:dyDescent="0.25">
      <c r="A1192" s="1" t="s">
        <v>11</v>
      </c>
      <c r="B1192" s="1" t="s">
        <v>1672</v>
      </c>
      <c r="C1192" s="1" t="s">
        <v>26</v>
      </c>
      <c r="D1192" s="1" t="s">
        <v>1779</v>
      </c>
      <c r="E1192" s="1" t="s">
        <v>1146</v>
      </c>
      <c r="F1192" s="1" t="s">
        <v>14</v>
      </c>
      <c r="G1192" s="1">
        <v>16709591.73</v>
      </c>
      <c r="H1192" s="1">
        <v>0</v>
      </c>
      <c r="I1192" s="1">
        <v>0</v>
      </c>
      <c r="J1192" s="1" t="s">
        <v>14</v>
      </c>
      <c r="K1192" s="1">
        <v>16709591.73</v>
      </c>
    </row>
    <row r="1193" spans="1:11" x14ac:dyDescent="0.25">
      <c r="A1193" s="1" t="s">
        <v>11</v>
      </c>
      <c r="B1193" s="1" t="s">
        <v>1672</v>
      </c>
      <c r="C1193" s="1" t="s">
        <v>26</v>
      </c>
      <c r="D1193" s="1" t="s">
        <v>1780</v>
      </c>
      <c r="E1193" s="1" t="s">
        <v>1148</v>
      </c>
      <c r="F1193" s="1" t="s">
        <v>14</v>
      </c>
      <c r="G1193" s="1">
        <v>30852027</v>
      </c>
      <c r="H1193" s="1">
        <v>12467</v>
      </c>
      <c r="I1193" s="1">
        <v>0</v>
      </c>
      <c r="J1193" s="1" t="s">
        <v>14</v>
      </c>
      <c r="K1193" s="1">
        <v>30864494</v>
      </c>
    </row>
    <row r="1194" spans="1:11" x14ac:dyDescent="0.25">
      <c r="A1194" s="1" t="s">
        <v>11</v>
      </c>
      <c r="B1194" s="1" t="s">
        <v>1672</v>
      </c>
      <c r="C1194" s="1" t="s">
        <v>26</v>
      </c>
      <c r="D1194" s="1" t="s">
        <v>1781</v>
      </c>
      <c r="E1194" s="1" t="s">
        <v>1150</v>
      </c>
      <c r="F1194" s="1" t="s">
        <v>14</v>
      </c>
      <c r="G1194" s="1">
        <v>42327675</v>
      </c>
      <c r="H1194" s="1">
        <v>17600</v>
      </c>
      <c r="I1194" s="1">
        <v>0</v>
      </c>
      <c r="J1194" s="1" t="s">
        <v>14</v>
      </c>
      <c r="K1194" s="1">
        <v>42345275</v>
      </c>
    </row>
    <row r="1195" spans="1:11" x14ac:dyDescent="0.25">
      <c r="A1195" s="1" t="s">
        <v>11</v>
      </c>
      <c r="B1195" s="1" t="s">
        <v>1672</v>
      </c>
      <c r="C1195" s="1" t="s">
        <v>26</v>
      </c>
      <c r="D1195" s="1" t="s">
        <v>1782</v>
      </c>
      <c r="E1195" s="1" t="s">
        <v>1152</v>
      </c>
      <c r="F1195" s="1" t="s">
        <v>14</v>
      </c>
      <c r="G1195" s="1">
        <v>8079928</v>
      </c>
      <c r="H1195" s="1">
        <v>1462</v>
      </c>
      <c r="I1195" s="1">
        <v>0</v>
      </c>
      <c r="J1195" s="1" t="s">
        <v>14</v>
      </c>
      <c r="K1195" s="1">
        <v>8081390</v>
      </c>
    </row>
    <row r="1196" spans="1:11" x14ac:dyDescent="0.25">
      <c r="A1196" s="1" t="s">
        <v>11</v>
      </c>
      <c r="B1196" s="1" t="s">
        <v>1672</v>
      </c>
      <c r="C1196" s="1" t="s">
        <v>26</v>
      </c>
      <c r="D1196" s="1" t="s">
        <v>1783</v>
      </c>
      <c r="E1196" s="1" t="s">
        <v>1154</v>
      </c>
      <c r="F1196" s="1" t="s">
        <v>14</v>
      </c>
      <c r="G1196" s="1">
        <v>14025922</v>
      </c>
      <c r="H1196" s="1">
        <v>71554.5</v>
      </c>
      <c r="I1196" s="1">
        <v>0</v>
      </c>
      <c r="J1196" s="1" t="s">
        <v>14</v>
      </c>
      <c r="K1196" s="1">
        <v>14097476.5</v>
      </c>
    </row>
    <row r="1197" spans="1:11" x14ac:dyDescent="0.25">
      <c r="A1197" s="1" t="s">
        <v>11</v>
      </c>
      <c r="B1197" s="1" t="s">
        <v>1672</v>
      </c>
      <c r="C1197" s="1" t="s">
        <v>26</v>
      </c>
      <c r="D1197" s="1" t="s">
        <v>1784</v>
      </c>
      <c r="E1197" s="1" t="s">
        <v>1156</v>
      </c>
      <c r="F1197" s="1" t="s">
        <v>14</v>
      </c>
      <c r="G1197" s="1">
        <v>10645561</v>
      </c>
      <c r="H1197" s="1">
        <v>1800</v>
      </c>
      <c r="I1197" s="1">
        <v>0</v>
      </c>
      <c r="J1197" s="1" t="s">
        <v>14</v>
      </c>
      <c r="K1197" s="1">
        <v>10647361</v>
      </c>
    </row>
    <row r="1198" spans="1:11" x14ac:dyDescent="0.25">
      <c r="A1198" s="1" t="s">
        <v>11</v>
      </c>
      <c r="B1198" s="1" t="s">
        <v>1672</v>
      </c>
      <c r="C1198" s="1" t="s">
        <v>26</v>
      </c>
      <c r="D1198" s="1" t="s">
        <v>1785</v>
      </c>
      <c r="E1198" s="1" t="s">
        <v>1158</v>
      </c>
      <c r="F1198" s="1" t="s">
        <v>14</v>
      </c>
      <c r="G1198" s="1">
        <v>7088596</v>
      </c>
      <c r="H1198" s="1">
        <v>1200</v>
      </c>
      <c r="I1198" s="1">
        <v>0</v>
      </c>
      <c r="J1198" s="1" t="s">
        <v>14</v>
      </c>
      <c r="K1198" s="1">
        <v>7089796</v>
      </c>
    </row>
    <row r="1199" spans="1:11" x14ac:dyDescent="0.25">
      <c r="A1199" s="1" t="s">
        <v>11</v>
      </c>
      <c r="B1199" s="1" t="s">
        <v>1672</v>
      </c>
      <c r="C1199" s="1" t="s">
        <v>23</v>
      </c>
      <c r="D1199" s="1" t="s">
        <v>1786</v>
      </c>
      <c r="E1199" s="1" t="s">
        <v>1445</v>
      </c>
      <c r="F1199" s="1" t="s">
        <v>14</v>
      </c>
      <c r="G1199" s="1">
        <v>459777876</v>
      </c>
      <c r="H1199" s="1">
        <v>6212767</v>
      </c>
      <c r="I1199" s="1">
        <v>0</v>
      </c>
      <c r="J1199" s="1" t="s">
        <v>14</v>
      </c>
      <c r="K1199" s="1">
        <v>465990643</v>
      </c>
    </row>
    <row r="1200" spans="1:11" x14ac:dyDescent="0.25">
      <c r="A1200" s="1" t="s">
        <v>11</v>
      </c>
      <c r="B1200" s="1" t="s">
        <v>1672</v>
      </c>
      <c r="C1200" s="1" t="s">
        <v>26</v>
      </c>
      <c r="D1200" s="1" t="s">
        <v>1787</v>
      </c>
      <c r="E1200" s="1" t="s">
        <v>554</v>
      </c>
      <c r="F1200" s="1" t="s">
        <v>14</v>
      </c>
      <c r="G1200" s="1">
        <v>459777876</v>
      </c>
      <c r="H1200" s="1">
        <v>6212767</v>
      </c>
      <c r="I1200" s="1">
        <v>0</v>
      </c>
      <c r="J1200" s="1" t="s">
        <v>14</v>
      </c>
      <c r="K1200" s="1">
        <v>465990643</v>
      </c>
    </row>
    <row r="1201" spans="1:11" x14ac:dyDescent="0.25">
      <c r="A1201" s="1" t="s">
        <v>11</v>
      </c>
      <c r="B1201" s="1" t="s">
        <v>1672</v>
      </c>
      <c r="C1201" s="1" t="s">
        <v>21</v>
      </c>
      <c r="D1201" s="1" t="s">
        <v>1788</v>
      </c>
      <c r="E1201" s="1" t="s">
        <v>1720</v>
      </c>
      <c r="F1201" s="1" t="s">
        <v>14</v>
      </c>
      <c r="G1201" s="1">
        <v>263919880.59</v>
      </c>
      <c r="H1201" s="1">
        <v>12127155.5</v>
      </c>
      <c r="I1201" s="1">
        <v>0</v>
      </c>
      <c r="J1201" s="1" t="s">
        <v>14</v>
      </c>
      <c r="K1201" s="1">
        <v>276047036.08999997</v>
      </c>
    </row>
    <row r="1202" spans="1:11" x14ac:dyDescent="0.25">
      <c r="A1202" s="1" t="s">
        <v>11</v>
      </c>
      <c r="B1202" s="1" t="s">
        <v>1672</v>
      </c>
      <c r="C1202" s="1" t="s">
        <v>23</v>
      </c>
      <c r="D1202" s="1" t="s">
        <v>1789</v>
      </c>
      <c r="E1202" s="1" t="s">
        <v>1189</v>
      </c>
      <c r="F1202" s="1" t="s">
        <v>14</v>
      </c>
      <c r="G1202" s="1">
        <v>7272495</v>
      </c>
      <c r="H1202" s="1">
        <v>1883687</v>
      </c>
      <c r="I1202" s="1">
        <v>0</v>
      </c>
      <c r="J1202" s="1" t="s">
        <v>14</v>
      </c>
      <c r="K1202" s="1">
        <v>9156182</v>
      </c>
    </row>
    <row r="1203" spans="1:11" x14ac:dyDescent="0.25">
      <c r="A1203" s="1" t="s">
        <v>11</v>
      </c>
      <c r="B1203" s="1" t="s">
        <v>1672</v>
      </c>
      <c r="C1203" s="1" t="s">
        <v>26</v>
      </c>
      <c r="D1203" s="1" t="s">
        <v>1790</v>
      </c>
      <c r="E1203" s="1" t="s">
        <v>439</v>
      </c>
      <c r="F1203" s="1" t="s">
        <v>14</v>
      </c>
      <c r="G1203" s="1">
        <v>7272495</v>
      </c>
      <c r="H1203" s="1">
        <v>1883687</v>
      </c>
      <c r="I1203" s="1">
        <v>0</v>
      </c>
      <c r="J1203" s="1" t="s">
        <v>14</v>
      </c>
      <c r="K1203" s="1">
        <v>9156182</v>
      </c>
    </row>
    <row r="1204" spans="1:11" x14ac:dyDescent="0.25">
      <c r="A1204" s="1" t="s">
        <v>11</v>
      </c>
      <c r="B1204" s="1" t="s">
        <v>1672</v>
      </c>
      <c r="C1204" s="1" t="s">
        <v>23</v>
      </c>
      <c r="D1204" s="1" t="s">
        <v>1791</v>
      </c>
      <c r="E1204" s="1" t="s">
        <v>227</v>
      </c>
      <c r="F1204" s="1" t="s">
        <v>14</v>
      </c>
      <c r="G1204" s="1">
        <v>8021675</v>
      </c>
      <c r="H1204" s="1">
        <v>0</v>
      </c>
      <c r="I1204" s="1">
        <v>0</v>
      </c>
      <c r="J1204" s="1" t="s">
        <v>14</v>
      </c>
      <c r="K1204" s="1">
        <v>8021675</v>
      </c>
    </row>
    <row r="1205" spans="1:11" x14ac:dyDescent="0.25">
      <c r="A1205" s="1" t="s">
        <v>11</v>
      </c>
      <c r="B1205" s="1" t="s">
        <v>1672</v>
      </c>
      <c r="C1205" s="1" t="s">
        <v>26</v>
      </c>
      <c r="D1205" s="1" t="s">
        <v>1792</v>
      </c>
      <c r="E1205" s="1" t="s">
        <v>1195</v>
      </c>
      <c r="F1205" s="1" t="s">
        <v>14</v>
      </c>
      <c r="G1205" s="1">
        <v>6740902</v>
      </c>
      <c r="H1205" s="1">
        <v>0</v>
      </c>
      <c r="I1205" s="1">
        <v>0</v>
      </c>
      <c r="J1205" s="1" t="s">
        <v>14</v>
      </c>
      <c r="K1205" s="1">
        <v>6740902</v>
      </c>
    </row>
    <row r="1206" spans="1:11" x14ac:dyDescent="0.25">
      <c r="A1206" s="1" t="s">
        <v>11</v>
      </c>
      <c r="B1206" s="1" t="s">
        <v>1672</v>
      </c>
      <c r="C1206" s="1" t="s">
        <v>26</v>
      </c>
      <c r="D1206" s="1" t="s">
        <v>1793</v>
      </c>
      <c r="E1206" s="1" t="s">
        <v>1197</v>
      </c>
      <c r="F1206" s="1" t="s">
        <v>14</v>
      </c>
      <c r="G1206" s="1">
        <v>1280773</v>
      </c>
      <c r="H1206" s="1">
        <v>0</v>
      </c>
      <c r="I1206" s="1">
        <v>0</v>
      </c>
      <c r="J1206" s="1" t="s">
        <v>14</v>
      </c>
      <c r="K1206" s="1">
        <v>1280773</v>
      </c>
    </row>
    <row r="1207" spans="1:11" x14ac:dyDescent="0.25">
      <c r="A1207" s="1" t="s">
        <v>11</v>
      </c>
      <c r="B1207" s="1" t="s">
        <v>1672</v>
      </c>
      <c r="C1207" s="1" t="s">
        <v>23</v>
      </c>
      <c r="D1207" s="1" t="s">
        <v>1794</v>
      </c>
      <c r="E1207" s="1" t="s">
        <v>437</v>
      </c>
      <c r="F1207" s="1" t="s">
        <v>14</v>
      </c>
      <c r="G1207" s="1">
        <v>3761940</v>
      </c>
      <c r="H1207" s="1">
        <v>0</v>
      </c>
      <c r="I1207" s="1">
        <v>0</v>
      </c>
      <c r="J1207" s="1" t="s">
        <v>14</v>
      </c>
      <c r="K1207" s="1">
        <v>3761940</v>
      </c>
    </row>
    <row r="1208" spans="1:11" x14ac:dyDescent="0.25">
      <c r="A1208" s="1" t="s">
        <v>11</v>
      </c>
      <c r="B1208" s="1" t="s">
        <v>1672</v>
      </c>
      <c r="C1208" s="1" t="s">
        <v>26</v>
      </c>
      <c r="D1208" s="1" t="s">
        <v>1795</v>
      </c>
      <c r="E1208" s="1" t="s">
        <v>1212</v>
      </c>
      <c r="F1208" s="1" t="s">
        <v>14</v>
      </c>
      <c r="G1208" s="1">
        <v>838080</v>
      </c>
      <c r="H1208" s="1">
        <v>0</v>
      </c>
      <c r="I1208" s="1">
        <v>0</v>
      </c>
      <c r="J1208" s="1" t="s">
        <v>14</v>
      </c>
      <c r="K1208" s="1">
        <v>838080</v>
      </c>
    </row>
    <row r="1209" spans="1:11" x14ac:dyDescent="0.25">
      <c r="A1209" s="1" t="s">
        <v>11</v>
      </c>
      <c r="B1209" s="1" t="s">
        <v>1672</v>
      </c>
      <c r="C1209" s="1" t="s">
        <v>26</v>
      </c>
      <c r="D1209" s="1" t="s">
        <v>1796</v>
      </c>
      <c r="E1209" s="1" t="s">
        <v>1214</v>
      </c>
      <c r="F1209" s="1" t="s">
        <v>14</v>
      </c>
      <c r="G1209" s="1">
        <v>2923860</v>
      </c>
      <c r="H1209" s="1">
        <v>0</v>
      </c>
      <c r="I1209" s="1">
        <v>0</v>
      </c>
      <c r="J1209" s="1" t="s">
        <v>14</v>
      </c>
      <c r="K1209" s="1">
        <v>2923860</v>
      </c>
    </row>
    <row r="1210" spans="1:11" x14ac:dyDescent="0.25">
      <c r="A1210" s="1" t="s">
        <v>11</v>
      </c>
      <c r="B1210" s="1" t="s">
        <v>1672</v>
      </c>
      <c r="C1210" s="1" t="s">
        <v>23</v>
      </c>
      <c r="D1210" s="1" t="s">
        <v>1797</v>
      </c>
      <c r="E1210" s="1" t="s">
        <v>566</v>
      </c>
      <c r="F1210" s="1" t="s">
        <v>14</v>
      </c>
      <c r="G1210" s="1">
        <v>81534051.230000004</v>
      </c>
      <c r="H1210" s="1">
        <v>8489886.5</v>
      </c>
      <c r="I1210" s="1">
        <v>0</v>
      </c>
      <c r="J1210" s="1" t="s">
        <v>14</v>
      </c>
      <c r="K1210" s="1">
        <v>90023937.730000004</v>
      </c>
    </row>
    <row r="1211" spans="1:11" x14ac:dyDescent="0.25">
      <c r="A1211" s="1" t="s">
        <v>11</v>
      </c>
      <c r="B1211" s="1" t="s">
        <v>1672</v>
      </c>
      <c r="C1211" s="1" t="s">
        <v>26</v>
      </c>
      <c r="D1211" s="1" t="s">
        <v>1798</v>
      </c>
      <c r="E1211" s="1" t="s">
        <v>1219</v>
      </c>
      <c r="F1211" s="1" t="s">
        <v>14</v>
      </c>
      <c r="G1211" s="1">
        <v>14767714.65</v>
      </c>
      <c r="H1211" s="1">
        <v>1337514.1399999999</v>
      </c>
      <c r="I1211" s="1">
        <v>0</v>
      </c>
      <c r="J1211" s="1" t="s">
        <v>14</v>
      </c>
      <c r="K1211" s="1">
        <v>16105228.789999999</v>
      </c>
    </row>
    <row r="1212" spans="1:11" x14ac:dyDescent="0.25">
      <c r="A1212" s="1" t="s">
        <v>11</v>
      </c>
      <c r="B1212" s="1" t="s">
        <v>1672</v>
      </c>
      <c r="C1212" s="1" t="s">
        <v>26</v>
      </c>
      <c r="D1212" s="1" t="s">
        <v>1799</v>
      </c>
      <c r="E1212" s="1" t="s">
        <v>1221</v>
      </c>
      <c r="F1212" s="1" t="s">
        <v>14</v>
      </c>
      <c r="G1212" s="1">
        <v>6328784.54</v>
      </c>
      <c r="H1212" s="1">
        <v>761040.73</v>
      </c>
      <c r="I1212" s="1">
        <v>0</v>
      </c>
      <c r="J1212" s="1" t="s">
        <v>14</v>
      </c>
      <c r="K1212" s="1">
        <v>7089825.2699999996</v>
      </c>
    </row>
    <row r="1213" spans="1:11" x14ac:dyDescent="0.25">
      <c r="A1213" s="1" t="s">
        <v>11</v>
      </c>
      <c r="B1213" s="1" t="s">
        <v>1672</v>
      </c>
      <c r="C1213" s="1" t="s">
        <v>26</v>
      </c>
      <c r="D1213" s="1" t="s">
        <v>1800</v>
      </c>
      <c r="E1213" s="1" t="s">
        <v>1223</v>
      </c>
      <c r="F1213" s="1" t="s">
        <v>14</v>
      </c>
      <c r="G1213" s="1">
        <v>39800</v>
      </c>
      <c r="H1213" s="1">
        <v>4030</v>
      </c>
      <c r="I1213" s="1">
        <v>0</v>
      </c>
      <c r="J1213" s="1" t="s">
        <v>14</v>
      </c>
      <c r="K1213" s="1">
        <v>43830</v>
      </c>
    </row>
    <row r="1214" spans="1:11" x14ac:dyDescent="0.25">
      <c r="A1214" s="1" t="s">
        <v>11</v>
      </c>
      <c r="B1214" s="1" t="s">
        <v>1672</v>
      </c>
      <c r="C1214" s="1" t="s">
        <v>26</v>
      </c>
      <c r="D1214" s="1" t="s">
        <v>1801</v>
      </c>
      <c r="E1214" s="1" t="s">
        <v>1225</v>
      </c>
      <c r="F1214" s="1" t="s">
        <v>14</v>
      </c>
      <c r="G1214" s="1">
        <v>39202717.109999999</v>
      </c>
      <c r="H1214" s="1">
        <v>3845679.84</v>
      </c>
      <c r="I1214" s="1">
        <v>0</v>
      </c>
      <c r="J1214" s="1" t="s">
        <v>14</v>
      </c>
      <c r="K1214" s="1">
        <v>43048396.950000003</v>
      </c>
    </row>
    <row r="1215" spans="1:11" x14ac:dyDescent="0.25">
      <c r="A1215" s="1" t="s">
        <v>11</v>
      </c>
      <c r="B1215" s="1" t="s">
        <v>1672</v>
      </c>
      <c r="C1215" s="1" t="s">
        <v>26</v>
      </c>
      <c r="D1215" s="1" t="s">
        <v>1802</v>
      </c>
      <c r="E1215" s="1" t="s">
        <v>1227</v>
      </c>
      <c r="F1215" s="1" t="s">
        <v>14</v>
      </c>
      <c r="G1215" s="1">
        <v>12964682.109999999</v>
      </c>
      <c r="H1215" s="1">
        <v>1632904.23</v>
      </c>
      <c r="I1215" s="1">
        <v>0</v>
      </c>
      <c r="J1215" s="1" t="s">
        <v>14</v>
      </c>
      <c r="K1215" s="1">
        <v>14597586.34</v>
      </c>
    </row>
    <row r="1216" spans="1:11" x14ac:dyDescent="0.25">
      <c r="A1216" s="1" t="s">
        <v>11</v>
      </c>
      <c r="B1216" s="1" t="s">
        <v>1672</v>
      </c>
      <c r="C1216" s="1" t="s">
        <v>26</v>
      </c>
      <c r="D1216" s="1" t="s">
        <v>1803</v>
      </c>
      <c r="E1216" s="1" t="s">
        <v>1229</v>
      </c>
      <c r="F1216" s="1" t="s">
        <v>14</v>
      </c>
      <c r="G1216" s="1">
        <v>1656847.46</v>
      </c>
      <c r="H1216" s="1">
        <v>169829.62</v>
      </c>
      <c r="I1216" s="1">
        <v>0</v>
      </c>
      <c r="J1216" s="1" t="s">
        <v>14</v>
      </c>
      <c r="K1216" s="1">
        <v>1826677.08</v>
      </c>
    </row>
    <row r="1217" spans="1:11" x14ac:dyDescent="0.25">
      <c r="A1217" s="1" t="s">
        <v>11</v>
      </c>
      <c r="B1217" s="1" t="s">
        <v>1672</v>
      </c>
      <c r="C1217" s="1" t="s">
        <v>26</v>
      </c>
      <c r="D1217" s="1" t="s">
        <v>1804</v>
      </c>
      <c r="E1217" s="1" t="s">
        <v>1231</v>
      </c>
      <c r="F1217" s="1" t="s">
        <v>14</v>
      </c>
      <c r="G1217" s="1">
        <v>3131798</v>
      </c>
      <c r="H1217" s="1">
        <v>329428</v>
      </c>
      <c r="I1217" s="1">
        <v>0</v>
      </c>
      <c r="J1217" s="1" t="s">
        <v>14</v>
      </c>
      <c r="K1217" s="1">
        <v>3461226</v>
      </c>
    </row>
    <row r="1218" spans="1:11" x14ac:dyDescent="0.25">
      <c r="A1218" s="1" t="s">
        <v>11</v>
      </c>
      <c r="B1218" s="1" t="s">
        <v>1672</v>
      </c>
      <c r="C1218" s="1" t="s">
        <v>26</v>
      </c>
      <c r="D1218" s="1" t="s">
        <v>1805</v>
      </c>
      <c r="E1218" s="1" t="s">
        <v>1233</v>
      </c>
      <c r="F1218" s="1" t="s">
        <v>14</v>
      </c>
      <c r="G1218" s="1">
        <v>2475096.94</v>
      </c>
      <c r="H1218" s="1">
        <v>311009.02</v>
      </c>
      <c r="I1218" s="1">
        <v>0</v>
      </c>
      <c r="J1218" s="1" t="s">
        <v>14</v>
      </c>
      <c r="K1218" s="1">
        <v>2786105.96</v>
      </c>
    </row>
    <row r="1219" spans="1:11" x14ac:dyDescent="0.25">
      <c r="A1219" s="1" t="s">
        <v>11</v>
      </c>
      <c r="B1219" s="1" t="s">
        <v>1672</v>
      </c>
      <c r="C1219" s="1" t="s">
        <v>26</v>
      </c>
      <c r="D1219" s="1" t="s">
        <v>1806</v>
      </c>
      <c r="E1219" s="1" t="s">
        <v>1807</v>
      </c>
      <c r="F1219" s="1" t="s">
        <v>14</v>
      </c>
      <c r="G1219" s="1">
        <v>9204</v>
      </c>
      <c r="H1219" s="1">
        <v>0</v>
      </c>
      <c r="I1219" s="1">
        <v>0</v>
      </c>
      <c r="J1219" s="1" t="s">
        <v>14</v>
      </c>
      <c r="K1219" s="1">
        <v>9204</v>
      </c>
    </row>
    <row r="1220" spans="1:11" x14ac:dyDescent="0.25">
      <c r="A1220" s="1" t="s">
        <v>11</v>
      </c>
      <c r="B1220" s="1" t="s">
        <v>1672</v>
      </c>
      <c r="C1220" s="1" t="s">
        <v>26</v>
      </c>
      <c r="D1220" s="1" t="s">
        <v>1808</v>
      </c>
      <c r="E1220" s="1" t="s">
        <v>1235</v>
      </c>
      <c r="F1220" s="1" t="s">
        <v>14</v>
      </c>
      <c r="G1220" s="1">
        <v>328435.42</v>
      </c>
      <c r="H1220" s="1">
        <v>32306.92</v>
      </c>
      <c r="I1220" s="1">
        <v>0</v>
      </c>
      <c r="J1220" s="1" t="s">
        <v>14</v>
      </c>
      <c r="K1220" s="1">
        <v>360742.34</v>
      </c>
    </row>
    <row r="1221" spans="1:11" x14ac:dyDescent="0.25">
      <c r="A1221" s="1" t="s">
        <v>11</v>
      </c>
      <c r="B1221" s="1" t="s">
        <v>1672</v>
      </c>
      <c r="C1221" s="1" t="s">
        <v>26</v>
      </c>
      <c r="D1221" s="1" t="s">
        <v>1809</v>
      </c>
      <c r="E1221" s="1" t="s">
        <v>1237</v>
      </c>
      <c r="F1221" s="1" t="s">
        <v>14</v>
      </c>
      <c r="G1221" s="1">
        <v>628971</v>
      </c>
      <c r="H1221" s="1">
        <v>66144</v>
      </c>
      <c r="I1221" s="1">
        <v>0</v>
      </c>
      <c r="J1221" s="1" t="s">
        <v>14</v>
      </c>
      <c r="K1221" s="1">
        <v>695115</v>
      </c>
    </row>
    <row r="1222" spans="1:11" x14ac:dyDescent="0.25">
      <c r="A1222" s="1" t="s">
        <v>11</v>
      </c>
      <c r="B1222" s="1" t="s">
        <v>1672</v>
      </c>
      <c r="C1222" s="1" t="s">
        <v>23</v>
      </c>
      <c r="D1222" s="1" t="s">
        <v>1810</v>
      </c>
      <c r="E1222" s="1" t="s">
        <v>1239</v>
      </c>
      <c r="F1222" s="1" t="s">
        <v>14</v>
      </c>
      <c r="G1222" s="1">
        <v>133370527</v>
      </c>
      <c r="H1222" s="1">
        <v>357000</v>
      </c>
      <c r="I1222" s="1">
        <v>0</v>
      </c>
      <c r="J1222" s="1" t="s">
        <v>14</v>
      </c>
      <c r="K1222" s="1">
        <v>133727527</v>
      </c>
    </row>
    <row r="1223" spans="1:11" x14ac:dyDescent="0.25">
      <c r="A1223" s="1" t="s">
        <v>11</v>
      </c>
      <c r="B1223" s="1" t="s">
        <v>1672</v>
      </c>
      <c r="C1223" s="1" t="s">
        <v>26</v>
      </c>
      <c r="D1223" s="1" t="s">
        <v>1811</v>
      </c>
      <c r="E1223" s="1" t="s">
        <v>1487</v>
      </c>
      <c r="F1223" s="1" t="s">
        <v>14</v>
      </c>
      <c r="G1223" s="1">
        <v>600000</v>
      </c>
      <c r="H1223" s="1">
        <v>300000</v>
      </c>
      <c r="I1223" s="1">
        <v>0</v>
      </c>
      <c r="J1223" s="1" t="s">
        <v>14</v>
      </c>
      <c r="K1223" s="1">
        <v>900000</v>
      </c>
    </row>
    <row r="1224" spans="1:11" x14ac:dyDescent="0.25">
      <c r="A1224" s="1" t="s">
        <v>11</v>
      </c>
      <c r="B1224" s="1" t="s">
        <v>1672</v>
      </c>
      <c r="C1224" s="1" t="s">
        <v>26</v>
      </c>
      <c r="D1224" s="1" t="s">
        <v>1812</v>
      </c>
      <c r="E1224" s="1" t="s">
        <v>1489</v>
      </c>
      <c r="F1224" s="1" t="s">
        <v>14</v>
      </c>
      <c r="G1224" s="1">
        <v>129958400</v>
      </c>
      <c r="H1224" s="1">
        <v>0</v>
      </c>
      <c r="I1224" s="1">
        <v>0</v>
      </c>
      <c r="J1224" s="1" t="s">
        <v>14</v>
      </c>
      <c r="K1224" s="1">
        <v>129958400</v>
      </c>
    </row>
    <row r="1225" spans="1:11" x14ac:dyDescent="0.25">
      <c r="A1225" s="1" t="s">
        <v>11</v>
      </c>
      <c r="B1225" s="1" t="s">
        <v>1672</v>
      </c>
      <c r="C1225" s="1" t="s">
        <v>26</v>
      </c>
      <c r="D1225" s="1" t="s">
        <v>1813</v>
      </c>
      <c r="E1225" s="1" t="s">
        <v>1495</v>
      </c>
      <c r="F1225" s="1" t="s">
        <v>14</v>
      </c>
      <c r="G1225" s="1">
        <v>2698127</v>
      </c>
      <c r="H1225" s="1">
        <v>0</v>
      </c>
      <c r="I1225" s="1">
        <v>0</v>
      </c>
      <c r="J1225" s="1" t="s">
        <v>14</v>
      </c>
      <c r="K1225" s="1">
        <v>2698127</v>
      </c>
    </row>
    <row r="1226" spans="1:11" x14ac:dyDescent="0.25">
      <c r="A1226" s="1" t="s">
        <v>11</v>
      </c>
      <c r="B1226" s="1" t="s">
        <v>1672</v>
      </c>
      <c r="C1226" s="1" t="s">
        <v>26</v>
      </c>
      <c r="D1226" s="1" t="s">
        <v>1814</v>
      </c>
      <c r="E1226" s="1" t="s">
        <v>1504</v>
      </c>
      <c r="F1226" s="1" t="s">
        <v>14</v>
      </c>
      <c r="G1226" s="1">
        <v>114000</v>
      </c>
      <c r="H1226" s="1">
        <v>57000</v>
      </c>
      <c r="I1226" s="1">
        <v>0</v>
      </c>
      <c r="J1226" s="1" t="s">
        <v>14</v>
      </c>
      <c r="K1226" s="1">
        <v>171000</v>
      </c>
    </row>
    <row r="1227" spans="1:11" x14ac:dyDescent="0.25">
      <c r="A1227" s="1" t="s">
        <v>11</v>
      </c>
      <c r="B1227" s="1" t="s">
        <v>1672</v>
      </c>
      <c r="C1227" s="1" t="s">
        <v>23</v>
      </c>
      <c r="D1227" s="1" t="s">
        <v>1815</v>
      </c>
      <c r="E1227" s="1" t="s">
        <v>1246</v>
      </c>
      <c r="F1227" s="1" t="s">
        <v>14</v>
      </c>
      <c r="G1227" s="1">
        <v>20900</v>
      </c>
      <c r="H1227" s="1">
        <v>0</v>
      </c>
      <c r="I1227" s="1">
        <v>0</v>
      </c>
      <c r="J1227" s="1" t="s">
        <v>14</v>
      </c>
      <c r="K1227" s="1">
        <v>20900</v>
      </c>
    </row>
    <row r="1228" spans="1:11" x14ac:dyDescent="0.25">
      <c r="A1228" s="1" t="s">
        <v>11</v>
      </c>
      <c r="B1228" s="1" t="s">
        <v>1672</v>
      </c>
      <c r="C1228" s="1" t="s">
        <v>26</v>
      </c>
      <c r="D1228" s="1" t="s">
        <v>1816</v>
      </c>
      <c r="E1228" s="1" t="s">
        <v>1249</v>
      </c>
      <c r="F1228" s="1" t="s">
        <v>14</v>
      </c>
      <c r="G1228" s="1">
        <v>20900</v>
      </c>
      <c r="H1228" s="1">
        <v>0</v>
      </c>
      <c r="I1228" s="1">
        <v>0</v>
      </c>
      <c r="J1228" s="1" t="s">
        <v>14</v>
      </c>
      <c r="K1228" s="1">
        <v>20900</v>
      </c>
    </row>
    <row r="1229" spans="1:11" x14ac:dyDescent="0.25">
      <c r="A1229" s="1" t="s">
        <v>11</v>
      </c>
      <c r="B1229" s="1" t="s">
        <v>1672</v>
      </c>
      <c r="C1229" s="1" t="s">
        <v>23</v>
      </c>
      <c r="D1229" s="1" t="s">
        <v>1817</v>
      </c>
      <c r="E1229" s="1" t="s">
        <v>1257</v>
      </c>
      <c r="F1229" s="1" t="s">
        <v>14</v>
      </c>
      <c r="G1229" s="1">
        <v>13132597</v>
      </c>
      <c r="H1229" s="1">
        <v>778672</v>
      </c>
      <c r="I1229" s="1">
        <v>0</v>
      </c>
      <c r="J1229" s="1" t="s">
        <v>14</v>
      </c>
      <c r="K1229" s="1">
        <v>13911269</v>
      </c>
    </row>
    <row r="1230" spans="1:11" x14ac:dyDescent="0.25">
      <c r="A1230" s="1" t="s">
        <v>11</v>
      </c>
      <c r="B1230" s="1" t="s">
        <v>1672</v>
      </c>
      <c r="C1230" s="1" t="s">
        <v>26</v>
      </c>
      <c r="D1230" s="1" t="s">
        <v>1818</v>
      </c>
      <c r="E1230" s="1" t="s">
        <v>1514</v>
      </c>
      <c r="F1230" s="1" t="s">
        <v>14</v>
      </c>
      <c r="G1230" s="1">
        <v>10523282</v>
      </c>
      <c r="H1230" s="1">
        <v>654346</v>
      </c>
      <c r="I1230" s="1">
        <v>0</v>
      </c>
      <c r="J1230" s="1" t="s">
        <v>14</v>
      </c>
      <c r="K1230" s="1">
        <v>11177628</v>
      </c>
    </row>
    <row r="1231" spans="1:11" x14ac:dyDescent="0.25">
      <c r="A1231" s="1" t="s">
        <v>11</v>
      </c>
      <c r="B1231" s="1" t="s">
        <v>1672</v>
      </c>
      <c r="C1231" s="1" t="s">
        <v>26</v>
      </c>
      <c r="D1231" s="1" t="s">
        <v>1819</v>
      </c>
      <c r="E1231" s="1" t="s">
        <v>1820</v>
      </c>
      <c r="F1231" s="1" t="s">
        <v>14</v>
      </c>
      <c r="G1231" s="1">
        <v>512512</v>
      </c>
      <c r="H1231" s="1">
        <v>0</v>
      </c>
      <c r="I1231" s="1">
        <v>0</v>
      </c>
      <c r="J1231" s="1" t="s">
        <v>14</v>
      </c>
      <c r="K1231" s="1">
        <v>512512</v>
      </c>
    </row>
    <row r="1232" spans="1:11" x14ac:dyDescent="0.25">
      <c r="A1232" s="1" t="s">
        <v>11</v>
      </c>
      <c r="B1232" s="1" t="s">
        <v>1672</v>
      </c>
      <c r="C1232" s="1" t="s">
        <v>26</v>
      </c>
      <c r="D1232" s="1" t="s">
        <v>1821</v>
      </c>
      <c r="E1232" s="1" t="s">
        <v>1526</v>
      </c>
      <c r="F1232" s="1" t="s">
        <v>14</v>
      </c>
      <c r="G1232" s="1">
        <v>1999426</v>
      </c>
      <c r="H1232" s="1">
        <v>124326</v>
      </c>
      <c r="I1232" s="1">
        <v>0</v>
      </c>
      <c r="J1232" s="1" t="s">
        <v>14</v>
      </c>
      <c r="K1232" s="1">
        <v>2123752</v>
      </c>
    </row>
    <row r="1233" spans="1:11" x14ac:dyDescent="0.25">
      <c r="A1233" s="1" t="s">
        <v>11</v>
      </c>
      <c r="B1233" s="1" t="s">
        <v>1672</v>
      </c>
      <c r="C1233" s="1" t="s">
        <v>26</v>
      </c>
      <c r="D1233" s="1" t="s">
        <v>1822</v>
      </c>
      <c r="E1233" s="1" t="s">
        <v>1823</v>
      </c>
      <c r="F1233" s="1" t="s">
        <v>14</v>
      </c>
      <c r="G1233" s="1">
        <v>97377</v>
      </c>
      <c r="H1233" s="1">
        <v>0</v>
      </c>
      <c r="I1233" s="1">
        <v>0</v>
      </c>
      <c r="J1233" s="1" t="s">
        <v>14</v>
      </c>
      <c r="K1233" s="1">
        <v>97377</v>
      </c>
    </row>
    <row r="1234" spans="1:11" x14ac:dyDescent="0.25">
      <c r="A1234" s="1" t="s">
        <v>11</v>
      </c>
      <c r="B1234" s="1" t="s">
        <v>1672</v>
      </c>
      <c r="C1234" s="1" t="s">
        <v>23</v>
      </c>
      <c r="D1234" s="1" t="s">
        <v>1824</v>
      </c>
      <c r="E1234" s="1" t="s">
        <v>1263</v>
      </c>
      <c r="F1234" s="1" t="s">
        <v>14</v>
      </c>
      <c r="G1234" s="1">
        <v>7229678.3600000003</v>
      </c>
      <c r="H1234" s="1">
        <v>0</v>
      </c>
      <c r="I1234" s="1">
        <v>0</v>
      </c>
      <c r="J1234" s="1" t="s">
        <v>14</v>
      </c>
      <c r="K1234" s="1">
        <v>7229678.3600000003</v>
      </c>
    </row>
    <row r="1235" spans="1:11" x14ac:dyDescent="0.25">
      <c r="A1235" s="1" t="s">
        <v>11</v>
      </c>
      <c r="B1235" s="1" t="s">
        <v>1672</v>
      </c>
      <c r="C1235" s="1" t="s">
        <v>26</v>
      </c>
      <c r="D1235" s="1" t="s">
        <v>1825</v>
      </c>
      <c r="E1235" s="1" t="s">
        <v>1265</v>
      </c>
      <c r="F1235" s="1" t="s">
        <v>14</v>
      </c>
      <c r="G1235" s="1">
        <v>2433143.5</v>
      </c>
      <c r="H1235" s="1">
        <v>0</v>
      </c>
      <c r="I1235" s="1">
        <v>0</v>
      </c>
      <c r="J1235" s="1" t="s">
        <v>14</v>
      </c>
      <c r="K1235" s="1">
        <v>2433143.5</v>
      </c>
    </row>
    <row r="1236" spans="1:11" x14ac:dyDescent="0.25">
      <c r="A1236" s="1" t="s">
        <v>11</v>
      </c>
      <c r="B1236" s="1" t="s">
        <v>1672</v>
      </c>
      <c r="C1236" s="1" t="s">
        <v>26</v>
      </c>
      <c r="D1236" s="1" t="s">
        <v>1826</v>
      </c>
      <c r="E1236" s="1" t="s">
        <v>1538</v>
      </c>
      <c r="F1236" s="1" t="s">
        <v>14</v>
      </c>
      <c r="G1236" s="1">
        <v>92589.15</v>
      </c>
      <c r="H1236" s="1">
        <v>0</v>
      </c>
      <c r="I1236" s="1">
        <v>0</v>
      </c>
      <c r="J1236" s="1" t="s">
        <v>14</v>
      </c>
      <c r="K1236" s="1">
        <v>92589.15</v>
      </c>
    </row>
    <row r="1237" spans="1:11" x14ac:dyDescent="0.25">
      <c r="A1237" s="1" t="s">
        <v>11</v>
      </c>
      <c r="B1237" s="1" t="s">
        <v>1672</v>
      </c>
      <c r="C1237" s="1" t="s">
        <v>26</v>
      </c>
      <c r="D1237" s="1" t="s">
        <v>1827</v>
      </c>
      <c r="E1237" s="1" t="s">
        <v>1267</v>
      </c>
      <c r="F1237" s="1" t="s">
        <v>14</v>
      </c>
      <c r="G1237" s="1">
        <v>3290005.56</v>
      </c>
      <c r="H1237" s="1">
        <v>0</v>
      </c>
      <c r="I1237" s="1">
        <v>0</v>
      </c>
      <c r="J1237" s="1" t="s">
        <v>14</v>
      </c>
      <c r="K1237" s="1">
        <v>3290005.56</v>
      </c>
    </row>
    <row r="1238" spans="1:11" x14ac:dyDescent="0.25">
      <c r="A1238" s="1" t="s">
        <v>11</v>
      </c>
      <c r="B1238" s="1" t="s">
        <v>1672</v>
      </c>
      <c r="C1238" s="1" t="s">
        <v>26</v>
      </c>
      <c r="D1238" s="1" t="s">
        <v>1828</v>
      </c>
      <c r="E1238" s="1" t="s">
        <v>1542</v>
      </c>
      <c r="F1238" s="1" t="s">
        <v>14</v>
      </c>
      <c r="G1238" s="1">
        <v>1413940.15</v>
      </c>
      <c r="H1238" s="1">
        <v>0</v>
      </c>
      <c r="I1238" s="1">
        <v>0</v>
      </c>
      <c r="J1238" s="1" t="s">
        <v>14</v>
      </c>
      <c r="K1238" s="1">
        <v>1413940.15</v>
      </c>
    </row>
    <row r="1239" spans="1:11" x14ac:dyDescent="0.25">
      <c r="A1239" s="1" t="s">
        <v>11</v>
      </c>
      <c r="B1239" s="1" t="s">
        <v>1672</v>
      </c>
      <c r="C1239" s="1" t="s">
        <v>23</v>
      </c>
      <c r="D1239" s="1" t="s">
        <v>1829</v>
      </c>
      <c r="E1239" s="1" t="s">
        <v>1273</v>
      </c>
      <c r="F1239" s="1" t="s">
        <v>14</v>
      </c>
      <c r="G1239" s="1">
        <v>9447497</v>
      </c>
      <c r="H1239" s="1">
        <v>592910</v>
      </c>
      <c r="I1239" s="1">
        <v>0</v>
      </c>
      <c r="J1239" s="1" t="s">
        <v>14</v>
      </c>
      <c r="K1239" s="1">
        <v>10040407</v>
      </c>
    </row>
    <row r="1240" spans="1:11" x14ac:dyDescent="0.25">
      <c r="A1240" s="1" t="s">
        <v>11</v>
      </c>
      <c r="B1240" s="1" t="s">
        <v>1672</v>
      </c>
      <c r="C1240" s="1" t="s">
        <v>26</v>
      </c>
      <c r="D1240" s="1" t="s">
        <v>1830</v>
      </c>
      <c r="E1240" s="1" t="s">
        <v>1273</v>
      </c>
      <c r="F1240" s="1" t="s">
        <v>14</v>
      </c>
      <c r="G1240" s="1">
        <v>8692802</v>
      </c>
      <c r="H1240" s="1">
        <v>592910</v>
      </c>
      <c r="I1240" s="1">
        <v>0</v>
      </c>
      <c r="J1240" s="1" t="s">
        <v>14</v>
      </c>
      <c r="K1240" s="1">
        <v>9285712</v>
      </c>
    </row>
    <row r="1241" spans="1:11" x14ac:dyDescent="0.25">
      <c r="A1241" s="1" t="s">
        <v>11</v>
      </c>
      <c r="B1241" s="1" t="s">
        <v>1672</v>
      </c>
      <c r="C1241" s="1" t="s">
        <v>26</v>
      </c>
      <c r="D1241" s="1" t="s">
        <v>1831</v>
      </c>
      <c r="E1241" s="1" t="s">
        <v>1832</v>
      </c>
      <c r="F1241" s="1" t="s">
        <v>14</v>
      </c>
      <c r="G1241" s="1">
        <v>754695</v>
      </c>
      <c r="H1241" s="1">
        <v>0</v>
      </c>
      <c r="I1241" s="1">
        <v>0</v>
      </c>
      <c r="J1241" s="1" t="s">
        <v>14</v>
      </c>
      <c r="K1241" s="1">
        <v>754695</v>
      </c>
    </row>
    <row r="1242" spans="1:11" x14ac:dyDescent="0.25">
      <c r="A1242" s="1" t="s">
        <v>11</v>
      </c>
      <c r="B1242" s="1" t="s">
        <v>1672</v>
      </c>
      <c r="C1242" s="1" t="s">
        <v>23</v>
      </c>
      <c r="D1242" s="1" t="s">
        <v>1833</v>
      </c>
      <c r="E1242" s="1" t="s">
        <v>1289</v>
      </c>
      <c r="F1242" s="1" t="s">
        <v>14</v>
      </c>
      <c r="G1242" s="1">
        <v>128520</v>
      </c>
      <c r="H1242" s="1">
        <v>25000</v>
      </c>
      <c r="I1242" s="1">
        <v>0</v>
      </c>
      <c r="J1242" s="1" t="s">
        <v>14</v>
      </c>
      <c r="K1242" s="1">
        <v>153520</v>
      </c>
    </row>
    <row r="1243" spans="1:11" x14ac:dyDescent="0.25">
      <c r="A1243" s="1" t="s">
        <v>11</v>
      </c>
      <c r="B1243" s="1" t="s">
        <v>1672</v>
      </c>
      <c r="C1243" s="1" t="s">
        <v>26</v>
      </c>
      <c r="D1243" s="1" t="s">
        <v>1834</v>
      </c>
      <c r="E1243" s="1" t="s">
        <v>1291</v>
      </c>
      <c r="F1243" s="1" t="s">
        <v>14</v>
      </c>
      <c r="G1243" s="1">
        <v>0</v>
      </c>
      <c r="H1243" s="1">
        <v>25000</v>
      </c>
      <c r="I1243" s="1">
        <v>0</v>
      </c>
      <c r="J1243" s="1" t="s">
        <v>14</v>
      </c>
      <c r="K1243" s="1">
        <v>25000</v>
      </c>
    </row>
    <row r="1244" spans="1:11" x14ac:dyDescent="0.25">
      <c r="A1244" s="1" t="s">
        <v>11</v>
      </c>
      <c r="B1244" s="1" t="s">
        <v>1672</v>
      </c>
      <c r="C1244" s="1" t="s">
        <v>26</v>
      </c>
      <c r="D1244" s="1" t="s">
        <v>1835</v>
      </c>
      <c r="E1244" s="1" t="s">
        <v>1293</v>
      </c>
      <c r="F1244" s="1" t="s">
        <v>14</v>
      </c>
      <c r="G1244" s="1">
        <v>108000</v>
      </c>
      <c r="H1244" s="1">
        <v>0</v>
      </c>
      <c r="I1244" s="1">
        <v>0</v>
      </c>
      <c r="J1244" s="1" t="s">
        <v>14</v>
      </c>
      <c r="K1244" s="1">
        <v>108000</v>
      </c>
    </row>
    <row r="1245" spans="1:11" x14ac:dyDescent="0.25">
      <c r="A1245" s="1" t="s">
        <v>11</v>
      </c>
      <c r="B1245" s="1" t="s">
        <v>1672</v>
      </c>
      <c r="C1245" s="1" t="s">
        <v>26</v>
      </c>
      <c r="D1245" s="1" t="s">
        <v>1836</v>
      </c>
      <c r="E1245" s="1" t="s">
        <v>1297</v>
      </c>
      <c r="F1245" s="1" t="s">
        <v>14</v>
      </c>
      <c r="G1245" s="1">
        <v>20520</v>
      </c>
      <c r="H1245" s="1">
        <v>0</v>
      </c>
      <c r="I1245" s="1">
        <v>0</v>
      </c>
      <c r="J1245" s="1" t="s">
        <v>14</v>
      </c>
      <c r="K1245" s="1">
        <v>20520</v>
      </c>
    </row>
    <row r="1246" spans="1:11" x14ac:dyDescent="0.25">
      <c r="A1246" s="1" t="s">
        <v>11</v>
      </c>
      <c r="B1246" s="1" t="s">
        <v>1672</v>
      </c>
      <c r="C1246" s="1" t="s">
        <v>18</v>
      </c>
      <c r="D1246" s="1" t="s">
        <v>1837</v>
      </c>
      <c r="E1246" s="1" t="s">
        <v>862</v>
      </c>
      <c r="F1246" s="1" t="s">
        <v>14</v>
      </c>
      <c r="G1246" s="1">
        <v>15415487517.959999</v>
      </c>
      <c r="H1246" s="1">
        <v>388579092.10000002</v>
      </c>
      <c r="I1246" s="1">
        <v>27445547.289999999</v>
      </c>
      <c r="J1246" s="1" t="s">
        <v>14</v>
      </c>
      <c r="K1246" s="1">
        <v>15776621062.77</v>
      </c>
    </row>
    <row r="1247" spans="1:11" x14ac:dyDescent="0.25">
      <c r="A1247" s="1" t="s">
        <v>11</v>
      </c>
      <c r="B1247" s="1" t="s">
        <v>1672</v>
      </c>
      <c r="C1247" s="1" t="s">
        <v>21</v>
      </c>
      <c r="D1247" s="1" t="s">
        <v>1838</v>
      </c>
      <c r="E1247" s="1" t="s">
        <v>1098</v>
      </c>
      <c r="F1247" s="1" t="s">
        <v>14</v>
      </c>
      <c r="G1247" s="1">
        <v>3924408846.7199998</v>
      </c>
      <c r="H1247" s="1">
        <v>283614049.35000002</v>
      </c>
      <c r="I1247" s="1">
        <v>27445547.289999999</v>
      </c>
      <c r="J1247" s="1" t="s">
        <v>14</v>
      </c>
      <c r="K1247" s="1">
        <v>4180577348.7800002</v>
      </c>
    </row>
    <row r="1248" spans="1:11" x14ac:dyDescent="0.25">
      <c r="A1248" s="1" t="s">
        <v>11</v>
      </c>
      <c r="B1248" s="1" t="s">
        <v>1672</v>
      </c>
      <c r="C1248" s="1" t="s">
        <v>23</v>
      </c>
      <c r="D1248" s="1" t="s">
        <v>1839</v>
      </c>
      <c r="E1248" s="1" t="s">
        <v>1679</v>
      </c>
      <c r="F1248" s="1" t="s">
        <v>14</v>
      </c>
      <c r="G1248" s="1">
        <v>3171778774.73</v>
      </c>
      <c r="H1248" s="1">
        <v>239083317</v>
      </c>
      <c r="I1248" s="1">
        <v>25937552</v>
      </c>
      <c r="J1248" s="1" t="s">
        <v>14</v>
      </c>
      <c r="K1248" s="1">
        <v>3384924539.73</v>
      </c>
    </row>
    <row r="1249" spans="1:11" x14ac:dyDescent="0.25">
      <c r="A1249" s="1" t="s">
        <v>11</v>
      </c>
      <c r="B1249" s="1" t="s">
        <v>1672</v>
      </c>
      <c r="C1249" s="1" t="s">
        <v>26</v>
      </c>
      <c r="D1249" s="1" t="s">
        <v>1840</v>
      </c>
      <c r="E1249" s="1" t="s">
        <v>237</v>
      </c>
      <c r="F1249" s="1" t="s">
        <v>14</v>
      </c>
      <c r="G1249" s="1">
        <v>1828943881.73</v>
      </c>
      <c r="H1249" s="1">
        <v>143265361</v>
      </c>
      <c r="I1249" s="1">
        <v>16533200</v>
      </c>
      <c r="J1249" s="1" t="s">
        <v>14</v>
      </c>
      <c r="K1249" s="1">
        <v>1955676042.73</v>
      </c>
    </row>
    <row r="1250" spans="1:11" x14ac:dyDescent="0.25">
      <c r="A1250" s="1" t="s">
        <v>11</v>
      </c>
      <c r="B1250" s="1" t="s">
        <v>1672</v>
      </c>
      <c r="C1250" s="1" t="s">
        <v>26</v>
      </c>
      <c r="D1250" s="1" t="s">
        <v>1841</v>
      </c>
      <c r="E1250" s="1" t="s">
        <v>246</v>
      </c>
      <c r="F1250" s="1" t="s">
        <v>14</v>
      </c>
      <c r="G1250" s="1">
        <v>1184876134</v>
      </c>
      <c r="H1250" s="1">
        <v>95817956</v>
      </c>
      <c r="I1250" s="1">
        <v>9404352</v>
      </c>
      <c r="J1250" s="1" t="s">
        <v>14</v>
      </c>
      <c r="K1250" s="1">
        <v>1271289738</v>
      </c>
    </row>
    <row r="1251" spans="1:11" x14ac:dyDescent="0.25">
      <c r="A1251" s="1" t="s">
        <v>11</v>
      </c>
      <c r="B1251" s="1" t="s">
        <v>1672</v>
      </c>
      <c r="C1251" s="1" t="s">
        <v>26</v>
      </c>
      <c r="D1251" s="1" t="s">
        <v>1842</v>
      </c>
      <c r="E1251" s="1" t="s">
        <v>1683</v>
      </c>
      <c r="F1251" s="1" t="s">
        <v>14</v>
      </c>
      <c r="G1251" s="1">
        <v>157958759</v>
      </c>
      <c r="H1251" s="1">
        <v>0</v>
      </c>
      <c r="I1251" s="1">
        <v>0</v>
      </c>
      <c r="J1251" s="1" t="s">
        <v>14</v>
      </c>
      <c r="K1251" s="1">
        <v>157958759</v>
      </c>
    </row>
    <row r="1252" spans="1:11" x14ac:dyDescent="0.25">
      <c r="A1252" s="1" t="s">
        <v>11</v>
      </c>
      <c r="B1252" s="1" t="s">
        <v>1672</v>
      </c>
      <c r="C1252" s="1" t="s">
        <v>23</v>
      </c>
      <c r="D1252" s="1" t="s">
        <v>1843</v>
      </c>
      <c r="E1252" s="1" t="s">
        <v>1100</v>
      </c>
      <c r="F1252" s="1" t="s">
        <v>14</v>
      </c>
      <c r="G1252" s="1">
        <v>291952999.66000003</v>
      </c>
      <c r="H1252" s="1">
        <v>17448174.350000001</v>
      </c>
      <c r="I1252" s="1">
        <v>1507995.29</v>
      </c>
      <c r="J1252" s="1" t="s">
        <v>14</v>
      </c>
      <c r="K1252" s="1">
        <v>307893178.72000003</v>
      </c>
    </row>
    <row r="1253" spans="1:11" x14ac:dyDescent="0.25">
      <c r="A1253" s="1" t="s">
        <v>11</v>
      </c>
      <c r="B1253" s="1" t="s">
        <v>1672</v>
      </c>
      <c r="C1253" s="1" t="s">
        <v>26</v>
      </c>
      <c r="D1253" s="1" t="s">
        <v>1844</v>
      </c>
      <c r="E1253" s="1" t="s">
        <v>1100</v>
      </c>
      <c r="F1253" s="1" t="s">
        <v>14</v>
      </c>
      <c r="G1253" s="1">
        <v>291952999.66000003</v>
      </c>
      <c r="H1253" s="1">
        <v>17448174.350000001</v>
      </c>
      <c r="I1253" s="1">
        <v>1507995.29</v>
      </c>
      <c r="J1253" s="1" t="s">
        <v>14</v>
      </c>
      <c r="K1253" s="1">
        <v>307893178.72000003</v>
      </c>
    </row>
    <row r="1254" spans="1:11" x14ac:dyDescent="0.25">
      <c r="A1254" s="1" t="s">
        <v>11</v>
      </c>
      <c r="B1254" s="1" t="s">
        <v>1672</v>
      </c>
      <c r="C1254" s="1" t="s">
        <v>23</v>
      </c>
      <c r="D1254" s="1" t="s">
        <v>1845</v>
      </c>
      <c r="E1254" s="1" t="s">
        <v>1103</v>
      </c>
      <c r="F1254" s="1" t="s">
        <v>14</v>
      </c>
      <c r="G1254" s="1">
        <v>460677072.32999998</v>
      </c>
      <c r="H1254" s="1">
        <v>27082558</v>
      </c>
      <c r="I1254" s="1">
        <v>0</v>
      </c>
      <c r="J1254" s="1" t="s">
        <v>14</v>
      </c>
      <c r="K1254" s="1">
        <v>487759630.32999998</v>
      </c>
    </row>
    <row r="1255" spans="1:11" x14ac:dyDescent="0.25">
      <c r="A1255" s="1" t="s">
        <v>11</v>
      </c>
      <c r="B1255" s="1" t="s">
        <v>1672</v>
      </c>
      <c r="C1255" s="1" t="s">
        <v>26</v>
      </c>
      <c r="D1255" s="1" t="s">
        <v>1846</v>
      </c>
      <c r="E1255" s="1" t="s">
        <v>1105</v>
      </c>
      <c r="F1255" s="1" t="s">
        <v>14</v>
      </c>
      <c r="G1255" s="1">
        <v>42891</v>
      </c>
      <c r="H1255" s="1">
        <v>16900</v>
      </c>
      <c r="I1255" s="1">
        <v>0</v>
      </c>
      <c r="J1255" s="1" t="s">
        <v>14</v>
      </c>
      <c r="K1255" s="1">
        <v>59791</v>
      </c>
    </row>
    <row r="1256" spans="1:11" x14ac:dyDescent="0.25">
      <c r="A1256" s="1" t="s">
        <v>11</v>
      </c>
      <c r="B1256" s="1" t="s">
        <v>1672</v>
      </c>
      <c r="C1256" s="1" t="s">
        <v>26</v>
      </c>
      <c r="D1256" s="1" t="s">
        <v>1847</v>
      </c>
      <c r="E1256" s="1" t="s">
        <v>1107</v>
      </c>
      <c r="F1256" s="1" t="s">
        <v>14</v>
      </c>
      <c r="G1256" s="1">
        <v>351666455.30000001</v>
      </c>
      <c r="H1256" s="1">
        <v>23643220</v>
      </c>
      <c r="I1256" s="1">
        <v>0</v>
      </c>
      <c r="J1256" s="1" t="s">
        <v>14</v>
      </c>
      <c r="K1256" s="1">
        <v>375309675.30000001</v>
      </c>
    </row>
    <row r="1257" spans="1:11" x14ac:dyDescent="0.25">
      <c r="A1257" s="1" t="s">
        <v>11</v>
      </c>
      <c r="B1257" s="1" t="s">
        <v>1672</v>
      </c>
      <c r="C1257" s="1" t="s">
        <v>26</v>
      </c>
      <c r="D1257" s="1" t="s">
        <v>1848</v>
      </c>
      <c r="E1257" s="1" t="s">
        <v>264</v>
      </c>
      <c r="F1257" s="1" t="s">
        <v>14</v>
      </c>
      <c r="G1257" s="1">
        <v>19162497</v>
      </c>
      <c r="H1257" s="1">
        <v>1148944</v>
      </c>
      <c r="I1257" s="1">
        <v>0</v>
      </c>
      <c r="J1257" s="1" t="s">
        <v>14</v>
      </c>
      <c r="K1257" s="1">
        <v>20311441</v>
      </c>
    </row>
    <row r="1258" spans="1:11" x14ac:dyDescent="0.25">
      <c r="A1258" s="1" t="s">
        <v>11</v>
      </c>
      <c r="B1258" s="1" t="s">
        <v>1672</v>
      </c>
      <c r="C1258" s="1" t="s">
        <v>26</v>
      </c>
      <c r="D1258" s="1" t="s">
        <v>1849</v>
      </c>
      <c r="E1258" s="1" t="s">
        <v>258</v>
      </c>
      <c r="F1258" s="1" t="s">
        <v>14</v>
      </c>
      <c r="G1258" s="1">
        <v>5054603.93</v>
      </c>
      <c r="H1258" s="1">
        <v>698893</v>
      </c>
      <c r="I1258" s="1">
        <v>0</v>
      </c>
      <c r="J1258" s="1" t="s">
        <v>14</v>
      </c>
      <c r="K1258" s="1">
        <v>5753496.9299999997</v>
      </c>
    </row>
    <row r="1259" spans="1:11" x14ac:dyDescent="0.25">
      <c r="A1259" s="1" t="s">
        <v>11</v>
      </c>
      <c r="B1259" s="1" t="s">
        <v>1672</v>
      </c>
      <c r="C1259" s="1" t="s">
        <v>26</v>
      </c>
      <c r="D1259" s="1" t="s">
        <v>1850</v>
      </c>
      <c r="E1259" s="1" t="s">
        <v>1111</v>
      </c>
      <c r="F1259" s="1" t="s">
        <v>14</v>
      </c>
      <c r="G1259" s="1">
        <v>17750271.170000002</v>
      </c>
      <c r="H1259" s="1">
        <v>240000</v>
      </c>
      <c r="I1259" s="1">
        <v>0</v>
      </c>
      <c r="J1259" s="1" t="s">
        <v>14</v>
      </c>
      <c r="K1259" s="1">
        <v>17990271.170000002</v>
      </c>
    </row>
    <row r="1260" spans="1:11" x14ac:dyDescent="0.25">
      <c r="A1260" s="1" t="s">
        <v>11</v>
      </c>
      <c r="B1260" s="1" t="s">
        <v>1672</v>
      </c>
      <c r="C1260" s="1" t="s">
        <v>26</v>
      </c>
      <c r="D1260" s="1" t="s">
        <v>1851</v>
      </c>
      <c r="E1260" s="1" t="s">
        <v>1113</v>
      </c>
      <c r="F1260" s="1" t="s">
        <v>14</v>
      </c>
      <c r="G1260" s="1">
        <v>41708774.159999996</v>
      </c>
      <c r="H1260" s="1">
        <v>508446</v>
      </c>
      <c r="I1260" s="1">
        <v>0</v>
      </c>
      <c r="J1260" s="1" t="s">
        <v>14</v>
      </c>
      <c r="K1260" s="1">
        <v>42217220.159999996</v>
      </c>
    </row>
    <row r="1261" spans="1:11" x14ac:dyDescent="0.25">
      <c r="A1261" s="1" t="s">
        <v>11</v>
      </c>
      <c r="B1261" s="1" t="s">
        <v>1672</v>
      </c>
      <c r="C1261" s="1" t="s">
        <v>26</v>
      </c>
      <c r="D1261" s="1" t="s">
        <v>1852</v>
      </c>
      <c r="E1261" s="1" t="s">
        <v>1115</v>
      </c>
      <c r="F1261" s="1" t="s">
        <v>14</v>
      </c>
      <c r="G1261" s="1">
        <v>8149</v>
      </c>
      <c r="H1261" s="1">
        <v>0</v>
      </c>
      <c r="I1261" s="1">
        <v>0</v>
      </c>
      <c r="J1261" s="1" t="s">
        <v>14</v>
      </c>
      <c r="K1261" s="1">
        <v>8149</v>
      </c>
    </row>
    <row r="1262" spans="1:11" x14ac:dyDescent="0.25">
      <c r="A1262" s="1" t="s">
        <v>11</v>
      </c>
      <c r="B1262" s="1" t="s">
        <v>1672</v>
      </c>
      <c r="C1262" s="1" t="s">
        <v>26</v>
      </c>
      <c r="D1262" s="1" t="s">
        <v>1853</v>
      </c>
      <c r="E1262" s="1" t="s">
        <v>1117</v>
      </c>
      <c r="F1262" s="1" t="s">
        <v>14</v>
      </c>
      <c r="G1262" s="1">
        <v>12099955.710000001</v>
      </c>
      <c r="H1262" s="1">
        <v>645678</v>
      </c>
      <c r="I1262" s="1">
        <v>0</v>
      </c>
      <c r="J1262" s="1" t="s">
        <v>14</v>
      </c>
      <c r="K1262" s="1">
        <v>12745633.710000001</v>
      </c>
    </row>
    <row r="1263" spans="1:11" x14ac:dyDescent="0.25">
      <c r="A1263" s="1" t="s">
        <v>11</v>
      </c>
      <c r="B1263" s="1" t="s">
        <v>1672</v>
      </c>
      <c r="C1263" s="1" t="s">
        <v>26</v>
      </c>
      <c r="D1263" s="1" t="s">
        <v>1854</v>
      </c>
      <c r="E1263" s="1" t="s">
        <v>1119</v>
      </c>
      <c r="F1263" s="1" t="s">
        <v>14</v>
      </c>
      <c r="G1263" s="1">
        <v>2643848</v>
      </c>
      <c r="H1263" s="1">
        <v>82678</v>
      </c>
      <c r="I1263" s="1">
        <v>0</v>
      </c>
      <c r="J1263" s="1" t="s">
        <v>14</v>
      </c>
      <c r="K1263" s="1">
        <v>2726526</v>
      </c>
    </row>
    <row r="1264" spans="1:11" x14ac:dyDescent="0.25">
      <c r="A1264" s="1" t="s">
        <v>11</v>
      </c>
      <c r="B1264" s="1" t="s">
        <v>1672</v>
      </c>
      <c r="C1264" s="1" t="s">
        <v>26</v>
      </c>
      <c r="D1264" s="1" t="s">
        <v>1855</v>
      </c>
      <c r="E1264" s="1" t="s">
        <v>1121</v>
      </c>
      <c r="F1264" s="1" t="s">
        <v>14</v>
      </c>
      <c r="G1264" s="1">
        <v>189849.06</v>
      </c>
      <c r="H1264" s="1">
        <v>23995</v>
      </c>
      <c r="I1264" s="1">
        <v>0</v>
      </c>
      <c r="J1264" s="1" t="s">
        <v>14</v>
      </c>
      <c r="K1264" s="1">
        <v>213844.06</v>
      </c>
    </row>
    <row r="1265" spans="1:11" x14ac:dyDescent="0.25">
      <c r="A1265" s="1" t="s">
        <v>11</v>
      </c>
      <c r="B1265" s="1" t="s">
        <v>1672</v>
      </c>
      <c r="C1265" s="1" t="s">
        <v>26</v>
      </c>
      <c r="D1265" s="1" t="s">
        <v>1856</v>
      </c>
      <c r="E1265" s="1" t="s">
        <v>1692</v>
      </c>
      <c r="F1265" s="1" t="s">
        <v>14</v>
      </c>
      <c r="G1265" s="1">
        <v>2604000</v>
      </c>
      <c r="H1265" s="1">
        <v>0</v>
      </c>
      <c r="I1265" s="1">
        <v>0</v>
      </c>
      <c r="J1265" s="1" t="s">
        <v>14</v>
      </c>
      <c r="K1265" s="1">
        <v>2604000</v>
      </c>
    </row>
    <row r="1266" spans="1:11" x14ac:dyDescent="0.25">
      <c r="A1266" s="1" t="s">
        <v>11</v>
      </c>
      <c r="B1266" s="1" t="s">
        <v>1672</v>
      </c>
      <c r="C1266" s="1" t="s">
        <v>26</v>
      </c>
      <c r="D1266" s="1" t="s">
        <v>1857</v>
      </c>
      <c r="E1266" s="1" t="s">
        <v>1123</v>
      </c>
      <c r="F1266" s="1" t="s">
        <v>14</v>
      </c>
      <c r="G1266" s="1">
        <v>7745778</v>
      </c>
      <c r="H1266" s="1">
        <v>73804</v>
      </c>
      <c r="I1266" s="1">
        <v>0</v>
      </c>
      <c r="J1266" s="1" t="s">
        <v>14</v>
      </c>
      <c r="K1266" s="1">
        <v>7819582</v>
      </c>
    </row>
    <row r="1267" spans="1:11" x14ac:dyDescent="0.25">
      <c r="A1267" s="1" t="s">
        <v>11</v>
      </c>
      <c r="B1267" s="1" t="s">
        <v>1672</v>
      </c>
      <c r="C1267" s="1" t="s">
        <v>21</v>
      </c>
      <c r="D1267" s="1" t="s">
        <v>1858</v>
      </c>
      <c r="E1267" s="1" t="s">
        <v>1125</v>
      </c>
      <c r="F1267" s="1" t="s">
        <v>14</v>
      </c>
      <c r="G1267" s="1">
        <v>10238823343.85</v>
      </c>
      <c r="H1267" s="1">
        <v>18847516.170000002</v>
      </c>
      <c r="I1267" s="1">
        <v>0</v>
      </c>
      <c r="J1267" s="1" t="s">
        <v>14</v>
      </c>
      <c r="K1267" s="1">
        <v>10257670860.02</v>
      </c>
    </row>
    <row r="1268" spans="1:11" x14ac:dyDescent="0.25">
      <c r="A1268" s="1" t="s">
        <v>11</v>
      </c>
      <c r="B1268" s="1" t="s">
        <v>1672</v>
      </c>
      <c r="C1268" s="1" t="s">
        <v>23</v>
      </c>
      <c r="D1268" s="1" t="s">
        <v>1859</v>
      </c>
      <c r="E1268" s="1" t="s">
        <v>1127</v>
      </c>
      <c r="F1268" s="1" t="s">
        <v>14</v>
      </c>
      <c r="G1268" s="1">
        <v>9260272878.8500004</v>
      </c>
      <c r="H1268" s="1">
        <v>2256901.17</v>
      </c>
      <c r="I1268" s="1">
        <v>0</v>
      </c>
      <c r="J1268" s="1" t="s">
        <v>14</v>
      </c>
      <c r="K1268" s="1">
        <v>9262529780.0200005</v>
      </c>
    </row>
    <row r="1269" spans="1:11" x14ac:dyDescent="0.25">
      <c r="A1269" s="1" t="s">
        <v>11</v>
      </c>
      <c r="B1269" s="1" t="s">
        <v>1672</v>
      </c>
      <c r="C1269" s="1" t="s">
        <v>26</v>
      </c>
      <c r="D1269" s="1" t="s">
        <v>1860</v>
      </c>
      <c r="E1269" s="1" t="s">
        <v>1129</v>
      </c>
      <c r="F1269" s="1" t="s">
        <v>14</v>
      </c>
      <c r="G1269" s="1">
        <v>1867928538</v>
      </c>
      <c r="H1269" s="1">
        <v>0</v>
      </c>
      <c r="I1269" s="1">
        <v>0</v>
      </c>
      <c r="J1269" s="1" t="s">
        <v>14</v>
      </c>
      <c r="K1269" s="1">
        <v>1867928538</v>
      </c>
    </row>
    <row r="1270" spans="1:11" x14ac:dyDescent="0.25">
      <c r="A1270" s="1" t="s">
        <v>11</v>
      </c>
      <c r="B1270" s="1" t="s">
        <v>1672</v>
      </c>
      <c r="C1270" s="1" t="s">
        <v>26</v>
      </c>
      <c r="D1270" s="1" t="s">
        <v>1861</v>
      </c>
      <c r="E1270" s="1" t="s">
        <v>1131</v>
      </c>
      <c r="F1270" s="1" t="s">
        <v>14</v>
      </c>
      <c r="G1270" s="1">
        <v>3309423478</v>
      </c>
      <c r="H1270" s="1">
        <v>820000</v>
      </c>
      <c r="I1270" s="1">
        <v>0</v>
      </c>
      <c r="J1270" s="1" t="s">
        <v>14</v>
      </c>
      <c r="K1270" s="1">
        <v>3310243478</v>
      </c>
    </row>
    <row r="1271" spans="1:11" x14ac:dyDescent="0.25">
      <c r="A1271" s="1" t="s">
        <v>11</v>
      </c>
      <c r="B1271" s="1" t="s">
        <v>1672</v>
      </c>
      <c r="C1271" s="1" t="s">
        <v>26</v>
      </c>
      <c r="D1271" s="1" t="s">
        <v>1862</v>
      </c>
      <c r="E1271" s="1" t="s">
        <v>1133</v>
      </c>
      <c r="F1271" s="1" t="s">
        <v>14</v>
      </c>
      <c r="G1271" s="1">
        <v>52227501</v>
      </c>
      <c r="H1271" s="1">
        <v>0</v>
      </c>
      <c r="I1271" s="1">
        <v>0</v>
      </c>
      <c r="J1271" s="1" t="s">
        <v>14</v>
      </c>
      <c r="K1271" s="1">
        <v>52227501</v>
      </c>
    </row>
    <row r="1272" spans="1:11" x14ac:dyDescent="0.25">
      <c r="A1272" s="1" t="s">
        <v>11</v>
      </c>
      <c r="B1272" s="1" t="s">
        <v>1672</v>
      </c>
      <c r="C1272" s="1" t="s">
        <v>26</v>
      </c>
      <c r="D1272" s="1" t="s">
        <v>1863</v>
      </c>
      <c r="E1272" s="1" t="s">
        <v>1416</v>
      </c>
      <c r="F1272" s="1" t="s">
        <v>14</v>
      </c>
      <c r="G1272" s="1">
        <v>6768872</v>
      </c>
      <c r="H1272" s="1">
        <v>0</v>
      </c>
      <c r="I1272" s="1">
        <v>0</v>
      </c>
      <c r="J1272" s="1" t="s">
        <v>14</v>
      </c>
      <c r="K1272" s="1">
        <v>6768872</v>
      </c>
    </row>
    <row r="1273" spans="1:11" x14ac:dyDescent="0.25">
      <c r="A1273" s="1" t="s">
        <v>11</v>
      </c>
      <c r="B1273" s="1" t="s">
        <v>1672</v>
      </c>
      <c r="C1273" s="1" t="s">
        <v>26</v>
      </c>
      <c r="D1273" s="1" t="s">
        <v>1864</v>
      </c>
      <c r="E1273" s="1" t="s">
        <v>1315</v>
      </c>
      <c r="F1273" s="1" t="s">
        <v>14</v>
      </c>
      <c r="G1273" s="1">
        <v>195467111</v>
      </c>
      <c r="H1273" s="1">
        <v>74870</v>
      </c>
      <c r="I1273" s="1">
        <v>0</v>
      </c>
      <c r="J1273" s="1" t="s">
        <v>14</v>
      </c>
      <c r="K1273" s="1">
        <v>195541981</v>
      </c>
    </row>
    <row r="1274" spans="1:11" x14ac:dyDescent="0.25">
      <c r="A1274" s="1" t="s">
        <v>11</v>
      </c>
      <c r="B1274" s="1" t="s">
        <v>1672</v>
      </c>
      <c r="C1274" s="1" t="s">
        <v>26</v>
      </c>
      <c r="D1274" s="1" t="s">
        <v>1865</v>
      </c>
      <c r="E1274" s="1" t="s">
        <v>1135</v>
      </c>
      <c r="F1274" s="1" t="s">
        <v>14</v>
      </c>
      <c r="G1274" s="1">
        <v>418969855</v>
      </c>
      <c r="H1274" s="1">
        <v>124783</v>
      </c>
      <c r="I1274" s="1">
        <v>0</v>
      </c>
      <c r="J1274" s="1" t="s">
        <v>14</v>
      </c>
      <c r="K1274" s="1">
        <v>419094638</v>
      </c>
    </row>
    <row r="1275" spans="1:11" x14ac:dyDescent="0.25">
      <c r="A1275" s="1" t="s">
        <v>11</v>
      </c>
      <c r="B1275" s="1" t="s">
        <v>1672</v>
      </c>
      <c r="C1275" s="1" t="s">
        <v>26</v>
      </c>
      <c r="D1275" s="1" t="s">
        <v>1866</v>
      </c>
      <c r="E1275" s="1" t="s">
        <v>1318</v>
      </c>
      <c r="F1275" s="1" t="s">
        <v>14</v>
      </c>
      <c r="G1275" s="1">
        <v>259958561</v>
      </c>
      <c r="H1275" s="1">
        <v>561522</v>
      </c>
      <c r="I1275" s="1">
        <v>0</v>
      </c>
      <c r="J1275" s="1" t="s">
        <v>14</v>
      </c>
      <c r="K1275" s="1">
        <v>260520083</v>
      </c>
    </row>
    <row r="1276" spans="1:11" x14ac:dyDescent="0.25">
      <c r="A1276" s="1" t="s">
        <v>11</v>
      </c>
      <c r="B1276" s="1" t="s">
        <v>1672</v>
      </c>
      <c r="C1276" s="1" t="s">
        <v>26</v>
      </c>
      <c r="D1276" s="1" t="s">
        <v>1867</v>
      </c>
      <c r="E1276" s="1" t="s">
        <v>224</v>
      </c>
      <c r="F1276" s="1" t="s">
        <v>14</v>
      </c>
      <c r="G1276" s="1">
        <v>33687893</v>
      </c>
      <c r="H1276" s="1">
        <v>0</v>
      </c>
      <c r="I1276" s="1">
        <v>0</v>
      </c>
      <c r="J1276" s="1" t="s">
        <v>14</v>
      </c>
      <c r="K1276" s="1">
        <v>33687893</v>
      </c>
    </row>
    <row r="1277" spans="1:11" x14ac:dyDescent="0.25">
      <c r="A1277" s="1" t="s">
        <v>11</v>
      </c>
      <c r="B1277" s="1" t="s">
        <v>1672</v>
      </c>
      <c r="C1277" s="1" t="s">
        <v>26</v>
      </c>
      <c r="D1277" s="1" t="s">
        <v>1868</v>
      </c>
      <c r="E1277" s="1" t="s">
        <v>1422</v>
      </c>
      <c r="F1277" s="1" t="s">
        <v>14</v>
      </c>
      <c r="G1277" s="1">
        <v>32615269</v>
      </c>
      <c r="H1277" s="1">
        <v>0</v>
      </c>
      <c r="I1277" s="1">
        <v>0</v>
      </c>
      <c r="J1277" s="1" t="s">
        <v>14</v>
      </c>
      <c r="K1277" s="1">
        <v>32615269</v>
      </c>
    </row>
    <row r="1278" spans="1:11" x14ac:dyDescent="0.25">
      <c r="A1278" s="1" t="s">
        <v>11</v>
      </c>
      <c r="B1278" s="1" t="s">
        <v>1672</v>
      </c>
      <c r="C1278" s="1" t="s">
        <v>26</v>
      </c>
      <c r="D1278" s="1" t="s">
        <v>1869</v>
      </c>
      <c r="E1278" s="1" t="s">
        <v>1138</v>
      </c>
      <c r="F1278" s="1" t="s">
        <v>14</v>
      </c>
      <c r="G1278" s="1">
        <v>88047000</v>
      </c>
      <c r="H1278" s="1">
        <v>0</v>
      </c>
      <c r="I1278" s="1">
        <v>0</v>
      </c>
      <c r="J1278" s="1" t="s">
        <v>14</v>
      </c>
      <c r="K1278" s="1">
        <v>88047000</v>
      </c>
    </row>
    <row r="1279" spans="1:11" x14ac:dyDescent="0.25">
      <c r="A1279" s="1" t="s">
        <v>11</v>
      </c>
      <c r="B1279" s="1" t="s">
        <v>1672</v>
      </c>
      <c r="C1279" s="1" t="s">
        <v>26</v>
      </c>
      <c r="D1279" s="1" t="s">
        <v>1870</v>
      </c>
      <c r="E1279" s="1" t="s">
        <v>1425</v>
      </c>
      <c r="F1279" s="1" t="s">
        <v>14</v>
      </c>
      <c r="G1279" s="1">
        <v>36516000</v>
      </c>
      <c r="H1279" s="1">
        <v>0</v>
      </c>
      <c r="I1279" s="1">
        <v>0</v>
      </c>
      <c r="J1279" s="1" t="s">
        <v>14</v>
      </c>
      <c r="K1279" s="1">
        <v>36516000</v>
      </c>
    </row>
    <row r="1280" spans="1:11" x14ac:dyDescent="0.25">
      <c r="A1280" s="1" t="s">
        <v>11</v>
      </c>
      <c r="B1280" s="1" t="s">
        <v>1672</v>
      </c>
      <c r="C1280" s="1" t="s">
        <v>26</v>
      </c>
      <c r="D1280" s="1" t="s">
        <v>1871</v>
      </c>
      <c r="E1280" s="1" t="s">
        <v>1140</v>
      </c>
      <c r="F1280" s="1" t="s">
        <v>14</v>
      </c>
      <c r="G1280" s="1">
        <v>56766</v>
      </c>
      <c r="H1280" s="1">
        <v>0</v>
      </c>
      <c r="I1280" s="1">
        <v>0</v>
      </c>
      <c r="J1280" s="1" t="s">
        <v>14</v>
      </c>
      <c r="K1280" s="1">
        <v>56766</v>
      </c>
    </row>
    <row r="1281" spans="1:11" x14ac:dyDescent="0.25">
      <c r="A1281" s="1" t="s">
        <v>11</v>
      </c>
      <c r="B1281" s="1" t="s">
        <v>1672</v>
      </c>
      <c r="C1281" s="1" t="s">
        <v>26</v>
      </c>
      <c r="D1281" s="1" t="s">
        <v>1872</v>
      </c>
      <c r="E1281" s="1" t="s">
        <v>1142</v>
      </c>
      <c r="F1281" s="1" t="s">
        <v>14</v>
      </c>
      <c r="G1281" s="1">
        <v>375002372</v>
      </c>
      <c r="H1281" s="1">
        <v>0</v>
      </c>
      <c r="I1281" s="1">
        <v>0</v>
      </c>
      <c r="J1281" s="1" t="s">
        <v>14</v>
      </c>
      <c r="K1281" s="1">
        <v>375002372</v>
      </c>
    </row>
    <row r="1282" spans="1:11" x14ac:dyDescent="0.25">
      <c r="A1282" s="1" t="s">
        <v>11</v>
      </c>
      <c r="B1282" s="1" t="s">
        <v>1672</v>
      </c>
      <c r="C1282" s="1" t="s">
        <v>26</v>
      </c>
      <c r="D1282" s="1" t="s">
        <v>1873</v>
      </c>
      <c r="E1282" s="1" t="s">
        <v>673</v>
      </c>
      <c r="F1282" s="1" t="s">
        <v>14</v>
      </c>
      <c r="G1282" s="1">
        <v>45018276</v>
      </c>
      <c r="H1282" s="1">
        <v>0</v>
      </c>
      <c r="I1282" s="1">
        <v>0</v>
      </c>
      <c r="J1282" s="1" t="s">
        <v>14</v>
      </c>
      <c r="K1282" s="1">
        <v>45018276</v>
      </c>
    </row>
    <row r="1283" spans="1:11" x14ac:dyDescent="0.25">
      <c r="A1283" s="1" t="s">
        <v>11</v>
      </c>
      <c r="B1283" s="1" t="s">
        <v>1672</v>
      </c>
      <c r="C1283" s="1" t="s">
        <v>26</v>
      </c>
      <c r="D1283" s="1" t="s">
        <v>1874</v>
      </c>
      <c r="E1283" s="1" t="s">
        <v>675</v>
      </c>
      <c r="F1283" s="1" t="s">
        <v>14</v>
      </c>
      <c r="G1283" s="1">
        <v>379883973</v>
      </c>
      <c r="H1283" s="1">
        <v>0</v>
      </c>
      <c r="I1283" s="1">
        <v>0</v>
      </c>
      <c r="J1283" s="1" t="s">
        <v>14</v>
      </c>
      <c r="K1283" s="1">
        <v>379883973</v>
      </c>
    </row>
    <row r="1284" spans="1:11" x14ac:dyDescent="0.25">
      <c r="A1284" s="1" t="s">
        <v>11</v>
      </c>
      <c r="B1284" s="1" t="s">
        <v>1672</v>
      </c>
      <c r="C1284" s="1" t="s">
        <v>26</v>
      </c>
      <c r="D1284" s="1" t="s">
        <v>1875</v>
      </c>
      <c r="E1284" s="1" t="s">
        <v>1146</v>
      </c>
      <c r="F1284" s="1" t="s">
        <v>14</v>
      </c>
      <c r="G1284" s="1">
        <v>269236581.19999999</v>
      </c>
      <c r="H1284" s="1">
        <v>0</v>
      </c>
      <c r="I1284" s="1">
        <v>0</v>
      </c>
      <c r="J1284" s="1" t="s">
        <v>14</v>
      </c>
      <c r="K1284" s="1">
        <v>269236581.19999999</v>
      </c>
    </row>
    <row r="1285" spans="1:11" x14ac:dyDescent="0.25">
      <c r="A1285" s="1" t="s">
        <v>11</v>
      </c>
      <c r="B1285" s="1" t="s">
        <v>1672</v>
      </c>
      <c r="C1285" s="1" t="s">
        <v>26</v>
      </c>
      <c r="D1285" s="1" t="s">
        <v>1876</v>
      </c>
      <c r="E1285" s="1" t="s">
        <v>1148</v>
      </c>
      <c r="F1285" s="1" t="s">
        <v>14</v>
      </c>
      <c r="G1285" s="1">
        <v>512487333</v>
      </c>
      <c r="H1285" s="1">
        <v>134400</v>
      </c>
      <c r="I1285" s="1">
        <v>0</v>
      </c>
      <c r="J1285" s="1" t="s">
        <v>14</v>
      </c>
      <c r="K1285" s="1">
        <v>512621733</v>
      </c>
    </row>
    <row r="1286" spans="1:11" x14ac:dyDescent="0.25">
      <c r="A1286" s="1" t="s">
        <v>11</v>
      </c>
      <c r="B1286" s="1" t="s">
        <v>1672</v>
      </c>
      <c r="C1286" s="1" t="s">
        <v>26</v>
      </c>
      <c r="D1286" s="1" t="s">
        <v>1877</v>
      </c>
      <c r="E1286" s="1" t="s">
        <v>1150</v>
      </c>
      <c r="F1286" s="1" t="s">
        <v>14</v>
      </c>
      <c r="G1286" s="1">
        <v>711946752</v>
      </c>
      <c r="H1286" s="1">
        <v>189741</v>
      </c>
      <c r="I1286" s="1">
        <v>0</v>
      </c>
      <c r="J1286" s="1" t="s">
        <v>14</v>
      </c>
      <c r="K1286" s="1">
        <v>712136493</v>
      </c>
    </row>
    <row r="1287" spans="1:11" x14ac:dyDescent="0.25">
      <c r="A1287" s="1" t="s">
        <v>11</v>
      </c>
      <c r="B1287" s="1" t="s">
        <v>1672</v>
      </c>
      <c r="C1287" s="1" t="s">
        <v>26</v>
      </c>
      <c r="D1287" s="1" t="s">
        <v>1878</v>
      </c>
      <c r="E1287" s="1" t="s">
        <v>1152</v>
      </c>
      <c r="F1287" s="1" t="s">
        <v>14</v>
      </c>
      <c r="G1287" s="1">
        <v>135186304</v>
      </c>
      <c r="H1287" s="1">
        <v>38517</v>
      </c>
      <c r="I1287" s="1">
        <v>0</v>
      </c>
      <c r="J1287" s="1" t="s">
        <v>14</v>
      </c>
      <c r="K1287" s="1">
        <v>135224821</v>
      </c>
    </row>
    <row r="1288" spans="1:11" x14ac:dyDescent="0.25">
      <c r="A1288" s="1" t="s">
        <v>11</v>
      </c>
      <c r="B1288" s="1" t="s">
        <v>1672</v>
      </c>
      <c r="C1288" s="1" t="s">
        <v>26</v>
      </c>
      <c r="D1288" s="1" t="s">
        <v>1879</v>
      </c>
      <c r="E1288" s="1" t="s">
        <v>1154</v>
      </c>
      <c r="F1288" s="1" t="s">
        <v>14</v>
      </c>
      <c r="G1288" s="1">
        <v>235069180.65000001</v>
      </c>
      <c r="H1288" s="1">
        <v>234009.17</v>
      </c>
      <c r="I1288" s="1">
        <v>0</v>
      </c>
      <c r="J1288" s="1" t="s">
        <v>14</v>
      </c>
      <c r="K1288" s="1">
        <v>235303189.81999999</v>
      </c>
    </row>
    <row r="1289" spans="1:11" x14ac:dyDescent="0.25">
      <c r="A1289" s="1" t="s">
        <v>11</v>
      </c>
      <c r="B1289" s="1" t="s">
        <v>1672</v>
      </c>
      <c r="C1289" s="1" t="s">
        <v>26</v>
      </c>
      <c r="D1289" s="1" t="s">
        <v>1880</v>
      </c>
      <c r="E1289" s="1" t="s">
        <v>1156</v>
      </c>
      <c r="F1289" s="1" t="s">
        <v>14</v>
      </c>
      <c r="G1289" s="1">
        <v>176841632</v>
      </c>
      <c r="H1289" s="1">
        <v>47435</v>
      </c>
      <c r="I1289" s="1">
        <v>0</v>
      </c>
      <c r="J1289" s="1" t="s">
        <v>14</v>
      </c>
      <c r="K1289" s="1">
        <v>176889067</v>
      </c>
    </row>
    <row r="1290" spans="1:11" x14ac:dyDescent="0.25">
      <c r="A1290" s="1" t="s">
        <v>11</v>
      </c>
      <c r="B1290" s="1" t="s">
        <v>1672</v>
      </c>
      <c r="C1290" s="1" t="s">
        <v>26</v>
      </c>
      <c r="D1290" s="1" t="s">
        <v>1881</v>
      </c>
      <c r="E1290" s="1" t="s">
        <v>1158</v>
      </c>
      <c r="F1290" s="1" t="s">
        <v>14</v>
      </c>
      <c r="G1290" s="1">
        <v>117933631</v>
      </c>
      <c r="H1290" s="1">
        <v>31624</v>
      </c>
      <c r="I1290" s="1">
        <v>0</v>
      </c>
      <c r="J1290" s="1" t="s">
        <v>14</v>
      </c>
      <c r="K1290" s="1">
        <v>117965255</v>
      </c>
    </row>
    <row r="1291" spans="1:11" x14ac:dyDescent="0.25">
      <c r="A1291" s="1" t="s">
        <v>11</v>
      </c>
      <c r="B1291" s="1" t="s">
        <v>1672</v>
      </c>
      <c r="C1291" s="1" t="s">
        <v>23</v>
      </c>
      <c r="D1291" s="1" t="s">
        <v>1882</v>
      </c>
      <c r="E1291" s="1" t="s">
        <v>1445</v>
      </c>
      <c r="F1291" s="1" t="s">
        <v>14</v>
      </c>
      <c r="G1291" s="1">
        <v>978550465</v>
      </c>
      <c r="H1291" s="1">
        <v>16590615</v>
      </c>
      <c r="I1291" s="1">
        <v>0</v>
      </c>
      <c r="J1291" s="1" t="s">
        <v>14</v>
      </c>
      <c r="K1291" s="1">
        <v>995141080</v>
      </c>
    </row>
    <row r="1292" spans="1:11" x14ac:dyDescent="0.25">
      <c r="A1292" s="1" t="s">
        <v>11</v>
      </c>
      <c r="B1292" s="1" t="s">
        <v>1672</v>
      </c>
      <c r="C1292" s="1" t="s">
        <v>26</v>
      </c>
      <c r="D1292" s="1" t="s">
        <v>1883</v>
      </c>
      <c r="E1292" s="1" t="s">
        <v>554</v>
      </c>
      <c r="F1292" s="1" t="s">
        <v>14</v>
      </c>
      <c r="G1292" s="1">
        <v>978425465</v>
      </c>
      <c r="H1292" s="1">
        <v>16590615</v>
      </c>
      <c r="I1292" s="1">
        <v>0</v>
      </c>
      <c r="J1292" s="1" t="s">
        <v>14</v>
      </c>
      <c r="K1292" s="1">
        <v>995016080</v>
      </c>
    </row>
    <row r="1293" spans="1:11" x14ac:dyDescent="0.25">
      <c r="A1293" s="1" t="s">
        <v>11</v>
      </c>
      <c r="B1293" s="1" t="s">
        <v>1672</v>
      </c>
      <c r="C1293" s="1" t="s">
        <v>26</v>
      </c>
      <c r="D1293" s="1" t="s">
        <v>1884</v>
      </c>
      <c r="E1293" s="1" t="s">
        <v>1447</v>
      </c>
      <c r="F1293" s="1" t="s">
        <v>14</v>
      </c>
      <c r="G1293" s="1">
        <v>125000</v>
      </c>
      <c r="H1293" s="1">
        <v>0</v>
      </c>
      <c r="I1293" s="1">
        <v>0</v>
      </c>
      <c r="J1293" s="1" t="s">
        <v>14</v>
      </c>
      <c r="K1293" s="1">
        <v>125000</v>
      </c>
    </row>
    <row r="1294" spans="1:11" x14ac:dyDescent="0.25">
      <c r="A1294" s="1" t="s">
        <v>11</v>
      </c>
      <c r="B1294" s="1" t="s">
        <v>1672</v>
      </c>
      <c r="C1294" s="1" t="s">
        <v>21</v>
      </c>
      <c r="D1294" s="1" t="s">
        <v>1885</v>
      </c>
      <c r="E1294" s="1" t="s">
        <v>1720</v>
      </c>
      <c r="F1294" s="1" t="s">
        <v>14</v>
      </c>
      <c r="G1294" s="1">
        <v>1252255327.3900001</v>
      </c>
      <c r="H1294" s="1">
        <v>86117526.579999998</v>
      </c>
      <c r="I1294" s="1">
        <v>0</v>
      </c>
      <c r="J1294" s="1" t="s">
        <v>14</v>
      </c>
      <c r="K1294" s="1">
        <v>1338372853.97</v>
      </c>
    </row>
    <row r="1295" spans="1:11" x14ac:dyDescent="0.25">
      <c r="A1295" s="1" t="s">
        <v>11</v>
      </c>
      <c r="B1295" s="1" t="s">
        <v>1672</v>
      </c>
      <c r="C1295" s="1" t="s">
        <v>23</v>
      </c>
      <c r="D1295" s="1" t="s">
        <v>1886</v>
      </c>
      <c r="E1295" s="1" t="s">
        <v>1189</v>
      </c>
      <c r="F1295" s="1" t="s">
        <v>14</v>
      </c>
      <c r="G1295" s="1">
        <v>29317015</v>
      </c>
      <c r="H1295" s="1">
        <v>5863403</v>
      </c>
      <c r="I1295" s="1">
        <v>0</v>
      </c>
      <c r="J1295" s="1" t="s">
        <v>14</v>
      </c>
      <c r="K1295" s="1">
        <v>35180418</v>
      </c>
    </row>
    <row r="1296" spans="1:11" x14ac:dyDescent="0.25">
      <c r="A1296" s="1" t="s">
        <v>11</v>
      </c>
      <c r="B1296" s="1" t="s">
        <v>1672</v>
      </c>
      <c r="C1296" s="1" t="s">
        <v>26</v>
      </c>
      <c r="D1296" s="1" t="s">
        <v>1887</v>
      </c>
      <c r="E1296" s="1" t="s">
        <v>439</v>
      </c>
      <c r="F1296" s="1" t="s">
        <v>14</v>
      </c>
      <c r="G1296" s="1">
        <v>29317015</v>
      </c>
      <c r="H1296" s="1">
        <v>5863403</v>
      </c>
      <c r="I1296" s="1">
        <v>0</v>
      </c>
      <c r="J1296" s="1" t="s">
        <v>14</v>
      </c>
      <c r="K1296" s="1">
        <v>35180418</v>
      </c>
    </row>
    <row r="1297" spans="1:11" x14ac:dyDescent="0.25">
      <c r="A1297" s="1" t="s">
        <v>11</v>
      </c>
      <c r="B1297" s="1" t="s">
        <v>1672</v>
      </c>
      <c r="C1297" s="1" t="s">
        <v>23</v>
      </c>
      <c r="D1297" s="1" t="s">
        <v>1888</v>
      </c>
      <c r="E1297" s="1" t="s">
        <v>227</v>
      </c>
      <c r="F1297" s="1" t="s">
        <v>14</v>
      </c>
      <c r="G1297" s="1">
        <v>33703873</v>
      </c>
      <c r="H1297" s="1">
        <v>3329050</v>
      </c>
      <c r="I1297" s="1">
        <v>0</v>
      </c>
      <c r="J1297" s="1" t="s">
        <v>14</v>
      </c>
      <c r="K1297" s="1">
        <v>37032923</v>
      </c>
    </row>
    <row r="1298" spans="1:11" x14ac:dyDescent="0.25">
      <c r="A1298" s="1" t="s">
        <v>11</v>
      </c>
      <c r="B1298" s="1" t="s">
        <v>1672</v>
      </c>
      <c r="C1298" s="1" t="s">
        <v>26</v>
      </c>
      <c r="D1298" s="1" t="s">
        <v>1889</v>
      </c>
      <c r="E1298" s="1" t="s">
        <v>1195</v>
      </c>
      <c r="F1298" s="1" t="s">
        <v>14</v>
      </c>
      <c r="G1298" s="1">
        <v>6279197</v>
      </c>
      <c r="H1298" s="1">
        <v>0</v>
      </c>
      <c r="I1298" s="1">
        <v>0</v>
      </c>
      <c r="J1298" s="1" t="s">
        <v>14</v>
      </c>
      <c r="K1298" s="1">
        <v>6279197</v>
      </c>
    </row>
    <row r="1299" spans="1:11" x14ac:dyDescent="0.25">
      <c r="A1299" s="1" t="s">
        <v>11</v>
      </c>
      <c r="B1299" s="1" t="s">
        <v>1672</v>
      </c>
      <c r="C1299" s="1" t="s">
        <v>26</v>
      </c>
      <c r="D1299" s="1" t="s">
        <v>1890</v>
      </c>
      <c r="E1299" s="1" t="s">
        <v>1461</v>
      </c>
      <c r="F1299" s="1" t="s">
        <v>14</v>
      </c>
      <c r="G1299" s="1">
        <v>22193271</v>
      </c>
      <c r="H1299" s="1">
        <v>2797520</v>
      </c>
      <c r="I1299" s="1">
        <v>0</v>
      </c>
      <c r="J1299" s="1" t="s">
        <v>14</v>
      </c>
      <c r="K1299" s="1">
        <v>24990791</v>
      </c>
    </row>
    <row r="1300" spans="1:11" x14ac:dyDescent="0.25">
      <c r="A1300" s="1" t="s">
        <v>11</v>
      </c>
      <c r="B1300" s="1" t="s">
        <v>1672</v>
      </c>
      <c r="C1300" s="1" t="s">
        <v>26</v>
      </c>
      <c r="D1300" s="1" t="s">
        <v>1891</v>
      </c>
      <c r="E1300" s="1" t="s">
        <v>1463</v>
      </c>
      <c r="F1300" s="1" t="s">
        <v>14</v>
      </c>
      <c r="G1300" s="1">
        <v>4039619</v>
      </c>
      <c r="H1300" s="1">
        <v>531530</v>
      </c>
      <c r="I1300" s="1">
        <v>0</v>
      </c>
      <c r="J1300" s="1" t="s">
        <v>14</v>
      </c>
      <c r="K1300" s="1">
        <v>4571149</v>
      </c>
    </row>
    <row r="1301" spans="1:11" x14ac:dyDescent="0.25">
      <c r="A1301" s="1" t="s">
        <v>11</v>
      </c>
      <c r="B1301" s="1" t="s">
        <v>1672</v>
      </c>
      <c r="C1301" s="1" t="s">
        <v>26</v>
      </c>
      <c r="D1301" s="1" t="s">
        <v>1892</v>
      </c>
      <c r="E1301" s="1" t="s">
        <v>1197</v>
      </c>
      <c r="F1301" s="1" t="s">
        <v>14</v>
      </c>
      <c r="G1301" s="1">
        <v>1191786</v>
      </c>
      <c r="H1301" s="1">
        <v>0</v>
      </c>
      <c r="I1301" s="1">
        <v>0</v>
      </c>
      <c r="J1301" s="1" t="s">
        <v>14</v>
      </c>
      <c r="K1301" s="1">
        <v>1191786</v>
      </c>
    </row>
    <row r="1302" spans="1:11" x14ac:dyDescent="0.25">
      <c r="A1302" s="1" t="s">
        <v>11</v>
      </c>
      <c r="B1302" s="1" t="s">
        <v>1672</v>
      </c>
      <c r="C1302" s="1" t="s">
        <v>23</v>
      </c>
      <c r="D1302" s="1" t="s">
        <v>1893</v>
      </c>
      <c r="E1302" s="1" t="s">
        <v>437</v>
      </c>
      <c r="F1302" s="1" t="s">
        <v>14</v>
      </c>
      <c r="G1302" s="1">
        <v>101573780</v>
      </c>
      <c r="H1302" s="1">
        <v>0</v>
      </c>
      <c r="I1302" s="1">
        <v>0</v>
      </c>
      <c r="J1302" s="1" t="s">
        <v>14</v>
      </c>
      <c r="K1302" s="1">
        <v>101573780</v>
      </c>
    </row>
    <row r="1303" spans="1:11" x14ac:dyDescent="0.25">
      <c r="A1303" s="1" t="s">
        <v>11</v>
      </c>
      <c r="B1303" s="1" t="s">
        <v>1672</v>
      </c>
      <c r="C1303" s="1" t="s">
        <v>26</v>
      </c>
      <c r="D1303" s="1" t="s">
        <v>1894</v>
      </c>
      <c r="E1303" s="1" t="s">
        <v>1212</v>
      </c>
      <c r="F1303" s="1" t="s">
        <v>14</v>
      </c>
      <c r="G1303" s="1">
        <v>22627750</v>
      </c>
      <c r="H1303" s="1">
        <v>0</v>
      </c>
      <c r="I1303" s="1">
        <v>0</v>
      </c>
      <c r="J1303" s="1" t="s">
        <v>14</v>
      </c>
      <c r="K1303" s="1">
        <v>22627750</v>
      </c>
    </row>
    <row r="1304" spans="1:11" x14ac:dyDescent="0.25">
      <c r="A1304" s="1" t="s">
        <v>11</v>
      </c>
      <c r="B1304" s="1" t="s">
        <v>1672</v>
      </c>
      <c r="C1304" s="1" t="s">
        <v>26</v>
      </c>
      <c r="D1304" s="1" t="s">
        <v>1895</v>
      </c>
      <c r="E1304" s="1" t="s">
        <v>1214</v>
      </c>
      <c r="F1304" s="1" t="s">
        <v>14</v>
      </c>
      <c r="G1304" s="1">
        <v>78946030</v>
      </c>
      <c r="H1304" s="1">
        <v>0</v>
      </c>
      <c r="I1304" s="1">
        <v>0</v>
      </c>
      <c r="J1304" s="1" t="s">
        <v>14</v>
      </c>
      <c r="K1304" s="1">
        <v>78946030</v>
      </c>
    </row>
    <row r="1305" spans="1:11" x14ac:dyDescent="0.25">
      <c r="A1305" s="1" t="s">
        <v>11</v>
      </c>
      <c r="B1305" s="1" t="s">
        <v>1672</v>
      </c>
      <c r="C1305" s="1" t="s">
        <v>23</v>
      </c>
      <c r="D1305" s="1" t="s">
        <v>1896</v>
      </c>
      <c r="E1305" s="1" t="s">
        <v>566</v>
      </c>
      <c r="F1305" s="1" t="s">
        <v>14</v>
      </c>
      <c r="G1305" s="1">
        <v>453645944.44999999</v>
      </c>
      <c r="H1305" s="1">
        <v>45022826.579999998</v>
      </c>
      <c r="I1305" s="1">
        <v>0</v>
      </c>
      <c r="J1305" s="1" t="s">
        <v>14</v>
      </c>
      <c r="K1305" s="1">
        <v>498668771.02999997</v>
      </c>
    </row>
    <row r="1306" spans="1:11" x14ac:dyDescent="0.25">
      <c r="A1306" s="1" t="s">
        <v>11</v>
      </c>
      <c r="B1306" s="1" t="s">
        <v>1672</v>
      </c>
      <c r="C1306" s="1" t="s">
        <v>26</v>
      </c>
      <c r="D1306" s="1" t="s">
        <v>1897</v>
      </c>
      <c r="E1306" s="1" t="s">
        <v>1219</v>
      </c>
      <c r="F1306" s="1" t="s">
        <v>14</v>
      </c>
      <c r="G1306" s="1">
        <v>51509958.850000001</v>
      </c>
      <c r="H1306" s="1">
        <v>3365789.49</v>
      </c>
      <c r="I1306" s="1">
        <v>0</v>
      </c>
      <c r="J1306" s="1" t="s">
        <v>14</v>
      </c>
      <c r="K1306" s="1">
        <v>54875748.340000004</v>
      </c>
    </row>
    <row r="1307" spans="1:11" x14ac:dyDescent="0.25">
      <c r="A1307" s="1" t="s">
        <v>11</v>
      </c>
      <c r="B1307" s="1" t="s">
        <v>1672</v>
      </c>
      <c r="C1307" s="1" t="s">
        <v>26</v>
      </c>
      <c r="D1307" s="1" t="s">
        <v>1898</v>
      </c>
      <c r="E1307" s="1" t="s">
        <v>1221</v>
      </c>
      <c r="F1307" s="1" t="s">
        <v>14</v>
      </c>
      <c r="G1307" s="1">
        <v>12992212.529999999</v>
      </c>
      <c r="H1307" s="1">
        <v>1492378.37</v>
      </c>
      <c r="I1307" s="1">
        <v>0</v>
      </c>
      <c r="J1307" s="1" t="s">
        <v>14</v>
      </c>
      <c r="K1307" s="1">
        <v>14484590.9</v>
      </c>
    </row>
    <row r="1308" spans="1:11" x14ac:dyDescent="0.25">
      <c r="A1308" s="1" t="s">
        <v>11</v>
      </c>
      <c r="B1308" s="1" t="s">
        <v>1672</v>
      </c>
      <c r="C1308" s="1" t="s">
        <v>26</v>
      </c>
      <c r="D1308" s="1" t="s">
        <v>1899</v>
      </c>
      <c r="E1308" s="1" t="s">
        <v>1223</v>
      </c>
      <c r="F1308" s="1" t="s">
        <v>14</v>
      </c>
      <c r="G1308" s="1">
        <v>165243420</v>
      </c>
      <c r="H1308" s="1">
        <v>17989600</v>
      </c>
      <c r="I1308" s="1">
        <v>0</v>
      </c>
      <c r="J1308" s="1" t="s">
        <v>14</v>
      </c>
      <c r="K1308" s="1">
        <v>183233020</v>
      </c>
    </row>
    <row r="1309" spans="1:11" x14ac:dyDescent="0.25">
      <c r="A1309" s="1" t="s">
        <v>11</v>
      </c>
      <c r="B1309" s="1" t="s">
        <v>1672</v>
      </c>
      <c r="C1309" s="1" t="s">
        <v>26</v>
      </c>
      <c r="D1309" s="1" t="s">
        <v>1900</v>
      </c>
      <c r="E1309" s="1" t="s">
        <v>1225</v>
      </c>
      <c r="F1309" s="1" t="s">
        <v>14</v>
      </c>
      <c r="G1309" s="1">
        <v>173043174.97999999</v>
      </c>
      <c r="H1309" s="1">
        <v>16916343.91</v>
      </c>
      <c r="I1309" s="1">
        <v>0</v>
      </c>
      <c r="J1309" s="1" t="s">
        <v>14</v>
      </c>
      <c r="K1309" s="1">
        <v>189959518.88999999</v>
      </c>
    </row>
    <row r="1310" spans="1:11" x14ac:dyDescent="0.25">
      <c r="A1310" s="1" t="s">
        <v>11</v>
      </c>
      <c r="B1310" s="1" t="s">
        <v>1672</v>
      </c>
      <c r="C1310" s="1" t="s">
        <v>26</v>
      </c>
      <c r="D1310" s="1" t="s">
        <v>1901</v>
      </c>
      <c r="E1310" s="1" t="s">
        <v>1227</v>
      </c>
      <c r="F1310" s="1" t="s">
        <v>14</v>
      </c>
      <c r="G1310" s="1">
        <v>8368799.5800000001</v>
      </c>
      <c r="H1310" s="1">
        <v>968531.94</v>
      </c>
      <c r="I1310" s="1">
        <v>0</v>
      </c>
      <c r="J1310" s="1" t="s">
        <v>14</v>
      </c>
      <c r="K1310" s="1">
        <v>9337331.5199999996</v>
      </c>
    </row>
    <row r="1311" spans="1:11" x14ac:dyDescent="0.25">
      <c r="A1311" s="1" t="s">
        <v>11</v>
      </c>
      <c r="B1311" s="1" t="s">
        <v>1672</v>
      </c>
      <c r="C1311" s="1" t="s">
        <v>26</v>
      </c>
      <c r="D1311" s="1" t="s">
        <v>1902</v>
      </c>
      <c r="E1311" s="1" t="s">
        <v>1229</v>
      </c>
      <c r="F1311" s="1" t="s">
        <v>14</v>
      </c>
      <c r="G1311" s="1">
        <v>8621941.9199999999</v>
      </c>
      <c r="H1311" s="1">
        <v>883856.21</v>
      </c>
      <c r="I1311" s="1">
        <v>0</v>
      </c>
      <c r="J1311" s="1" t="s">
        <v>14</v>
      </c>
      <c r="K1311" s="1">
        <v>9505798.1300000008</v>
      </c>
    </row>
    <row r="1312" spans="1:11" x14ac:dyDescent="0.25">
      <c r="A1312" s="1" t="s">
        <v>11</v>
      </c>
      <c r="B1312" s="1" t="s">
        <v>1672</v>
      </c>
      <c r="C1312" s="1" t="s">
        <v>26</v>
      </c>
      <c r="D1312" s="1" t="s">
        <v>1903</v>
      </c>
      <c r="E1312" s="1" t="s">
        <v>1231</v>
      </c>
      <c r="F1312" s="1" t="s">
        <v>14</v>
      </c>
      <c r="G1312" s="1">
        <v>6608012</v>
      </c>
      <c r="H1312" s="1">
        <v>658690</v>
      </c>
      <c r="I1312" s="1">
        <v>0</v>
      </c>
      <c r="J1312" s="1" t="s">
        <v>14</v>
      </c>
      <c r="K1312" s="1">
        <v>7266702</v>
      </c>
    </row>
    <row r="1313" spans="1:11" x14ac:dyDescent="0.25">
      <c r="A1313" s="1" t="s">
        <v>11</v>
      </c>
      <c r="B1313" s="1" t="s">
        <v>1672</v>
      </c>
      <c r="C1313" s="1" t="s">
        <v>26</v>
      </c>
      <c r="D1313" s="1" t="s">
        <v>1904</v>
      </c>
      <c r="E1313" s="1" t="s">
        <v>1905</v>
      </c>
      <c r="F1313" s="1" t="s">
        <v>14</v>
      </c>
      <c r="G1313" s="1">
        <v>19029404.16</v>
      </c>
      <c r="H1313" s="1">
        <v>1902954.7</v>
      </c>
      <c r="I1313" s="1">
        <v>0</v>
      </c>
      <c r="J1313" s="1" t="s">
        <v>14</v>
      </c>
      <c r="K1313" s="1">
        <v>20932358.859999999</v>
      </c>
    </row>
    <row r="1314" spans="1:11" x14ac:dyDescent="0.25">
      <c r="A1314" s="1" t="s">
        <v>11</v>
      </c>
      <c r="B1314" s="1" t="s">
        <v>1672</v>
      </c>
      <c r="C1314" s="1" t="s">
        <v>26</v>
      </c>
      <c r="D1314" s="1" t="s">
        <v>1906</v>
      </c>
      <c r="E1314" s="1" t="s">
        <v>1233</v>
      </c>
      <c r="F1314" s="1" t="s">
        <v>14</v>
      </c>
      <c r="G1314" s="1">
        <v>1632907.45</v>
      </c>
      <c r="H1314" s="1">
        <v>182452.65</v>
      </c>
      <c r="I1314" s="1">
        <v>0</v>
      </c>
      <c r="J1314" s="1" t="s">
        <v>14</v>
      </c>
      <c r="K1314" s="1">
        <v>1815360.1</v>
      </c>
    </row>
    <row r="1315" spans="1:11" x14ac:dyDescent="0.25">
      <c r="A1315" s="1" t="s">
        <v>11</v>
      </c>
      <c r="B1315" s="1" t="s">
        <v>1672</v>
      </c>
      <c r="C1315" s="1" t="s">
        <v>26</v>
      </c>
      <c r="D1315" s="1" t="s">
        <v>1907</v>
      </c>
      <c r="E1315" s="1" t="s">
        <v>1235</v>
      </c>
      <c r="F1315" s="1" t="s">
        <v>14</v>
      </c>
      <c r="G1315" s="1">
        <v>1707532.14</v>
      </c>
      <c r="H1315" s="1">
        <v>167865.01</v>
      </c>
      <c r="I1315" s="1">
        <v>0</v>
      </c>
      <c r="J1315" s="1" t="s">
        <v>14</v>
      </c>
      <c r="K1315" s="1">
        <v>1875397.15</v>
      </c>
    </row>
    <row r="1316" spans="1:11" x14ac:dyDescent="0.25">
      <c r="A1316" s="1" t="s">
        <v>11</v>
      </c>
      <c r="B1316" s="1" t="s">
        <v>1672</v>
      </c>
      <c r="C1316" s="1" t="s">
        <v>26</v>
      </c>
      <c r="D1316" s="1" t="s">
        <v>1908</v>
      </c>
      <c r="E1316" s="1" t="s">
        <v>1237</v>
      </c>
      <c r="F1316" s="1" t="s">
        <v>14</v>
      </c>
      <c r="G1316" s="1">
        <v>1333842</v>
      </c>
      <c r="H1316" s="1">
        <v>132975</v>
      </c>
      <c r="I1316" s="1">
        <v>0</v>
      </c>
      <c r="J1316" s="1" t="s">
        <v>14</v>
      </c>
      <c r="K1316" s="1">
        <v>1466817</v>
      </c>
    </row>
    <row r="1317" spans="1:11" x14ac:dyDescent="0.25">
      <c r="A1317" s="1" t="s">
        <v>11</v>
      </c>
      <c r="B1317" s="1" t="s">
        <v>1672</v>
      </c>
      <c r="C1317" s="1" t="s">
        <v>26</v>
      </c>
      <c r="D1317" s="1" t="s">
        <v>1909</v>
      </c>
      <c r="E1317" s="1" t="s">
        <v>1910</v>
      </c>
      <c r="F1317" s="1" t="s">
        <v>14</v>
      </c>
      <c r="G1317" s="1">
        <v>3554738.84</v>
      </c>
      <c r="H1317" s="1">
        <v>361389.3</v>
      </c>
      <c r="I1317" s="1">
        <v>0</v>
      </c>
      <c r="J1317" s="1" t="s">
        <v>14</v>
      </c>
      <c r="K1317" s="1">
        <v>3916128.14</v>
      </c>
    </row>
    <row r="1318" spans="1:11" x14ac:dyDescent="0.25">
      <c r="A1318" s="1" t="s">
        <v>11</v>
      </c>
      <c r="B1318" s="1" t="s">
        <v>1672</v>
      </c>
      <c r="C1318" s="1" t="s">
        <v>23</v>
      </c>
      <c r="D1318" s="1" t="s">
        <v>1911</v>
      </c>
      <c r="E1318" s="1" t="s">
        <v>1239</v>
      </c>
      <c r="F1318" s="1" t="s">
        <v>14</v>
      </c>
      <c r="G1318" s="1">
        <v>348274651</v>
      </c>
      <c r="H1318" s="1">
        <v>29498053</v>
      </c>
      <c r="I1318" s="1">
        <v>0</v>
      </c>
      <c r="J1318" s="1" t="s">
        <v>14</v>
      </c>
      <c r="K1318" s="1">
        <v>377772704</v>
      </c>
    </row>
    <row r="1319" spans="1:11" x14ac:dyDescent="0.25">
      <c r="A1319" s="1" t="s">
        <v>11</v>
      </c>
      <c r="B1319" s="1" t="s">
        <v>1672</v>
      </c>
      <c r="C1319" s="1" t="s">
        <v>26</v>
      </c>
      <c r="D1319" s="1" t="s">
        <v>1912</v>
      </c>
      <c r="E1319" s="1" t="s">
        <v>1913</v>
      </c>
      <c r="F1319" s="1" t="s">
        <v>14</v>
      </c>
      <c r="G1319" s="1">
        <v>290394235</v>
      </c>
      <c r="H1319" s="1">
        <v>24788280</v>
      </c>
      <c r="I1319" s="1">
        <v>0</v>
      </c>
      <c r="J1319" s="1" t="s">
        <v>14</v>
      </c>
      <c r="K1319" s="1">
        <v>315182515</v>
      </c>
    </row>
    <row r="1320" spans="1:11" x14ac:dyDescent="0.25">
      <c r="A1320" s="1" t="s">
        <v>11</v>
      </c>
      <c r="B1320" s="1" t="s">
        <v>1672</v>
      </c>
      <c r="C1320" s="1" t="s">
        <v>26</v>
      </c>
      <c r="D1320" s="1" t="s">
        <v>1914</v>
      </c>
      <c r="E1320" s="1" t="s">
        <v>1239</v>
      </c>
      <c r="F1320" s="1" t="s">
        <v>14</v>
      </c>
      <c r="G1320" s="1">
        <v>789305</v>
      </c>
      <c r="H1320" s="1">
        <v>0</v>
      </c>
      <c r="I1320" s="1">
        <v>0</v>
      </c>
      <c r="J1320" s="1" t="s">
        <v>14</v>
      </c>
      <c r="K1320" s="1">
        <v>789305</v>
      </c>
    </row>
    <row r="1321" spans="1:11" x14ac:dyDescent="0.25">
      <c r="A1321" s="1" t="s">
        <v>11</v>
      </c>
      <c r="B1321" s="1" t="s">
        <v>1672</v>
      </c>
      <c r="C1321" s="1" t="s">
        <v>26</v>
      </c>
      <c r="D1321" s="1" t="s">
        <v>1915</v>
      </c>
      <c r="E1321" s="1" t="s">
        <v>1916</v>
      </c>
      <c r="F1321" s="1" t="s">
        <v>14</v>
      </c>
      <c r="G1321" s="1">
        <v>56979905</v>
      </c>
      <c r="H1321" s="1">
        <v>4709773</v>
      </c>
      <c r="I1321" s="1">
        <v>0</v>
      </c>
      <c r="J1321" s="1" t="s">
        <v>14</v>
      </c>
      <c r="K1321" s="1">
        <v>61689678</v>
      </c>
    </row>
    <row r="1322" spans="1:11" x14ac:dyDescent="0.25">
      <c r="A1322" s="1" t="s">
        <v>11</v>
      </c>
      <c r="B1322" s="1" t="s">
        <v>1672</v>
      </c>
      <c r="C1322" s="1" t="s">
        <v>26</v>
      </c>
      <c r="D1322" s="1" t="s">
        <v>1917</v>
      </c>
      <c r="E1322" s="1" t="s">
        <v>1244</v>
      </c>
      <c r="F1322" s="1" t="s">
        <v>14</v>
      </c>
      <c r="G1322" s="1">
        <v>111206</v>
      </c>
      <c r="H1322" s="1">
        <v>0</v>
      </c>
      <c r="I1322" s="1">
        <v>0</v>
      </c>
      <c r="J1322" s="1" t="s">
        <v>14</v>
      </c>
      <c r="K1322" s="1">
        <v>111206</v>
      </c>
    </row>
    <row r="1323" spans="1:11" x14ac:dyDescent="0.25">
      <c r="A1323" s="1" t="s">
        <v>11</v>
      </c>
      <c r="B1323" s="1" t="s">
        <v>1672</v>
      </c>
      <c r="C1323" s="1" t="s">
        <v>23</v>
      </c>
      <c r="D1323" s="1" t="s">
        <v>1918</v>
      </c>
      <c r="E1323" s="1" t="s">
        <v>1257</v>
      </c>
      <c r="F1323" s="1" t="s">
        <v>14</v>
      </c>
      <c r="G1323" s="1">
        <v>11357350</v>
      </c>
      <c r="H1323" s="1">
        <v>1083200</v>
      </c>
      <c r="I1323" s="1">
        <v>0</v>
      </c>
      <c r="J1323" s="1" t="s">
        <v>14</v>
      </c>
      <c r="K1323" s="1">
        <v>12440550</v>
      </c>
    </row>
    <row r="1324" spans="1:11" x14ac:dyDescent="0.25">
      <c r="A1324" s="1" t="s">
        <v>11</v>
      </c>
      <c r="B1324" s="1" t="s">
        <v>1672</v>
      </c>
      <c r="C1324" s="1" t="s">
        <v>26</v>
      </c>
      <c r="D1324" s="1" t="s">
        <v>1919</v>
      </c>
      <c r="E1324" s="1" t="s">
        <v>1518</v>
      </c>
      <c r="F1324" s="1" t="s">
        <v>14</v>
      </c>
      <c r="G1324" s="1">
        <v>0</v>
      </c>
      <c r="H1324" s="1">
        <v>630253</v>
      </c>
      <c r="I1324" s="1">
        <v>0</v>
      </c>
      <c r="J1324" s="1" t="s">
        <v>14</v>
      </c>
      <c r="K1324" s="1">
        <v>630253</v>
      </c>
    </row>
    <row r="1325" spans="1:11" x14ac:dyDescent="0.25">
      <c r="A1325" s="1" t="s">
        <v>11</v>
      </c>
      <c r="B1325" s="1" t="s">
        <v>1672</v>
      </c>
      <c r="C1325" s="1" t="s">
        <v>26</v>
      </c>
      <c r="D1325" s="1" t="s">
        <v>1920</v>
      </c>
      <c r="E1325" s="1" t="s">
        <v>1820</v>
      </c>
      <c r="F1325" s="1" t="s">
        <v>14</v>
      </c>
      <c r="G1325" s="1">
        <v>460000</v>
      </c>
      <c r="H1325" s="1">
        <v>0</v>
      </c>
      <c r="I1325" s="1">
        <v>0</v>
      </c>
      <c r="J1325" s="1" t="s">
        <v>14</v>
      </c>
      <c r="K1325" s="1">
        <v>460000</v>
      </c>
    </row>
    <row r="1326" spans="1:11" x14ac:dyDescent="0.25">
      <c r="A1326" s="1" t="s">
        <v>11</v>
      </c>
      <c r="B1326" s="1" t="s">
        <v>1672</v>
      </c>
      <c r="C1326" s="1" t="s">
        <v>26</v>
      </c>
      <c r="D1326" s="1" t="s">
        <v>1921</v>
      </c>
      <c r="E1326" s="1" t="s">
        <v>1520</v>
      </c>
      <c r="F1326" s="1" t="s">
        <v>14</v>
      </c>
      <c r="G1326" s="1">
        <v>1950000</v>
      </c>
      <c r="H1326" s="1">
        <v>0</v>
      </c>
      <c r="I1326" s="1">
        <v>0</v>
      </c>
      <c r="J1326" s="1" t="s">
        <v>14</v>
      </c>
      <c r="K1326" s="1">
        <v>1950000</v>
      </c>
    </row>
    <row r="1327" spans="1:11" x14ac:dyDescent="0.25">
      <c r="A1327" s="1" t="s">
        <v>11</v>
      </c>
      <c r="B1327" s="1" t="s">
        <v>1672</v>
      </c>
      <c r="C1327" s="1" t="s">
        <v>26</v>
      </c>
      <c r="D1327" s="1" t="s">
        <v>1922</v>
      </c>
      <c r="E1327" s="1" t="s">
        <v>1743</v>
      </c>
      <c r="F1327" s="1" t="s">
        <v>14</v>
      </c>
      <c r="G1327" s="1">
        <v>2200000</v>
      </c>
      <c r="H1327" s="1">
        <v>280000</v>
      </c>
      <c r="I1327" s="1">
        <v>0</v>
      </c>
      <c r="J1327" s="1" t="s">
        <v>14</v>
      </c>
      <c r="K1327" s="1">
        <v>2480000</v>
      </c>
    </row>
    <row r="1328" spans="1:11" x14ac:dyDescent="0.25">
      <c r="A1328" s="1" t="s">
        <v>11</v>
      </c>
      <c r="B1328" s="1" t="s">
        <v>1672</v>
      </c>
      <c r="C1328" s="1" t="s">
        <v>26</v>
      </c>
      <c r="D1328" s="1" t="s">
        <v>1923</v>
      </c>
      <c r="E1328" s="1" t="s">
        <v>1522</v>
      </c>
      <c r="F1328" s="1" t="s">
        <v>14</v>
      </c>
      <c r="G1328" s="1">
        <v>5139950</v>
      </c>
      <c r="H1328" s="1">
        <v>0</v>
      </c>
      <c r="I1328" s="1">
        <v>0</v>
      </c>
      <c r="J1328" s="1" t="s">
        <v>14</v>
      </c>
      <c r="K1328" s="1">
        <v>5139950</v>
      </c>
    </row>
    <row r="1329" spans="1:11" x14ac:dyDescent="0.25">
      <c r="A1329" s="1" t="s">
        <v>11</v>
      </c>
      <c r="B1329" s="1" t="s">
        <v>1672</v>
      </c>
      <c r="C1329" s="1" t="s">
        <v>26</v>
      </c>
      <c r="D1329" s="1" t="s">
        <v>1924</v>
      </c>
      <c r="E1329" s="1" t="s">
        <v>1530</v>
      </c>
      <c r="F1329" s="1" t="s">
        <v>14</v>
      </c>
      <c r="G1329" s="1">
        <v>0</v>
      </c>
      <c r="H1329" s="1">
        <v>119747</v>
      </c>
      <c r="I1329" s="1">
        <v>0</v>
      </c>
      <c r="J1329" s="1" t="s">
        <v>14</v>
      </c>
      <c r="K1329" s="1">
        <v>119747</v>
      </c>
    </row>
    <row r="1330" spans="1:11" x14ac:dyDescent="0.25">
      <c r="A1330" s="1" t="s">
        <v>11</v>
      </c>
      <c r="B1330" s="1" t="s">
        <v>1672</v>
      </c>
      <c r="C1330" s="1" t="s">
        <v>26</v>
      </c>
      <c r="D1330" s="1" t="s">
        <v>1925</v>
      </c>
      <c r="E1330" s="1" t="s">
        <v>1823</v>
      </c>
      <c r="F1330" s="1" t="s">
        <v>14</v>
      </c>
      <c r="G1330" s="1">
        <v>87400</v>
      </c>
      <c r="H1330" s="1">
        <v>0</v>
      </c>
      <c r="I1330" s="1">
        <v>0</v>
      </c>
      <c r="J1330" s="1" t="s">
        <v>14</v>
      </c>
      <c r="K1330" s="1">
        <v>87400</v>
      </c>
    </row>
    <row r="1331" spans="1:11" x14ac:dyDescent="0.25">
      <c r="A1331" s="1" t="s">
        <v>11</v>
      </c>
      <c r="B1331" s="1" t="s">
        <v>1672</v>
      </c>
      <c r="C1331" s="1" t="s">
        <v>26</v>
      </c>
      <c r="D1331" s="1" t="s">
        <v>1926</v>
      </c>
      <c r="E1331" s="1" t="s">
        <v>1532</v>
      </c>
      <c r="F1331" s="1" t="s">
        <v>14</v>
      </c>
      <c r="G1331" s="1">
        <v>370500</v>
      </c>
      <c r="H1331" s="1">
        <v>0</v>
      </c>
      <c r="I1331" s="1">
        <v>0</v>
      </c>
      <c r="J1331" s="1" t="s">
        <v>14</v>
      </c>
      <c r="K1331" s="1">
        <v>370500</v>
      </c>
    </row>
    <row r="1332" spans="1:11" x14ac:dyDescent="0.25">
      <c r="A1332" s="1" t="s">
        <v>11</v>
      </c>
      <c r="B1332" s="1" t="s">
        <v>1672</v>
      </c>
      <c r="C1332" s="1" t="s">
        <v>26</v>
      </c>
      <c r="D1332" s="1" t="s">
        <v>1927</v>
      </c>
      <c r="E1332" s="1" t="s">
        <v>1928</v>
      </c>
      <c r="F1332" s="1" t="s">
        <v>14</v>
      </c>
      <c r="G1332" s="1">
        <v>254600</v>
      </c>
      <c r="H1332" s="1">
        <v>53200</v>
      </c>
      <c r="I1332" s="1">
        <v>0</v>
      </c>
      <c r="J1332" s="1" t="s">
        <v>14</v>
      </c>
      <c r="K1332" s="1">
        <v>307800</v>
      </c>
    </row>
    <row r="1333" spans="1:11" x14ac:dyDescent="0.25">
      <c r="A1333" s="1" t="s">
        <v>11</v>
      </c>
      <c r="B1333" s="1" t="s">
        <v>1672</v>
      </c>
      <c r="C1333" s="1" t="s">
        <v>26</v>
      </c>
      <c r="D1333" s="1" t="s">
        <v>1929</v>
      </c>
      <c r="E1333" s="1" t="s">
        <v>1261</v>
      </c>
      <c r="F1333" s="1" t="s">
        <v>14</v>
      </c>
      <c r="G1333" s="1">
        <v>243200</v>
      </c>
      <c r="H1333" s="1">
        <v>0</v>
      </c>
      <c r="I1333" s="1">
        <v>0</v>
      </c>
      <c r="J1333" s="1" t="s">
        <v>14</v>
      </c>
      <c r="K1333" s="1">
        <v>243200</v>
      </c>
    </row>
    <row r="1334" spans="1:11" x14ac:dyDescent="0.25">
      <c r="A1334" s="1" t="s">
        <v>11</v>
      </c>
      <c r="B1334" s="1" t="s">
        <v>1672</v>
      </c>
      <c r="C1334" s="1" t="s">
        <v>26</v>
      </c>
      <c r="D1334" s="1" t="s">
        <v>1930</v>
      </c>
      <c r="E1334" s="1" t="s">
        <v>1534</v>
      </c>
      <c r="F1334" s="1" t="s">
        <v>14</v>
      </c>
      <c r="G1334" s="1">
        <v>651700</v>
      </c>
      <c r="H1334" s="1">
        <v>0</v>
      </c>
      <c r="I1334" s="1">
        <v>0</v>
      </c>
      <c r="J1334" s="1" t="s">
        <v>14</v>
      </c>
      <c r="K1334" s="1">
        <v>651700</v>
      </c>
    </row>
    <row r="1335" spans="1:11" x14ac:dyDescent="0.25">
      <c r="A1335" s="1" t="s">
        <v>11</v>
      </c>
      <c r="B1335" s="1" t="s">
        <v>1672</v>
      </c>
      <c r="C1335" s="1" t="s">
        <v>23</v>
      </c>
      <c r="D1335" s="1" t="s">
        <v>1931</v>
      </c>
      <c r="E1335" s="1" t="s">
        <v>1263</v>
      </c>
      <c r="F1335" s="1" t="s">
        <v>14</v>
      </c>
      <c r="G1335" s="1">
        <v>263984319.94</v>
      </c>
      <c r="H1335" s="1">
        <v>0</v>
      </c>
      <c r="I1335" s="1">
        <v>0</v>
      </c>
      <c r="J1335" s="1" t="s">
        <v>14</v>
      </c>
      <c r="K1335" s="1">
        <v>263984319.94</v>
      </c>
    </row>
    <row r="1336" spans="1:11" x14ac:dyDescent="0.25">
      <c r="A1336" s="1" t="s">
        <v>11</v>
      </c>
      <c r="B1336" s="1" t="s">
        <v>1672</v>
      </c>
      <c r="C1336" s="1" t="s">
        <v>26</v>
      </c>
      <c r="D1336" s="1" t="s">
        <v>1932</v>
      </c>
      <c r="E1336" s="1" t="s">
        <v>1265</v>
      </c>
      <c r="F1336" s="1" t="s">
        <v>14</v>
      </c>
      <c r="G1336" s="1">
        <v>69724219.680000007</v>
      </c>
      <c r="H1336" s="1">
        <v>0</v>
      </c>
      <c r="I1336" s="1">
        <v>0</v>
      </c>
      <c r="J1336" s="1" t="s">
        <v>14</v>
      </c>
      <c r="K1336" s="1">
        <v>69724219.680000007</v>
      </c>
    </row>
    <row r="1337" spans="1:11" x14ac:dyDescent="0.25">
      <c r="A1337" s="1" t="s">
        <v>11</v>
      </c>
      <c r="B1337" s="1" t="s">
        <v>1672</v>
      </c>
      <c r="C1337" s="1" t="s">
        <v>26</v>
      </c>
      <c r="D1337" s="1" t="s">
        <v>1933</v>
      </c>
      <c r="E1337" s="1" t="s">
        <v>1538</v>
      </c>
      <c r="F1337" s="1" t="s">
        <v>14</v>
      </c>
      <c r="G1337" s="1">
        <v>86429688.5</v>
      </c>
      <c r="H1337" s="1">
        <v>0</v>
      </c>
      <c r="I1337" s="1">
        <v>0</v>
      </c>
      <c r="J1337" s="1" t="s">
        <v>14</v>
      </c>
      <c r="K1337" s="1">
        <v>86429688.5</v>
      </c>
    </row>
    <row r="1338" spans="1:11" x14ac:dyDescent="0.25">
      <c r="A1338" s="1" t="s">
        <v>11</v>
      </c>
      <c r="B1338" s="1" t="s">
        <v>1672</v>
      </c>
      <c r="C1338" s="1" t="s">
        <v>26</v>
      </c>
      <c r="D1338" s="1" t="s">
        <v>1934</v>
      </c>
      <c r="E1338" s="1" t="s">
        <v>1267</v>
      </c>
      <c r="F1338" s="1" t="s">
        <v>14</v>
      </c>
      <c r="G1338" s="1">
        <v>5398003.9699999997</v>
      </c>
      <c r="H1338" s="1">
        <v>0</v>
      </c>
      <c r="I1338" s="1">
        <v>0</v>
      </c>
      <c r="J1338" s="1" t="s">
        <v>14</v>
      </c>
      <c r="K1338" s="1">
        <v>5398003.9699999997</v>
      </c>
    </row>
    <row r="1339" spans="1:11" x14ac:dyDescent="0.25">
      <c r="A1339" s="1" t="s">
        <v>11</v>
      </c>
      <c r="B1339" s="1" t="s">
        <v>1672</v>
      </c>
      <c r="C1339" s="1" t="s">
        <v>26</v>
      </c>
      <c r="D1339" s="1" t="s">
        <v>1935</v>
      </c>
      <c r="E1339" s="1" t="s">
        <v>1269</v>
      </c>
      <c r="F1339" s="1" t="s">
        <v>14</v>
      </c>
      <c r="G1339" s="1">
        <v>94829197.480000004</v>
      </c>
      <c r="H1339" s="1">
        <v>0</v>
      </c>
      <c r="I1339" s="1">
        <v>0</v>
      </c>
      <c r="J1339" s="1" t="s">
        <v>14</v>
      </c>
      <c r="K1339" s="1">
        <v>94829197.480000004</v>
      </c>
    </row>
    <row r="1340" spans="1:11" x14ac:dyDescent="0.25">
      <c r="A1340" s="1" t="s">
        <v>11</v>
      </c>
      <c r="B1340" s="1" t="s">
        <v>1672</v>
      </c>
      <c r="C1340" s="1" t="s">
        <v>26</v>
      </c>
      <c r="D1340" s="1" t="s">
        <v>1936</v>
      </c>
      <c r="E1340" s="1" t="s">
        <v>1542</v>
      </c>
      <c r="F1340" s="1" t="s">
        <v>14</v>
      </c>
      <c r="G1340" s="1">
        <v>7603210.3099999996</v>
      </c>
      <c r="H1340" s="1">
        <v>0</v>
      </c>
      <c r="I1340" s="1">
        <v>0</v>
      </c>
      <c r="J1340" s="1" t="s">
        <v>14</v>
      </c>
      <c r="K1340" s="1">
        <v>7603210.3099999996</v>
      </c>
    </row>
    <row r="1341" spans="1:11" x14ac:dyDescent="0.25">
      <c r="A1341" s="1" t="s">
        <v>11</v>
      </c>
      <c r="B1341" s="1" t="s">
        <v>1672</v>
      </c>
      <c r="C1341" s="1" t="s">
        <v>23</v>
      </c>
      <c r="D1341" s="1" t="s">
        <v>1937</v>
      </c>
      <c r="E1341" s="1" t="s">
        <v>1273</v>
      </c>
      <c r="F1341" s="1" t="s">
        <v>14</v>
      </c>
      <c r="G1341" s="1">
        <v>10142194</v>
      </c>
      <c r="H1341" s="1">
        <v>1282681</v>
      </c>
      <c r="I1341" s="1">
        <v>0</v>
      </c>
      <c r="J1341" s="1" t="s">
        <v>14</v>
      </c>
      <c r="K1341" s="1">
        <v>11424875</v>
      </c>
    </row>
    <row r="1342" spans="1:11" x14ac:dyDescent="0.25">
      <c r="A1342" s="1" t="s">
        <v>11</v>
      </c>
      <c r="B1342" s="1" t="s">
        <v>1672</v>
      </c>
      <c r="C1342" s="1" t="s">
        <v>26</v>
      </c>
      <c r="D1342" s="1" t="s">
        <v>1938</v>
      </c>
      <c r="E1342" s="1" t="s">
        <v>1273</v>
      </c>
      <c r="F1342" s="1" t="s">
        <v>14</v>
      </c>
      <c r="G1342" s="1">
        <v>10142194</v>
      </c>
      <c r="H1342" s="1">
        <v>1282681</v>
      </c>
      <c r="I1342" s="1">
        <v>0</v>
      </c>
      <c r="J1342" s="1" t="s">
        <v>14</v>
      </c>
      <c r="K1342" s="1">
        <v>11424875</v>
      </c>
    </row>
    <row r="1343" spans="1:11" x14ac:dyDescent="0.25">
      <c r="A1343" s="1" t="s">
        <v>11</v>
      </c>
      <c r="B1343" s="1" t="s">
        <v>1672</v>
      </c>
      <c r="C1343" s="1" t="s">
        <v>23</v>
      </c>
      <c r="D1343" s="1" t="s">
        <v>1939</v>
      </c>
      <c r="E1343" s="1" t="s">
        <v>1063</v>
      </c>
      <c r="F1343" s="1" t="s">
        <v>14</v>
      </c>
      <c r="G1343" s="1">
        <v>19200</v>
      </c>
      <c r="H1343" s="1">
        <v>0</v>
      </c>
      <c r="I1343" s="1">
        <v>0</v>
      </c>
      <c r="J1343" s="1" t="s">
        <v>14</v>
      </c>
      <c r="K1343" s="1">
        <v>19200</v>
      </c>
    </row>
    <row r="1344" spans="1:11" x14ac:dyDescent="0.25">
      <c r="A1344" s="1" t="s">
        <v>11</v>
      </c>
      <c r="B1344" s="1" t="s">
        <v>1672</v>
      </c>
      <c r="C1344" s="1" t="s">
        <v>26</v>
      </c>
      <c r="D1344" s="1" t="s">
        <v>1940</v>
      </c>
      <c r="E1344" s="1" t="s">
        <v>1279</v>
      </c>
      <c r="F1344" s="1" t="s">
        <v>14</v>
      </c>
      <c r="G1344" s="1">
        <v>19200</v>
      </c>
      <c r="H1344" s="1">
        <v>0</v>
      </c>
      <c r="I1344" s="1">
        <v>0</v>
      </c>
      <c r="J1344" s="1" t="s">
        <v>14</v>
      </c>
      <c r="K1344" s="1">
        <v>19200</v>
      </c>
    </row>
    <row r="1345" spans="1:11" x14ac:dyDescent="0.25">
      <c r="A1345" s="1" t="s">
        <v>11</v>
      </c>
      <c r="B1345" s="1" t="s">
        <v>1672</v>
      </c>
      <c r="C1345" s="1" t="s">
        <v>23</v>
      </c>
      <c r="D1345" s="1" t="s">
        <v>1941</v>
      </c>
      <c r="E1345" s="1" t="s">
        <v>1289</v>
      </c>
      <c r="F1345" s="1" t="s">
        <v>14</v>
      </c>
      <c r="G1345" s="1">
        <v>237000</v>
      </c>
      <c r="H1345" s="1">
        <v>38313</v>
      </c>
      <c r="I1345" s="1">
        <v>0</v>
      </c>
      <c r="J1345" s="1" t="s">
        <v>14</v>
      </c>
      <c r="K1345" s="1">
        <v>275313</v>
      </c>
    </row>
    <row r="1346" spans="1:11" x14ac:dyDescent="0.25">
      <c r="A1346" s="1" t="s">
        <v>11</v>
      </c>
      <c r="B1346" s="1" t="s">
        <v>1672</v>
      </c>
      <c r="C1346" s="1" t="s">
        <v>26</v>
      </c>
      <c r="D1346" s="1" t="s">
        <v>1942</v>
      </c>
      <c r="E1346" s="1" t="s">
        <v>1291</v>
      </c>
      <c r="F1346" s="1" t="s">
        <v>14</v>
      </c>
      <c r="G1346" s="1">
        <v>237000</v>
      </c>
      <c r="H1346" s="1">
        <v>38313</v>
      </c>
      <c r="I1346" s="1">
        <v>0</v>
      </c>
      <c r="J1346" s="1" t="s">
        <v>14</v>
      </c>
      <c r="K1346" s="1">
        <v>275313</v>
      </c>
    </row>
    <row r="1347" spans="1:11" x14ac:dyDescent="0.25">
      <c r="A1347" s="1" t="s">
        <v>11</v>
      </c>
      <c r="B1347" s="1" t="s">
        <v>1672</v>
      </c>
      <c r="C1347" s="1" t="s">
        <v>18</v>
      </c>
      <c r="D1347" s="1" t="s">
        <v>1943</v>
      </c>
      <c r="E1347" s="1" t="s">
        <v>904</v>
      </c>
      <c r="F1347" s="1" t="s">
        <v>14</v>
      </c>
      <c r="G1347" s="1">
        <v>11282642382.6</v>
      </c>
      <c r="H1347" s="1">
        <v>377321977.38</v>
      </c>
      <c r="I1347" s="1">
        <v>65066968.969999999</v>
      </c>
      <c r="J1347" s="1" t="s">
        <v>14</v>
      </c>
      <c r="K1347" s="1">
        <v>11594897391.01</v>
      </c>
    </row>
    <row r="1348" spans="1:11" x14ac:dyDescent="0.25">
      <c r="A1348" s="1" t="s">
        <v>11</v>
      </c>
      <c r="B1348" s="1" t="s">
        <v>1672</v>
      </c>
      <c r="C1348" s="1" t="s">
        <v>21</v>
      </c>
      <c r="D1348" s="1" t="s">
        <v>1944</v>
      </c>
      <c r="E1348" s="1" t="s">
        <v>1098</v>
      </c>
      <c r="F1348" s="1" t="s">
        <v>14</v>
      </c>
      <c r="G1348" s="1">
        <v>4144664263.29</v>
      </c>
      <c r="H1348" s="1">
        <v>206228040.90000001</v>
      </c>
      <c r="I1348" s="1">
        <v>65066968.969999999</v>
      </c>
      <c r="J1348" s="1" t="s">
        <v>14</v>
      </c>
      <c r="K1348" s="1">
        <v>4285825335.2199998</v>
      </c>
    </row>
    <row r="1349" spans="1:11" x14ac:dyDescent="0.25">
      <c r="A1349" s="1" t="s">
        <v>11</v>
      </c>
      <c r="B1349" s="1" t="s">
        <v>1672</v>
      </c>
      <c r="C1349" s="1" t="s">
        <v>23</v>
      </c>
      <c r="D1349" s="1" t="s">
        <v>1945</v>
      </c>
      <c r="E1349" s="1" t="s">
        <v>1679</v>
      </c>
      <c r="F1349" s="1" t="s">
        <v>14</v>
      </c>
      <c r="G1349" s="1">
        <v>3562671347.48</v>
      </c>
      <c r="H1349" s="1">
        <v>179018928</v>
      </c>
      <c r="I1349" s="1">
        <v>63609537</v>
      </c>
      <c r="J1349" s="1" t="s">
        <v>14</v>
      </c>
      <c r="K1349" s="1">
        <v>3678080738.48</v>
      </c>
    </row>
    <row r="1350" spans="1:11" x14ac:dyDescent="0.25">
      <c r="A1350" s="1" t="s">
        <v>11</v>
      </c>
      <c r="B1350" s="1" t="s">
        <v>1672</v>
      </c>
      <c r="C1350" s="1" t="s">
        <v>26</v>
      </c>
      <c r="D1350" s="1" t="s">
        <v>1946</v>
      </c>
      <c r="E1350" s="1" t="s">
        <v>237</v>
      </c>
      <c r="F1350" s="1" t="s">
        <v>14</v>
      </c>
      <c r="G1350" s="1">
        <v>229958775.40000001</v>
      </c>
      <c r="H1350" s="1">
        <v>17706877</v>
      </c>
      <c r="I1350" s="1">
        <v>4806706</v>
      </c>
      <c r="J1350" s="1" t="s">
        <v>14</v>
      </c>
      <c r="K1350" s="1">
        <v>242858946.40000001</v>
      </c>
    </row>
    <row r="1351" spans="1:11" x14ac:dyDescent="0.25">
      <c r="A1351" s="1" t="s">
        <v>11</v>
      </c>
      <c r="B1351" s="1" t="s">
        <v>1672</v>
      </c>
      <c r="C1351" s="1" t="s">
        <v>26</v>
      </c>
      <c r="D1351" s="1" t="s">
        <v>1947</v>
      </c>
      <c r="E1351" s="1" t="s">
        <v>246</v>
      </c>
      <c r="F1351" s="1" t="s">
        <v>14</v>
      </c>
      <c r="G1351" s="1">
        <v>720973864.78999996</v>
      </c>
      <c r="H1351" s="1">
        <v>58096652</v>
      </c>
      <c r="I1351" s="1">
        <v>17567520</v>
      </c>
      <c r="J1351" s="1" t="s">
        <v>14</v>
      </c>
      <c r="K1351" s="1">
        <v>761502996.78999996</v>
      </c>
    </row>
    <row r="1352" spans="1:11" x14ac:dyDescent="0.25">
      <c r="A1352" s="1" t="s">
        <v>11</v>
      </c>
      <c r="B1352" s="1" t="s">
        <v>1672</v>
      </c>
      <c r="C1352" s="1" t="s">
        <v>26</v>
      </c>
      <c r="D1352" s="1" t="s">
        <v>1948</v>
      </c>
      <c r="E1352" s="1" t="s">
        <v>248</v>
      </c>
      <c r="F1352" s="1" t="s">
        <v>14</v>
      </c>
      <c r="G1352" s="1">
        <v>2570938463.29</v>
      </c>
      <c r="H1352" s="1">
        <v>103215399</v>
      </c>
      <c r="I1352" s="1">
        <v>41235311</v>
      </c>
      <c r="J1352" s="1" t="s">
        <v>14</v>
      </c>
      <c r="K1352" s="1">
        <v>2632918551.29</v>
      </c>
    </row>
    <row r="1353" spans="1:11" x14ac:dyDescent="0.25">
      <c r="A1353" s="1" t="s">
        <v>11</v>
      </c>
      <c r="B1353" s="1" t="s">
        <v>1672</v>
      </c>
      <c r="C1353" s="1" t="s">
        <v>26</v>
      </c>
      <c r="D1353" s="1" t="s">
        <v>1949</v>
      </c>
      <c r="E1353" s="1" t="s">
        <v>1683</v>
      </c>
      <c r="F1353" s="1" t="s">
        <v>14</v>
      </c>
      <c r="G1353" s="1">
        <v>42003082</v>
      </c>
      <c r="H1353" s="1">
        <v>0</v>
      </c>
      <c r="I1353" s="1">
        <v>0</v>
      </c>
      <c r="J1353" s="1" t="s">
        <v>14</v>
      </c>
      <c r="K1353" s="1">
        <v>42003082</v>
      </c>
    </row>
    <row r="1354" spans="1:11" x14ac:dyDescent="0.25">
      <c r="A1354" s="1" t="s">
        <v>11</v>
      </c>
      <c r="B1354" s="1" t="s">
        <v>1672</v>
      </c>
      <c r="C1354" s="1" t="s">
        <v>26</v>
      </c>
      <c r="D1354" s="1" t="s">
        <v>1950</v>
      </c>
      <c r="E1354" s="1" t="s">
        <v>1951</v>
      </c>
      <c r="F1354" s="1" t="s">
        <v>173</v>
      </c>
      <c r="G1354" s="1">
        <v>-23782</v>
      </c>
      <c r="H1354" s="1">
        <v>0</v>
      </c>
      <c r="I1354" s="1">
        <v>0</v>
      </c>
      <c r="J1354" s="1" t="s">
        <v>173</v>
      </c>
      <c r="K1354" s="1">
        <v>-23782</v>
      </c>
    </row>
    <row r="1355" spans="1:11" x14ac:dyDescent="0.25">
      <c r="A1355" s="1" t="s">
        <v>11</v>
      </c>
      <c r="B1355" s="1" t="s">
        <v>1672</v>
      </c>
      <c r="C1355" s="1" t="s">
        <v>26</v>
      </c>
      <c r="D1355" s="1" t="s">
        <v>1952</v>
      </c>
      <c r="E1355" s="1" t="s">
        <v>1953</v>
      </c>
      <c r="F1355" s="1" t="s">
        <v>173</v>
      </c>
      <c r="G1355" s="1">
        <v>-1337194</v>
      </c>
      <c r="H1355" s="1">
        <v>0</v>
      </c>
      <c r="I1355" s="1">
        <v>0</v>
      </c>
      <c r="J1355" s="1" t="s">
        <v>173</v>
      </c>
      <c r="K1355" s="1">
        <v>-1337194</v>
      </c>
    </row>
    <row r="1356" spans="1:11" x14ac:dyDescent="0.25">
      <c r="A1356" s="1" t="s">
        <v>11</v>
      </c>
      <c r="B1356" s="1" t="s">
        <v>1672</v>
      </c>
      <c r="C1356" s="1" t="s">
        <v>26</v>
      </c>
      <c r="D1356" s="1" t="s">
        <v>1954</v>
      </c>
      <c r="E1356" s="1" t="s">
        <v>1685</v>
      </c>
      <c r="F1356" s="1" t="s">
        <v>14</v>
      </c>
      <c r="G1356" s="1">
        <v>158138</v>
      </c>
      <c r="H1356" s="1">
        <v>0</v>
      </c>
      <c r="I1356" s="1">
        <v>0</v>
      </c>
      <c r="J1356" s="1" t="s">
        <v>14</v>
      </c>
      <c r="K1356" s="1">
        <v>158138</v>
      </c>
    </row>
    <row r="1357" spans="1:11" x14ac:dyDescent="0.25">
      <c r="A1357" s="1" t="s">
        <v>11</v>
      </c>
      <c r="B1357" s="1" t="s">
        <v>1672</v>
      </c>
      <c r="C1357" s="1" t="s">
        <v>23</v>
      </c>
      <c r="D1357" s="1" t="s">
        <v>1955</v>
      </c>
      <c r="E1357" s="1" t="s">
        <v>1100</v>
      </c>
      <c r="F1357" s="1" t="s">
        <v>14</v>
      </c>
      <c r="G1357" s="1">
        <v>462724719.94999999</v>
      </c>
      <c r="H1357" s="1">
        <v>22645295.899999999</v>
      </c>
      <c r="I1357" s="1">
        <v>1457431.97</v>
      </c>
      <c r="J1357" s="1" t="s">
        <v>14</v>
      </c>
      <c r="K1357" s="1">
        <v>483912583.88</v>
      </c>
    </row>
    <row r="1358" spans="1:11" x14ac:dyDescent="0.25">
      <c r="A1358" s="1" t="s">
        <v>11</v>
      </c>
      <c r="B1358" s="1" t="s">
        <v>1672</v>
      </c>
      <c r="C1358" s="1" t="s">
        <v>26</v>
      </c>
      <c r="D1358" s="1" t="s">
        <v>1956</v>
      </c>
      <c r="E1358" s="1" t="s">
        <v>1100</v>
      </c>
      <c r="F1358" s="1" t="s">
        <v>14</v>
      </c>
      <c r="G1358" s="1">
        <v>462724719.94999999</v>
      </c>
      <c r="H1358" s="1">
        <v>22645295.899999999</v>
      </c>
      <c r="I1358" s="1">
        <v>1457431.97</v>
      </c>
      <c r="J1358" s="1" t="s">
        <v>14</v>
      </c>
      <c r="K1358" s="1">
        <v>483912583.88</v>
      </c>
    </row>
    <row r="1359" spans="1:11" x14ac:dyDescent="0.25">
      <c r="A1359" s="1" t="s">
        <v>11</v>
      </c>
      <c r="B1359" s="1" t="s">
        <v>1672</v>
      </c>
      <c r="C1359" s="1" t="s">
        <v>23</v>
      </c>
      <c r="D1359" s="1" t="s">
        <v>1957</v>
      </c>
      <c r="E1359" s="1" t="s">
        <v>1103</v>
      </c>
      <c r="F1359" s="1" t="s">
        <v>14</v>
      </c>
      <c r="G1359" s="1">
        <v>119268195.86</v>
      </c>
      <c r="H1359" s="1">
        <v>4563817</v>
      </c>
      <c r="I1359" s="1">
        <v>0</v>
      </c>
      <c r="J1359" s="1" t="s">
        <v>14</v>
      </c>
      <c r="K1359" s="1">
        <v>123832012.86</v>
      </c>
    </row>
    <row r="1360" spans="1:11" x14ac:dyDescent="0.25">
      <c r="A1360" s="1" t="s">
        <v>11</v>
      </c>
      <c r="B1360" s="1" t="s">
        <v>1672</v>
      </c>
      <c r="C1360" s="1" t="s">
        <v>26</v>
      </c>
      <c r="D1360" s="1" t="s">
        <v>1958</v>
      </c>
      <c r="E1360" s="1" t="s">
        <v>1105</v>
      </c>
      <c r="F1360" s="1" t="s">
        <v>14</v>
      </c>
      <c r="G1360" s="1">
        <v>197073.39</v>
      </c>
      <c r="H1360" s="1">
        <v>0</v>
      </c>
      <c r="I1360" s="1">
        <v>0</v>
      </c>
      <c r="J1360" s="1" t="s">
        <v>14</v>
      </c>
      <c r="K1360" s="1">
        <v>197073.39</v>
      </c>
    </row>
    <row r="1361" spans="1:11" x14ac:dyDescent="0.25">
      <c r="A1361" s="1" t="s">
        <v>11</v>
      </c>
      <c r="B1361" s="1" t="s">
        <v>1672</v>
      </c>
      <c r="C1361" s="1" t="s">
        <v>26</v>
      </c>
      <c r="D1361" s="1" t="s">
        <v>1959</v>
      </c>
      <c r="E1361" s="1" t="s">
        <v>1113</v>
      </c>
      <c r="F1361" s="1" t="s">
        <v>14</v>
      </c>
      <c r="G1361" s="1">
        <v>106397218.18000001</v>
      </c>
      <c r="H1361" s="1">
        <v>4512916</v>
      </c>
      <c r="I1361" s="1">
        <v>0</v>
      </c>
      <c r="J1361" s="1" t="s">
        <v>14</v>
      </c>
      <c r="K1361" s="1">
        <v>110910134.18000001</v>
      </c>
    </row>
    <row r="1362" spans="1:11" x14ac:dyDescent="0.25">
      <c r="A1362" s="1" t="s">
        <v>11</v>
      </c>
      <c r="B1362" s="1" t="s">
        <v>1672</v>
      </c>
      <c r="C1362" s="1" t="s">
        <v>26</v>
      </c>
      <c r="D1362" s="1" t="s">
        <v>1960</v>
      </c>
      <c r="E1362" s="1" t="s">
        <v>1692</v>
      </c>
      <c r="F1362" s="1" t="s">
        <v>14</v>
      </c>
      <c r="G1362" s="1">
        <v>0.39</v>
      </c>
      <c r="H1362" s="1">
        <v>0</v>
      </c>
      <c r="I1362" s="1">
        <v>0</v>
      </c>
      <c r="J1362" s="1" t="s">
        <v>14</v>
      </c>
      <c r="K1362" s="1">
        <v>0.39</v>
      </c>
    </row>
    <row r="1363" spans="1:11" x14ac:dyDescent="0.25">
      <c r="A1363" s="1" t="s">
        <v>11</v>
      </c>
      <c r="B1363" s="1" t="s">
        <v>1672</v>
      </c>
      <c r="C1363" s="1" t="s">
        <v>26</v>
      </c>
      <c r="D1363" s="1" t="s">
        <v>1961</v>
      </c>
      <c r="E1363" s="1" t="s">
        <v>1123</v>
      </c>
      <c r="F1363" s="1" t="s">
        <v>14</v>
      </c>
      <c r="G1363" s="1">
        <v>12860532.9</v>
      </c>
      <c r="H1363" s="1">
        <v>50901</v>
      </c>
      <c r="I1363" s="1">
        <v>0</v>
      </c>
      <c r="J1363" s="1" t="s">
        <v>14</v>
      </c>
      <c r="K1363" s="1">
        <v>12911433.9</v>
      </c>
    </row>
    <row r="1364" spans="1:11" x14ac:dyDescent="0.25">
      <c r="A1364" s="1" t="s">
        <v>11</v>
      </c>
      <c r="B1364" s="1" t="s">
        <v>1672</v>
      </c>
      <c r="C1364" s="1" t="s">
        <v>26</v>
      </c>
      <c r="D1364" s="1" t="s">
        <v>1962</v>
      </c>
      <c r="E1364" s="1" t="s">
        <v>1963</v>
      </c>
      <c r="F1364" s="1" t="s">
        <v>173</v>
      </c>
      <c r="G1364" s="1">
        <v>-186629</v>
      </c>
      <c r="H1364" s="1">
        <v>0</v>
      </c>
      <c r="I1364" s="1">
        <v>0</v>
      </c>
      <c r="J1364" s="1" t="s">
        <v>173</v>
      </c>
      <c r="K1364" s="1">
        <v>-186629</v>
      </c>
    </row>
    <row r="1365" spans="1:11" x14ac:dyDescent="0.25">
      <c r="A1365" s="1" t="s">
        <v>11</v>
      </c>
      <c r="B1365" s="1" t="s">
        <v>1672</v>
      </c>
      <c r="C1365" s="1" t="s">
        <v>21</v>
      </c>
      <c r="D1365" s="1" t="s">
        <v>1964</v>
      </c>
      <c r="E1365" s="1" t="s">
        <v>1125</v>
      </c>
      <c r="F1365" s="1" t="s">
        <v>14</v>
      </c>
      <c r="G1365" s="1">
        <v>6568418201.2299995</v>
      </c>
      <c r="H1365" s="1">
        <v>145354960</v>
      </c>
      <c r="I1365" s="1">
        <v>0</v>
      </c>
      <c r="J1365" s="1" t="s">
        <v>14</v>
      </c>
      <c r="K1365" s="1">
        <v>6713773161.2299995</v>
      </c>
    </row>
    <row r="1366" spans="1:11" x14ac:dyDescent="0.25">
      <c r="A1366" s="1" t="s">
        <v>11</v>
      </c>
      <c r="B1366" s="1" t="s">
        <v>1672</v>
      </c>
      <c r="C1366" s="1" t="s">
        <v>23</v>
      </c>
      <c r="D1366" s="1" t="s">
        <v>1965</v>
      </c>
      <c r="E1366" s="1" t="s">
        <v>1127</v>
      </c>
      <c r="F1366" s="1" t="s">
        <v>14</v>
      </c>
      <c r="G1366" s="1">
        <v>3599714854.23</v>
      </c>
      <c r="H1366" s="1">
        <v>0</v>
      </c>
      <c r="I1366" s="1">
        <v>0</v>
      </c>
      <c r="J1366" s="1" t="s">
        <v>14</v>
      </c>
      <c r="K1366" s="1">
        <v>3599714854.23</v>
      </c>
    </row>
    <row r="1367" spans="1:11" x14ac:dyDescent="0.25">
      <c r="A1367" s="1" t="s">
        <v>11</v>
      </c>
      <c r="B1367" s="1" t="s">
        <v>1672</v>
      </c>
      <c r="C1367" s="1" t="s">
        <v>26</v>
      </c>
      <c r="D1367" s="1" t="s">
        <v>1966</v>
      </c>
      <c r="E1367" s="1" t="s">
        <v>1129</v>
      </c>
      <c r="F1367" s="1" t="s">
        <v>14</v>
      </c>
      <c r="G1367" s="1">
        <v>781507971</v>
      </c>
      <c r="H1367" s="1">
        <v>0</v>
      </c>
      <c r="I1367" s="1">
        <v>0</v>
      </c>
      <c r="J1367" s="1" t="s">
        <v>14</v>
      </c>
      <c r="K1367" s="1">
        <v>781507971</v>
      </c>
    </row>
    <row r="1368" spans="1:11" x14ac:dyDescent="0.25">
      <c r="A1368" s="1" t="s">
        <v>11</v>
      </c>
      <c r="B1368" s="1" t="s">
        <v>1672</v>
      </c>
      <c r="C1368" s="1" t="s">
        <v>26</v>
      </c>
      <c r="D1368" s="1" t="s">
        <v>1967</v>
      </c>
      <c r="E1368" s="1" t="s">
        <v>1131</v>
      </c>
      <c r="F1368" s="1" t="s">
        <v>14</v>
      </c>
      <c r="G1368" s="1">
        <v>1376313805</v>
      </c>
      <c r="H1368" s="1">
        <v>0</v>
      </c>
      <c r="I1368" s="1">
        <v>0</v>
      </c>
      <c r="J1368" s="1" t="s">
        <v>14</v>
      </c>
      <c r="K1368" s="1">
        <v>1376313805</v>
      </c>
    </row>
    <row r="1369" spans="1:11" x14ac:dyDescent="0.25">
      <c r="A1369" s="1" t="s">
        <v>11</v>
      </c>
      <c r="B1369" s="1" t="s">
        <v>1672</v>
      </c>
      <c r="C1369" s="1" t="s">
        <v>26</v>
      </c>
      <c r="D1369" s="1" t="s">
        <v>1968</v>
      </c>
      <c r="E1369" s="1" t="s">
        <v>1416</v>
      </c>
      <c r="F1369" s="1" t="s">
        <v>14</v>
      </c>
      <c r="G1369" s="1">
        <v>5324824</v>
      </c>
      <c r="H1369" s="1">
        <v>0</v>
      </c>
      <c r="I1369" s="1">
        <v>0</v>
      </c>
      <c r="J1369" s="1" t="s">
        <v>14</v>
      </c>
      <c r="K1369" s="1">
        <v>5324824</v>
      </c>
    </row>
    <row r="1370" spans="1:11" x14ac:dyDescent="0.25">
      <c r="A1370" s="1" t="s">
        <v>11</v>
      </c>
      <c r="B1370" s="1" t="s">
        <v>1672</v>
      </c>
      <c r="C1370" s="1" t="s">
        <v>26</v>
      </c>
      <c r="D1370" s="1" t="s">
        <v>1969</v>
      </c>
      <c r="E1370" s="1" t="s">
        <v>1315</v>
      </c>
      <c r="F1370" s="1" t="s">
        <v>14</v>
      </c>
      <c r="G1370" s="1">
        <v>44775829</v>
      </c>
      <c r="H1370" s="1">
        <v>0</v>
      </c>
      <c r="I1370" s="1">
        <v>0</v>
      </c>
      <c r="J1370" s="1" t="s">
        <v>14</v>
      </c>
      <c r="K1370" s="1">
        <v>44775829</v>
      </c>
    </row>
    <row r="1371" spans="1:11" x14ac:dyDescent="0.25">
      <c r="A1371" s="1" t="s">
        <v>11</v>
      </c>
      <c r="B1371" s="1" t="s">
        <v>1672</v>
      </c>
      <c r="C1371" s="1" t="s">
        <v>26</v>
      </c>
      <c r="D1371" s="1" t="s">
        <v>1970</v>
      </c>
      <c r="E1371" s="1" t="s">
        <v>1135</v>
      </c>
      <c r="F1371" s="1" t="s">
        <v>14</v>
      </c>
      <c r="G1371" s="1">
        <v>102954115</v>
      </c>
      <c r="H1371" s="1">
        <v>0</v>
      </c>
      <c r="I1371" s="1">
        <v>0</v>
      </c>
      <c r="J1371" s="1" t="s">
        <v>14</v>
      </c>
      <c r="K1371" s="1">
        <v>102954115</v>
      </c>
    </row>
    <row r="1372" spans="1:11" x14ac:dyDescent="0.25">
      <c r="A1372" s="1" t="s">
        <v>11</v>
      </c>
      <c r="B1372" s="1" t="s">
        <v>1672</v>
      </c>
      <c r="C1372" s="1" t="s">
        <v>26</v>
      </c>
      <c r="D1372" s="1" t="s">
        <v>1971</v>
      </c>
      <c r="E1372" s="1" t="s">
        <v>1318</v>
      </c>
      <c r="F1372" s="1" t="s">
        <v>14</v>
      </c>
      <c r="G1372" s="1">
        <v>87292299</v>
      </c>
      <c r="H1372" s="1">
        <v>0</v>
      </c>
      <c r="I1372" s="1">
        <v>0</v>
      </c>
      <c r="J1372" s="1" t="s">
        <v>14</v>
      </c>
      <c r="K1372" s="1">
        <v>87292299</v>
      </c>
    </row>
    <row r="1373" spans="1:11" x14ac:dyDescent="0.25">
      <c r="A1373" s="1" t="s">
        <v>11</v>
      </c>
      <c r="B1373" s="1" t="s">
        <v>1672</v>
      </c>
      <c r="C1373" s="1" t="s">
        <v>26</v>
      </c>
      <c r="D1373" s="1" t="s">
        <v>1972</v>
      </c>
      <c r="E1373" s="1" t="s">
        <v>224</v>
      </c>
      <c r="F1373" s="1" t="s">
        <v>14</v>
      </c>
      <c r="G1373" s="1">
        <v>7022551</v>
      </c>
      <c r="H1373" s="1">
        <v>0</v>
      </c>
      <c r="I1373" s="1">
        <v>0</v>
      </c>
      <c r="J1373" s="1" t="s">
        <v>14</v>
      </c>
      <c r="K1373" s="1">
        <v>7022551</v>
      </c>
    </row>
    <row r="1374" spans="1:11" x14ac:dyDescent="0.25">
      <c r="A1374" s="1" t="s">
        <v>11</v>
      </c>
      <c r="B1374" s="1" t="s">
        <v>1672</v>
      </c>
      <c r="C1374" s="1" t="s">
        <v>26</v>
      </c>
      <c r="D1374" s="1" t="s">
        <v>1973</v>
      </c>
      <c r="E1374" s="1" t="s">
        <v>1138</v>
      </c>
      <c r="F1374" s="1" t="s">
        <v>14</v>
      </c>
      <c r="G1374" s="1">
        <v>28485000</v>
      </c>
      <c r="H1374" s="1">
        <v>0</v>
      </c>
      <c r="I1374" s="1">
        <v>0</v>
      </c>
      <c r="J1374" s="1" t="s">
        <v>14</v>
      </c>
      <c r="K1374" s="1">
        <v>28485000</v>
      </c>
    </row>
    <row r="1375" spans="1:11" x14ac:dyDescent="0.25">
      <c r="A1375" s="1" t="s">
        <v>11</v>
      </c>
      <c r="B1375" s="1" t="s">
        <v>1672</v>
      </c>
      <c r="C1375" s="1" t="s">
        <v>26</v>
      </c>
      <c r="D1375" s="1" t="s">
        <v>1974</v>
      </c>
      <c r="E1375" s="1" t="s">
        <v>1425</v>
      </c>
      <c r="F1375" s="1" t="s">
        <v>14</v>
      </c>
      <c r="G1375" s="1">
        <v>7000000</v>
      </c>
      <c r="H1375" s="1">
        <v>0</v>
      </c>
      <c r="I1375" s="1">
        <v>0</v>
      </c>
      <c r="J1375" s="1" t="s">
        <v>14</v>
      </c>
      <c r="K1375" s="1">
        <v>7000000</v>
      </c>
    </row>
    <row r="1376" spans="1:11" x14ac:dyDescent="0.25">
      <c r="A1376" s="1" t="s">
        <v>11</v>
      </c>
      <c r="B1376" s="1" t="s">
        <v>1672</v>
      </c>
      <c r="C1376" s="1" t="s">
        <v>26</v>
      </c>
      <c r="D1376" s="1" t="s">
        <v>1975</v>
      </c>
      <c r="E1376" s="1" t="s">
        <v>1140</v>
      </c>
      <c r="F1376" s="1" t="s">
        <v>14</v>
      </c>
      <c r="G1376" s="1">
        <v>102439</v>
      </c>
      <c r="H1376" s="1">
        <v>0</v>
      </c>
      <c r="I1376" s="1">
        <v>0</v>
      </c>
      <c r="J1376" s="1" t="s">
        <v>14</v>
      </c>
      <c r="K1376" s="1">
        <v>102439</v>
      </c>
    </row>
    <row r="1377" spans="1:11" x14ac:dyDescent="0.25">
      <c r="A1377" s="1" t="s">
        <v>11</v>
      </c>
      <c r="B1377" s="1" t="s">
        <v>1672</v>
      </c>
      <c r="C1377" s="1" t="s">
        <v>26</v>
      </c>
      <c r="D1377" s="1" t="s">
        <v>1976</v>
      </c>
      <c r="E1377" s="1" t="s">
        <v>1142</v>
      </c>
      <c r="F1377" s="1" t="s">
        <v>14</v>
      </c>
      <c r="G1377" s="1">
        <v>143793647</v>
      </c>
      <c r="H1377" s="1">
        <v>0</v>
      </c>
      <c r="I1377" s="1">
        <v>0</v>
      </c>
      <c r="J1377" s="1" t="s">
        <v>14</v>
      </c>
      <c r="K1377" s="1">
        <v>143793647</v>
      </c>
    </row>
    <row r="1378" spans="1:11" x14ac:dyDescent="0.25">
      <c r="A1378" s="1" t="s">
        <v>11</v>
      </c>
      <c r="B1378" s="1" t="s">
        <v>1672</v>
      </c>
      <c r="C1378" s="1" t="s">
        <v>26</v>
      </c>
      <c r="D1378" s="1" t="s">
        <v>1977</v>
      </c>
      <c r="E1378" s="1" t="s">
        <v>673</v>
      </c>
      <c r="F1378" s="1" t="s">
        <v>14</v>
      </c>
      <c r="G1378" s="1">
        <v>17262125</v>
      </c>
      <c r="H1378" s="1">
        <v>0</v>
      </c>
      <c r="I1378" s="1">
        <v>0</v>
      </c>
      <c r="J1378" s="1" t="s">
        <v>14</v>
      </c>
      <c r="K1378" s="1">
        <v>17262125</v>
      </c>
    </row>
    <row r="1379" spans="1:11" x14ac:dyDescent="0.25">
      <c r="A1379" s="1" t="s">
        <v>11</v>
      </c>
      <c r="B1379" s="1" t="s">
        <v>1672</v>
      </c>
      <c r="C1379" s="1" t="s">
        <v>26</v>
      </c>
      <c r="D1379" s="1" t="s">
        <v>1978</v>
      </c>
      <c r="E1379" s="1" t="s">
        <v>675</v>
      </c>
      <c r="F1379" s="1" t="s">
        <v>14</v>
      </c>
      <c r="G1379" s="1">
        <v>144458398</v>
      </c>
      <c r="H1379" s="1">
        <v>0</v>
      </c>
      <c r="I1379" s="1">
        <v>0</v>
      </c>
      <c r="J1379" s="1" t="s">
        <v>14</v>
      </c>
      <c r="K1379" s="1">
        <v>144458398</v>
      </c>
    </row>
    <row r="1380" spans="1:11" x14ac:dyDescent="0.25">
      <c r="A1380" s="1" t="s">
        <v>11</v>
      </c>
      <c r="B1380" s="1" t="s">
        <v>1672</v>
      </c>
      <c r="C1380" s="1" t="s">
        <v>26</v>
      </c>
      <c r="D1380" s="1" t="s">
        <v>1979</v>
      </c>
      <c r="E1380" s="1" t="s">
        <v>1146</v>
      </c>
      <c r="F1380" s="1" t="s">
        <v>14</v>
      </c>
      <c r="G1380" s="1">
        <v>116821175.70999999</v>
      </c>
      <c r="H1380" s="1">
        <v>0</v>
      </c>
      <c r="I1380" s="1">
        <v>0</v>
      </c>
      <c r="J1380" s="1" t="s">
        <v>14</v>
      </c>
      <c r="K1380" s="1">
        <v>116821175.70999999</v>
      </c>
    </row>
    <row r="1381" spans="1:11" x14ac:dyDescent="0.25">
      <c r="A1381" s="1" t="s">
        <v>11</v>
      </c>
      <c r="B1381" s="1" t="s">
        <v>1672</v>
      </c>
      <c r="C1381" s="1" t="s">
        <v>26</v>
      </c>
      <c r="D1381" s="1" t="s">
        <v>1980</v>
      </c>
      <c r="E1381" s="1" t="s">
        <v>1148</v>
      </c>
      <c r="F1381" s="1" t="s">
        <v>14</v>
      </c>
      <c r="G1381" s="1">
        <v>197813914</v>
      </c>
      <c r="H1381" s="1">
        <v>0</v>
      </c>
      <c r="I1381" s="1">
        <v>0</v>
      </c>
      <c r="J1381" s="1" t="s">
        <v>14</v>
      </c>
      <c r="K1381" s="1">
        <v>197813914</v>
      </c>
    </row>
    <row r="1382" spans="1:11" x14ac:dyDescent="0.25">
      <c r="A1382" s="1" t="s">
        <v>11</v>
      </c>
      <c r="B1382" s="1" t="s">
        <v>1672</v>
      </c>
      <c r="C1382" s="1" t="s">
        <v>26</v>
      </c>
      <c r="D1382" s="1" t="s">
        <v>1981</v>
      </c>
      <c r="E1382" s="1" t="s">
        <v>1150</v>
      </c>
      <c r="F1382" s="1" t="s">
        <v>14</v>
      </c>
      <c r="G1382" s="1">
        <v>279871187</v>
      </c>
      <c r="H1382" s="1">
        <v>0</v>
      </c>
      <c r="I1382" s="1">
        <v>0</v>
      </c>
      <c r="J1382" s="1" t="s">
        <v>14</v>
      </c>
      <c r="K1382" s="1">
        <v>279871187</v>
      </c>
    </row>
    <row r="1383" spans="1:11" x14ac:dyDescent="0.25">
      <c r="A1383" s="1" t="s">
        <v>11</v>
      </c>
      <c r="B1383" s="1" t="s">
        <v>1672</v>
      </c>
      <c r="C1383" s="1" t="s">
        <v>26</v>
      </c>
      <c r="D1383" s="1" t="s">
        <v>1982</v>
      </c>
      <c r="E1383" s="1" t="s">
        <v>1152</v>
      </c>
      <c r="F1383" s="1" t="s">
        <v>14</v>
      </c>
      <c r="G1383" s="1">
        <v>52172071</v>
      </c>
      <c r="H1383" s="1">
        <v>0</v>
      </c>
      <c r="I1383" s="1">
        <v>0</v>
      </c>
      <c r="J1383" s="1" t="s">
        <v>14</v>
      </c>
      <c r="K1383" s="1">
        <v>52172071</v>
      </c>
    </row>
    <row r="1384" spans="1:11" x14ac:dyDescent="0.25">
      <c r="A1384" s="1" t="s">
        <v>11</v>
      </c>
      <c r="B1384" s="1" t="s">
        <v>1672</v>
      </c>
      <c r="C1384" s="1" t="s">
        <v>26</v>
      </c>
      <c r="D1384" s="1" t="s">
        <v>1983</v>
      </c>
      <c r="E1384" s="1" t="s">
        <v>1154</v>
      </c>
      <c r="F1384" s="1" t="s">
        <v>14</v>
      </c>
      <c r="G1384" s="1">
        <v>91883018.519999996</v>
      </c>
      <c r="H1384" s="1">
        <v>0</v>
      </c>
      <c r="I1384" s="1">
        <v>0</v>
      </c>
      <c r="J1384" s="1" t="s">
        <v>14</v>
      </c>
      <c r="K1384" s="1">
        <v>91883018.519999996</v>
      </c>
    </row>
    <row r="1385" spans="1:11" x14ac:dyDescent="0.25">
      <c r="A1385" s="1" t="s">
        <v>11</v>
      </c>
      <c r="B1385" s="1" t="s">
        <v>1672</v>
      </c>
      <c r="C1385" s="1" t="s">
        <v>26</v>
      </c>
      <c r="D1385" s="1" t="s">
        <v>1984</v>
      </c>
      <c r="E1385" s="1" t="s">
        <v>1156</v>
      </c>
      <c r="F1385" s="1" t="s">
        <v>14</v>
      </c>
      <c r="G1385" s="1">
        <v>68913809</v>
      </c>
      <c r="H1385" s="1">
        <v>0</v>
      </c>
      <c r="I1385" s="1">
        <v>0</v>
      </c>
      <c r="J1385" s="1" t="s">
        <v>14</v>
      </c>
      <c r="K1385" s="1">
        <v>68913809</v>
      </c>
    </row>
    <row r="1386" spans="1:11" x14ac:dyDescent="0.25">
      <c r="A1386" s="1" t="s">
        <v>11</v>
      </c>
      <c r="B1386" s="1" t="s">
        <v>1672</v>
      </c>
      <c r="C1386" s="1" t="s">
        <v>26</v>
      </c>
      <c r="D1386" s="1" t="s">
        <v>1985</v>
      </c>
      <c r="E1386" s="1" t="s">
        <v>1158</v>
      </c>
      <c r="F1386" s="1" t="s">
        <v>14</v>
      </c>
      <c r="G1386" s="1">
        <v>45946676</v>
      </c>
      <c r="H1386" s="1">
        <v>0</v>
      </c>
      <c r="I1386" s="1">
        <v>0</v>
      </c>
      <c r="J1386" s="1" t="s">
        <v>14</v>
      </c>
      <c r="K1386" s="1">
        <v>45946676</v>
      </c>
    </row>
    <row r="1387" spans="1:11" x14ac:dyDescent="0.25">
      <c r="A1387" s="1" t="s">
        <v>11</v>
      </c>
      <c r="B1387" s="1" t="s">
        <v>1672</v>
      </c>
      <c r="C1387" s="1" t="s">
        <v>23</v>
      </c>
      <c r="D1387" s="1" t="s">
        <v>1986</v>
      </c>
      <c r="E1387" s="1" t="s">
        <v>1160</v>
      </c>
      <c r="F1387" s="1" t="s">
        <v>14</v>
      </c>
      <c r="G1387" s="1">
        <v>11540144</v>
      </c>
      <c r="H1387" s="1">
        <v>0</v>
      </c>
      <c r="I1387" s="1">
        <v>0</v>
      </c>
      <c r="J1387" s="1" t="s">
        <v>14</v>
      </c>
      <c r="K1387" s="1">
        <v>11540144</v>
      </c>
    </row>
    <row r="1388" spans="1:11" x14ac:dyDescent="0.25">
      <c r="A1388" s="1" t="s">
        <v>11</v>
      </c>
      <c r="B1388" s="1" t="s">
        <v>1672</v>
      </c>
      <c r="C1388" s="1" t="s">
        <v>26</v>
      </c>
      <c r="D1388" s="1" t="s">
        <v>1987</v>
      </c>
      <c r="E1388" s="1" t="s">
        <v>1162</v>
      </c>
      <c r="F1388" s="1" t="s">
        <v>14</v>
      </c>
      <c r="G1388" s="1">
        <v>9697600</v>
      </c>
      <c r="H1388" s="1">
        <v>0</v>
      </c>
      <c r="I1388" s="1">
        <v>0</v>
      </c>
      <c r="J1388" s="1" t="s">
        <v>14</v>
      </c>
      <c r="K1388" s="1">
        <v>9697600</v>
      </c>
    </row>
    <row r="1389" spans="1:11" x14ac:dyDescent="0.25">
      <c r="A1389" s="1" t="s">
        <v>11</v>
      </c>
      <c r="B1389" s="1" t="s">
        <v>1672</v>
      </c>
      <c r="C1389" s="1" t="s">
        <v>26</v>
      </c>
      <c r="D1389" s="1" t="s">
        <v>1988</v>
      </c>
      <c r="E1389" s="1" t="s">
        <v>1172</v>
      </c>
      <c r="F1389" s="1" t="s">
        <v>14</v>
      </c>
      <c r="G1389" s="1">
        <v>1842544</v>
      </c>
      <c r="H1389" s="1">
        <v>0</v>
      </c>
      <c r="I1389" s="1">
        <v>0</v>
      </c>
      <c r="J1389" s="1" t="s">
        <v>14</v>
      </c>
      <c r="K1389" s="1">
        <v>1842544</v>
      </c>
    </row>
    <row r="1390" spans="1:11" x14ac:dyDescent="0.25">
      <c r="A1390" s="1" t="s">
        <v>11</v>
      </c>
      <c r="B1390" s="1" t="s">
        <v>1672</v>
      </c>
      <c r="C1390" s="1" t="s">
        <v>23</v>
      </c>
      <c r="D1390" s="1" t="s">
        <v>1989</v>
      </c>
      <c r="E1390" s="1" t="s">
        <v>1445</v>
      </c>
      <c r="F1390" s="1" t="s">
        <v>14</v>
      </c>
      <c r="G1390" s="1">
        <v>2957163203</v>
      </c>
      <c r="H1390" s="1">
        <v>145354960</v>
      </c>
      <c r="I1390" s="1">
        <v>0</v>
      </c>
      <c r="J1390" s="1" t="s">
        <v>14</v>
      </c>
      <c r="K1390" s="1">
        <v>3102518163</v>
      </c>
    </row>
    <row r="1391" spans="1:11" x14ac:dyDescent="0.25">
      <c r="A1391" s="1" t="s">
        <v>11</v>
      </c>
      <c r="B1391" s="1" t="s">
        <v>1672</v>
      </c>
      <c r="C1391" s="1" t="s">
        <v>26</v>
      </c>
      <c r="D1391" s="1" t="s">
        <v>1990</v>
      </c>
      <c r="E1391" s="1" t="s">
        <v>554</v>
      </c>
      <c r="F1391" s="1" t="s">
        <v>14</v>
      </c>
      <c r="G1391" s="1">
        <v>2950513055</v>
      </c>
      <c r="H1391" s="1">
        <v>145354960</v>
      </c>
      <c r="I1391" s="1">
        <v>0</v>
      </c>
      <c r="J1391" s="1" t="s">
        <v>14</v>
      </c>
      <c r="K1391" s="1">
        <v>3095868015</v>
      </c>
    </row>
    <row r="1392" spans="1:11" x14ac:dyDescent="0.25">
      <c r="A1392" s="1" t="s">
        <v>11</v>
      </c>
      <c r="B1392" s="1" t="s">
        <v>1672</v>
      </c>
      <c r="C1392" s="1" t="s">
        <v>26</v>
      </c>
      <c r="D1392" s="1" t="s">
        <v>1991</v>
      </c>
      <c r="E1392" s="1" t="s">
        <v>1447</v>
      </c>
      <c r="F1392" s="1" t="s">
        <v>14</v>
      </c>
      <c r="G1392" s="1">
        <v>6650148</v>
      </c>
      <c r="H1392" s="1">
        <v>0</v>
      </c>
      <c r="I1392" s="1">
        <v>0</v>
      </c>
      <c r="J1392" s="1" t="s">
        <v>14</v>
      </c>
      <c r="K1392" s="1">
        <v>6650148</v>
      </c>
    </row>
    <row r="1393" spans="1:11" x14ac:dyDescent="0.25">
      <c r="A1393" s="1" t="s">
        <v>11</v>
      </c>
      <c r="B1393" s="1" t="s">
        <v>1672</v>
      </c>
      <c r="C1393" s="1" t="s">
        <v>21</v>
      </c>
      <c r="D1393" s="1" t="s">
        <v>1992</v>
      </c>
      <c r="E1393" s="1" t="s">
        <v>1720</v>
      </c>
      <c r="F1393" s="1" t="s">
        <v>14</v>
      </c>
      <c r="G1393" s="1">
        <v>569559918.08000004</v>
      </c>
      <c r="H1393" s="1">
        <v>25738976.48</v>
      </c>
      <c r="I1393" s="1">
        <v>0</v>
      </c>
      <c r="J1393" s="1" t="s">
        <v>14</v>
      </c>
      <c r="K1393" s="1">
        <v>595298894.55999994</v>
      </c>
    </row>
    <row r="1394" spans="1:11" x14ac:dyDescent="0.25">
      <c r="A1394" s="1" t="s">
        <v>11</v>
      </c>
      <c r="B1394" s="1" t="s">
        <v>1672</v>
      </c>
      <c r="C1394" s="1" t="s">
        <v>23</v>
      </c>
      <c r="D1394" s="1" t="s">
        <v>1993</v>
      </c>
      <c r="E1394" s="1" t="s">
        <v>1189</v>
      </c>
      <c r="F1394" s="1" t="s">
        <v>14</v>
      </c>
      <c r="G1394" s="1">
        <v>5154935</v>
      </c>
      <c r="H1394" s="1">
        <v>1030987</v>
      </c>
      <c r="I1394" s="1">
        <v>0</v>
      </c>
      <c r="J1394" s="1" t="s">
        <v>14</v>
      </c>
      <c r="K1394" s="1">
        <v>6185922</v>
      </c>
    </row>
    <row r="1395" spans="1:11" x14ac:dyDescent="0.25">
      <c r="A1395" s="1" t="s">
        <v>11</v>
      </c>
      <c r="B1395" s="1" t="s">
        <v>1672</v>
      </c>
      <c r="C1395" s="1" t="s">
        <v>26</v>
      </c>
      <c r="D1395" s="1" t="s">
        <v>1994</v>
      </c>
      <c r="E1395" s="1" t="s">
        <v>439</v>
      </c>
      <c r="F1395" s="1" t="s">
        <v>14</v>
      </c>
      <c r="G1395" s="1">
        <v>5154935</v>
      </c>
      <c r="H1395" s="1">
        <v>1030987</v>
      </c>
      <c r="I1395" s="1">
        <v>0</v>
      </c>
      <c r="J1395" s="1" t="s">
        <v>14</v>
      </c>
      <c r="K1395" s="1">
        <v>6185922</v>
      </c>
    </row>
    <row r="1396" spans="1:11" x14ac:dyDescent="0.25">
      <c r="A1396" s="1" t="s">
        <v>11</v>
      </c>
      <c r="B1396" s="1" t="s">
        <v>1672</v>
      </c>
      <c r="C1396" s="1" t="s">
        <v>23</v>
      </c>
      <c r="D1396" s="1" t="s">
        <v>1995</v>
      </c>
      <c r="E1396" s="1" t="s">
        <v>227</v>
      </c>
      <c r="F1396" s="1" t="s">
        <v>14</v>
      </c>
      <c r="G1396" s="1">
        <v>132109709</v>
      </c>
      <c r="H1396" s="1">
        <v>16128174</v>
      </c>
      <c r="I1396" s="1">
        <v>0</v>
      </c>
      <c r="J1396" s="1" t="s">
        <v>14</v>
      </c>
      <c r="K1396" s="1">
        <v>148237883</v>
      </c>
    </row>
    <row r="1397" spans="1:11" x14ac:dyDescent="0.25">
      <c r="A1397" s="1" t="s">
        <v>11</v>
      </c>
      <c r="B1397" s="1" t="s">
        <v>1672</v>
      </c>
      <c r="C1397" s="1" t="s">
        <v>26</v>
      </c>
      <c r="D1397" s="1" t="s">
        <v>1996</v>
      </c>
      <c r="E1397" s="1" t="s">
        <v>1997</v>
      </c>
      <c r="F1397" s="1" t="s">
        <v>14</v>
      </c>
      <c r="G1397" s="1">
        <v>107905852</v>
      </c>
      <c r="H1397" s="1">
        <v>12993586</v>
      </c>
      <c r="I1397" s="1">
        <v>0</v>
      </c>
      <c r="J1397" s="1" t="s">
        <v>14</v>
      </c>
      <c r="K1397" s="1">
        <v>120899438</v>
      </c>
    </row>
    <row r="1398" spans="1:11" x14ac:dyDescent="0.25">
      <c r="A1398" s="1" t="s">
        <v>11</v>
      </c>
      <c r="B1398" s="1" t="s">
        <v>1672</v>
      </c>
      <c r="C1398" s="1" t="s">
        <v>26</v>
      </c>
      <c r="D1398" s="1" t="s">
        <v>1998</v>
      </c>
      <c r="E1398" s="1" t="s">
        <v>1195</v>
      </c>
      <c r="F1398" s="1" t="s">
        <v>14</v>
      </c>
      <c r="G1398" s="1">
        <v>8681418</v>
      </c>
      <c r="H1398" s="1">
        <v>0</v>
      </c>
      <c r="I1398" s="1">
        <v>0</v>
      </c>
      <c r="J1398" s="1" t="s">
        <v>14</v>
      </c>
      <c r="K1398" s="1">
        <v>8681418</v>
      </c>
    </row>
    <row r="1399" spans="1:11" x14ac:dyDescent="0.25">
      <c r="A1399" s="1" t="s">
        <v>11</v>
      </c>
      <c r="B1399" s="1" t="s">
        <v>1672</v>
      </c>
      <c r="C1399" s="1" t="s">
        <v>26</v>
      </c>
      <c r="D1399" s="1" t="s">
        <v>1999</v>
      </c>
      <c r="E1399" s="1" t="s">
        <v>1461</v>
      </c>
      <c r="F1399" s="1" t="s">
        <v>14</v>
      </c>
      <c r="G1399" s="1">
        <v>6602146</v>
      </c>
      <c r="H1399" s="1">
        <v>559502</v>
      </c>
      <c r="I1399" s="1">
        <v>0</v>
      </c>
      <c r="J1399" s="1" t="s">
        <v>14</v>
      </c>
      <c r="K1399" s="1">
        <v>7161648</v>
      </c>
    </row>
    <row r="1400" spans="1:11" x14ac:dyDescent="0.25">
      <c r="A1400" s="1" t="s">
        <v>11</v>
      </c>
      <c r="B1400" s="1" t="s">
        <v>1672</v>
      </c>
      <c r="C1400" s="1" t="s">
        <v>26</v>
      </c>
      <c r="D1400" s="1" t="s">
        <v>2000</v>
      </c>
      <c r="E1400" s="1" t="s">
        <v>2001</v>
      </c>
      <c r="F1400" s="1" t="s">
        <v>14</v>
      </c>
      <c r="G1400" s="1">
        <v>6016415</v>
      </c>
      <c r="H1400" s="1">
        <v>2468781</v>
      </c>
      <c r="I1400" s="1">
        <v>0</v>
      </c>
      <c r="J1400" s="1" t="s">
        <v>14</v>
      </c>
      <c r="K1400" s="1">
        <v>8485196</v>
      </c>
    </row>
    <row r="1401" spans="1:11" x14ac:dyDescent="0.25">
      <c r="A1401" s="1" t="s">
        <v>11</v>
      </c>
      <c r="B1401" s="1" t="s">
        <v>1672</v>
      </c>
      <c r="C1401" s="1" t="s">
        <v>26</v>
      </c>
      <c r="D1401" s="1" t="s">
        <v>2002</v>
      </c>
      <c r="E1401" s="1" t="s">
        <v>1463</v>
      </c>
      <c r="F1401" s="1" t="s">
        <v>14</v>
      </c>
      <c r="G1401" s="1">
        <v>1254409</v>
      </c>
      <c r="H1401" s="1">
        <v>106305</v>
      </c>
      <c r="I1401" s="1">
        <v>0</v>
      </c>
      <c r="J1401" s="1" t="s">
        <v>14</v>
      </c>
      <c r="K1401" s="1">
        <v>1360714</v>
      </c>
    </row>
    <row r="1402" spans="1:11" x14ac:dyDescent="0.25">
      <c r="A1402" s="1" t="s">
        <v>11</v>
      </c>
      <c r="B1402" s="1" t="s">
        <v>1672</v>
      </c>
      <c r="C1402" s="1" t="s">
        <v>26</v>
      </c>
      <c r="D1402" s="1" t="s">
        <v>2003</v>
      </c>
      <c r="E1402" s="1" t="s">
        <v>1197</v>
      </c>
      <c r="F1402" s="1" t="s">
        <v>14</v>
      </c>
      <c r="G1402" s="1">
        <v>1649469</v>
      </c>
      <c r="H1402" s="1">
        <v>0</v>
      </c>
      <c r="I1402" s="1">
        <v>0</v>
      </c>
      <c r="J1402" s="1" t="s">
        <v>14</v>
      </c>
      <c r="K1402" s="1">
        <v>1649469</v>
      </c>
    </row>
    <row r="1403" spans="1:11" x14ac:dyDescent="0.25">
      <c r="A1403" s="1" t="s">
        <v>11</v>
      </c>
      <c r="B1403" s="1" t="s">
        <v>1672</v>
      </c>
      <c r="C1403" s="1" t="s">
        <v>23</v>
      </c>
      <c r="D1403" s="1" t="s">
        <v>2004</v>
      </c>
      <c r="E1403" s="1" t="s">
        <v>437</v>
      </c>
      <c r="F1403" s="1" t="s">
        <v>14</v>
      </c>
      <c r="G1403" s="1">
        <v>53920950</v>
      </c>
      <c r="H1403" s="1">
        <v>0</v>
      </c>
      <c r="I1403" s="1">
        <v>0</v>
      </c>
      <c r="J1403" s="1" t="s">
        <v>14</v>
      </c>
      <c r="K1403" s="1">
        <v>53920950</v>
      </c>
    </row>
    <row r="1404" spans="1:11" x14ac:dyDescent="0.25">
      <c r="A1404" s="1" t="s">
        <v>11</v>
      </c>
      <c r="B1404" s="1" t="s">
        <v>1672</v>
      </c>
      <c r="C1404" s="1" t="s">
        <v>26</v>
      </c>
      <c r="D1404" s="1" t="s">
        <v>2005</v>
      </c>
      <c r="E1404" s="1" t="s">
        <v>1212</v>
      </c>
      <c r="F1404" s="1" t="s">
        <v>14</v>
      </c>
      <c r="G1404" s="1">
        <v>12012280</v>
      </c>
      <c r="H1404" s="1">
        <v>0</v>
      </c>
      <c r="I1404" s="1">
        <v>0</v>
      </c>
      <c r="J1404" s="1" t="s">
        <v>14</v>
      </c>
      <c r="K1404" s="1">
        <v>12012280</v>
      </c>
    </row>
    <row r="1405" spans="1:11" x14ac:dyDescent="0.25">
      <c r="A1405" s="1" t="s">
        <v>11</v>
      </c>
      <c r="B1405" s="1" t="s">
        <v>1672</v>
      </c>
      <c r="C1405" s="1" t="s">
        <v>26</v>
      </c>
      <c r="D1405" s="1" t="s">
        <v>2006</v>
      </c>
      <c r="E1405" s="1" t="s">
        <v>1214</v>
      </c>
      <c r="F1405" s="1" t="s">
        <v>14</v>
      </c>
      <c r="G1405" s="1">
        <v>41908670</v>
      </c>
      <c r="H1405" s="1">
        <v>0</v>
      </c>
      <c r="I1405" s="1">
        <v>0</v>
      </c>
      <c r="J1405" s="1" t="s">
        <v>14</v>
      </c>
      <c r="K1405" s="1">
        <v>41908670</v>
      </c>
    </row>
    <row r="1406" spans="1:11" x14ac:dyDescent="0.25">
      <c r="A1406" s="1" t="s">
        <v>11</v>
      </c>
      <c r="B1406" s="1" t="s">
        <v>1672</v>
      </c>
      <c r="C1406" s="1" t="s">
        <v>23</v>
      </c>
      <c r="D1406" s="1" t="s">
        <v>2007</v>
      </c>
      <c r="E1406" s="1" t="s">
        <v>566</v>
      </c>
      <c r="F1406" s="1" t="s">
        <v>14</v>
      </c>
      <c r="G1406" s="1">
        <v>39747793.630000003</v>
      </c>
      <c r="H1406" s="1">
        <v>3795068.48</v>
      </c>
      <c r="I1406" s="1">
        <v>0</v>
      </c>
      <c r="J1406" s="1" t="s">
        <v>14</v>
      </c>
      <c r="K1406" s="1">
        <v>43542862.109999999</v>
      </c>
    </row>
    <row r="1407" spans="1:11" x14ac:dyDescent="0.25">
      <c r="A1407" s="1" t="s">
        <v>11</v>
      </c>
      <c r="B1407" s="1" t="s">
        <v>1672</v>
      </c>
      <c r="C1407" s="1" t="s">
        <v>26</v>
      </c>
      <c r="D1407" s="1" t="s">
        <v>2008</v>
      </c>
      <c r="E1407" s="1" t="s">
        <v>1219</v>
      </c>
      <c r="F1407" s="1" t="s">
        <v>14</v>
      </c>
      <c r="G1407" s="1">
        <v>6666216.7400000002</v>
      </c>
      <c r="H1407" s="1">
        <v>480827.07</v>
      </c>
      <c r="I1407" s="1">
        <v>0</v>
      </c>
      <c r="J1407" s="1" t="s">
        <v>14</v>
      </c>
      <c r="K1407" s="1">
        <v>7147043.8099999996</v>
      </c>
    </row>
    <row r="1408" spans="1:11" x14ac:dyDescent="0.25">
      <c r="A1408" s="1" t="s">
        <v>11</v>
      </c>
      <c r="B1408" s="1" t="s">
        <v>1672</v>
      </c>
      <c r="C1408" s="1" t="s">
        <v>26</v>
      </c>
      <c r="D1408" s="1" t="s">
        <v>2009</v>
      </c>
      <c r="E1408" s="1" t="s">
        <v>1221</v>
      </c>
      <c r="F1408" s="1" t="s">
        <v>14</v>
      </c>
      <c r="G1408" s="1">
        <v>1951778.18</v>
      </c>
      <c r="H1408" s="1">
        <v>213196.91</v>
      </c>
      <c r="I1408" s="1">
        <v>0</v>
      </c>
      <c r="J1408" s="1" t="s">
        <v>14</v>
      </c>
      <c r="K1408" s="1">
        <v>2164975.09</v>
      </c>
    </row>
    <row r="1409" spans="1:11" x14ac:dyDescent="0.25">
      <c r="A1409" s="1" t="s">
        <v>11</v>
      </c>
      <c r="B1409" s="1" t="s">
        <v>1672</v>
      </c>
      <c r="C1409" s="1" t="s">
        <v>26</v>
      </c>
      <c r="D1409" s="1" t="s">
        <v>2010</v>
      </c>
      <c r="E1409" s="1" t="s">
        <v>1225</v>
      </c>
      <c r="F1409" s="1" t="s">
        <v>14</v>
      </c>
      <c r="G1409" s="1">
        <v>25611637.539999999</v>
      </c>
      <c r="H1409" s="1">
        <v>2503740.87</v>
      </c>
      <c r="I1409" s="1">
        <v>0</v>
      </c>
      <c r="J1409" s="1" t="s">
        <v>14</v>
      </c>
      <c r="K1409" s="1">
        <v>28115378.41</v>
      </c>
    </row>
    <row r="1410" spans="1:11" x14ac:dyDescent="0.25">
      <c r="A1410" s="1" t="s">
        <v>11</v>
      </c>
      <c r="B1410" s="1" t="s">
        <v>1672</v>
      </c>
      <c r="C1410" s="1" t="s">
        <v>26</v>
      </c>
      <c r="D1410" s="1" t="s">
        <v>2011</v>
      </c>
      <c r="E1410" s="1" t="s">
        <v>1227</v>
      </c>
      <c r="F1410" s="1" t="s">
        <v>14</v>
      </c>
      <c r="G1410" s="1">
        <v>2457936.0499999998</v>
      </c>
      <c r="H1410" s="1">
        <v>284689.28000000003</v>
      </c>
      <c r="I1410" s="1">
        <v>0</v>
      </c>
      <c r="J1410" s="1" t="s">
        <v>14</v>
      </c>
      <c r="K1410" s="1">
        <v>2742625.33</v>
      </c>
    </row>
    <row r="1411" spans="1:11" x14ac:dyDescent="0.25">
      <c r="A1411" s="1" t="s">
        <v>11</v>
      </c>
      <c r="B1411" s="1" t="s">
        <v>1672</v>
      </c>
      <c r="C1411" s="1" t="s">
        <v>26</v>
      </c>
      <c r="D1411" s="1" t="s">
        <v>2012</v>
      </c>
      <c r="E1411" s="1" t="s">
        <v>1229</v>
      </c>
      <c r="F1411" s="1" t="s">
        <v>14</v>
      </c>
      <c r="G1411" s="1">
        <v>495958.1</v>
      </c>
      <c r="H1411" s="1">
        <v>50861.57</v>
      </c>
      <c r="I1411" s="1">
        <v>0</v>
      </c>
      <c r="J1411" s="1" t="s">
        <v>14</v>
      </c>
      <c r="K1411" s="1">
        <v>546819.67000000004</v>
      </c>
    </row>
    <row r="1412" spans="1:11" x14ac:dyDescent="0.25">
      <c r="A1412" s="1" t="s">
        <v>11</v>
      </c>
      <c r="B1412" s="1" t="s">
        <v>1672</v>
      </c>
      <c r="C1412" s="1" t="s">
        <v>26</v>
      </c>
      <c r="D1412" s="1" t="s">
        <v>2013</v>
      </c>
      <c r="E1412" s="1" t="s">
        <v>1231</v>
      </c>
      <c r="F1412" s="1" t="s">
        <v>14</v>
      </c>
      <c r="G1412" s="1">
        <v>1655527</v>
      </c>
      <c r="H1412" s="1">
        <v>164673</v>
      </c>
      <c r="I1412" s="1">
        <v>0</v>
      </c>
      <c r="J1412" s="1" t="s">
        <v>14</v>
      </c>
      <c r="K1412" s="1">
        <v>1820200</v>
      </c>
    </row>
    <row r="1413" spans="1:11" x14ac:dyDescent="0.25">
      <c r="A1413" s="1" t="s">
        <v>11</v>
      </c>
      <c r="B1413" s="1" t="s">
        <v>1672</v>
      </c>
      <c r="C1413" s="1" t="s">
        <v>26</v>
      </c>
      <c r="D1413" s="1" t="s">
        <v>2014</v>
      </c>
      <c r="E1413" s="1" t="s">
        <v>1233</v>
      </c>
      <c r="F1413" s="1" t="s">
        <v>14</v>
      </c>
      <c r="G1413" s="1">
        <v>476582.40000000002</v>
      </c>
      <c r="H1413" s="1">
        <v>54231.02</v>
      </c>
      <c r="I1413" s="1">
        <v>0</v>
      </c>
      <c r="J1413" s="1" t="s">
        <v>14</v>
      </c>
      <c r="K1413" s="1">
        <v>530813.42000000004</v>
      </c>
    </row>
    <row r="1414" spans="1:11" x14ac:dyDescent="0.25">
      <c r="A1414" s="1" t="s">
        <v>11</v>
      </c>
      <c r="B1414" s="1" t="s">
        <v>1672</v>
      </c>
      <c r="C1414" s="1" t="s">
        <v>26</v>
      </c>
      <c r="D1414" s="1" t="s">
        <v>2015</v>
      </c>
      <c r="E1414" s="1" t="s">
        <v>1235</v>
      </c>
      <c r="F1414" s="1" t="s">
        <v>14</v>
      </c>
      <c r="G1414" s="1">
        <v>97911.62</v>
      </c>
      <c r="H1414" s="1">
        <v>9604.76</v>
      </c>
      <c r="I1414" s="1">
        <v>0</v>
      </c>
      <c r="J1414" s="1" t="s">
        <v>14</v>
      </c>
      <c r="K1414" s="1">
        <v>107516.38</v>
      </c>
    </row>
    <row r="1415" spans="1:11" x14ac:dyDescent="0.25">
      <c r="A1415" s="1" t="s">
        <v>11</v>
      </c>
      <c r="B1415" s="1" t="s">
        <v>1672</v>
      </c>
      <c r="C1415" s="1" t="s">
        <v>26</v>
      </c>
      <c r="D1415" s="1" t="s">
        <v>2016</v>
      </c>
      <c r="E1415" s="1" t="s">
        <v>1237</v>
      </c>
      <c r="F1415" s="1" t="s">
        <v>14</v>
      </c>
      <c r="G1415" s="1">
        <v>334246</v>
      </c>
      <c r="H1415" s="1">
        <v>33244</v>
      </c>
      <c r="I1415" s="1">
        <v>0</v>
      </c>
      <c r="J1415" s="1" t="s">
        <v>14</v>
      </c>
      <c r="K1415" s="1">
        <v>367490</v>
      </c>
    </row>
    <row r="1416" spans="1:11" x14ac:dyDescent="0.25">
      <c r="A1416" s="1" t="s">
        <v>11</v>
      </c>
      <c r="B1416" s="1" t="s">
        <v>1672</v>
      </c>
      <c r="C1416" s="1" t="s">
        <v>23</v>
      </c>
      <c r="D1416" s="1" t="s">
        <v>2017</v>
      </c>
      <c r="E1416" s="1" t="s">
        <v>1239</v>
      </c>
      <c r="F1416" s="1" t="s">
        <v>14</v>
      </c>
      <c r="G1416" s="1">
        <v>1267316</v>
      </c>
      <c r="H1416" s="1">
        <v>0</v>
      </c>
      <c r="I1416" s="1">
        <v>0</v>
      </c>
      <c r="J1416" s="1" t="s">
        <v>14</v>
      </c>
      <c r="K1416" s="1">
        <v>1267316</v>
      </c>
    </row>
    <row r="1417" spans="1:11" x14ac:dyDescent="0.25">
      <c r="A1417" s="1" t="s">
        <v>11</v>
      </c>
      <c r="B1417" s="1" t="s">
        <v>1672</v>
      </c>
      <c r="C1417" s="1" t="s">
        <v>26</v>
      </c>
      <c r="D1417" s="1" t="s">
        <v>2018</v>
      </c>
      <c r="E1417" s="1" t="s">
        <v>1239</v>
      </c>
      <c r="F1417" s="1" t="s">
        <v>14</v>
      </c>
      <c r="G1417" s="1">
        <v>1267316</v>
      </c>
      <c r="H1417" s="1">
        <v>0</v>
      </c>
      <c r="I1417" s="1">
        <v>0</v>
      </c>
      <c r="J1417" s="1" t="s">
        <v>14</v>
      </c>
      <c r="K1417" s="1">
        <v>1267316</v>
      </c>
    </row>
    <row r="1418" spans="1:11" x14ac:dyDescent="0.25">
      <c r="A1418" s="1" t="s">
        <v>11</v>
      </c>
      <c r="B1418" s="1" t="s">
        <v>1672</v>
      </c>
      <c r="C1418" s="1" t="s">
        <v>23</v>
      </c>
      <c r="D1418" s="1" t="s">
        <v>2019</v>
      </c>
      <c r="E1418" s="1" t="s">
        <v>1257</v>
      </c>
      <c r="F1418" s="1" t="s">
        <v>14</v>
      </c>
      <c r="G1418" s="1">
        <v>126753686</v>
      </c>
      <c r="H1418" s="1">
        <v>2083541</v>
      </c>
      <c r="I1418" s="1">
        <v>0</v>
      </c>
      <c r="J1418" s="1" t="s">
        <v>14</v>
      </c>
      <c r="K1418" s="1">
        <v>128837227</v>
      </c>
    </row>
    <row r="1419" spans="1:11" x14ac:dyDescent="0.25">
      <c r="A1419" s="1" t="s">
        <v>11</v>
      </c>
      <c r="B1419" s="1" t="s">
        <v>1672</v>
      </c>
      <c r="C1419" s="1" t="s">
        <v>26</v>
      </c>
      <c r="D1419" s="1" t="s">
        <v>2020</v>
      </c>
      <c r="E1419" s="1" t="s">
        <v>1820</v>
      </c>
      <c r="F1419" s="1" t="s">
        <v>14</v>
      </c>
      <c r="G1419" s="1">
        <v>107408410</v>
      </c>
      <c r="H1419" s="1">
        <v>2083541</v>
      </c>
      <c r="I1419" s="1">
        <v>0</v>
      </c>
      <c r="J1419" s="1" t="s">
        <v>14</v>
      </c>
      <c r="K1419" s="1">
        <v>109491951</v>
      </c>
    </row>
    <row r="1420" spans="1:11" x14ac:dyDescent="0.25">
      <c r="A1420" s="1" t="s">
        <v>11</v>
      </c>
      <c r="B1420" s="1" t="s">
        <v>1672</v>
      </c>
      <c r="C1420" s="1" t="s">
        <v>26</v>
      </c>
      <c r="D1420" s="1" t="s">
        <v>2021</v>
      </c>
      <c r="E1420" s="1" t="s">
        <v>1743</v>
      </c>
      <c r="F1420" s="1" t="s">
        <v>14</v>
      </c>
      <c r="G1420" s="1">
        <v>220000</v>
      </c>
      <c r="H1420" s="1">
        <v>0</v>
      </c>
      <c r="I1420" s="1">
        <v>0</v>
      </c>
      <c r="J1420" s="1" t="s">
        <v>14</v>
      </c>
      <c r="K1420" s="1">
        <v>220000</v>
      </c>
    </row>
    <row r="1421" spans="1:11" x14ac:dyDescent="0.25">
      <c r="A1421" s="1" t="s">
        <v>11</v>
      </c>
      <c r="B1421" s="1" t="s">
        <v>1672</v>
      </c>
      <c r="C1421" s="1" t="s">
        <v>26</v>
      </c>
      <c r="D1421" s="1" t="s">
        <v>2022</v>
      </c>
      <c r="E1421" s="1" t="s">
        <v>1522</v>
      </c>
      <c r="F1421" s="1" t="s">
        <v>14</v>
      </c>
      <c r="G1421" s="1">
        <v>4060000</v>
      </c>
      <c r="H1421" s="1">
        <v>0</v>
      </c>
      <c r="I1421" s="1">
        <v>0</v>
      </c>
      <c r="J1421" s="1" t="s">
        <v>14</v>
      </c>
      <c r="K1421" s="1">
        <v>4060000</v>
      </c>
    </row>
    <row r="1422" spans="1:11" x14ac:dyDescent="0.25">
      <c r="A1422" s="1" t="s">
        <v>11</v>
      </c>
      <c r="B1422" s="1" t="s">
        <v>1672</v>
      </c>
      <c r="C1422" s="1" t="s">
        <v>26</v>
      </c>
      <c r="D1422" s="1" t="s">
        <v>2023</v>
      </c>
      <c r="E1422" s="1" t="s">
        <v>1823</v>
      </c>
      <c r="F1422" s="1" t="s">
        <v>14</v>
      </c>
      <c r="G1422" s="1">
        <v>14293876</v>
      </c>
      <c r="H1422" s="1">
        <v>0</v>
      </c>
      <c r="I1422" s="1">
        <v>0</v>
      </c>
      <c r="J1422" s="1" t="s">
        <v>14</v>
      </c>
      <c r="K1422" s="1">
        <v>14293876</v>
      </c>
    </row>
    <row r="1423" spans="1:11" x14ac:dyDescent="0.25">
      <c r="A1423" s="1" t="s">
        <v>11</v>
      </c>
      <c r="B1423" s="1" t="s">
        <v>1672</v>
      </c>
      <c r="C1423" s="1" t="s">
        <v>26</v>
      </c>
      <c r="D1423" s="1" t="s">
        <v>2024</v>
      </c>
      <c r="E1423" s="1" t="s">
        <v>1534</v>
      </c>
      <c r="F1423" s="1" t="s">
        <v>14</v>
      </c>
      <c r="G1423" s="1">
        <v>771400</v>
      </c>
      <c r="H1423" s="1">
        <v>0</v>
      </c>
      <c r="I1423" s="1">
        <v>0</v>
      </c>
      <c r="J1423" s="1" t="s">
        <v>14</v>
      </c>
      <c r="K1423" s="1">
        <v>771400</v>
      </c>
    </row>
    <row r="1424" spans="1:11" x14ac:dyDescent="0.25">
      <c r="A1424" s="1" t="s">
        <v>11</v>
      </c>
      <c r="B1424" s="1" t="s">
        <v>1672</v>
      </c>
      <c r="C1424" s="1" t="s">
        <v>23</v>
      </c>
      <c r="D1424" s="1" t="s">
        <v>2025</v>
      </c>
      <c r="E1424" s="1" t="s">
        <v>1263</v>
      </c>
      <c r="F1424" s="1" t="s">
        <v>14</v>
      </c>
      <c r="G1424" s="1">
        <v>185532786.44999999</v>
      </c>
      <c r="H1424" s="1">
        <v>0</v>
      </c>
      <c r="I1424" s="1">
        <v>0</v>
      </c>
      <c r="J1424" s="1" t="s">
        <v>14</v>
      </c>
      <c r="K1424" s="1">
        <v>185532786.44999999</v>
      </c>
    </row>
    <row r="1425" spans="1:11" x14ac:dyDescent="0.25">
      <c r="A1425" s="1" t="s">
        <v>11</v>
      </c>
      <c r="B1425" s="1" t="s">
        <v>1672</v>
      </c>
      <c r="C1425" s="1" t="s">
        <v>26</v>
      </c>
      <c r="D1425" s="1" t="s">
        <v>2026</v>
      </c>
      <c r="E1425" s="1" t="s">
        <v>1265</v>
      </c>
      <c r="F1425" s="1" t="s">
        <v>14</v>
      </c>
      <c r="G1425" s="1">
        <v>34489420.420000002</v>
      </c>
      <c r="H1425" s="1">
        <v>0</v>
      </c>
      <c r="I1425" s="1">
        <v>0</v>
      </c>
      <c r="J1425" s="1" t="s">
        <v>14</v>
      </c>
      <c r="K1425" s="1">
        <v>34489420.420000002</v>
      </c>
    </row>
    <row r="1426" spans="1:11" x14ac:dyDescent="0.25">
      <c r="A1426" s="1" t="s">
        <v>11</v>
      </c>
      <c r="B1426" s="1" t="s">
        <v>1672</v>
      </c>
      <c r="C1426" s="1" t="s">
        <v>26</v>
      </c>
      <c r="D1426" s="1" t="s">
        <v>2027</v>
      </c>
      <c r="E1426" s="1" t="s">
        <v>1538</v>
      </c>
      <c r="F1426" s="1" t="s">
        <v>14</v>
      </c>
      <c r="G1426" s="1">
        <v>127506421.45999999</v>
      </c>
      <c r="H1426" s="1">
        <v>0</v>
      </c>
      <c r="I1426" s="1">
        <v>0</v>
      </c>
      <c r="J1426" s="1" t="s">
        <v>14</v>
      </c>
      <c r="K1426" s="1">
        <v>127506421.45999999</v>
      </c>
    </row>
    <row r="1427" spans="1:11" x14ac:dyDescent="0.25">
      <c r="A1427" s="1" t="s">
        <v>11</v>
      </c>
      <c r="B1427" s="1" t="s">
        <v>1672</v>
      </c>
      <c r="C1427" s="1" t="s">
        <v>26</v>
      </c>
      <c r="D1427" s="1" t="s">
        <v>2028</v>
      </c>
      <c r="E1427" s="1" t="s">
        <v>1267</v>
      </c>
      <c r="F1427" s="1" t="s">
        <v>14</v>
      </c>
      <c r="G1427" s="1">
        <v>2712791.92</v>
      </c>
      <c r="H1427" s="1">
        <v>0</v>
      </c>
      <c r="I1427" s="1">
        <v>0</v>
      </c>
      <c r="J1427" s="1" t="s">
        <v>14</v>
      </c>
      <c r="K1427" s="1">
        <v>2712791.92</v>
      </c>
    </row>
    <row r="1428" spans="1:11" x14ac:dyDescent="0.25">
      <c r="A1428" s="1" t="s">
        <v>11</v>
      </c>
      <c r="B1428" s="1" t="s">
        <v>1672</v>
      </c>
      <c r="C1428" s="1" t="s">
        <v>26</v>
      </c>
      <c r="D1428" s="1" t="s">
        <v>2029</v>
      </c>
      <c r="E1428" s="1" t="s">
        <v>1269</v>
      </c>
      <c r="F1428" s="1" t="s">
        <v>14</v>
      </c>
      <c r="G1428" s="1">
        <v>4470314.9000000004</v>
      </c>
      <c r="H1428" s="1">
        <v>0</v>
      </c>
      <c r="I1428" s="1">
        <v>0</v>
      </c>
      <c r="J1428" s="1" t="s">
        <v>14</v>
      </c>
      <c r="K1428" s="1">
        <v>4470314.9000000004</v>
      </c>
    </row>
    <row r="1429" spans="1:11" x14ac:dyDescent="0.25">
      <c r="A1429" s="1" t="s">
        <v>11</v>
      </c>
      <c r="B1429" s="1" t="s">
        <v>1672</v>
      </c>
      <c r="C1429" s="1" t="s">
        <v>26</v>
      </c>
      <c r="D1429" s="1" t="s">
        <v>2030</v>
      </c>
      <c r="E1429" s="1" t="s">
        <v>1542</v>
      </c>
      <c r="F1429" s="1" t="s">
        <v>14</v>
      </c>
      <c r="G1429" s="1">
        <v>16353837.75</v>
      </c>
      <c r="H1429" s="1">
        <v>0</v>
      </c>
      <c r="I1429" s="1">
        <v>0</v>
      </c>
      <c r="J1429" s="1" t="s">
        <v>14</v>
      </c>
      <c r="K1429" s="1">
        <v>16353837.75</v>
      </c>
    </row>
    <row r="1430" spans="1:11" x14ac:dyDescent="0.25">
      <c r="A1430" s="1" t="s">
        <v>11</v>
      </c>
      <c r="B1430" s="1" t="s">
        <v>1672</v>
      </c>
      <c r="C1430" s="1" t="s">
        <v>23</v>
      </c>
      <c r="D1430" s="1" t="s">
        <v>2031</v>
      </c>
      <c r="E1430" s="1" t="s">
        <v>1273</v>
      </c>
      <c r="F1430" s="1" t="s">
        <v>14</v>
      </c>
      <c r="G1430" s="1">
        <v>5686482</v>
      </c>
      <c r="H1430" s="1">
        <v>765870</v>
      </c>
      <c r="I1430" s="1">
        <v>0</v>
      </c>
      <c r="J1430" s="1" t="s">
        <v>14</v>
      </c>
      <c r="K1430" s="1">
        <v>6452352</v>
      </c>
    </row>
    <row r="1431" spans="1:11" x14ac:dyDescent="0.25">
      <c r="A1431" s="1" t="s">
        <v>11</v>
      </c>
      <c r="B1431" s="1" t="s">
        <v>1672</v>
      </c>
      <c r="C1431" s="1" t="s">
        <v>26</v>
      </c>
      <c r="D1431" s="1" t="s">
        <v>2032</v>
      </c>
      <c r="E1431" s="1" t="s">
        <v>1273</v>
      </c>
      <c r="F1431" s="1" t="s">
        <v>14</v>
      </c>
      <c r="G1431" s="1">
        <v>5686482</v>
      </c>
      <c r="H1431" s="1">
        <v>765870</v>
      </c>
      <c r="I1431" s="1">
        <v>0</v>
      </c>
      <c r="J1431" s="1" t="s">
        <v>14</v>
      </c>
      <c r="K1431" s="1">
        <v>6452352</v>
      </c>
    </row>
    <row r="1432" spans="1:11" x14ac:dyDescent="0.25">
      <c r="A1432" s="1" t="s">
        <v>11</v>
      </c>
      <c r="B1432" s="1" t="s">
        <v>1672</v>
      </c>
      <c r="C1432" s="1" t="s">
        <v>23</v>
      </c>
      <c r="D1432" s="1" t="s">
        <v>2033</v>
      </c>
      <c r="E1432" s="1" t="s">
        <v>1063</v>
      </c>
      <c r="F1432" s="1" t="s">
        <v>14</v>
      </c>
      <c r="G1432" s="1">
        <v>19353360</v>
      </c>
      <c r="H1432" s="1">
        <v>1935336</v>
      </c>
      <c r="I1432" s="1">
        <v>0</v>
      </c>
      <c r="J1432" s="1" t="s">
        <v>14</v>
      </c>
      <c r="K1432" s="1">
        <v>21288696</v>
      </c>
    </row>
    <row r="1433" spans="1:11" x14ac:dyDescent="0.25">
      <c r="A1433" s="1" t="s">
        <v>11</v>
      </c>
      <c r="B1433" s="1" t="s">
        <v>1672</v>
      </c>
      <c r="C1433" s="1" t="s">
        <v>26</v>
      </c>
      <c r="D1433" s="1" t="s">
        <v>2034</v>
      </c>
      <c r="E1433" s="1" t="s">
        <v>423</v>
      </c>
      <c r="F1433" s="1" t="s">
        <v>14</v>
      </c>
      <c r="G1433" s="1">
        <v>19353360</v>
      </c>
      <c r="H1433" s="1">
        <v>1935336</v>
      </c>
      <c r="I1433" s="1">
        <v>0</v>
      </c>
      <c r="J1433" s="1" t="s">
        <v>14</v>
      </c>
      <c r="K1433" s="1">
        <v>21288696</v>
      </c>
    </row>
    <row r="1434" spans="1:11" x14ac:dyDescent="0.25">
      <c r="A1434" s="1" t="s">
        <v>11</v>
      </c>
      <c r="B1434" s="1" t="s">
        <v>1672</v>
      </c>
      <c r="C1434" s="1" t="s">
        <v>23</v>
      </c>
      <c r="D1434" s="1" t="s">
        <v>2035</v>
      </c>
      <c r="E1434" s="1" t="s">
        <v>1289</v>
      </c>
      <c r="F1434" s="1" t="s">
        <v>14</v>
      </c>
      <c r="G1434" s="1">
        <v>32900</v>
      </c>
      <c r="H1434" s="1">
        <v>0</v>
      </c>
      <c r="I1434" s="1">
        <v>0</v>
      </c>
      <c r="J1434" s="1" t="s">
        <v>14</v>
      </c>
      <c r="K1434" s="1">
        <v>32900</v>
      </c>
    </row>
    <row r="1435" spans="1:11" x14ac:dyDescent="0.25">
      <c r="A1435" s="1" t="s">
        <v>11</v>
      </c>
      <c r="B1435" s="1" t="s">
        <v>1672</v>
      </c>
      <c r="C1435" s="1" t="s">
        <v>26</v>
      </c>
      <c r="D1435" s="1" t="s">
        <v>2036</v>
      </c>
      <c r="E1435" s="1" t="s">
        <v>1291</v>
      </c>
      <c r="F1435" s="1" t="s">
        <v>14</v>
      </c>
      <c r="G1435" s="1">
        <v>32900</v>
      </c>
      <c r="H1435" s="1">
        <v>0</v>
      </c>
      <c r="I1435" s="1">
        <v>0</v>
      </c>
      <c r="J1435" s="1" t="s">
        <v>14</v>
      </c>
      <c r="K1435" s="1">
        <v>32900</v>
      </c>
    </row>
    <row r="1436" spans="1:11" x14ac:dyDescent="0.25">
      <c r="A1436" s="1" t="s">
        <v>11</v>
      </c>
      <c r="B1436" s="1" t="s">
        <v>1672</v>
      </c>
      <c r="C1436" s="1" t="s">
        <v>18</v>
      </c>
      <c r="D1436" s="1" t="s">
        <v>2037</v>
      </c>
      <c r="E1436" s="1" t="s">
        <v>819</v>
      </c>
      <c r="F1436" s="1" t="s">
        <v>14</v>
      </c>
      <c r="G1436" s="1">
        <v>7787435736</v>
      </c>
      <c r="H1436" s="1">
        <v>141897454.36000001</v>
      </c>
      <c r="I1436" s="1">
        <v>1226238</v>
      </c>
      <c r="J1436" s="1" t="s">
        <v>14</v>
      </c>
      <c r="K1436" s="1">
        <v>7928106952.3599997</v>
      </c>
    </row>
    <row r="1437" spans="1:11" x14ac:dyDescent="0.25">
      <c r="A1437" s="1" t="s">
        <v>11</v>
      </c>
      <c r="B1437" s="1" t="s">
        <v>1672</v>
      </c>
      <c r="C1437" s="1" t="s">
        <v>21</v>
      </c>
      <c r="D1437" s="1" t="s">
        <v>2038</v>
      </c>
      <c r="E1437" s="1" t="s">
        <v>1098</v>
      </c>
      <c r="F1437" s="1" t="s">
        <v>14</v>
      </c>
      <c r="G1437" s="1">
        <v>998104819.46000004</v>
      </c>
      <c r="H1437" s="1">
        <v>82736998.090000004</v>
      </c>
      <c r="I1437" s="1">
        <v>1226238</v>
      </c>
      <c r="J1437" s="1" t="s">
        <v>14</v>
      </c>
      <c r="K1437" s="1">
        <v>1079615579.55</v>
      </c>
    </row>
    <row r="1438" spans="1:11" x14ac:dyDescent="0.25">
      <c r="A1438" s="1" t="s">
        <v>11</v>
      </c>
      <c r="B1438" s="1" t="s">
        <v>1672</v>
      </c>
      <c r="C1438" s="1" t="s">
        <v>23</v>
      </c>
      <c r="D1438" s="1" t="s">
        <v>2039</v>
      </c>
      <c r="E1438" s="1" t="s">
        <v>1679</v>
      </c>
      <c r="F1438" s="1" t="s">
        <v>14</v>
      </c>
      <c r="G1438" s="1">
        <v>691151471</v>
      </c>
      <c r="H1438" s="1">
        <v>49633761</v>
      </c>
      <c r="I1438" s="1">
        <v>1180272</v>
      </c>
      <c r="J1438" s="1" t="s">
        <v>14</v>
      </c>
      <c r="K1438" s="1">
        <v>739604960</v>
      </c>
    </row>
    <row r="1439" spans="1:11" x14ac:dyDescent="0.25">
      <c r="A1439" s="1" t="s">
        <v>11</v>
      </c>
      <c r="B1439" s="1" t="s">
        <v>1672</v>
      </c>
      <c r="C1439" s="1" t="s">
        <v>26</v>
      </c>
      <c r="D1439" s="1" t="s">
        <v>2040</v>
      </c>
      <c r="E1439" s="1" t="s">
        <v>237</v>
      </c>
      <c r="F1439" s="1" t="s">
        <v>14</v>
      </c>
      <c r="G1439" s="1">
        <v>35908373</v>
      </c>
      <c r="H1439" s="1">
        <v>3495169</v>
      </c>
      <c r="I1439" s="1">
        <v>111117</v>
      </c>
      <c r="J1439" s="1" t="s">
        <v>14</v>
      </c>
      <c r="K1439" s="1">
        <v>39292425</v>
      </c>
    </row>
    <row r="1440" spans="1:11" x14ac:dyDescent="0.25">
      <c r="A1440" s="1" t="s">
        <v>11</v>
      </c>
      <c r="B1440" s="1" t="s">
        <v>1672</v>
      </c>
      <c r="C1440" s="1" t="s">
        <v>26</v>
      </c>
      <c r="D1440" s="1" t="s">
        <v>2041</v>
      </c>
      <c r="E1440" s="1" t="s">
        <v>246</v>
      </c>
      <c r="F1440" s="1" t="s">
        <v>14</v>
      </c>
      <c r="G1440" s="1">
        <v>488175570</v>
      </c>
      <c r="H1440" s="1">
        <v>46138592</v>
      </c>
      <c r="I1440" s="1">
        <v>1069155</v>
      </c>
      <c r="J1440" s="1" t="s">
        <v>14</v>
      </c>
      <c r="K1440" s="1">
        <v>533245007</v>
      </c>
    </row>
    <row r="1441" spans="1:11" x14ac:dyDescent="0.25">
      <c r="A1441" s="1" t="s">
        <v>11</v>
      </c>
      <c r="B1441" s="1" t="s">
        <v>1672</v>
      </c>
      <c r="C1441" s="1" t="s">
        <v>26</v>
      </c>
      <c r="D1441" s="1" t="s">
        <v>2042</v>
      </c>
      <c r="E1441" s="1" t="s">
        <v>948</v>
      </c>
      <c r="F1441" s="1" t="s">
        <v>14</v>
      </c>
      <c r="G1441" s="1">
        <v>155879400</v>
      </c>
      <c r="H1441" s="1">
        <v>0</v>
      </c>
      <c r="I1441" s="1">
        <v>0</v>
      </c>
      <c r="J1441" s="1" t="s">
        <v>14</v>
      </c>
      <c r="K1441" s="1">
        <v>155879400</v>
      </c>
    </row>
    <row r="1442" spans="1:11" x14ac:dyDescent="0.25">
      <c r="A1442" s="1" t="s">
        <v>11</v>
      </c>
      <c r="B1442" s="1" t="s">
        <v>1672</v>
      </c>
      <c r="C1442" s="1" t="s">
        <v>26</v>
      </c>
      <c r="D1442" s="1" t="s">
        <v>2043</v>
      </c>
      <c r="E1442" s="1" t="s">
        <v>1683</v>
      </c>
      <c r="F1442" s="1" t="s">
        <v>14</v>
      </c>
      <c r="G1442" s="1">
        <v>11188128</v>
      </c>
      <c r="H1442" s="1">
        <v>0</v>
      </c>
      <c r="I1442" s="1">
        <v>0</v>
      </c>
      <c r="J1442" s="1" t="s">
        <v>14</v>
      </c>
      <c r="K1442" s="1">
        <v>11188128</v>
      </c>
    </row>
    <row r="1443" spans="1:11" x14ac:dyDescent="0.25">
      <c r="A1443" s="1" t="s">
        <v>11</v>
      </c>
      <c r="B1443" s="1" t="s">
        <v>1672</v>
      </c>
      <c r="C1443" s="1" t="s">
        <v>23</v>
      </c>
      <c r="D1443" s="1" t="s">
        <v>2044</v>
      </c>
      <c r="E1443" s="1" t="s">
        <v>1100</v>
      </c>
      <c r="F1443" s="1" t="s">
        <v>14</v>
      </c>
      <c r="G1443" s="1">
        <v>16574757.460000001</v>
      </c>
      <c r="H1443" s="1">
        <v>1285903.0900000001</v>
      </c>
      <c r="I1443" s="1">
        <v>45966</v>
      </c>
      <c r="J1443" s="1" t="s">
        <v>14</v>
      </c>
      <c r="K1443" s="1">
        <v>17814694.550000001</v>
      </c>
    </row>
    <row r="1444" spans="1:11" x14ac:dyDescent="0.25">
      <c r="A1444" s="1" t="s">
        <v>11</v>
      </c>
      <c r="B1444" s="1" t="s">
        <v>1672</v>
      </c>
      <c r="C1444" s="1" t="s">
        <v>26</v>
      </c>
      <c r="D1444" s="1" t="s">
        <v>2045</v>
      </c>
      <c r="E1444" s="1" t="s">
        <v>1100</v>
      </c>
      <c r="F1444" s="1" t="s">
        <v>14</v>
      </c>
      <c r="G1444" s="1">
        <v>16574757.460000001</v>
      </c>
      <c r="H1444" s="1">
        <v>1285903.0900000001</v>
      </c>
      <c r="I1444" s="1">
        <v>45966</v>
      </c>
      <c r="J1444" s="1" t="s">
        <v>14</v>
      </c>
      <c r="K1444" s="1">
        <v>17814694.550000001</v>
      </c>
    </row>
    <row r="1445" spans="1:11" x14ac:dyDescent="0.25">
      <c r="A1445" s="1" t="s">
        <v>11</v>
      </c>
      <c r="B1445" s="1" t="s">
        <v>1672</v>
      </c>
      <c r="C1445" s="1" t="s">
        <v>23</v>
      </c>
      <c r="D1445" s="1" t="s">
        <v>2046</v>
      </c>
      <c r="E1445" s="1" t="s">
        <v>1103</v>
      </c>
      <c r="F1445" s="1" t="s">
        <v>14</v>
      </c>
      <c r="G1445" s="1">
        <v>290378591</v>
      </c>
      <c r="H1445" s="1">
        <v>31817334</v>
      </c>
      <c r="I1445" s="1">
        <v>0</v>
      </c>
      <c r="J1445" s="1" t="s">
        <v>14</v>
      </c>
      <c r="K1445" s="1">
        <v>322195925</v>
      </c>
    </row>
    <row r="1446" spans="1:11" x14ac:dyDescent="0.25">
      <c r="A1446" s="1" t="s">
        <v>11</v>
      </c>
      <c r="B1446" s="1" t="s">
        <v>1672</v>
      </c>
      <c r="C1446" s="1" t="s">
        <v>26</v>
      </c>
      <c r="D1446" s="1" t="s">
        <v>2047</v>
      </c>
      <c r="E1446" s="1" t="s">
        <v>1105</v>
      </c>
      <c r="F1446" s="1" t="s">
        <v>14</v>
      </c>
      <c r="G1446" s="1">
        <v>108334</v>
      </c>
      <c r="H1446" s="1">
        <v>0</v>
      </c>
      <c r="I1446" s="1">
        <v>0</v>
      </c>
      <c r="J1446" s="1" t="s">
        <v>14</v>
      </c>
      <c r="K1446" s="1">
        <v>108334</v>
      </c>
    </row>
    <row r="1447" spans="1:11" x14ac:dyDescent="0.25">
      <c r="A1447" s="1" t="s">
        <v>11</v>
      </c>
      <c r="B1447" s="1" t="s">
        <v>1672</v>
      </c>
      <c r="C1447" s="1" t="s">
        <v>26</v>
      </c>
      <c r="D1447" s="1" t="s">
        <v>2048</v>
      </c>
      <c r="E1447" s="1" t="s">
        <v>1111</v>
      </c>
      <c r="F1447" s="1" t="s">
        <v>14</v>
      </c>
      <c r="G1447" s="1">
        <v>4500000</v>
      </c>
      <c r="H1447" s="1">
        <v>0</v>
      </c>
      <c r="I1447" s="1">
        <v>0</v>
      </c>
      <c r="J1447" s="1" t="s">
        <v>14</v>
      </c>
      <c r="K1447" s="1">
        <v>4500000</v>
      </c>
    </row>
    <row r="1448" spans="1:11" x14ac:dyDescent="0.25">
      <c r="A1448" s="1" t="s">
        <v>11</v>
      </c>
      <c r="B1448" s="1" t="s">
        <v>1672</v>
      </c>
      <c r="C1448" s="1" t="s">
        <v>26</v>
      </c>
      <c r="D1448" s="1" t="s">
        <v>2049</v>
      </c>
      <c r="E1448" s="1" t="s">
        <v>1113</v>
      </c>
      <c r="F1448" s="1" t="s">
        <v>14</v>
      </c>
      <c r="G1448" s="1">
        <v>281838150</v>
      </c>
      <c r="H1448" s="1">
        <v>31817334</v>
      </c>
      <c r="I1448" s="1">
        <v>0</v>
      </c>
      <c r="J1448" s="1" t="s">
        <v>14</v>
      </c>
      <c r="K1448" s="1">
        <v>313655484</v>
      </c>
    </row>
    <row r="1449" spans="1:11" x14ac:dyDescent="0.25">
      <c r="A1449" s="1" t="s">
        <v>11</v>
      </c>
      <c r="B1449" s="1" t="s">
        <v>1672</v>
      </c>
      <c r="C1449" s="1" t="s">
        <v>26</v>
      </c>
      <c r="D1449" s="1" t="s">
        <v>2050</v>
      </c>
      <c r="E1449" s="1" t="s">
        <v>1123</v>
      </c>
      <c r="F1449" s="1" t="s">
        <v>14</v>
      </c>
      <c r="G1449" s="1">
        <v>3932107</v>
      </c>
      <c r="H1449" s="1">
        <v>0</v>
      </c>
      <c r="I1449" s="1">
        <v>0</v>
      </c>
      <c r="J1449" s="1" t="s">
        <v>14</v>
      </c>
      <c r="K1449" s="1">
        <v>3932107</v>
      </c>
    </row>
    <row r="1450" spans="1:11" x14ac:dyDescent="0.25">
      <c r="A1450" s="1" t="s">
        <v>11</v>
      </c>
      <c r="B1450" s="1" t="s">
        <v>1672</v>
      </c>
      <c r="C1450" s="1" t="s">
        <v>21</v>
      </c>
      <c r="D1450" s="1" t="s">
        <v>2051</v>
      </c>
      <c r="E1450" s="1" t="s">
        <v>1125</v>
      </c>
      <c r="F1450" s="1" t="s">
        <v>14</v>
      </c>
      <c r="G1450" s="1">
        <v>4045416613.5100002</v>
      </c>
      <c r="H1450" s="1">
        <v>17769391</v>
      </c>
      <c r="I1450" s="1">
        <v>0</v>
      </c>
      <c r="J1450" s="1" t="s">
        <v>14</v>
      </c>
      <c r="K1450" s="1">
        <v>4063186004.5100002</v>
      </c>
    </row>
    <row r="1451" spans="1:11" x14ac:dyDescent="0.25">
      <c r="A1451" s="1" t="s">
        <v>11</v>
      </c>
      <c r="B1451" s="1" t="s">
        <v>1672</v>
      </c>
      <c r="C1451" s="1" t="s">
        <v>23</v>
      </c>
      <c r="D1451" s="1" t="s">
        <v>2052</v>
      </c>
      <c r="E1451" s="1" t="s">
        <v>1127</v>
      </c>
      <c r="F1451" s="1" t="s">
        <v>14</v>
      </c>
      <c r="G1451" s="1">
        <v>288619771.50999999</v>
      </c>
      <c r="H1451" s="1">
        <v>0</v>
      </c>
      <c r="I1451" s="1">
        <v>0</v>
      </c>
      <c r="J1451" s="1" t="s">
        <v>14</v>
      </c>
      <c r="K1451" s="1">
        <v>288619771.50999999</v>
      </c>
    </row>
    <row r="1452" spans="1:11" x14ac:dyDescent="0.25">
      <c r="A1452" s="1" t="s">
        <v>11</v>
      </c>
      <c r="B1452" s="1" t="s">
        <v>1672</v>
      </c>
      <c r="C1452" s="1" t="s">
        <v>26</v>
      </c>
      <c r="D1452" s="1" t="s">
        <v>2053</v>
      </c>
      <c r="E1452" s="1" t="s">
        <v>1131</v>
      </c>
      <c r="F1452" s="1" t="s">
        <v>14</v>
      </c>
      <c r="G1452" s="1">
        <v>170170822</v>
      </c>
      <c r="H1452" s="1">
        <v>0</v>
      </c>
      <c r="I1452" s="1">
        <v>0</v>
      </c>
      <c r="J1452" s="1" t="s">
        <v>14</v>
      </c>
      <c r="K1452" s="1">
        <v>170170822</v>
      </c>
    </row>
    <row r="1453" spans="1:11" x14ac:dyDescent="0.25">
      <c r="A1453" s="1" t="s">
        <v>11</v>
      </c>
      <c r="B1453" s="1" t="s">
        <v>1672</v>
      </c>
      <c r="C1453" s="1" t="s">
        <v>26</v>
      </c>
      <c r="D1453" s="1" t="s">
        <v>2054</v>
      </c>
      <c r="E1453" s="1" t="s">
        <v>1416</v>
      </c>
      <c r="F1453" s="1" t="s">
        <v>14</v>
      </c>
      <c r="G1453" s="1">
        <v>1775763</v>
      </c>
      <c r="H1453" s="1">
        <v>0</v>
      </c>
      <c r="I1453" s="1">
        <v>0</v>
      </c>
      <c r="J1453" s="1" t="s">
        <v>14</v>
      </c>
      <c r="K1453" s="1">
        <v>1775763</v>
      </c>
    </row>
    <row r="1454" spans="1:11" x14ac:dyDescent="0.25">
      <c r="A1454" s="1" t="s">
        <v>11</v>
      </c>
      <c r="B1454" s="1" t="s">
        <v>1672</v>
      </c>
      <c r="C1454" s="1" t="s">
        <v>26</v>
      </c>
      <c r="D1454" s="1" t="s">
        <v>2055</v>
      </c>
      <c r="E1454" s="1" t="s">
        <v>1315</v>
      </c>
      <c r="F1454" s="1" t="s">
        <v>14</v>
      </c>
      <c r="G1454" s="1">
        <v>802224</v>
      </c>
      <c r="H1454" s="1">
        <v>0</v>
      </c>
      <c r="I1454" s="1">
        <v>0</v>
      </c>
      <c r="J1454" s="1" t="s">
        <v>14</v>
      </c>
      <c r="K1454" s="1">
        <v>802224</v>
      </c>
    </row>
    <row r="1455" spans="1:11" x14ac:dyDescent="0.25">
      <c r="A1455" s="1" t="s">
        <v>11</v>
      </c>
      <c r="B1455" s="1" t="s">
        <v>1672</v>
      </c>
      <c r="C1455" s="1" t="s">
        <v>26</v>
      </c>
      <c r="D1455" s="1" t="s">
        <v>2056</v>
      </c>
      <c r="E1455" s="1" t="s">
        <v>1135</v>
      </c>
      <c r="F1455" s="1" t="s">
        <v>14</v>
      </c>
      <c r="G1455" s="1">
        <v>719266</v>
      </c>
      <c r="H1455" s="1">
        <v>0</v>
      </c>
      <c r="I1455" s="1">
        <v>0</v>
      </c>
      <c r="J1455" s="1" t="s">
        <v>14</v>
      </c>
      <c r="K1455" s="1">
        <v>719266</v>
      </c>
    </row>
    <row r="1456" spans="1:11" x14ac:dyDescent="0.25">
      <c r="A1456" s="1" t="s">
        <v>11</v>
      </c>
      <c r="B1456" s="1" t="s">
        <v>1672</v>
      </c>
      <c r="C1456" s="1" t="s">
        <v>26</v>
      </c>
      <c r="D1456" s="1" t="s">
        <v>2057</v>
      </c>
      <c r="E1456" s="1" t="s">
        <v>1318</v>
      </c>
      <c r="F1456" s="1" t="s">
        <v>14</v>
      </c>
      <c r="G1456" s="1">
        <v>1076361</v>
      </c>
      <c r="H1456" s="1">
        <v>0</v>
      </c>
      <c r="I1456" s="1">
        <v>0</v>
      </c>
      <c r="J1456" s="1" t="s">
        <v>14</v>
      </c>
      <c r="K1456" s="1">
        <v>1076361</v>
      </c>
    </row>
    <row r="1457" spans="1:11" x14ac:dyDescent="0.25">
      <c r="A1457" s="1" t="s">
        <v>11</v>
      </c>
      <c r="B1457" s="1" t="s">
        <v>1672</v>
      </c>
      <c r="C1457" s="1" t="s">
        <v>26</v>
      </c>
      <c r="D1457" s="1" t="s">
        <v>2058</v>
      </c>
      <c r="E1457" s="1" t="s">
        <v>224</v>
      </c>
      <c r="F1457" s="1" t="s">
        <v>14</v>
      </c>
      <c r="G1457" s="1">
        <v>622336</v>
      </c>
      <c r="H1457" s="1">
        <v>0</v>
      </c>
      <c r="I1457" s="1">
        <v>0</v>
      </c>
      <c r="J1457" s="1" t="s">
        <v>14</v>
      </c>
      <c r="K1457" s="1">
        <v>622336</v>
      </c>
    </row>
    <row r="1458" spans="1:11" x14ac:dyDescent="0.25">
      <c r="A1458" s="1" t="s">
        <v>11</v>
      </c>
      <c r="B1458" s="1" t="s">
        <v>1672</v>
      </c>
      <c r="C1458" s="1" t="s">
        <v>26</v>
      </c>
      <c r="D1458" s="1" t="s">
        <v>2059</v>
      </c>
      <c r="E1458" s="1" t="s">
        <v>1138</v>
      </c>
      <c r="F1458" s="1" t="s">
        <v>14</v>
      </c>
      <c r="G1458" s="1">
        <v>5022000</v>
      </c>
      <c r="H1458" s="1">
        <v>0</v>
      </c>
      <c r="I1458" s="1">
        <v>0</v>
      </c>
      <c r="J1458" s="1" t="s">
        <v>14</v>
      </c>
      <c r="K1458" s="1">
        <v>5022000</v>
      </c>
    </row>
    <row r="1459" spans="1:11" x14ac:dyDescent="0.25">
      <c r="A1459" s="1" t="s">
        <v>11</v>
      </c>
      <c r="B1459" s="1" t="s">
        <v>1672</v>
      </c>
      <c r="C1459" s="1" t="s">
        <v>26</v>
      </c>
      <c r="D1459" s="1" t="s">
        <v>2060</v>
      </c>
      <c r="E1459" s="1" t="s">
        <v>1142</v>
      </c>
      <c r="F1459" s="1" t="s">
        <v>14</v>
      </c>
      <c r="G1459" s="1">
        <v>15045020</v>
      </c>
      <c r="H1459" s="1">
        <v>0</v>
      </c>
      <c r="I1459" s="1">
        <v>0</v>
      </c>
      <c r="J1459" s="1" t="s">
        <v>14</v>
      </c>
      <c r="K1459" s="1">
        <v>15045020</v>
      </c>
    </row>
    <row r="1460" spans="1:11" x14ac:dyDescent="0.25">
      <c r="A1460" s="1" t="s">
        <v>11</v>
      </c>
      <c r="B1460" s="1" t="s">
        <v>1672</v>
      </c>
      <c r="C1460" s="1" t="s">
        <v>26</v>
      </c>
      <c r="D1460" s="1" t="s">
        <v>2061</v>
      </c>
      <c r="E1460" s="1" t="s">
        <v>673</v>
      </c>
      <c r="F1460" s="1" t="s">
        <v>14</v>
      </c>
      <c r="G1460" s="1">
        <v>1806121</v>
      </c>
      <c r="H1460" s="1">
        <v>0</v>
      </c>
      <c r="I1460" s="1">
        <v>0</v>
      </c>
      <c r="J1460" s="1" t="s">
        <v>14</v>
      </c>
      <c r="K1460" s="1">
        <v>1806121</v>
      </c>
    </row>
    <row r="1461" spans="1:11" x14ac:dyDescent="0.25">
      <c r="A1461" s="1" t="s">
        <v>11</v>
      </c>
      <c r="B1461" s="1" t="s">
        <v>1672</v>
      </c>
      <c r="C1461" s="1" t="s">
        <v>26</v>
      </c>
      <c r="D1461" s="1" t="s">
        <v>2062</v>
      </c>
      <c r="E1461" s="1" t="s">
        <v>675</v>
      </c>
      <c r="F1461" s="1" t="s">
        <v>14</v>
      </c>
      <c r="G1461" s="1">
        <v>15219797</v>
      </c>
      <c r="H1461" s="1">
        <v>0</v>
      </c>
      <c r="I1461" s="1">
        <v>0</v>
      </c>
      <c r="J1461" s="1" t="s">
        <v>14</v>
      </c>
      <c r="K1461" s="1">
        <v>15219797</v>
      </c>
    </row>
    <row r="1462" spans="1:11" x14ac:dyDescent="0.25">
      <c r="A1462" s="1" t="s">
        <v>11</v>
      </c>
      <c r="B1462" s="1" t="s">
        <v>1672</v>
      </c>
      <c r="C1462" s="1" t="s">
        <v>26</v>
      </c>
      <c r="D1462" s="1" t="s">
        <v>2063</v>
      </c>
      <c r="E1462" s="1" t="s">
        <v>1146</v>
      </c>
      <c r="F1462" s="1" t="s">
        <v>14</v>
      </c>
      <c r="G1462" s="1">
        <v>9766066.1600000001</v>
      </c>
      <c r="H1462" s="1">
        <v>0</v>
      </c>
      <c r="I1462" s="1">
        <v>0</v>
      </c>
      <c r="J1462" s="1" t="s">
        <v>14</v>
      </c>
      <c r="K1462" s="1">
        <v>9766066.1600000001</v>
      </c>
    </row>
    <row r="1463" spans="1:11" x14ac:dyDescent="0.25">
      <c r="A1463" s="1" t="s">
        <v>11</v>
      </c>
      <c r="B1463" s="1" t="s">
        <v>1672</v>
      </c>
      <c r="C1463" s="1" t="s">
        <v>26</v>
      </c>
      <c r="D1463" s="1" t="s">
        <v>2064</v>
      </c>
      <c r="E1463" s="1" t="s">
        <v>1148</v>
      </c>
      <c r="F1463" s="1" t="s">
        <v>14</v>
      </c>
      <c r="G1463" s="1">
        <v>15559041</v>
      </c>
      <c r="H1463" s="1">
        <v>0</v>
      </c>
      <c r="I1463" s="1">
        <v>0</v>
      </c>
      <c r="J1463" s="1" t="s">
        <v>14</v>
      </c>
      <c r="K1463" s="1">
        <v>15559041</v>
      </c>
    </row>
    <row r="1464" spans="1:11" x14ac:dyDescent="0.25">
      <c r="A1464" s="1" t="s">
        <v>11</v>
      </c>
      <c r="B1464" s="1" t="s">
        <v>1672</v>
      </c>
      <c r="C1464" s="1" t="s">
        <v>26</v>
      </c>
      <c r="D1464" s="1" t="s">
        <v>2065</v>
      </c>
      <c r="E1464" s="1" t="s">
        <v>1150</v>
      </c>
      <c r="F1464" s="1" t="s">
        <v>14</v>
      </c>
      <c r="G1464" s="1">
        <v>24611821</v>
      </c>
      <c r="H1464" s="1">
        <v>0</v>
      </c>
      <c r="I1464" s="1">
        <v>0</v>
      </c>
      <c r="J1464" s="1" t="s">
        <v>14</v>
      </c>
      <c r="K1464" s="1">
        <v>24611821</v>
      </c>
    </row>
    <row r="1465" spans="1:11" x14ac:dyDescent="0.25">
      <c r="A1465" s="1" t="s">
        <v>11</v>
      </c>
      <c r="B1465" s="1" t="s">
        <v>1672</v>
      </c>
      <c r="C1465" s="1" t="s">
        <v>26</v>
      </c>
      <c r="D1465" s="1" t="s">
        <v>2066</v>
      </c>
      <c r="E1465" s="1" t="s">
        <v>1152</v>
      </c>
      <c r="F1465" s="1" t="s">
        <v>14</v>
      </c>
      <c r="G1465" s="1">
        <v>9656371</v>
      </c>
      <c r="H1465" s="1">
        <v>0</v>
      </c>
      <c r="I1465" s="1">
        <v>0</v>
      </c>
      <c r="J1465" s="1" t="s">
        <v>14</v>
      </c>
      <c r="K1465" s="1">
        <v>9656371</v>
      </c>
    </row>
    <row r="1466" spans="1:11" x14ac:dyDescent="0.25">
      <c r="A1466" s="1" t="s">
        <v>11</v>
      </c>
      <c r="B1466" s="1" t="s">
        <v>1672</v>
      </c>
      <c r="C1466" s="1" t="s">
        <v>26</v>
      </c>
      <c r="D1466" s="1" t="s">
        <v>2067</v>
      </c>
      <c r="E1466" s="1" t="s">
        <v>1154</v>
      </c>
      <c r="F1466" s="1" t="s">
        <v>14</v>
      </c>
      <c r="G1466" s="1">
        <v>7530888.3499999996</v>
      </c>
      <c r="H1466" s="1">
        <v>0</v>
      </c>
      <c r="I1466" s="1">
        <v>0</v>
      </c>
      <c r="J1466" s="1" t="s">
        <v>14</v>
      </c>
      <c r="K1466" s="1">
        <v>7530888.3499999996</v>
      </c>
    </row>
    <row r="1467" spans="1:11" x14ac:dyDescent="0.25">
      <c r="A1467" s="1" t="s">
        <v>11</v>
      </c>
      <c r="B1467" s="1" t="s">
        <v>1672</v>
      </c>
      <c r="C1467" s="1" t="s">
        <v>26</v>
      </c>
      <c r="D1467" s="1" t="s">
        <v>2068</v>
      </c>
      <c r="E1467" s="1" t="s">
        <v>1156</v>
      </c>
      <c r="F1467" s="1" t="s">
        <v>14</v>
      </c>
      <c r="G1467" s="1">
        <v>5539776</v>
      </c>
      <c r="H1467" s="1">
        <v>0</v>
      </c>
      <c r="I1467" s="1">
        <v>0</v>
      </c>
      <c r="J1467" s="1" t="s">
        <v>14</v>
      </c>
      <c r="K1467" s="1">
        <v>5539776</v>
      </c>
    </row>
    <row r="1468" spans="1:11" x14ac:dyDescent="0.25">
      <c r="A1468" s="1" t="s">
        <v>11</v>
      </c>
      <c r="B1468" s="1" t="s">
        <v>1672</v>
      </c>
      <c r="C1468" s="1" t="s">
        <v>26</v>
      </c>
      <c r="D1468" s="1" t="s">
        <v>2069</v>
      </c>
      <c r="E1468" s="1" t="s">
        <v>1158</v>
      </c>
      <c r="F1468" s="1" t="s">
        <v>14</v>
      </c>
      <c r="G1468" s="1">
        <v>3696098</v>
      </c>
      <c r="H1468" s="1">
        <v>0</v>
      </c>
      <c r="I1468" s="1">
        <v>0</v>
      </c>
      <c r="J1468" s="1" t="s">
        <v>14</v>
      </c>
      <c r="K1468" s="1">
        <v>3696098</v>
      </c>
    </row>
    <row r="1469" spans="1:11" x14ac:dyDescent="0.25">
      <c r="A1469" s="1" t="s">
        <v>11</v>
      </c>
      <c r="B1469" s="1" t="s">
        <v>1672</v>
      </c>
      <c r="C1469" s="1" t="s">
        <v>23</v>
      </c>
      <c r="D1469" s="1" t="s">
        <v>2070</v>
      </c>
      <c r="E1469" s="1" t="s">
        <v>1445</v>
      </c>
      <c r="F1469" s="1" t="s">
        <v>14</v>
      </c>
      <c r="G1469" s="1">
        <v>3756796842</v>
      </c>
      <c r="H1469" s="1">
        <v>17769391</v>
      </c>
      <c r="I1469" s="1">
        <v>0</v>
      </c>
      <c r="J1469" s="1" t="s">
        <v>14</v>
      </c>
      <c r="K1469" s="1">
        <v>3774566233</v>
      </c>
    </row>
    <row r="1470" spans="1:11" x14ac:dyDescent="0.25">
      <c r="A1470" s="1" t="s">
        <v>11</v>
      </c>
      <c r="B1470" s="1" t="s">
        <v>1672</v>
      </c>
      <c r="C1470" s="1" t="s">
        <v>26</v>
      </c>
      <c r="D1470" s="1" t="s">
        <v>2071</v>
      </c>
      <c r="E1470" s="1" t="s">
        <v>554</v>
      </c>
      <c r="F1470" s="1" t="s">
        <v>14</v>
      </c>
      <c r="G1470" s="1">
        <v>3705778644</v>
      </c>
      <c r="H1470" s="1">
        <v>17769391</v>
      </c>
      <c r="I1470" s="1">
        <v>0</v>
      </c>
      <c r="J1470" s="1" t="s">
        <v>14</v>
      </c>
      <c r="K1470" s="1">
        <v>3723548035</v>
      </c>
    </row>
    <row r="1471" spans="1:11" x14ac:dyDescent="0.25">
      <c r="A1471" s="1" t="s">
        <v>11</v>
      </c>
      <c r="B1471" s="1" t="s">
        <v>1672</v>
      </c>
      <c r="C1471" s="1" t="s">
        <v>26</v>
      </c>
      <c r="D1471" s="1" t="s">
        <v>2072</v>
      </c>
      <c r="E1471" s="1" t="s">
        <v>1447</v>
      </c>
      <c r="F1471" s="1" t="s">
        <v>14</v>
      </c>
      <c r="G1471" s="1">
        <v>51018198</v>
      </c>
      <c r="H1471" s="1">
        <v>0</v>
      </c>
      <c r="I1471" s="1">
        <v>0</v>
      </c>
      <c r="J1471" s="1" t="s">
        <v>14</v>
      </c>
      <c r="K1471" s="1">
        <v>51018198</v>
      </c>
    </row>
    <row r="1472" spans="1:11" x14ac:dyDescent="0.25">
      <c r="A1472" s="1" t="s">
        <v>11</v>
      </c>
      <c r="B1472" s="1" t="s">
        <v>1672</v>
      </c>
      <c r="C1472" s="1" t="s">
        <v>21</v>
      </c>
      <c r="D1472" s="1" t="s">
        <v>2073</v>
      </c>
      <c r="E1472" s="1" t="s">
        <v>1720</v>
      </c>
      <c r="F1472" s="1" t="s">
        <v>14</v>
      </c>
      <c r="G1472" s="1">
        <v>2743914303.0300002</v>
      </c>
      <c r="H1472" s="1">
        <v>41391065.270000003</v>
      </c>
      <c r="I1472" s="1">
        <v>0</v>
      </c>
      <c r="J1472" s="1" t="s">
        <v>14</v>
      </c>
      <c r="K1472" s="1">
        <v>2785305368.3000002</v>
      </c>
    </row>
    <row r="1473" spans="1:11" x14ac:dyDescent="0.25">
      <c r="A1473" s="1" t="s">
        <v>11</v>
      </c>
      <c r="B1473" s="1" t="s">
        <v>1672</v>
      </c>
      <c r="C1473" s="1" t="s">
        <v>23</v>
      </c>
      <c r="D1473" s="1" t="s">
        <v>2074</v>
      </c>
      <c r="E1473" s="1" t="s">
        <v>1189</v>
      </c>
      <c r="F1473" s="1" t="s">
        <v>14</v>
      </c>
      <c r="G1473" s="1">
        <v>9781100</v>
      </c>
      <c r="H1473" s="1">
        <v>3943508</v>
      </c>
      <c r="I1473" s="1">
        <v>0</v>
      </c>
      <c r="J1473" s="1" t="s">
        <v>14</v>
      </c>
      <c r="K1473" s="1">
        <v>13724608</v>
      </c>
    </row>
    <row r="1474" spans="1:11" x14ac:dyDescent="0.25">
      <c r="A1474" s="1" t="s">
        <v>11</v>
      </c>
      <c r="B1474" s="1" t="s">
        <v>1672</v>
      </c>
      <c r="C1474" s="1" t="s">
        <v>26</v>
      </c>
      <c r="D1474" s="1" t="s">
        <v>2075</v>
      </c>
      <c r="E1474" s="1" t="s">
        <v>439</v>
      </c>
      <c r="F1474" s="1" t="s">
        <v>14</v>
      </c>
      <c r="G1474" s="1">
        <v>9781100</v>
      </c>
      <c r="H1474" s="1">
        <v>3943508</v>
      </c>
      <c r="I1474" s="1">
        <v>0</v>
      </c>
      <c r="J1474" s="1" t="s">
        <v>14</v>
      </c>
      <c r="K1474" s="1">
        <v>13724608</v>
      </c>
    </row>
    <row r="1475" spans="1:11" x14ac:dyDescent="0.25">
      <c r="A1475" s="1" t="s">
        <v>11</v>
      </c>
      <c r="B1475" s="1" t="s">
        <v>1672</v>
      </c>
      <c r="C1475" s="1" t="s">
        <v>23</v>
      </c>
      <c r="D1475" s="1" t="s">
        <v>2076</v>
      </c>
      <c r="E1475" s="1" t="s">
        <v>227</v>
      </c>
      <c r="F1475" s="1" t="s">
        <v>14</v>
      </c>
      <c r="G1475" s="1">
        <v>60564292</v>
      </c>
      <c r="H1475" s="1">
        <v>4736200</v>
      </c>
      <c r="I1475" s="1">
        <v>0</v>
      </c>
      <c r="J1475" s="1" t="s">
        <v>14</v>
      </c>
      <c r="K1475" s="1">
        <v>65300492</v>
      </c>
    </row>
    <row r="1476" spans="1:11" x14ac:dyDescent="0.25">
      <c r="A1476" s="1" t="s">
        <v>11</v>
      </c>
      <c r="B1476" s="1" t="s">
        <v>1672</v>
      </c>
      <c r="C1476" s="1" t="s">
        <v>26</v>
      </c>
      <c r="D1476" s="1" t="s">
        <v>2077</v>
      </c>
      <c r="E1476" s="1" t="s">
        <v>1997</v>
      </c>
      <c r="F1476" s="1" t="s">
        <v>14</v>
      </c>
      <c r="G1476" s="1">
        <v>43780000</v>
      </c>
      <c r="H1476" s="1">
        <v>3980000</v>
      </c>
      <c r="I1476" s="1">
        <v>0</v>
      </c>
      <c r="J1476" s="1" t="s">
        <v>14</v>
      </c>
      <c r="K1476" s="1">
        <v>47760000</v>
      </c>
    </row>
    <row r="1477" spans="1:11" x14ac:dyDescent="0.25">
      <c r="A1477" s="1" t="s">
        <v>11</v>
      </c>
      <c r="B1477" s="1" t="s">
        <v>1672</v>
      </c>
      <c r="C1477" s="1" t="s">
        <v>26</v>
      </c>
      <c r="D1477" s="1" t="s">
        <v>2078</v>
      </c>
      <c r="E1477" s="1" t="s">
        <v>1195</v>
      </c>
      <c r="F1477" s="1" t="s">
        <v>14</v>
      </c>
      <c r="G1477" s="1">
        <v>1230952</v>
      </c>
      <c r="H1477" s="1">
        <v>0</v>
      </c>
      <c r="I1477" s="1">
        <v>0</v>
      </c>
      <c r="J1477" s="1" t="s">
        <v>14</v>
      </c>
      <c r="K1477" s="1">
        <v>1230952</v>
      </c>
    </row>
    <row r="1478" spans="1:11" x14ac:dyDescent="0.25">
      <c r="A1478" s="1" t="s">
        <v>11</v>
      </c>
      <c r="B1478" s="1" t="s">
        <v>1672</v>
      </c>
      <c r="C1478" s="1" t="s">
        <v>26</v>
      </c>
      <c r="D1478" s="1" t="s">
        <v>2079</v>
      </c>
      <c r="E1478" s="1" t="s">
        <v>1461</v>
      </c>
      <c r="F1478" s="1" t="s">
        <v>14</v>
      </c>
      <c r="G1478" s="1">
        <v>7000000</v>
      </c>
      <c r="H1478" s="1">
        <v>0</v>
      </c>
      <c r="I1478" s="1">
        <v>0</v>
      </c>
      <c r="J1478" s="1" t="s">
        <v>14</v>
      </c>
      <c r="K1478" s="1">
        <v>7000000</v>
      </c>
    </row>
    <row r="1479" spans="1:11" x14ac:dyDescent="0.25">
      <c r="A1479" s="1" t="s">
        <v>11</v>
      </c>
      <c r="B1479" s="1" t="s">
        <v>1672</v>
      </c>
      <c r="C1479" s="1" t="s">
        <v>26</v>
      </c>
      <c r="D1479" s="1" t="s">
        <v>2080</v>
      </c>
      <c r="E1479" s="1" t="s">
        <v>2001</v>
      </c>
      <c r="F1479" s="1" t="s">
        <v>14</v>
      </c>
      <c r="G1479" s="1">
        <v>8318200</v>
      </c>
      <c r="H1479" s="1">
        <v>756200</v>
      </c>
      <c r="I1479" s="1">
        <v>0</v>
      </c>
      <c r="J1479" s="1" t="s">
        <v>14</v>
      </c>
      <c r="K1479" s="1">
        <v>9074400</v>
      </c>
    </row>
    <row r="1480" spans="1:11" x14ac:dyDescent="0.25">
      <c r="A1480" s="1" t="s">
        <v>11</v>
      </c>
      <c r="B1480" s="1" t="s">
        <v>1672</v>
      </c>
      <c r="C1480" s="1" t="s">
        <v>26</v>
      </c>
      <c r="D1480" s="1" t="s">
        <v>2081</v>
      </c>
      <c r="E1480" s="1" t="s">
        <v>1197</v>
      </c>
      <c r="F1480" s="1" t="s">
        <v>14</v>
      </c>
      <c r="G1480" s="1">
        <v>235140</v>
      </c>
      <c r="H1480" s="1">
        <v>0</v>
      </c>
      <c r="I1480" s="1">
        <v>0</v>
      </c>
      <c r="J1480" s="1" t="s">
        <v>14</v>
      </c>
      <c r="K1480" s="1">
        <v>235140</v>
      </c>
    </row>
    <row r="1481" spans="1:11" x14ac:dyDescent="0.25">
      <c r="A1481" s="1" t="s">
        <v>11</v>
      </c>
      <c r="B1481" s="1" t="s">
        <v>1672</v>
      </c>
      <c r="C1481" s="1" t="s">
        <v>23</v>
      </c>
      <c r="D1481" s="1" t="s">
        <v>2082</v>
      </c>
      <c r="E1481" s="1" t="s">
        <v>437</v>
      </c>
      <c r="F1481" s="1" t="s">
        <v>14</v>
      </c>
      <c r="G1481" s="1">
        <v>11285790</v>
      </c>
      <c r="H1481" s="1">
        <v>0</v>
      </c>
      <c r="I1481" s="1">
        <v>0</v>
      </c>
      <c r="J1481" s="1" t="s">
        <v>14</v>
      </c>
      <c r="K1481" s="1">
        <v>11285790</v>
      </c>
    </row>
    <row r="1482" spans="1:11" x14ac:dyDescent="0.25">
      <c r="A1482" s="1" t="s">
        <v>11</v>
      </c>
      <c r="B1482" s="1" t="s">
        <v>1672</v>
      </c>
      <c r="C1482" s="1" t="s">
        <v>26</v>
      </c>
      <c r="D1482" s="1" t="s">
        <v>2083</v>
      </c>
      <c r="E1482" s="1" t="s">
        <v>1212</v>
      </c>
      <c r="F1482" s="1" t="s">
        <v>14</v>
      </c>
      <c r="G1482" s="1">
        <v>2514190</v>
      </c>
      <c r="H1482" s="1">
        <v>0</v>
      </c>
      <c r="I1482" s="1">
        <v>0</v>
      </c>
      <c r="J1482" s="1" t="s">
        <v>14</v>
      </c>
      <c r="K1482" s="1">
        <v>2514190</v>
      </c>
    </row>
    <row r="1483" spans="1:11" x14ac:dyDescent="0.25">
      <c r="A1483" s="1" t="s">
        <v>11</v>
      </c>
      <c r="B1483" s="1" t="s">
        <v>1672</v>
      </c>
      <c r="C1483" s="1" t="s">
        <v>26</v>
      </c>
      <c r="D1483" s="1" t="s">
        <v>2084</v>
      </c>
      <c r="E1483" s="1" t="s">
        <v>1214</v>
      </c>
      <c r="F1483" s="1" t="s">
        <v>14</v>
      </c>
      <c r="G1483" s="1">
        <v>8771600</v>
      </c>
      <c r="H1483" s="1">
        <v>0</v>
      </c>
      <c r="I1483" s="1">
        <v>0</v>
      </c>
      <c r="J1483" s="1" t="s">
        <v>14</v>
      </c>
      <c r="K1483" s="1">
        <v>8771600</v>
      </c>
    </row>
    <row r="1484" spans="1:11" x14ac:dyDescent="0.25">
      <c r="A1484" s="1" t="s">
        <v>11</v>
      </c>
      <c r="B1484" s="1" t="s">
        <v>1672</v>
      </c>
      <c r="C1484" s="1" t="s">
        <v>23</v>
      </c>
      <c r="D1484" s="1" t="s">
        <v>2085</v>
      </c>
      <c r="E1484" s="1" t="s">
        <v>566</v>
      </c>
      <c r="F1484" s="1" t="s">
        <v>14</v>
      </c>
      <c r="G1484" s="1">
        <v>84608992.400000006</v>
      </c>
      <c r="H1484" s="1">
        <v>6869897.2699999996</v>
      </c>
      <c r="I1484" s="1">
        <v>0</v>
      </c>
      <c r="J1484" s="1" t="s">
        <v>14</v>
      </c>
      <c r="K1484" s="1">
        <v>91478889.670000002</v>
      </c>
    </row>
    <row r="1485" spans="1:11" x14ac:dyDescent="0.25">
      <c r="A1485" s="1" t="s">
        <v>11</v>
      </c>
      <c r="B1485" s="1" t="s">
        <v>1672</v>
      </c>
      <c r="C1485" s="1" t="s">
        <v>26</v>
      </c>
      <c r="D1485" s="1" t="s">
        <v>2086</v>
      </c>
      <c r="E1485" s="1" t="s">
        <v>1219</v>
      </c>
      <c r="F1485" s="1" t="s">
        <v>14</v>
      </c>
      <c r="G1485" s="1">
        <v>24947524.920000002</v>
      </c>
      <c r="H1485" s="1">
        <v>1923308.28</v>
      </c>
      <c r="I1485" s="1">
        <v>0</v>
      </c>
      <c r="J1485" s="1" t="s">
        <v>14</v>
      </c>
      <c r="K1485" s="1">
        <v>26870833.199999999</v>
      </c>
    </row>
    <row r="1486" spans="1:11" x14ac:dyDescent="0.25">
      <c r="A1486" s="1" t="s">
        <v>11</v>
      </c>
      <c r="B1486" s="1" t="s">
        <v>1672</v>
      </c>
      <c r="C1486" s="1" t="s">
        <v>26</v>
      </c>
      <c r="D1486" s="1" t="s">
        <v>2087</v>
      </c>
      <c r="E1486" s="1" t="s">
        <v>1221</v>
      </c>
      <c r="F1486" s="1" t="s">
        <v>14</v>
      </c>
      <c r="G1486" s="1">
        <v>7807112.7199999997</v>
      </c>
      <c r="H1486" s="1">
        <v>852787.64</v>
      </c>
      <c r="I1486" s="1">
        <v>0</v>
      </c>
      <c r="J1486" s="1" t="s">
        <v>14</v>
      </c>
      <c r="K1486" s="1">
        <v>8659900.3599999994</v>
      </c>
    </row>
    <row r="1487" spans="1:11" x14ac:dyDescent="0.25">
      <c r="A1487" s="1" t="s">
        <v>11</v>
      </c>
      <c r="B1487" s="1" t="s">
        <v>1672</v>
      </c>
      <c r="C1487" s="1" t="s">
        <v>26</v>
      </c>
      <c r="D1487" s="1" t="s">
        <v>2088</v>
      </c>
      <c r="E1487" s="1" t="s">
        <v>1225</v>
      </c>
      <c r="F1487" s="1" t="s">
        <v>14</v>
      </c>
      <c r="G1487" s="1">
        <v>39341140.939999998</v>
      </c>
      <c r="H1487" s="1">
        <v>3845393.62</v>
      </c>
      <c r="I1487" s="1">
        <v>0</v>
      </c>
      <c r="J1487" s="1" t="s">
        <v>14</v>
      </c>
      <c r="K1487" s="1">
        <v>43186534.560000002</v>
      </c>
    </row>
    <row r="1488" spans="1:11" x14ac:dyDescent="0.25">
      <c r="A1488" s="1" t="s">
        <v>11</v>
      </c>
      <c r="B1488" s="1" t="s">
        <v>1672</v>
      </c>
      <c r="C1488" s="1" t="s">
        <v>26</v>
      </c>
      <c r="D1488" s="1" t="s">
        <v>2089</v>
      </c>
      <c r="E1488" s="1" t="s">
        <v>1227</v>
      </c>
      <c r="F1488" s="1" t="s">
        <v>14</v>
      </c>
      <c r="G1488" s="1">
        <v>489769.64</v>
      </c>
      <c r="H1488" s="1">
        <v>56678.16</v>
      </c>
      <c r="I1488" s="1">
        <v>0</v>
      </c>
      <c r="J1488" s="1" t="s">
        <v>14</v>
      </c>
      <c r="K1488" s="1">
        <v>546447.80000000005</v>
      </c>
    </row>
    <row r="1489" spans="1:11" x14ac:dyDescent="0.25">
      <c r="A1489" s="1" t="s">
        <v>11</v>
      </c>
      <c r="B1489" s="1" t="s">
        <v>1672</v>
      </c>
      <c r="C1489" s="1" t="s">
        <v>26</v>
      </c>
      <c r="D1489" s="1" t="s">
        <v>2090</v>
      </c>
      <c r="E1489" s="1" t="s">
        <v>1229</v>
      </c>
      <c r="F1489" s="1" t="s">
        <v>14</v>
      </c>
      <c r="G1489" s="1">
        <v>830170.06</v>
      </c>
      <c r="H1489" s="1">
        <v>85133.1</v>
      </c>
      <c r="I1489" s="1">
        <v>0</v>
      </c>
      <c r="J1489" s="1" t="s">
        <v>14</v>
      </c>
      <c r="K1489" s="1">
        <v>915303.16</v>
      </c>
    </row>
    <row r="1490" spans="1:11" x14ac:dyDescent="0.25">
      <c r="A1490" s="1" t="s">
        <v>11</v>
      </c>
      <c r="B1490" s="1" t="s">
        <v>1672</v>
      </c>
      <c r="C1490" s="1" t="s">
        <v>26</v>
      </c>
      <c r="D1490" s="1" t="s">
        <v>2091</v>
      </c>
      <c r="E1490" s="1" t="s">
        <v>1231</v>
      </c>
      <c r="F1490" s="1" t="s">
        <v>14</v>
      </c>
      <c r="G1490" s="1">
        <v>682232</v>
      </c>
      <c r="H1490" s="1">
        <v>66147</v>
      </c>
      <c r="I1490" s="1">
        <v>0</v>
      </c>
      <c r="J1490" s="1" t="s">
        <v>14</v>
      </c>
      <c r="K1490" s="1">
        <v>748379</v>
      </c>
    </row>
    <row r="1491" spans="1:11" x14ac:dyDescent="0.25">
      <c r="A1491" s="1" t="s">
        <v>11</v>
      </c>
      <c r="B1491" s="1" t="s">
        <v>1672</v>
      </c>
      <c r="C1491" s="1" t="s">
        <v>26</v>
      </c>
      <c r="D1491" s="1" t="s">
        <v>2092</v>
      </c>
      <c r="E1491" s="1" t="s">
        <v>1479</v>
      </c>
      <c r="F1491" s="1" t="s">
        <v>14</v>
      </c>
      <c r="G1491" s="1">
        <v>10118938</v>
      </c>
      <c r="H1491" s="1">
        <v>0</v>
      </c>
      <c r="I1491" s="1">
        <v>0</v>
      </c>
      <c r="J1491" s="1" t="s">
        <v>14</v>
      </c>
      <c r="K1491" s="1">
        <v>10118938</v>
      </c>
    </row>
    <row r="1492" spans="1:11" x14ac:dyDescent="0.25">
      <c r="A1492" s="1" t="s">
        <v>11</v>
      </c>
      <c r="B1492" s="1" t="s">
        <v>1672</v>
      </c>
      <c r="C1492" s="1" t="s">
        <v>26</v>
      </c>
      <c r="D1492" s="1" t="s">
        <v>2093</v>
      </c>
      <c r="E1492" s="1" t="s">
        <v>1233</v>
      </c>
      <c r="F1492" s="1" t="s">
        <v>14</v>
      </c>
      <c r="G1492" s="1">
        <v>96030.74</v>
      </c>
      <c r="H1492" s="1">
        <v>11496.3</v>
      </c>
      <c r="I1492" s="1">
        <v>0</v>
      </c>
      <c r="J1492" s="1" t="s">
        <v>14</v>
      </c>
      <c r="K1492" s="1">
        <v>107527.03999999999</v>
      </c>
    </row>
    <row r="1493" spans="1:11" x14ac:dyDescent="0.25">
      <c r="A1493" s="1" t="s">
        <v>11</v>
      </c>
      <c r="B1493" s="1" t="s">
        <v>1672</v>
      </c>
      <c r="C1493" s="1" t="s">
        <v>26</v>
      </c>
      <c r="D1493" s="1" t="s">
        <v>2094</v>
      </c>
      <c r="E1493" s="1" t="s">
        <v>1235</v>
      </c>
      <c r="F1493" s="1" t="s">
        <v>14</v>
      </c>
      <c r="G1493" s="1">
        <v>162471.38</v>
      </c>
      <c r="H1493" s="1">
        <v>15935.17</v>
      </c>
      <c r="I1493" s="1">
        <v>0</v>
      </c>
      <c r="J1493" s="1" t="s">
        <v>14</v>
      </c>
      <c r="K1493" s="1">
        <v>178406.55</v>
      </c>
    </row>
    <row r="1494" spans="1:11" x14ac:dyDescent="0.25">
      <c r="A1494" s="1" t="s">
        <v>11</v>
      </c>
      <c r="B1494" s="1" t="s">
        <v>1672</v>
      </c>
      <c r="C1494" s="1" t="s">
        <v>26</v>
      </c>
      <c r="D1494" s="1" t="s">
        <v>2095</v>
      </c>
      <c r="E1494" s="1" t="s">
        <v>1237</v>
      </c>
      <c r="F1494" s="1" t="s">
        <v>14</v>
      </c>
      <c r="G1494" s="1">
        <v>133602</v>
      </c>
      <c r="H1494" s="1">
        <v>13018</v>
      </c>
      <c r="I1494" s="1">
        <v>0</v>
      </c>
      <c r="J1494" s="1" t="s">
        <v>14</v>
      </c>
      <c r="K1494" s="1">
        <v>146620</v>
      </c>
    </row>
    <row r="1495" spans="1:11" x14ac:dyDescent="0.25">
      <c r="A1495" s="1" t="s">
        <v>11</v>
      </c>
      <c r="B1495" s="1" t="s">
        <v>1672</v>
      </c>
      <c r="C1495" s="1" t="s">
        <v>23</v>
      </c>
      <c r="D1495" s="1" t="s">
        <v>2096</v>
      </c>
      <c r="E1495" s="1" t="s">
        <v>1239</v>
      </c>
      <c r="F1495" s="1" t="s">
        <v>14</v>
      </c>
      <c r="G1495" s="1">
        <v>2027172719</v>
      </c>
      <c r="H1495" s="1">
        <v>23829092</v>
      </c>
      <c r="I1495" s="1">
        <v>0</v>
      </c>
      <c r="J1495" s="1" t="s">
        <v>14</v>
      </c>
      <c r="K1495" s="1">
        <v>2051001811</v>
      </c>
    </row>
    <row r="1496" spans="1:11" x14ac:dyDescent="0.25">
      <c r="A1496" s="1" t="s">
        <v>11</v>
      </c>
      <c r="B1496" s="1" t="s">
        <v>1672</v>
      </c>
      <c r="C1496" s="1" t="s">
        <v>26</v>
      </c>
      <c r="D1496" s="1" t="s">
        <v>2097</v>
      </c>
      <c r="E1496" s="1" t="s">
        <v>1241</v>
      </c>
      <c r="F1496" s="1" t="s">
        <v>14</v>
      </c>
      <c r="G1496" s="1">
        <v>193674970</v>
      </c>
      <c r="H1496" s="1">
        <v>22169852</v>
      </c>
      <c r="I1496" s="1">
        <v>0</v>
      </c>
      <c r="J1496" s="1" t="s">
        <v>14</v>
      </c>
      <c r="K1496" s="1">
        <v>215844822</v>
      </c>
    </row>
    <row r="1497" spans="1:11" x14ac:dyDescent="0.25">
      <c r="A1497" s="1" t="s">
        <v>11</v>
      </c>
      <c r="B1497" s="1" t="s">
        <v>1672</v>
      </c>
      <c r="C1497" s="1" t="s">
        <v>26</v>
      </c>
      <c r="D1497" s="1" t="s">
        <v>2098</v>
      </c>
      <c r="E1497" s="1" t="s">
        <v>2099</v>
      </c>
      <c r="F1497" s="1" t="s">
        <v>14</v>
      </c>
      <c r="G1497" s="1">
        <v>1751941733</v>
      </c>
      <c r="H1497" s="1">
        <v>0</v>
      </c>
      <c r="I1497" s="1">
        <v>0</v>
      </c>
      <c r="J1497" s="1" t="s">
        <v>14</v>
      </c>
      <c r="K1497" s="1">
        <v>1751941733</v>
      </c>
    </row>
    <row r="1498" spans="1:11" x14ac:dyDescent="0.25">
      <c r="A1498" s="1" t="s">
        <v>11</v>
      </c>
      <c r="B1498" s="1" t="s">
        <v>1672</v>
      </c>
      <c r="C1498" s="1" t="s">
        <v>26</v>
      </c>
      <c r="D1498" s="1" t="s">
        <v>2100</v>
      </c>
      <c r="E1498" s="1" t="s">
        <v>2101</v>
      </c>
      <c r="F1498" s="1" t="s">
        <v>14</v>
      </c>
      <c r="G1498" s="1">
        <v>42165750</v>
      </c>
      <c r="H1498" s="1">
        <v>0</v>
      </c>
      <c r="I1498" s="1">
        <v>0</v>
      </c>
      <c r="J1498" s="1" t="s">
        <v>14</v>
      </c>
      <c r="K1498" s="1">
        <v>42165750</v>
      </c>
    </row>
    <row r="1499" spans="1:11" x14ac:dyDescent="0.25">
      <c r="A1499" s="1" t="s">
        <v>11</v>
      </c>
      <c r="B1499" s="1" t="s">
        <v>1672</v>
      </c>
      <c r="C1499" s="1" t="s">
        <v>26</v>
      </c>
      <c r="D1499" s="1" t="s">
        <v>2102</v>
      </c>
      <c r="E1499" s="1" t="s">
        <v>2103</v>
      </c>
      <c r="F1499" s="1" t="s">
        <v>14</v>
      </c>
      <c r="G1499" s="1">
        <v>27840000</v>
      </c>
      <c r="H1499" s="1">
        <v>250000</v>
      </c>
      <c r="I1499" s="1">
        <v>0</v>
      </c>
      <c r="J1499" s="1" t="s">
        <v>14</v>
      </c>
      <c r="K1499" s="1">
        <v>28090000</v>
      </c>
    </row>
    <row r="1500" spans="1:11" x14ac:dyDescent="0.25">
      <c r="A1500" s="1" t="s">
        <v>11</v>
      </c>
      <c r="B1500" s="1" t="s">
        <v>1672</v>
      </c>
      <c r="C1500" s="1" t="s">
        <v>26</v>
      </c>
      <c r="D1500" s="1" t="s">
        <v>2104</v>
      </c>
      <c r="E1500" s="1" t="s">
        <v>1239</v>
      </c>
      <c r="F1500" s="1" t="s">
        <v>14</v>
      </c>
      <c r="G1500" s="1">
        <v>4565522</v>
      </c>
      <c r="H1500" s="1">
        <v>0</v>
      </c>
      <c r="I1500" s="1">
        <v>0</v>
      </c>
      <c r="J1500" s="1" t="s">
        <v>14</v>
      </c>
      <c r="K1500" s="1">
        <v>4565522</v>
      </c>
    </row>
    <row r="1501" spans="1:11" x14ac:dyDescent="0.25">
      <c r="A1501" s="1" t="s">
        <v>11</v>
      </c>
      <c r="B1501" s="1" t="s">
        <v>1672</v>
      </c>
      <c r="C1501" s="1" t="s">
        <v>26</v>
      </c>
      <c r="D1501" s="1" t="s">
        <v>2105</v>
      </c>
      <c r="E1501" s="1" t="s">
        <v>1497</v>
      </c>
      <c r="F1501" s="1" t="s">
        <v>14</v>
      </c>
      <c r="G1501" s="1">
        <v>6851744</v>
      </c>
      <c r="H1501" s="1">
        <v>1409240</v>
      </c>
      <c r="I1501" s="1">
        <v>0</v>
      </c>
      <c r="J1501" s="1" t="s">
        <v>14</v>
      </c>
      <c r="K1501" s="1">
        <v>8260984</v>
      </c>
    </row>
    <row r="1502" spans="1:11" x14ac:dyDescent="0.25">
      <c r="A1502" s="1" t="s">
        <v>11</v>
      </c>
      <c r="B1502" s="1" t="s">
        <v>1672</v>
      </c>
      <c r="C1502" s="1" t="s">
        <v>26</v>
      </c>
      <c r="D1502" s="1" t="s">
        <v>2106</v>
      </c>
      <c r="E1502" s="1" t="s">
        <v>1244</v>
      </c>
      <c r="F1502" s="1" t="s">
        <v>14</v>
      </c>
      <c r="G1502" s="1">
        <v>133000</v>
      </c>
      <c r="H1502" s="1">
        <v>0</v>
      </c>
      <c r="I1502" s="1">
        <v>0</v>
      </c>
      <c r="J1502" s="1" t="s">
        <v>14</v>
      </c>
      <c r="K1502" s="1">
        <v>133000</v>
      </c>
    </row>
    <row r="1503" spans="1:11" x14ac:dyDescent="0.25">
      <c r="A1503" s="1" t="s">
        <v>11</v>
      </c>
      <c r="B1503" s="1" t="s">
        <v>1672</v>
      </c>
      <c r="C1503" s="1" t="s">
        <v>23</v>
      </c>
      <c r="D1503" s="1" t="s">
        <v>2107</v>
      </c>
      <c r="E1503" s="1" t="s">
        <v>1257</v>
      </c>
      <c r="F1503" s="1" t="s">
        <v>14</v>
      </c>
      <c r="G1503" s="1">
        <v>313529044</v>
      </c>
      <c r="H1503" s="1">
        <v>1702303</v>
      </c>
      <c r="I1503" s="1">
        <v>0</v>
      </c>
      <c r="J1503" s="1" t="s">
        <v>14</v>
      </c>
      <c r="K1503" s="1">
        <v>315231347</v>
      </c>
    </row>
    <row r="1504" spans="1:11" x14ac:dyDescent="0.25">
      <c r="A1504" s="1" t="s">
        <v>11</v>
      </c>
      <c r="B1504" s="1" t="s">
        <v>1672</v>
      </c>
      <c r="C1504" s="1" t="s">
        <v>26</v>
      </c>
      <c r="D1504" s="1" t="s">
        <v>2108</v>
      </c>
      <c r="E1504" s="1" t="s">
        <v>1820</v>
      </c>
      <c r="F1504" s="1" t="s">
        <v>14</v>
      </c>
      <c r="G1504" s="1">
        <v>262361715</v>
      </c>
      <c r="H1504" s="1">
        <v>1430507</v>
      </c>
      <c r="I1504" s="1">
        <v>0</v>
      </c>
      <c r="J1504" s="1" t="s">
        <v>14</v>
      </c>
      <c r="K1504" s="1">
        <v>263792222</v>
      </c>
    </row>
    <row r="1505" spans="1:11" x14ac:dyDescent="0.25">
      <c r="A1505" s="1" t="s">
        <v>11</v>
      </c>
      <c r="B1505" s="1" t="s">
        <v>1672</v>
      </c>
      <c r="C1505" s="1" t="s">
        <v>26</v>
      </c>
      <c r="D1505" s="1" t="s">
        <v>2109</v>
      </c>
      <c r="E1505" s="1" t="s">
        <v>1522</v>
      </c>
      <c r="F1505" s="1" t="s">
        <v>14</v>
      </c>
      <c r="G1505" s="1">
        <v>3290000</v>
      </c>
      <c r="H1505" s="1">
        <v>0</v>
      </c>
      <c r="I1505" s="1">
        <v>0</v>
      </c>
      <c r="J1505" s="1" t="s">
        <v>14</v>
      </c>
      <c r="K1505" s="1">
        <v>3290000</v>
      </c>
    </row>
    <row r="1506" spans="1:11" x14ac:dyDescent="0.25">
      <c r="A1506" s="1" t="s">
        <v>11</v>
      </c>
      <c r="B1506" s="1" t="s">
        <v>1672</v>
      </c>
      <c r="C1506" s="1" t="s">
        <v>26</v>
      </c>
      <c r="D1506" s="1" t="s">
        <v>2110</v>
      </c>
      <c r="E1506" s="1" t="s">
        <v>1823</v>
      </c>
      <c r="F1506" s="1" t="s">
        <v>14</v>
      </c>
      <c r="G1506" s="1">
        <v>47252229</v>
      </c>
      <c r="H1506" s="1">
        <v>271796</v>
      </c>
      <c r="I1506" s="1">
        <v>0</v>
      </c>
      <c r="J1506" s="1" t="s">
        <v>14</v>
      </c>
      <c r="K1506" s="1">
        <v>47524025</v>
      </c>
    </row>
    <row r="1507" spans="1:11" x14ac:dyDescent="0.25">
      <c r="A1507" s="1" t="s">
        <v>11</v>
      </c>
      <c r="B1507" s="1" t="s">
        <v>1672</v>
      </c>
      <c r="C1507" s="1" t="s">
        <v>26</v>
      </c>
      <c r="D1507" s="1" t="s">
        <v>2111</v>
      </c>
      <c r="E1507" s="1" t="s">
        <v>1534</v>
      </c>
      <c r="F1507" s="1" t="s">
        <v>14</v>
      </c>
      <c r="G1507" s="1">
        <v>625100</v>
      </c>
      <c r="H1507" s="1">
        <v>0</v>
      </c>
      <c r="I1507" s="1">
        <v>0</v>
      </c>
      <c r="J1507" s="1" t="s">
        <v>14</v>
      </c>
      <c r="K1507" s="1">
        <v>625100</v>
      </c>
    </row>
    <row r="1508" spans="1:11" x14ac:dyDescent="0.25">
      <c r="A1508" s="1" t="s">
        <v>11</v>
      </c>
      <c r="B1508" s="1" t="s">
        <v>1672</v>
      </c>
      <c r="C1508" s="1" t="s">
        <v>23</v>
      </c>
      <c r="D1508" s="1" t="s">
        <v>2112</v>
      </c>
      <c r="E1508" s="1" t="s">
        <v>1263</v>
      </c>
      <c r="F1508" s="1" t="s">
        <v>14</v>
      </c>
      <c r="G1508" s="1">
        <v>233418222.63</v>
      </c>
      <c r="H1508" s="1">
        <v>0</v>
      </c>
      <c r="I1508" s="1">
        <v>0</v>
      </c>
      <c r="J1508" s="1" t="s">
        <v>14</v>
      </c>
      <c r="K1508" s="1">
        <v>233418222.63</v>
      </c>
    </row>
    <row r="1509" spans="1:11" x14ac:dyDescent="0.25">
      <c r="A1509" s="1" t="s">
        <v>11</v>
      </c>
      <c r="B1509" s="1" t="s">
        <v>1672</v>
      </c>
      <c r="C1509" s="1" t="s">
        <v>26</v>
      </c>
      <c r="D1509" s="1" t="s">
        <v>2113</v>
      </c>
      <c r="E1509" s="1" t="s">
        <v>1265</v>
      </c>
      <c r="F1509" s="1" t="s">
        <v>14</v>
      </c>
      <c r="G1509" s="1">
        <v>28199421.600000001</v>
      </c>
      <c r="H1509" s="1">
        <v>0</v>
      </c>
      <c r="I1509" s="1">
        <v>0</v>
      </c>
      <c r="J1509" s="1" t="s">
        <v>14</v>
      </c>
      <c r="K1509" s="1">
        <v>28199421.600000001</v>
      </c>
    </row>
    <row r="1510" spans="1:11" x14ac:dyDescent="0.25">
      <c r="A1510" s="1" t="s">
        <v>11</v>
      </c>
      <c r="B1510" s="1" t="s">
        <v>1672</v>
      </c>
      <c r="C1510" s="1" t="s">
        <v>26</v>
      </c>
      <c r="D1510" s="1" t="s">
        <v>2114</v>
      </c>
      <c r="E1510" s="1" t="s">
        <v>1538</v>
      </c>
      <c r="F1510" s="1" t="s">
        <v>14</v>
      </c>
      <c r="G1510" s="1">
        <v>135927888.71000001</v>
      </c>
      <c r="H1510" s="1">
        <v>0</v>
      </c>
      <c r="I1510" s="1">
        <v>0</v>
      </c>
      <c r="J1510" s="1" t="s">
        <v>14</v>
      </c>
      <c r="K1510" s="1">
        <v>135927888.71000001</v>
      </c>
    </row>
    <row r="1511" spans="1:11" x14ac:dyDescent="0.25">
      <c r="A1511" s="1" t="s">
        <v>11</v>
      </c>
      <c r="B1511" s="1" t="s">
        <v>1672</v>
      </c>
      <c r="C1511" s="1" t="s">
        <v>26</v>
      </c>
      <c r="D1511" s="1" t="s">
        <v>2115</v>
      </c>
      <c r="E1511" s="1" t="s">
        <v>1267</v>
      </c>
      <c r="F1511" s="1" t="s">
        <v>14</v>
      </c>
      <c r="G1511" s="1">
        <v>37390913.149999999</v>
      </c>
      <c r="H1511" s="1">
        <v>0</v>
      </c>
      <c r="I1511" s="1">
        <v>0</v>
      </c>
      <c r="J1511" s="1" t="s">
        <v>14</v>
      </c>
      <c r="K1511" s="1">
        <v>37390913.149999999</v>
      </c>
    </row>
    <row r="1512" spans="1:11" x14ac:dyDescent="0.25">
      <c r="A1512" s="1" t="s">
        <v>11</v>
      </c>
      <c r="B1512" s="1" t="s">
        <v>1672</v>
      </c>
      <c r="C1512" s="1" t="s">
        <v>26</v>
      </c>
      <c r="D1512" s="1" t="s">
        <v>2116</v>
      </c>
      <c r="E1512" s="1" t="s">
        <v>1269</v>
      </c>
      <c r="F1512" s="1" t="s">
        <v>14</v>
      </c>
      <c r="G1512" s="1">
        <v>2523250.96</v>
      </c>
      <c r="H1512" s="1">
        <v>0</v>
      </c>
      <c r="I1512" s="1">
        <v>0</v>
      </c>
      <c r="J1512" s="1" t="s">
        <v>14</v>
      </c>
      <c r="K1512" s="1">
        <v>2523250.96</v>
      </c>
    </row>
    <row r="1513" spans="1:11" x14ac:dyDescent="0.25">
      <c r="A1513" s="1" t="s">
        <v>11</v>
      </c>
      <c r="B1513" s="1" t="s">
        <v>1672</v>
      </c>
      <c r="C1513" s="1" t="s">
        <v>26</v>
      </c>
      <c r="D1513" s="1" t="s">
        <v>2117</v>
      </c>
      <c r="E1513" s="1" t="s">
        <v>1542</v>
      </c>
      <c r="F1513" s="1" t="s">
        <v>14</v>
      </c>
      <c r="G1513" s="1">
        <v>29376748.210000001</v>
      </c>
      <c r="H1513" s="1">
        <v>0</v>
      </c>
      <c r="I1513" s="1">
        <v>0</v>
      </c>
      <c r="J1513" s="1" t="s">
        <v>14</v>
      </c>
      <c r="K1513" s="1">
        <v>29376748.210000001</v>
      </c>
    </row>
    <row r="1514" spans="1:11" x14ac:dyDescent="0.25">
      <c r="A1514" s="1" t="s">
        <v>11</v>
      </c>
      <c r="B1514" s="1" t="s">
        <v>1672</v>
      </c>
      <c r="C1514" s="1" t="s">
        <v>23</v>
      </c>
      <c r="D1514" s="1" t="s">
        <v>2118</v>
      </c>
      <c r="E1514" s="1" t="s">
        <v>1273</v>
      </c>
      <c r="F1514" s="1" t="s">
        <v>14</v>
      </c>
      <c r="G1514" s="1">
        <v>3154808</v>
      </c>
      <c r="H1514" s="1">
        <v>248640</v>
      </c>
      <c r="I1514" s="1">
        <v>0</v>
      </c>
      <c r="J1514" s="1" t="s">
        <v>14</v>
      </c>
      <c r="K1514" s="1">
        <v>3403448</v>
      </c>
    </row>
    <row r="1515" spans="1:11" x14ac:dyDescent="0.25">
      <c r="A1515" s="1" t="s">
        <v>11</v>
      </c>
      <c r="B1515" s="1" t="s">
        <v>1672</v>
      </c>
      <c r="C1515" s="1" t="s">
        <v>26</v>
      </c>
      <c r="D1515" s="1" t="s">
        <v>2119</v>
      </c>
      <c r="E1515" s="1" t="s">
        <v>1273</v>
      </c>
      <c r="F1515" s="1" t="s">
        <v>14</v>
      </c>
      <c r="G1515" s="1">
        <v>3154808</v>
      </c>
      <c r="H1515" s="1">
        <v>248640</v>
      </c>
      <c r="I1515" s="1">
        <v>0</v>
      </c>
      <c r="J1515" s="1" t="s">
        <v>14</v>
      </c>
      <c r="K1515" s="1">
        <v>3403448</v>
      </c>
    </row>
    <row r="1516" spans="1:11" x14ac:dyDescent="0.25">
      <c r="A1516" s="1" t="s">
        <v>11</v>
      </c>
      <c r="B1516" s="1" t="s">
        <v>1672</v>
      </c>
      <c r="C1516" s="1" t="s">
        <v>23</v>
      </c>
      <c r="D1516" s="1" t="s">
        <v>2120</v>
      </c>
      <c r="E1516" s="1" t="s">
        <v>1289</v>
      </c>
      <c r="F1516" s="1" t="s">
        <v>14</v>
      </c>
      <c r="G1516" s="1">
        <v>399335</v>
      </c>
      <c r="H1516" s="1">
        <v>61425</v>
      </c>
      <c r="I1516" s="1">
        <v>0</v>
      </c>
      <c r="J1516" s="1" t="s">
        <v>14</v>
      </c>
      <c r="K1516" s="1">
        <v>460760</v>
      </c>
    </row>
    <row r="1517" spans="1:11" x14ac:dyDescent="0.25">
      <c r="A1517" s="1" t="s">
        <v>11</v>
      </c>
      <c r="B1517" s="1" t="s">
        <v>1672</v>
      </c>
      <c r="C1517" s="1" t="s">
        <v>26</v>
      </c>
      <c r="D1517" s="1" t="s">
        <v>2121</v>
      </c>
      <c r="E1517" s="1" t="s">
        <v>1291</v>
      </c>
      <c r="F1517" s="1" t="s">
        <v>14</v>
      </c>
      <c r="G1517" s="1">
        <v>276101</v>
      </c>
      <c r="H1517" s="1">
        <v>61425</v>
      </c>
      <c r="I1517" s="1">
        <v>0</v>
      </c>
      <c r="J1517" s="1" t="s">
        <v>14</v>
      </c>
      <c r="K1517" s="1">
        <v>337526</v>
      </c>
    </row>
    <row r="1518" spans="1:11" x14ac:dyDescent="0.25">
      <c r="A1518" s="1" t="s">
        <v>11</v>
      </c>
      <c r="B1518" s="1" t="s">
        <v>1672</v>
      </c>
      <c r="C1518" s="1" t="s">
        <v>26</v>
      </c>
      <c r="D1518" s="1" t="s">
        <v>2122</v>
      </c>
      <c r="E1518" s="1" t="s">
        <v>1293</v>
      </c>
      <c r="F1518" s="1" t="s">
        <v>14</v>
      </c>
      <c r="G1518" s="1">
        <v>123234</v>
      </c>
      <c r="H1518" s="1">
        <v>0</v>
      </c>
      <c r="I1518" s="1">
        <v>0</v>
      </c>
      <c r="J1518" s="1" t="s">
        <v>14</v>
      </c>
      <c r="K1518" s="1">
        <v>123234</v>
      </c>
    </row>
    <row r="1519" spans="1:11" x14ac:dyDescent="0.25">
      <c r="A1519" s="1" t="s">
        <v>11</v>
      </c>
      <c r="B1519" s="1" t="s">
        <v>1672</v>
      </c>
      <c r="C1519" s="1" t="s">
        <v>18</v>
      </c>
      <c r="D1519" s="1" t="s">
        <v>2123</v>
      </c>
      <c r="E1519" s="1" t="s">
        <v>825</v>
      </c>
      <c r="F1519" s="1" t="s">
        <v>14</v>
      </c>
      <c r="G1519" s="1">
        <v>477064138.11000001</v>
      </c>
      <c r="H1519" s="1">
        <v>2335076.6</v>
      </c>
      <c r="I1519" s="1">
        <v>5800</v>
      </c>
      <c r="J1519" s="1" t="s">
        <v>14</v>
      </c>
      <c r="K1519" s="1">
        <v>479393414.70999998</v>
      </c>
    </row>
    <row r="1520" spans="1:11" x14ac:dyDescent="0.25">
      <c r="A1520" s="1" t="s">
        <v>11</v>
      </c>
      <c r="B1520" s="1" t="s">
        <v>1672</v>
      </c>
      <c r="C1520" s="1" t="s">
        <v>21</v>
      </c>
      <c r="D1520" s="1" t="s">
        <v>2124</v>
      </c>
      <c r="E1520" s="1" t="s">
        <v>1098</v>
      </c>
      <c r="F1520" s="1" t="s">
        <v>14</v>
      </c>
      <c r="G1520" s="1">
        <v>7820433.7999999998</v>
      </c>
      <c r="H1520" s="1">
        <v>1378853.17</v>
      </c>
      <c r="I1520" s="1">
        <v>5800</v>
      </c>
      <c r="J1520" s="1" t="s">
        <v>14</v>
      </c>
      <c r="K1520" s="1">
        <v>9193486.9700000007</v>
      </c>
    </row>
    <row r="1521" spans="1:11" x14ac:dyDescent="0.25">
      <c r="A1521" s="1" t="s">
        <v>11</v>
      </c>
      <c r="B1521" s="1" t="s">
        <v>1672</v>
      </c>
      <c r="C1521" s="1" t="s">
        <v>23</v>
      </c>
      <c r="D1521" s="1" t="s">
        <v>2125</v>
      </c>
      <c r="E1521" s="1" t="s">
        <v>1679</v>
      </c>
      <c r="F1521" s="1" t="s">
        <v>14</v>
      </c>
      <c r="G1521" s="1">
        <v>875441</v>
      </c>
      <c r="H1521" s="1">
        <v>10502</v>
      </c>
      <c r="I1521" s="1">
        <v>0</v>
      </c>
      <c r="J1521" s="1" t="s">
        <v>14</v>
      </c>
      <c r="K1521" s="1">
        <v>885943</v>
      </c>
    </row>
    <row r="1522" spans="1:11" x14ac:dyDescent="0.25">
      <c r="A1522" s="1" t="s">
        <v>11</v>
      </c>
      <c r="B1522" s="1" t="s">
        <v>1672</v>
      </c>
      <c r="C1522" s="1" t="s">
        <v>26</v>
      </c>
      <c r="D1522" s="1" t="s">
        <v>2126</v>
      </c>
      <c r="E1522" s="1" t="s">
        <v>246</v>
      </c>
      <c r="F1522" s="1" t="s">
        <v>14</v>
      </c>
      <c r="G1522" s="1">
        <v>81191</v>
      </c>
      <c r="H1522" s="1">
        <v>10502</v>
      </c>
      <c r="I1522" s="1">
        <v>0</v>
      </c>
      <c r="J1522" s="1" t="s">
        <v>14</v>
      </c>
      <c r="K1522" s="1">
        <v>91693</v>
      </c>
    </row>
    <row r="1523" spans="1:11" x14ac:dyDescent="0.25">
      <c r="A1523" s="1" t="s">
        <v>11</v>
      </c>
      <c r="B1523" s="1" t="s">
        <v>1672</v>
      </c>
      <c r="C1523" s="1" t="s">
        <v>26</v>
      </c>
      <c r="D1523" s="1" t="s">
        <v>2127</v>
      </c>
      <c r="E1523" s="1" t="s">
        <v>1683</v>
      </c>
      <c r="F1523" s="1" t="s">
        <v>14</v>
      </c>
      <c r="G1523" s="1">
        <v>793770</v>
      </c>
      <c r="H1523" s="1">
        <v>0</v>
      </c>
      <c r="I1523" s="1">
        <v>0</v>
      </c>
      <c r="J1523" s="1" t="s">
        <v>14</v>
      </c>
      <c r="K1523" s="1">
        <v>793770</v>
      </c>
    </row>
    <row r="1524" spans="1:11" x14ac:dyDescent="0.25">
      <c r="A1524" s="1" t="s">
        <v>11</v>
      </c>
      <c r="B1524" s="1" t="s">
        <v>1672</v>
      </c>
      <c r="C1524" s="1" t="s">
        <v>26</v>
      </c>
      <c r="D1524" s="1" t="s">
        <v>2128</v>
      </c>
      <c r="E1524" s="1" t="s">
        <v>1685</v>
      </c>
      <c r="F1524" s="1" t="s">
        <v>14</v>
      </c>
      <c r="G1524" s="1">
        <v>480</v>
      </c>
      <c r="H1524" s="1">
        <v>0</v>
      </c>
      <c r="I1524" s="1">
        <v>0</v>
      </c>
      <c r="J1524" s="1" t="s">
        <v>14</v>
      </c>
      <c r="K1524" s="1">
        <v>480</v>
      </c>
    </row>
    <row r="1525" spans="1:11" x14ac:dyDescent="0.25">
      <c r="A1525" s="1" t="s">
        <v>11</v>
      </c>
      <c r="B1525" s="1" t="s">
        <v>1672</v>
      </c>
      <c r="C1525" s="1" t="s">
        <v>23</v>
      </c>
      <c r="D1525" s="1" t="s">
        <v>2129</v>
      </c>
      <c r="E1525" s="1" t="s">
        <v>1100</v>
      </c>
      <c r="F1525" s="1" t="s">
        <v>14</v>
      </c>
      <c r="G1525" s="1">
        <v>6944992.7999999998</v>
      </c>
      <c r="H1525" s="1">
        <v>1108336.17</v>
      </c>
      <c r="I1525" s="1">
        <v>5800</v>
      </c>
      <c r="J1525" s="1" t="s">
        <v>14</v>
      </c>
      <c r="K1525" s="1">
        <v>8047528.9699999997</v>
      </c>
    </row>
    <row r="1526" spans="1:11" x14ac:dyDescent="0.25">
      <c r="A1526" s="1" t="s">
        <v>11</v>
      </c>
      <c r="B1526" s="1" t="s">
        <v>1672</v>
      </c>
      <c r="C1526" s="1" t="s">
        <v>26</v>
      </c>
      <c r="D1526" s="1" t="s">
        <v>2130</v>
      </c>
      <c r="E1526" s="1" t="s">
        <v>1100</v>
      </c>
      <c r="F1526" s="1" t="s">
        <v>14</v>
      </c>
      <c r="G1526" s="1">
        <v>6944992.7999999998</v>
      </c>
      <c r="H1526" s="1">
        <v>1108336.17</v>
      </c>
      <c r="I1526" s="1">
        <v>5800</v>
      </c>
      <c r="J1526" s="1" t="s">
        <v>14</v>
      </c>
      <c r="K1526" s="1">
        <v>8047528.9699999997</v>
      </c>
    </row>
    <row r="1527" spans="1:11" x14ac:dyDescent="0.25">
      <c r="A1527" s="1" t="s">
        <v>11</v>
      </c>
      <c r="B1527" s="1" t="s">
        <v>1672</v>
      </c>
      <c r="C1527" s="1" t="s">
        <v>23</v>
      </c>
      <c r="D1527" s="1" t="s">
        <v>2131</v>
      </c>
      <c r="E1527" s="1" t="s">
        <v>1103</v>
      </c>
      <c r="F1527" s="1" t="s">
        <v>14</v>
      </c>
      <c r="G1527" s="1">
        <v>0</v>
      </c>
      <c r="H1527" s="1">
        <v>260015</v>
      </c>
      <c r="I1527" s="1">
        <v>0</v>
      </c>
      <c r="J1527" s="1" t="s">
        <v>14</v>
      </c>
      <c r="K1527" s="1">
        <v>260015</v>
      </c>
    </row>
    <row r="1528" spans="1:11" x14ac:dyDescent="0.25">
      <c r="A1528" s="1" t="s">
        <v>11</v>
      </c>
      <c r="B1528" s="1" t="s">
        <v>1672</v>
      </c>
      <c r="C1528" s="1" t="s">
        <v>26</v>
      </c>
      <c r="D1528" s="1" t="s">
        <v>2132</v>
      </c>
      <c r="E1528" s="1" t="s">
        <v>1113</v>
      </c>
      <c r="F1528" s="1" t="s">
        <v>14</v>
      </c>
      <c r="G1528" s="1">
        <v>0</v>
      </c>
      <c r="H1528" s="1">
        <v>218500</v>
      </c>
      <c r="I1528" s="1">
        <v>0</v>
      </c>
      <c r="J1528" s="1" t="s">
        <v>14</v>
      </c>
      <c r="K1528" s="1">
        <v>218500</v>
      </c>
    </row>
    <row r="1529" spans="1:11" x14ac:dyDescent="0.25">
      <c r="A1529" s="1" t="s">
        <v>11</v>
      </c>
      <c r="B1529" s="1" t="s">
        <v>1672</v>
      </c>
      <c r="C1529" s="1" t="s">
        <v>26</v>
      </c>
      <c r="D1529" s="1" t="s">
        <v>2133</v>
      </c>
      <c r="E1529" s="1" t="s">
        <v>1123</v>
      </c>
      <c r="F1529" s="1" t="s">
        <v>14</v>
      </c>
      <c r="G1529" s="1">
        <v>0</v>
      </c>
      <c r="H1529" s="1">
        <v>41515</v>
      </c>
      <c r="I1529" s="1">
        <v>0</v>
      </c>
      <c r="J1529" s="1" t="s">
        <v>14</v>
      </c>
      <c r="K1529" s="1">
        <v>41515</v>
      </c>
    </row>
    <row r="1530" spans="1:11" x14ac:dyDescent="0.25">
      <c r="A1530" s="1" t="s">
        <v>11</v>
      </c>
      <c r="B1530" s="1" t="s">
        <v>1672</v>
      </c>
      <c r="C1530" s="1" t="s">
        <v>21</v>
      </c>
      <c r="D1530" s="1" t="s">
        <v>2134</v>
      </c>
      <c r="E1530" s="1" t="s">
        <v>1125</v>
      </c>
      <c r="F1530" s="1" t="s">
        <v>14</v>
      </c>
      <c r="G1530" s="1">
        <v>441275846.35000002</v>
      </c>
      <c r="H1530" s="1">
        <v>0</v>
      </c>
      <c r="I1530" s="1">
        <v>0</v>
      </c>
      <c r="J1530" s="1" t="s">
        <v>14</v>
      </c>
      <c r="K1530" s="1">
        <v>441275846.35000002</v>
      </c>
    </row>
    <row r="1531" spans="1:11" x14ac:dyDescent="0.25">
      <c r="A1531" s="1" t="s">
        <v>11</v>
      </c>
      <c r="B1531" s="1" t="s">
        <v>1672</v>
      </c>
      <c r="C1531" s="1" t="s">
        <v>23</v>
      </c>
      <c r="D1531" s="1" t="s">
        <v>2135</v>
      </c>
      <c r="E1531" s="1" t="s">
        <v>1127</v>
      </c>
      <c r="F1531" s="1" t="s">
        <v>14</v>
      </c>
      <c r="G1531" s="1">
        <v>440742526.35000002</v>
      </c>
      <c r="H1531" s="1">
        <v>0</v>
      </c>
      <c r="I1531" s="1">
        <v>0</v>
      </c>
      <c r="J1531" s="1" t="s">
        <v>14</v>
      </c>
      <c r="K1531" s="1">
        <v>440742526.35000002</v>
      </c>
    </row>
    <row r="1532" spans="1:11" x14ac:dyDescent="0.25">
      <c r="A1532" s="1" t="s">
        <v>11</v>
      </c>
      <c r="B1532" s="1" t="s">
        <v>1672</v>
      </c>
      <c r="C1532" s="1" t="s">
        <v>26</v>
      </c>
      <c r="D1532" s="1" t="s">
        <v>2136</v>
      </c>
      <c r="E1532" s="1" t="s">
        <v>1131</v>
      </c>
      <c r="F1532" s="1" t="s">
        <v>14</v>
      </c>
      <c r="G1532" s="1">
        <v>230103334</v>
      </c>
      <c r="H1532" s="1">
        <v>0</v>
      </c>
      <c r="I1532" s="1">
        <v>0</v>
      </c>
      <c r="J1532" s="1" t="s">
        <v>14</v>
      </c>
      <c r="K1532" s="1">
        <v>230103334</v>
      </c>
    </row>
    <row r="1533" spans="1:11" x14ac:dyDescent="0.25">
      <c r="A1533" s="1" t="s">
        <v>11</v>
      </c>
      <c r="B1533" s="1" t="s">
        <v>1672</v>
      </c>
      <c r="C1533" s="1" t="s">
        <v>26</v>
      </c>
      <c r="D1533" s="1" t="s">
        <v>2137</v>
      </c>
      <c r="E1533" s="1" t="s">
        <v>1315</v>
      </c>
      <c r="F1533" s="1" t="s">
        <v>14</v>
      </c>
      <c r="G1533" s="1">
        <v>11321368</v>
      </c>
      <c r="H1533" s="1">
        <v>0</v>
      </c>
      <c r="I1533" s="1">
        <v>0</v>
      </c>
      <c r="J1533" s="1" t="s">
        <v>14</v>
      </c>
      <c r="K1533" s="1">
        <v>11321368</v>
      </c>
    </row>
    <row r="1534" spans="1:11" x14ac:dyDescent="0.25">
      <c r="A1534" s="1" t="s">
        <v>11</v>
      </c>
      <c r="B1534" s="1" t="s">
        <v>1672</v>
      </c>
      <c r="C1534" s="1" t="s">
        <v>26</v>
      </c>
      <c r="D1534" s="1" t="s">
        <v>2138</v>
      </c>
      <c r="E1534" s="1" t="s">
        <v>1135</v>
      </c>
      <c r="F1534" s="1" t="s">
        <v>14</v>
      </c>
      <c r="G1534" s="1">
        <v>21310055</v>
      </c>
      <c r="H1534" s="1">
        <v>0</v>
      </c>
      <c r="I1534" s="1">
        <v>0</v>
      </c>
      <c r="J1534" s="1" t="s">
        <v>14</v>
      </c>
      <c r="K1534" s="1">
        <v>21310055</v>
      </c>
    </row>
    <row r="1535" spans="1:11" x14ac:dyDescent="0.25">
      <c r="A1535" s="1" t="s">
        <v>11</v>
      </c>
      <c r="B1535" s="1" t="s">
        <v>1672</v>
      </c>
      <c r="C1535" s="1" t="s">
        <v>26</v>
      </c>
      <c r="D1535" s="1" t="s">
        <v>2139</v>
      </c>
      <c r="E1535" s="1" t="s">
        <v>1318</v>
      </c>
      <c r="F1535" s="1" t="s">
        <v>14</v>
      </c>
      <c r="G1535" s="1">
        <v>15721326</v>
      </c>
      <c r="H1535" s="1">
        <v>0</v>
      </c>
      <c r="I1535" s="1">
        <v>0</v>
      </c>
      <c r="J1535" s="1" t="s">
        <v>14</v>
      </c>
      <c r="K1535" s="1">
        <v>15721326</v>
      </c>
    </row>
    <row r="1536" spans="1:11" x14ac:dyDescent="0.25">
      <c r="A1536" s="1" t="s">
        <v>11</v>
      </c>
      <c r="B1536" s="1" t="s">
        <v>1672</v>
      </c>
      <c r="C1536" s="1" t="s">
        <v>26</v>
      </c>
      <c r="D1536" s="1" t="s">
        <v>2140</v>
      </c>
      <c r="E1536" s="1" t="s">
        <v>224</v>
      </c>
      <c r="F1536" s="1" t="s">
        <v>14</v>
      </c>
      <c r="G1536" s="1">
        <v>1773854</v>
      </c>
      <c r="H1536" s="1">
        <v>0</v>
      </c>
      <c r="I1536" s="1">
        <v>0</v>
      </c>
      <c r="J1536" s="1" t="s">
        <v>14</v>
      </c>
      <c r="K1536" s="1">
        <v>1773854</v>
      </c>
    </row>
    <row r="1537" spans="1:11" x14ac:dyDescent="0.25">
      <c r="A1537" s="1" t="s">
        <v>11</v>
      </c>
      <c r="B1537" s="1" t="s">
        <v>1672</v>
      </c>
      <c r="C1537" s="1" t="s">
        <v>26</v>
      </c>
      <c r="D1537" s="1" t="s">
        <v>2141</v>
      </c>
      <c r="E1537" s="1" t="s">
        <v>1138</v>
      </c>
      <c r="F1537" s="1" t="s">
        <v>14</v>
      </c>
      <c r="G1537" s="1">
        <v>1339200</v>
      </c>
      <c r="H1537" s="1">
        <v>0</v>
      </c>
      <c r="I1537" s="1">
        <v>0</v>
      </c>
      <c r="J1537" s="1" t="s">
        <v>14</v>
      </c>
      <c r="K1537" s="1">
        <v>1339200</v>
      </c>
    </row>
    <row r="1538" spans="1:11" x14ac:dyDescent="0.25">
      <c r="A1538" s="1" t="s">
        <v>11</v>
      </c>
      <c r="B1538" s="1" t="s">
        <v>1672</v>
      </c>
      <c r="C1538" s="1" t="s">
        <v>26</v>
      </c>
      <c r="D1538" s="1" t="s">
        <v>2142</v>
      </c>
      <c r="E1538" s="1" t="s">
        <v>1140</v>
      </c>
      <c r="F1538" s="1" t="s">
        <v>14</v>
      </c>
      <c r="G1538" s="1">
        <v>12279</v>
      </c>
      <c r="H1538" s="1">
        <v>0</v>
      </c>
      <c r="I1538" s="1">
        <v>0</v>
      </c>
      <c r="J1538" s="1" t="s">
        <v>14</v>
      </c>
      <c r="K1538" s="1">
        <v>12279</v>
      </c>
    </row>
    <row r="1539" spans="1:11" x14ac:dyDescent="0.25">
      <c r="A1539" s="1" t="s">
        <v>11</v>
      </c>
      <c r="B1539" s="1" t="s">
        <v>1672</v>
      </c>
      <c r="C1539" s="1" t="s">
        <v>26</v>
      </c>
      <c r="D1539" s="1" t="s">
        <v>2143</v>
      </c>
      <c r="E1539" s="1" t="s">
        <v>1142</v>
      </c>
      <c r="F1539" s="1" t="s">
        <v>14</v>
      </c>
      <c r="G1539" s="1">
        <v>24780483</v>
      </c>
      <c r="H1539" s="1">
        <v>0</v>
      </c>
      <c r="I1539" s="1">
        <v>0</v>
      </c>
      <c r="J1539" s="1" t="s">
        <v>14</v>
      </c>
      <c r="K1539" s="1">
        <v>24780483</v>
      </c>
    </row>
    <row r="1540" spans="1:11" x14ac:dyDescent="0.25">
      <c r="A1540" s="1" t="s">
        <v>11</v>
      </c>
      <c r="B1540" s="1" t="s">
        <v>1672</v>
      </c>
      <c r="C1540" s="1" t="s">
        <v>26</v>
      </c>
      <c r="D1540" s="1" t="s">
        <v>2144</v>
      </c>
      <c r="E1540" s="1" t="s">
        <v>673</v>
      </c>
      <c r="F1540" s="1" t="s">
        <v>14</v>
      </c>
      <c r="G1540" s="1">
        <v>2974852</v>
      </c>
      <c r="H1540" s="1">
        <v>0</v>
      </c>
      <c r="I1540" s="1">
        <v>0</v>
      </c>
      <c r="J1540" s="1" t="s">
        <v>14</v>
      </c>
      <c r="K1540" s="1">
        <v>2974852</v>
      </c>
    </row>
    <row r="1541" spans="1:11" x14ac:dyDescent="0.25">
      <c r="A1541" s="1" t="s">
        <v>11</v>
      </c>
      <c r="B1541" s="1" t="s">
        <v>1672</v>
      </c>
      <c r="C1541" s="1" t="s">
        <v>26</v>
      </c>
      <c r="D1541" s="1" t="s">
        <v>2145</v>
      </c>
      <c r="E1541" s="1" t="s">
        <v>675</v>
      </c>
      <c r="F1541" s="1" t="s">
        <v>14</v>
      </c>
      <c r="G1541" s="1">
        <v>24987924</v>
      </c>
      <c r="H1541" s="1">
        <v>0</v>
      </c>
      <c r="I1541" s="1">
        <v>0</v>
      </c>
      <c r="J1541" s="1" t="s">
        <v>14</v>
      </c>
      <c r="K1541" s="1">
        <v>24987924</v>
      </c>
    </row>
    <row r="1542" spans="1:11" x14ac:dyDescent="0.25">
      <c r="A1542" s="1" t="s">
        <v>11</v>
      </c>
      <c r="B1542" s="1" t="s">
        <v>1672</v>
      </c>
      <c r="C1542" s="1" t="s">
        <v>26</v>
      </c>
      <c r="D1542" s="1" t="s">
        <v>2146</v>
      </c>
      <c r="E1542" s="1" t="s">
        <v>1146</v>
      </c>
      <c r="F1542" s="1" t="s">
        <v>14</v>
      </c>
      <c r="G1542" s="1">
        <v>12384828.68</v>
      </c>
      <c r="H1542" s="1">
        <v>0</v>
      </c>
      <c r="I1542" s="1">
        <v>0</v>
      </c>
      <c r="J1542" s="1" t="s">
        <v>14</v>
      </c>
      <c r="K1542" s="1">
        <v>12384828.68</v>
      </c>
    </row>
    <row r="1543" spans="1:11" x14ac:dyDescent="0.25">
      <c r="A1543" s="1" t="s">
        <v>11</v>
      </c>
      <c r="B1543" s="1" t="s">
        <v>1672</v>
      </c>
      <c r="C1543" s="1" t="s">
        <v>26</v>
      </c>
      <c r="D1543" s="1" t="s">
        <v>2147</v>
      </c>
      <c r="E1543" s="1" t="s">
        <v>1148</v>
      </c>
      <c r="F1543" s="1" t="s">
        <v>14</v>
      </c>
      <c r="G1543" s="1">
        <v>25163204</v>
      </c>
      <c r="H1543" s="1">
        <v>0</v>
      </c>
      <c r="I1543" s="1">
        <v>0</v>
      </c>
      <c r="J1543" s="1" t="s">
        <v>14</v>
      </c>
      <c r="K1543" s="1">
        <v>25163204</v>
      </c>
    </row>
    <row r="1544" spans="1:11" x14ac:dyDescent="0.25">
      <c r="A1544" s="1" t="s">
        <v>11</v>
      </c>
      <c r="B1544" s="1" t="s">
        <v>1672</v>
      </c>
      <c r="C1544" s="1" t="s">
        <v>26</v>
      </c>
      <c r="D1544" s="1" t="s">
        <v>2148</v>
      </c>
      <c r="E1544" s="1" t="s">
        <v>1150</v>
      </c>
      <c r="F1544" s="1" t="s">
        <v>14</v>
      </c>
      <c r="G1544" s="1">
        <v>35601532</v>
      </c>
      <c r="H1544" s="1">
        <v>0</v>
      </c>
      <c r="I1544" s="1">
        <v>0</v>
      </c>
      <c r="J1544" s="1" t="s">
        <v>14</v>
      </c>
      <c r="K1544" s="1">
        <v>35601532</v>
      </c>
    </row>
    <row r="1545" spans="1:11" x14ac:dyDescent="0.25">
      <c r="A1545" s="1" t="s">
        <v>11</v>
      </c>
      <c r="B1545" s="1" t="s">
        <v>1672</v>
      </c>
      <c r="C1545" s="1" t="s">
        <v>26</v>
      </c>
      <c r="D1545" s="1" t="s">
        <v>2149</v>
      </c>
      <c r="E1545" s="1" t="s">
        <v>1152</v>
      </c>
      <c r="F1545" s="1" t="s">
        <v>14</v>
      </c>
      <c r="G1545" s="1">
        <v>6698867</v>
      </c>
      <c r="H1545" s="1">
        <v>0</v>
      </c>
      <c r="I1545" s="1">
        <v>0</v>
      </c>
      <c r="J1545" s="1" t="s">
        <v>14</v>
      </c>
      <c r="K1545" s="1">
        <v>6698867</v>
      </c>
    </row>
    <row r="1546" spans="1:11" x14ac:dyDescent="0.25">
      <c r="A1546" s="1" t="s">
        <v>11</v>
      </c>
      <c r="B1546" s="1" t="s">
        <v>1672</v>
      </c>
      <c r="C1546" s="1" t="s">
        <v>26</v>
      </c>
      <c r="D1546" s="1" t="s">
        <v>2150</v>
      </c>
      <c r="E1546" s="1" t="s">
        <v>1154</v>
      </c>
      <c r="F1546" s="1" t="s">
        <v>14</v>
      </c>
      <c r="G1546" s="1">
        <v>11770723.67</v>
      </c>
      <c r="H1546" s="1">
        <v>0</v>
      </c>
      <c r="I1546" s="1">
        <v>0</v>
      </c>
      <c r="J1546" s="1" t="s">
        <v>14</v>
      </c>
      <c r="K1546" s="1">
        <v>11770723.67</v>
      </c>
    </row>
    <row r="1547" spans="1:11" x14ac:dyDescent="0.25">
      <c r="A1547" s="1" t="s">
        <v>11</v>
      </c>
      <c r="B1547" s="1" t="s">
        <v>1672</v>
      </c>
      <c r="C1547" s="1" t="s">
        <v>26</v>
      </c>
      <c r="D1547" s="1" t="s">
        <v>2151</v>
      </c>
      <c r="E1547" s="1" t="s">
        <v>1156</v>
      </c>
      <c r="F1547" s="1" t="s">
        <v>14</v>
      </c>
      <c r="G1547" s="1">
        <v>8879181</v>
      </c>
      <c r="H1547" s="1">
        <v>0</v>
      </c>
      <c r="I1547" s="1">
        <v>0</v>
      </c>
      <c r="J1547" s="1" t="s">
        <v>14</v>
      </c>
      <c r="K1547" s="1">
        <v>8879181</v>
      </c>
    </row>
    <row r="1548" spans="1:11" x14ac:dyDescent="0.25">
      <c r="A1548" s="1" t="s">
        <v>11</v>
      </c>
      <c r="B1548" s="1" t="s">
        <v>1672</v>
      </c>
      <c r="C1548" s="1" t="s">
        <v>26</v>
      </c>
      <c r="D1548" s="1" t="s">
        <v>2152</v>
      </c>
      <c r="E1548" s="1" t="s">
        <v>1158</v>
      </c>
      <c r="F1548" s="1" t="s">
        <v>14</v>
      </c>
      <c r="G1548" s="1">
        <v>5919515</v>
      </c>
      <c r="H1548" s="1">
        <v>0</v>
      </c>
      <c r="I1548" s="1">
        <v>0</v>
      </c>
      <c r="J1548" s="1" t="s">
        <v>14</v>
      </c>
      <c r="K1548" s="1">
        <v>5919515</v>
      </c>
    </row>
    <row r="1549" spans="1:11" x14ac:dyDescent="0.25">
      <c r="A1549" s="1" t="s">
        <v>11</v>
      </c>
      <c r="B1549" s="1" t="s">
        <v>1672</v>
      </c>
      <c r="C1549" s="1" t="s">
        <v>23</v>
      </c>
      <c r="D1549" s="1" t="s">
        <v>2153</v>
      </c>
      <c r="E1549" s="1" t="s">
        <v>1445</v>
      </c>
      <c r="F1549" s="1" t="s">
        <v>14</v>
      </c>
      <c r="G1549" s="1">
        <v>533320</v>
      </c>
      <c r="H1549" s="1">
        <v>0</v>
      </c>
      <c r="I1549" s="1">
        <v>0</v>
      </c>
      <c r="J1549" s="1" t="s">
        <v>14</v>
      </c>
      <c r="K1549" s="1">
        <v>533320</v>
      </c>
    </row>
    <row r="1550" spans="1:11" x14ac:dyDescent="0.25">
      <c r="A1550" s="1" t="s">
        <v>11</v>
      </c>
      <c r="B1550" s="1" t="s">
        <v>1672</v>
      </c>
      <c r="C1550" s="1" t="s">
        <v>26</v>
      </c>
      <c r="D1550" s="1" t="s">
        <v>2154</v>
      </c>
      <c r="E1550" s="1" t="s">
        <v>554</v>
      </c>
      <c r="F1550" s="1" t="s">
        <v>14</v>
      </c>
      <c r="G1550" s="1">
        <v>533320</v>
      </c>
      <c r="H1550" s="1">
        <v>0</v>
      </c>
      <c r="I1550" s="1">
        <v>0</v>
      </c>
      <c r="J1550" s="1" t="s">
        <v>14</v>
      </c>
      <c r="K1550" s="1">
        <v>533320</v>
      </c>
    </row>
    <row r="1551" spans="1:11" x14ac:dyDescent="0.25">
      <c r="A1551" s="1" t="s">
        <v>11</v>
      </c>
      <c r="B1551" s="1" t="s">
        <v>1672</v>
      </c>
      <c r="C1551" s="1" t="s">
        <v>21</v>
      </c>
      <c r="D1551" s="1" t="s">
        <v>2155</v>
      </c>
      <c r="E1551" s="1" t="s">
        <v>1720</v>
      </c>
      <c r="F1551" s="1" t="s">
        <v>14</v>
      </c>
      <c r="G1551" s="1">
        <v>27967857.960000001</v>
      </c>
      <c r="H1551" s="1">
        <v>956223.43</v>
      </c>
      <c r="I1551" s="1">
        <v>0</v>
      </c>
      <c r="J1551" s="1" t="s">
        <v>14</v>
      </c>
      <c r="K1551" s="1">
        <v>28924081.390000001</v>
      </c>
    </row>
    <row r="1552" spans="1:11" x14ac:dyDescent="0.25">
      <c r="A1552" s="1" t="s">
        <v>11</v>
      </c>
      <c r="B1552" s="1" t="s">
        <v>1672</v>
      </c>
      <c r="C1552" s="1" t="s">
        <v>23</v>
      </c>
      <c r="D1552" s="1" t="s">
        <v>2156</v>
      </c>
      <c r="E1552" s="1" t="s">
        <v>1189</v>
      </c>
      <c r="F1552" s="1" t="s">
        <v>14</v>
      </c>
      <c r="G1552" s="1">
        <v>1739450</v>
      </c>
      <c r="H1552" s="1">
        <v>347890</v>
      </c>
      <c r="I1552" s="1">
        <v>0</v>
      </c>
      <c r="J1552" s="1" t="s">
        <v>14</v>
      </c>
      <c r="K1552" s="1">
        <v>2087340</v>
      </c>
    </row>
    <row r="1553" spans="1:11" x14ac:dyDescent="0.25">
      <c r="A1553" s="1" t="s">
        <v>11</v>
      </c>
      <c r="B1553" s="1" t="s">
        <v>1672</v>
      </c>
      <c r="C1553" s="1" t="s">
        <v>26</v>
      </c>
      <c r="D1553" s="1" t="s">
        <v>2157</v>
      </c>
      <c r="E1553" s="1" t="s">
        <v>439</v>
      </c>
      <c r="F1553" s="1" t="s">
        <v>14</v>
      </c>
      <c r="G1553" s="1">
        <v>1739450</v>
      </c>
      <c r="H1553" s="1">
        <v>347890</v>
      </c>
      <c r="I1553" s="1">
        <v>0</v>
      </c>
      <c r="J1553" s="1" t="s">
        <v>14</v>
      </c>
      <c r="K1553" s="1">
        <v>2087340</v>
      </c>
    </row>
    <row r="1554" spans="1:11" x14ac:dyDescent="0.25">
      <c r="A1554" s="1" t="s">
        <v>11</v>
      </c>
      <c r="B1554" s="1" t="s">
        <v>1672</v>
      </c>
      <c r="C1554" s="1" t="s">
        <v>23</v>
      </c>
      <c r="D1554" s="1" t="s">
        <v>2158</v>
      </c>
      <c r="E1554" s="1" t="s">
        <v>437</v>
      </c>
      <c r="F1554" s="1" t="s">
        <v>14</v>
      </c>
      <c r="G1554" s="1">
        <v>10658800</v>
      </c>
      <c r="H1554" s="1">
        <v>0</v>
      </c>
      <c r="I1554" s="1">
        <v>0</v>
      </c>
      <c r="J1554" s="1" t="s">
        <v>14</v>
      </c>
      <c r="K1554" s="1">
        <v>10658800</v>
      </c>
    </row>
    <row r="1555" spans="1:11" x14ac:dyDescent="0.25">
      <c r="A1555" s="1" t="s">
        <v>11</v>
      </c>
      <c r="B1555" s="1" t="s">
        <v>1672</v>
      </c>
      <c r="C1555" s="1" t="s">
        <v>26</v>
      </c>
      <c r="D1555" s="1" t="s">
        <v>2159</v>
      </c>
      <c r="E1555" s="1" t="s">
        <v>1212</v>
      </c>
      <c r="F1555" s="1" t="s">
        <v>14</v>
      </c>
      <c r="G1555" s="1">
        <v>2374530</v>
      </c>
      <c r="H1555" s="1">
        <v>0</v>
      </c>
      <c r="I1555" s="1">
        <v>0</v>
      </c>
      <c r="J1555" s="1" t="s">
        <v>14</v>
      </c>
      <c r="K1555" s="1">
        <v>2374530</v>
      </c>
    </row>
    <row r="1556" spans="1:11" x14ac:dyDescent="0.25">
      <c r="A1556" s="1" t="s">
        <v>11</v>
      </c>
      <c r="B1556" s="1" t="s">
        <v>1672</v>
      </c>
      <c r="C1556" s="1" t="s">
        <v>26</v>
      </c>
      <c r="D1556" s="1" t="s">
        <v>2160</v>
      </c>
      <c r="E1556" s="1" t="s">
        <v>1214</v>
      </c>
      <c r="F1556" s="1" t="s">
        <v>14</v>
      </c>
      <c r="G1556" s="1">
        <v>8284270</v>
      </c>
      <c r="H1556" s="1">
        <v>0</v>
      </c>
      <c r="I1556" s="1">
        <v>0</v>
      </c>
      <c r="J1556" s="1" t="s">
        <v>14</v>
      </c>
      <c r="K1556" s="1">
        <v>8284270</v>
      </c>
    </row>
    <row r="1557" spans="1:11" x14ac:dyDescent="0.25">
      <c r="A1557" s="1" t="s">
        <v>11</v>
      </c>
      <c r="B1557" s="1" t="s">
        <v>1672</v>
      </c>
      <c r="C1557" s="1" t="s">
        <v>23</v>
      </c>
      <c r="D1557" s="1" t="s">
        <v>2161</v>
      </c>
      <c r="E1557" s="1" t="s">
        <v>566</v>
      </c>
      <c r="F1557" s="1" t="s">
        <v>14</v>
      </c>
      <c r="G1557" s="1">
        <v>6394467.5999999996</v>
      </c>
      <c r="H1557" s="1">
        <v>500748.43</v>
      </c>
      <c r="I1557" s="1">
        <v>0</v>
      </c>
      <c r="J1557" s="1" t="s">
        <v>14</v>
      </c>
      <c r="K1557" s="1">
        <v>6895216.0300000003</v>
      </c>
    </row>
    <row r="1558" spans="1:11" x14ac:dyDescent="0.25">
      <c r="A1558" s="1" t="s">
        <v>11</v>
      </c>
      <c r="B1558" s="1" t="s">
        <v>1672</v>
      </c>
      <c r="C1558" s="1" t="s">
        <v>26</v>
      </c>
      <c r="D1558" s="1" t="s">
        <v>2162</v>
      </c>
      <c r="E1558" s="1" t="s">
        <v>1225</v>
      </c>
      <c r="F1558" s="1" t="s">
        <v>14</v>
      </c>
      <c r="G1558" s="1">
        <v>4228172.92</v>
      </c>
      <c r="H1558" s="1">
        <v>413337.46</v>
      </c>
      <c r="I1558" s="1">
        <v>0</v>
      </c>
      <c r="J1558" s="1" t="s">
        <v>14</v>
      </c>
      <c r="K1558" s="1">
        <v>4641510.38</v>
      </c>
    </row>
    <row r="1559" spans="1:11" x14ac:dyDescent="0.25">
      <c r="A1559" s="1" t="s">
        <v>11</v>
      </c>
      <c r="B1559" s="1" t="s">
        <v>1672</v>
      </c>
      <c r="C1559" s="1" t="s">
        <v>26</v>
      </c>
      <c r="D1559" s="1" t="s">
        <v>2163</v>
      </c>
      <c r="E1559" s="1" t="s">
        <v>1227</v>
      </c>
      <c r="F1559" s="1" t="s">
        <v>14</v>
      </c>
      <c r="G1559" s="1">
        <v>492312.5</v>
      </c>
      <c r="H1559" s="1">
        <v>56673.57</v>
      </c>
      <c r="I1559" s="1">
        <v>0</v>
      </c>
      <c r="J1559" s="1" t="s">
        <v>14</v>
      </c>
      <c r="K1559" s="1">
        <v>548986.06999999995</v>
      </c>
    </row>
    <row r="1560" spans="1:11" x14ac:dyDescent="0.25">
      <c r="A1560" s="1" t="s">
        <v>11</v>
      </c>
      <c r="B1560" s="1" t="s">
        <v>1672</v>
      </c>
      <c r="C1560" s="1" t="s">
        <v>26</v>
      </c>
      <c r="D1560" s="1" t="s">
        <v>2164</v>
      </c>
      <c r="E1560" s="1" t="s">
        <v>1229</v>
      </c>
      <c r="F1560" s="1" t="s">
        <v>14</v>
      </c>
      <c r="G1560" s="1">
        <v>166034.01999999999</v>
      </c>
      <c r="H1560" s="1">
        <v>17026.62</v>
      </c>
      <c r="I1560" s="1">
        <v>0</v>
      </c>
      <c r="J1560" s="1" t="s">
        <v>14</v>
      </c>
      <c r="K1560" s="1">
        <v>183060.64</v>
      </c>
    </row>
    <row r="1561" spans="1:11" x14ac:dyDescent="0.25">
      <c r="A1561" s="1" t="s">
        <v>11</v>
      </c>
      <c r="B1561" s="1" t="s">
        <v>1672</v>
      </c>
      <c r="C1561" s="1" t="s">
        <v>26</v>
      </c>
      <c r="D1561" s="1" t="s">
        <v>2165</v>
      </c>
      <c r="E1561" s="1" t="s">
        <v>1231</v>
      </c>
      <c r="F1561" s="1" t="s">
        <v>14</v>
      </c>
      <c r="G1561" s="1">
        <v>1150814</v>
      </c>
      <c r="H1561" s="1">
        <v>0</v>
      </c>
      <c r="I1561" s="1">
        <v>0</v>
      </c>
      <c r="J1561" s="1" t="s">
        <v>14</v>
      </c>
      <c r="K1561" s="1">
        <v>1150814</v>
      </c>
    </row>
    <row r="1562" spans="1:11" x14ac:dyDescent="0.25">
      <c r="A1562" s="1" t="s">
        <v>11</v>
      </c>
      <c r="B1562" s="1" t="s">
        <v>1672</v>
      </c>
      <c r="C1562" s="1" t="s">
        <v>26</v>
      </c>
      <c r="D1562" s="1" t="s">
        <v>2166</v>
      </c>
      <c r="E1562" s="1" t="s">
        <v>1233</v>
      </c>
      <c r="F1562" s="1" t="s">
        <v>14</v>
      </c>
      <c r="G1562" s="1">
        <v>93925.3</v>
      </c>
      <c r="H1562" s="1">
        <v>10436.43</v>
      </c>
      <c r="I1562" s="1">
        <v>0</v>
      </c>
      <c r="J1562" s="1" t="s">
        <v>14</v>
      </c>
      <c r="K1562" s="1">
        <v>104361.73</v>
      </c>
    </row>
    <row r="1563" spans="1:11" x14ac:dyDescent="0.25">
      <c r="A1563" s="1" t="s">
        <v>11</v>
      </c>
      <c r="B1563" s="1" t="s">
        <v>1672</v>
      </c>
      <c r="C1563" s="1" t="s">
        <v>26</v>
      </c>
      <c r="D1563" s="1" t="s">
        <v>2167</v>
      </c>
      <c r="E1563" s="1" t="s">
        <v>1235</v>
      </c>
      <c r="F1563" s="1" t="s">
        <v>14</v>
      </c>
      <c r="G1563" s="1">
        <v>33351.86</v>
      </c>
      <c r="H1563" s="1">
        <v>3274.35</v>
      </c>
      <c r="I1563" s="1">
        <v>0</v>
      </c>
      <c r="J1563" s="1" t="s">
        <v>14</v>
      </c>
      <c r="K1563" s="1">
        <v>36626.21</v>
      </c>
    </row>
    <row r="1564" spans="1:11" x14ac:dyDescent="0.25">
      <c r="A1564" s="1" t="s">
        <v>11</v>
      </c>
      <c r="B1564" s="1" t="s">
        <v>1672</v>
      </c>
      <c r="C1564" s="1" t="s">
        <v>26</v>
      </c>
      <c r="D1564" s="1" t="s">
        <v>2168</v>
      </c>
      <c r="E1564" s="1" t="s">
        <v>1237</v>
      </c>
      <c r="F1564" s="1" t="s">
        <v>14</v>
      </c>
      <c r="G1564" s="1">
        <v>229857</v>
      </c>
      <c r="H1564" s="1">
        <v>0</v>
      </c>
      <c r="I1564" s="1">
        <v>0</v>
      </c>
      <c r="J1564" s="1" t="s">
        <v>14</v>
      </c>
      <c r="K1564" s="1">
        <v>229857</v>
      </c>
    </row>
    <row r="1565" spans="1:11" x14ac:dyDescent="0.25">
      <c r="A1565" s="1" t="s">
        <v>11</v>
      </c>
      <c r="B1565" s="1" t="s">
        <v>1672</v>
      </c>
      <c r="C1565" s="1" t="s">
        <v>23</v>
      </c>
      <c r="D1565" s="1" t="s">
        <v>2169</v>
      </c>
      <c r="E1565" s="1" t="s">
        <v>1257</v>
      </c>
      <c r="F1565" s="1" t="s">
        <v>14</v>
      </c>
      <c r="G1565" s="1">
        <v>102337</v>
      </c>
      <c r="H1565" s="1">
        <v>0</v>
      </c>
      <c r="I1565" s="1">
        <v>0</v>
      </c>
      <c r="J1565" s="1" t="s">
        <v>14</v>
      </c>
      <c r="K1565" s="1">
        <v>102337</v>
      </c>
    </row>
    <row r="1566" spans="1:11" x14ac:dyDescent="0.25">
      <c r="A1566" s="1" t="s">
        <v>11</v>
      </c>
      <c r="B1566" s="1" t="s">
        <v>1672</v>
      </c>
      <c r="C1566" s="1" t="s">
        <v>26</v>
      </c>
      <c r="D1566" s="1" t="s">
        <v>2170</v>
      </c>
      <c r="E1566" s="1" t="s">
        <v>1743</v>
      </c>
      <c r="F1566" s="1" t="s">
        <v>14</v>
      </c>
      <c r="G1566" s="1">
        <v>102337</v>
      </c>
      <c r="H1566" s="1">
        <v>0</v>
      </c>
      <c r="I1566" s="1">
        <v>0</v>
      </c>
      <c r="J1566" s="1" t="s">
        <v>14</v>
      </c>
      <c r="K1566" s="1">
        <v>102337</v>
      </c>
    </row>
    <row r="1567" spans="1:11" x14ac:dyDescent="0.25">
      <c r="A1567" s="1" t="s">
        <v>11</v>
      </c>
      <c r="B1567" s="1" t="s">
        <v>1672</v>
      </c>
      <c r="C1567" s="1" t="s">
        <v>23</v>
      </c>
      <c r="D1567" s="1" t="s">
        <v>2171</v>
      </c>
      <c r="E1567" s="1" t="s">
        <v>1263</v>
      </c>
      <c r="F1567" s="1" t="s">
        <v>14</v>
      </c>
      <c r="G1567" s="1">
        <v>7839609.3600000003</v>
      </c>
      <c r="H1567" s="1">
        <v>0</v>
      </c>
      <c r="I1567" s="1">
        <v>0</v>
      </c>
      <c r="J1567" s="1" t="s">
        <v>14</v>
      </c>
      <c r="K1567" s="1">
        <v>7839609.3600000003</v>
      </c>
    </row>
    <row r="1568" spans="1:11" x14ac:dyDescent="0.25">
      <c r="A1568" s="1" t="s">
        <v>11</v>
      </c>
      <c r="B1568" s="1" t="s">
        <v>1672</v>
      </c>
      <c r="C1568" s="1" t="s">
        <v>26</v>
      </c>
      <c r="D1568" s="1" t="s">
        <v>2172</v>
      </c>
      <c r="E1568" s="1" t="s">
        <v>1265</v>
      </c>
      <c r="F1568" s="1" t="s">
        <v>14</v>
      </c>
      <c r="G1568" s="1">
        <v>6893897.9199999999</v>
      </c>
      <c r="H1568" s="1">
        <v>0</v>
      </c>
      <c r="I1568" s="1">
        <v>0</v>
      </c>
      <c r="J1568" s="1" t="s">
        <v>14</v>
      </c>
      <c r="K1568" s="1">
        <v>6893897.9199999999</v>
      </c>
    </row>
    <row r="1569" spans="1:11" x14ac:dyDescent="0.25">
      <c r="A1569" s="1" t="s">
        <v>11</v>
      </c>
      <c r="B1569" s="1" t="s">
        <v>1672</v>
      </c>
      <c r="C1569" s="1" t="s">
        <v>26</v>
      </c>
      <c r="D1569" s="1" t="s">
        <v>2173</v>
      </c>
      <c r="E1569" s="1" t="s">
        <v>1538</v>
      </c>
      <c r="F1569" s="1" t="s">
        <v>14</v>
      </c>
      <c r="G1569" s="1">
        <v>751231.54</v>
      </c>
      <c r="H1569" s="1">
        <v>0</v>
      </c>
      <c r="I1569" s="1">
        <v>0</v>
      </c>
      <c r="J1569" s="1" t="s">
        <v>14</v>
      </c>
      <c r="K1569" s="1">
        <v>751231.54</v>
      </c>
    </row>
    <row r="1570" spans="1:11" x14ac:dyDescent="0.25">
      <c r="A1570" s="1" t="s">
        <v>11</v>
      </c>
      <c r="B1570" s="1" t="s">
        <v>1672</v>
      </c>
      <c r="C1570" s="1" t="s">
        <v>26</v>
      </c>
      <c r="D1570" s="1" t="s">
        <v>2174</v>
      </c>
      <c r="E1570" s="1" t="s">
        <v>1267</v>
      </c>
      <c r="F1570" s="1" t="s">
        <v>14</v>
      </c>
      <c r="G1570" s="1">
        <v>194479.9</v>
      </c>
      <c r="H1570" s="1">
        <v>0</v>
      </c>
      <c r="I1570" s="1">
        <v>0</v>
      </c>
      <c r="J1570" s="1" t="s">
        <v>14</v>
      </c>
      <c r="K1570" s="1">
        <v>194479.9</v>
      </c>
    </row>
    <row r="1571" spans="1:11" x14ac:dyDescent="0.25">
      <c r="A1571" s="1" t="s">
        <v>11</v>
      </c>
      <c r="B1571" s="1" t="s">
        <v>1672</v>
      </c>
      <c r="C1571" s="1" t="s">
        <v>23</v>
      </c>
      <c r="D1571" s="1" t="s">
        <v>2175</v>
      </c>
      <c r="E1571" s="1" t="s">
        <v>1273</v>
      </c>
      <c r="F1571" s="1" t="s">
        <v>14</v>
      </c>
      <c r="G1571" s="1">
        <v>1233194</v>
      </c>
      <c r="H1571" s="1">
        <v>107585</v>
      </c>
      <c r="I1571" s="1">
        <v>0</v>
      </c>
      <c r="J1571" s="1" t="s">
        <v>14</v>
      </c>
      <c r="K1571" s="1">
        <v>1340779</v>
      </c>
    </row>
    <row r="1572" spans="1:11" x14ac:dyDescent="0.25">
      <c r="A1572" s="1" t="s">
        <v>11</v>
      </c>
      <c r="B1572" s="1" t="s">
        <v>1672</v>
      </c>
      <c r="C1572" s="1" t="s">
        <v>26</v>
      </c>
      <c r="D1572" s="1" t="s">
        <v>2176</v>
      </c>
      <c r="E1572" s="1" t="s">
        <v>1273</v>
      </c>
      <c r="F1572" s="1" t="s">
        <v>14</v>
      </c>
      <c r="G1572" s="1">
        <v>1233194</v>
      </c>
      <c r="H1572" s="1">
        <v>107585</v>
      </c>
      <c r="I1572" s="1">
        <v>0</v>
      </c>
      <c r="J1572" s="1" t="s">
        <v>14</v>
      </c>
      <c r="K1572" s="1">
        <v>1340779</v>
      </c>
    </row>
    <row r="1573" spans="1:11" x14ac:dyDescent="0.25">
      <c r="A1573" s="1" t="s">
        <v>11</v>
      </c>
      <c r="B1573" s="1" t="s">
        <v>1672</v>
      </c>
      <c r="C1573" s="1" t="s">
        <v>18</v>
      </c>
      <c r="D1573" s="1" t="s">
        <v>2177</v>
      </c>
      <c r="E1573" s="1" t="s">
        <v>2178</v>
      </c>
      <c r="F1573" s="1" t="s">
        <v>14</v>
      </c>
      <c r="G1573" s="1">
        <v>1496174251.49</v>
      </c>
      <c r="H1573" s="1">
        <v>35588045.710000001</v>
      </c>
      <c r="I1573" s="1">
        <v>31552243</v>
      </c>
      <c r="J1573" s="1" t="s">
        <v>14</v>
      </c>
      <c r="K1573" s="1">
        <v>1500210054.2</v>
      </c>
    </row>
    <row r="1574" spans="1:11" x14ac:dyDescent="0.25">
      <c r="A1574" s="1" t="s">
        <v>11</v>
      </c>
      <c r="B1574" s="1" t="s">
        <v>1672</v>
      </c>
      <c r="C1574" s="1" t="s">
        <v>21</v>
      </c>
      <c r="D1574" s="1" t="s">
        <v>2179</v>
      </c>
      <c r="E1574" s="1" t="s">
        <v>1098</v>
      </c>
      <c r="F1574" s="1" t="s">
        <v>14</v>
      </c>
      <c r="G1574" s="1">
        <v>205099510.94999999</v>
      </c>
      <c r="H1574" s="1">
        <v>28763537</v>
      </c>
      <c r="I1574" s="1">
        <v>31552243</v>
      </c>
      <c r="J1574" s="1" t="s">
        <v>14</v>
      </c>
      <c r="K1574" s="1">
        <v>202310804.94999999</v>
      </c>
    </row>
    <row r="1575" spans="1:11" x14ac:dyDescent="0.25">
      <c r="A1575" s="1" t="s">
        <v>11</v>
      </c>
      <c r="B1575" s="1" t="s">
        <v>1672</v>
      </c>
      <c r="C1575" s="1" t="s">
        <v>23</v>
      </c>
      <c r="D1575" s="1" t="s">
        <v>2180</v>
      </c>
      <c r="E1575" s="1" t="s">
        <v>1679</v>
      </c>
      <c r="F1575" s="1" t="s">
        <v>14</v>
      </c>
      <c r="G1575" s="1">
        <v>153519834</v>
      </c>
      <c r="H1575" s="1">
        <v>14315081</v>
      </c>
      <c r="I1575" s="1">
        <v>31552243</v>
      </c>
      <c r="J1575" s="1" t="s">
        <v>14</v>
      </c>
      <c r="K1575" s="1">
        <v>136282672</v>
      </c>
    </row>
    <row r="1576" spans="1:11" x14ac:dyDescent="0.25">
      <c r="A1576" s="1" t="s">
        <v>11</v>
      </c>
      <c r="B1576" s="1" t="s">
        <v>1672</v>
      </c>
      <c r="C1576" s="1" t="s">
        <v>26</v>
      </c>
      <c r="D1576" s="1" t="s">
        <v>2181</v>
      </c>
      <c r="E1576" s="1" t="s">
        <v>237</v>
      </c>
      <c r="F1576" s="1" t="s">
        <v>14</v>
      </c>
      <c r="G1576" s="1">
        <v>0</v>
      </c>
      <c r="H1576" s="1">
        <v>13473628</v>
      </c>
      <c r="I1576" s="1">
        <v>31552243</v>
      </c>
      <c r="J1576" s="1" t="s">
        <v>173</v>
      </c>
      <c r="K1576" s="1">
        <v>-18078615</v>
      </c>
    </row>
    <row r="1577" spans="1:11" x14ac:dyDescent="0.25">
      <c r="A1577" s="1" t="s">
        <v>11</v>
      </c>
      <c r="B1577" s="1" t="s">
        <v>1672</v>
      </c>
      <c r="C1577" s="1" t="s">
        <v>26</v>
      </c>
      <c r="D1577" s="1" t="s">
        <v>2182</v>
      </c>
      <c r="E1577" s="1" t="s">
        <v>246</v>
      </c>
      <c r="F1577" s="1" t="s">
        <v>14</v>
      </c>
      <c r="G1577" s="1">
        <v>2152</v>
      </c>
      <c r="H1577" s="1">
        <v>0</v>
      </c>
      <c r="I1577" s="1">
        <v>0</v>
      </c>
      <c r="J1577" s="1" t="s">
        <v>14</v>
      </c>
      <c r="K1577" s="1">
        <v>2152</v>
      </c>
    </row>
    <row r="1578" spans="1:11" x14ac:dyDescent="0.25">
      <c r="A1578" s="1" t="s">
        <v>11</v>
      </c>
      <c r="B1578" s="1" t="s">
        <v>1672</v>
      </c>
      <c r="C1578" s="1" t="s">
        <v>26</v>
      </c>
      <c r="D1578" s="1" t="s">
        <v>2183</v>
      </c>
      <c r="E1578" s="1" t="s">
        <v>2184</v>
      </c>
      <c r="F1578" s="1" t="s">
        <v>14</v>
      </c>
      <c r="G1578" s="1">
        <v>110188418</v>
      </c>
      <c r="H1578" s="1">
        <v>394575</v>
      </c>
      <c r="I1578" s="1">
        <v>0</v>
      </c>
      <c r="J1578" s="1" t="s">
        <v>14</v>
      </c>
      <c r="K1578" s="1">
        <v>110582993</v>
      </c>
    </row>
    <row r="1579" spans="1:11" x14ac:dyDescent="0.25">
      <c r="A1579" s="1" t="s">
        <v>11</v>
      </c>
      <c r="B1579" s="1" t="s">
        <v>1672</v>
      </c>
      <c r="C1579" s="1" t="s">
        <v>26</v>
      </c>
      <c r="D1579" s="1" t="s">
        <v>2185</v>
      </c>
      <c r="E1579" s="1" t="s">
        <v>2186</v>
      </c>
      <c r="F1579" s="1" t="s">
        <v>14</v>
      </c>
      <c r="G1579" s="1">
        <v>2243613</v>
      </c>
      <c r="H1579" s="1">
        <v>65850</v>
      </c>
      <c r="I1579" s="1">
        <v>0</v>
      </c>
      <c r="J1579" s="1" t="s">
        <v>14</v>
      </c>
      <c r="K1579" s="1">
        <v>2309463</v>
      </c>
    </row>
    <row r="1580" spans="1:11" x14ac:dyDescent="0.25">
      <c r="A1580" s="1" t="s">
        <v>11</v>
      </c>
      <c r="B1580" s="1" t="s">
        <v>1672</v>
      </c>
      <c r="C1580" s="1" t="s">
        <v>26</v>
      </c>
      <c r="D1580" s="1" t="s">
        <v>2187</v>
      </c>
      <c r="E1580" s="1" t="s">
        <v>2188</v>
      </c>
      <c r="F1580" s="1" t="s">
        <v>14</v>
      </c>
      <c r="G1580" s="1">
        <v>38244812</v>
      </c>
      <c r="H1580" s="1">
        <v>329075</v>
      </c>
      <c r="I1580" s="1">
        <v>0</v>
      </c>
      <c r="J1580" s="1" t="s">
        <v>14</v>
      </c>
      <c r="K1580" s="1">
        <v>38573887</v>
      </c>
    </row>
    <row r="1581" spans="1:11" x14ac:dyDescent="0.25">
      <c r="A1581" s="1" t="s">
        <v>11</v>
      </c>
      <c r="B1581" s="1" t="s">
        <v>1672</v>
      </c>
      <c r="C1581" s="1" t="s">
        <v>26</v>
      </c>
      <c r="D1581" s="1" t="s">
        <v>2189</v>
      </c>
      <c r="E1581" s="1" t="s">
        <v>2190</v>
      </c>
      <c r="F1581" s="1" t="s">
        <v>14</v>
      </c>
      <c r="G1581" s="1">
        <v>2840839</v>
      </c>
      <c r="H1581" s="1">
        <v>51953</v>
      </c>
      <c r="I1581" s="1">
        <v>0</v>
      </c>
      <c r="J1581" s="1" t="s">
        <v>14</v>
      </c>
      <c r="K1581" s="1">
        <v>2892792</v>
      </c>
    </row>
    <row r="1582" spans="1:11" x14ac:dyDescent="0.25">
      <c r="A1582" s="1" t="s">
        <v>11</v>
      </c>
      <c r="B1582" s="1" t="s">
        <v>1672</v>
      </c>
      <c r="C1582" s="1" t="s">
        <v>23</v>
      </c>
      <c r="D1582" s="1" t="s">
        <v>2191</v>
      </c>
      <c r="E1582" s="1" t="s">
        <v>1100</v>
      </c>
      <c r="F1582" s="1" t="s">
        <v>14</v>
      </c>
      <c r="G1582" s="1">
        <v>2738210.95</v>
      </c>
      <c r="H1582" s="1">
        <v>0</v>
      </c>
      <c r="I1582" s="1">
        <v>0</v>
      </c>
      <c r="J1582" s="1" t="s">
        <v>14</v>
      </c>
      <c r="K1582" s="1">
        <v>2738210.95</v>
      </c>
    </row>
    <row r="1583" spans="1:11" x14ac:dyDescent="0.25">
      <c r="A1583" s="1" t="s">
        <v>11</v>
      </c>
      <c r="B1583" s="1" t="s">
        <v>1672</v>
      </c>
      <c r="C1583" s="1" t="s">
        <v>26</v>
      </c>
      <c r="D1583" s="1" t="s">
        <v>2192</v>
      </c>
      <c r="E1583" s="1" t="s">
        <v>1100</v>
      </c>
      <c r="F1583" s="1" t="s">
        <v>14</v>
      </c>
      <c r="G1583" s="1">
        <v>2738210.95</v>
      </c>
      <c r="H1583" s="1">
        <v>0</v>
      </c>
      <c r="I1583" s="1">
        <v>0</v>
      </c>
      <c r="J1583" s="1" t="s">
        <v>14</v>
      </c>
      <c r="K1583" s="1">
        <v>2738210.95</v>
      </c>
    </row>
    <row r="1584" spans="1:11" x14ac:dyDescent="0.25">
      <c r="A1584" s="1" t="s">
        <v>11</v>
      </c>
      <c r="B1584" s="1" t="s">
        <v>1672</v>
      </c>
      <c r="C1584" s="1" t="s">
        <v>23</v>
      </c>
      <c r="D1584" s="1" t="s">
        <v>2193</v>
      </c>
      <c r="E1584" s="1" t="s">
        <v>1103</v>
      </c>
      <c r="F1584" s="1" t="s">
        <v>14</v>
      </c>
      <c r="G1584" s="1">
        <v>48841466</v>
      </c>
      <c r="H1584" s="1">
        <v>14448456</v>
      </c>
      <c r="I1584" s="1">
        <v>0</v>
      </c>
      <c r="J1584" s="1" t="s">
        <v>14</v>
      </c>
      <c r="K1584" s="1">
        <v>63289922</v>
      </c>
    </row>
    <row r="1585" spans="1:11" x14ac:dyDescent="0.25">
      <c r="A1585" s="1" t="s">
        <v>11</v>
      </c>
      <c r="B1585" s="1" t="s">
        <v>1672</v>
      </c>
      <c r="C1585" s="1" t="s">
        <v>26</v>
      </c>
      <c r="D1585" s="1" t="s">
        <v>2194</v>
      </c>
      <c r="E1585" s="1" t="s">
        <v>1111</v>
      </c>
      <c r="F1585" s="1" t="s">
        <v>14</v>
      </c>
      <c r="G1585" s="1">
        <v>12630000</v>
      </c>
      <c r="H1585" s="1">
        <v>0</v>
      </c>
      <c r="I1585" s="1">
        <v>0</v>
      </c>
      <c r="J1585" s="1" t="s">
        <v>14</v>
      </c>
      <c r="K1585" s="1">
        <v>12630000</v>
      </c>
    </row>
    <row r="1586" spans="1:11" x14ac:dyDescent="0.25">
      <c r="A1586" s="1" t="s">
        <v>11</v>
      </c>
      <c r="B1586" s="1" t="s">
        <v>1672</v>
      </c>
      <c r="C1586" s="1" t="s">
        <v>26</v>
      </c>
      <c r="D1586" s="1" t="s">
        <v>2195</v>
      </c>
      <c r="E1586" s="1" t="s">
        <v>1113</v>
      </c>
      <c r="F1586" s="1" t="s">
        <v>14</v>
      </c>
      <c r="G1586" s="1">
        <v>33027042</v>
      </c>
      <c r="H1586" s="1">
        <v>14448456</v>
      </c>
      <c r="I1586" s="1">
        <v>0</v>
      </c>
      <c r="J1586" s="1" t="s">
        <v>14</v>
      </c>
      <c r="K1586" s="1">
        <v>47475498</v>
      </c>
    </row>
    <row r="1587" spans="1:11" x14ac:dyDescent="0.25">
      <c r="A1587" s="1" t="s">
        <v>11</v>
      </c>
      <c r="B1587" s="1" t="s">
        <v>1672</v>
      </c>
      <c r="C1587" s="1" t="s">
        <v>26</v>
      </c>
      <c r="D1587" s="1" t="s">
        <v>2196</v>
      </c>
      <c r="E1587" s="1" t="s">
        <v>1692</v>
      </c>
      <c r="F1587" s="1" t="s">
        <v>14</v>
      </c>
      <c r="G1587" s="1">
        <v>2399700</v>
      </c>
      <c r="H1587" s="1">
        <v>0</v>
      </c>
      <c r="I1587" s="1">
        <v>0</v>
      </c>
      <c r="J1587" s="1" t="s">
        <v>14</v>
      </c>
      <c r="K1587" s="1">
        <v>2399700</v>
      </c>
    </row>
    <row r="1588" spans="1:11" x14ac:dyDescent="0.25">
      <c r="A1588" s="1" t="s">
        <v>11</v>
      </c>
      <c r="B1588" s="1" t="s">
        <v>1672</v>
      </c>
      <c r="C1588" s="1" t="s">
        <v>26</v>
      </c>
      <c r="D1588" s="1" t="s">
        <v>2197</v>
      </c>
      <c r="E1588" s="1" t="s">
        <v>1123</v>
      </c>
      <c r="F1588" s="1" t="s">
        <v>14</v>
      </c>
      <c r="G1588" s="1">
        <v>784724</v>
      </c>
      <c r="H1588" s="1">
        <v>0</v>
      </c>
      <c r="I1588" s="1">
        <v>0</v>
      </c>
      <c r="J1588" s="1" t="s">
        <v>14</v>
      </c>
      <c r="K1588" s="1">
        <v>784724</v>
      </c>
    </row>
    <row r="1589" spans="1:11" x14ac:dyDescent="0.25">
      <c r="A1589" s="1" t="s">
        <v>11</v>
      </c>
      <c r="B1589" s="1" t="s">
        <v>1672</v>
      </c>
      <c r="C1589" s="1" t="s">
        <v>21</v>
      </c>
      <c r="D1589" s="1" t="s">
        <v>2198</v>
      </c>
      <c r="E1589" s="1" t="s">
        <v>1125</v>
      </c>
      <c r="F1589" s="1" t="s">
        <v>14</v>
      </c>
      <c r="G1589" s="1">
        <v>1141176270.8499999</v>
      </c>
      <c r="H1589" s="1">
        <v>0</v>
      </c>
      <c r="I1589" s="1">
        <v>0</v>
      </c>
      <c r="J1589" s="1" t="s">
        <v>14</v>
      </c>
      <c r="K1589" s="1">
        <v>1141176270.8499999</v>
      </c>
    </row>
    <row r="1590" spans="1:11" x14ac:dyDescent="0.25">
      <c r="A1590" s="1" t="s">
        <v>11</v>
      </c>
      <c r="B1590" s="1" t="s">
        <v>1672</v>
      </c>
      <c r="C1590" s="1" t="s">
        <v>23</v>
      </c>
      <c r="D1590" s="1" t="s">
        <v>2199</v>
      </c>
      <c r="E1590" s="1" t="s">
        <v>1127</v>
      </c>
      <c r="F1590" s="1" t="s">
        <v>14</v>
      </c>
      <c r="G1590" s="1">
        <v>1141176270.8499999</v>
      </c>
      <c r="H1590" s="1">
        <v>0</v>
      </c>
      <c r="I1590" s="1">
        <v>0</v>
      </c>
      <c r="J1590" s="1" t="s">
        <v>14</v>
      </c>
      <c r="K1590" s="1">
        <v>1141176270.8499999</v>
      </c>
    </row>
    <row r="1591" spans="1:11" x14ac:dyDescent="0.25">
      <c r="A1591" s="1" t="s">
        <v>11</v>
      </c>
      <c r="B1591" s="1" t="s">
        <v>1672</v>
      </c>
      <c r="C1591" s="1" t="s">
        <v>26</v>
      </c>
      <c r="D1591" s="1" t="s">
        <v>2200</v>
      </c>
      <c r="E1591" s="1" t="s">
        <v>1131</v>
      </c>
      <c r="F1591" s="1" t="s">
        <v>14</v>
      </c>
      <c r="G1591" s="1">
        <v>560594189</v>
      </c>
      <c r="H1591" s="1">
        <v>0</v>
      </c>
      <c r="I1591" s="1">
        <v>0</v>
      </c>
      <c r="J1591" s="1" t="s">
        <v>14</v>
      </c>
      <c r="K1591" s="1">
        <v>560594189</v>
      </c>
    </row>
    <row r="1592" spans="1:11" x14ac:dyDescent="0.25">
      <c r="A1592" s="1" t="s">
        <v>11</v>
      </c>
      <c r="B1592" s="1" t="s">
        <v>1672</v>
      </c>
      <c r="C1592" s="1" t="s">
        <v>26</v>
      </c>
      <c r="D1592" s="1" t="s">
        <v>2201</v>
      </c>
      <c r="E1592" s="1" t="s">
        <v>1133</v>
      </c>
      <c r="F1592" s="1" t="s">
        <v>14</v>
      </c>
      <c r="G1592" s="1">
        <v>71781668</v>
      </c>
      <c r="H1592" s="1">
        <v>0</v>
      </c>
      <c r="I1592" s="1">
        <v>0</v>
      </c>
      <c r="J1592" s="1" t="s">
        <v>14</v>
      </c>
      <c r="K1592" s="1">
        <v>71781668</v>
      </c>
    </row>
    <row r="1593" spans="1:11" x14ac:dyDescent="0.25">
      <c r="A1593" s="1" t="s">
        <v>11</v>
      </c>
      <c r="B1593" s="1" t="s">
        <v>1672</v>
      </c>
      <c r="C1593" s="1" t="s">
        <v>26</v>
      </c>
      <c r="D1593" s="1" t="s">
        <v>2202</v>
      </c>
      <c r="E1593" s="1" t="s">
        <v>1416</v>
      </c>
      <c r="F1593" s="1" t="s">
        <v>14</v>
      </c>
      <c r="G1593" s="1">
        <v>4707924</v>
      </c>
      <c r="H1593" s="1">
        <v>0</v>
      </c>
      <c r="I1593" s="1">
        <v>0</v>
      </c>
      <c r="J1593" s="1" t="s">
        <v>14</v>
      </c>
      <c r="K1593" s="1">
        <v>4707924</v>
      </c>
    </row>
    <row r="1594" spans="1:11" x14ac:dyDescent="0.25">
      <c r="A1594" s="1" t="s">
        <v>11</v>
      </c>
      <c r="B1594" s="1" t="s">
        <v>1672</v>
      </c>
      <c r="C1594" s="1" t="s">
        <v>26</v>
      </c>
      <c r="D1594" s="1" t="s">
        <v>2203</v>
      </c>
      <c r="E1594" s="1" t="s">
        <v>1315</v>
      </c>
      <c r="F1594" s="1" t="s">
        <v>14</v>
      </c>
      <c r="G1594" s="1">
        <v>19799747</v>
      </c>
      <c r="H1594" s="1">
        <v>0</v>
      </c>
      <c r="I1594" s="1">
        <v>0</v>
      </c>
      <c r="J1594" s="1" t="s">
        <v>14</v>
      </c>
      <c r="K1594" s="1">
        <v>19799747</v>
      </c>
    </row>
    <row r="1595" spans="1:11" x14ac:dyDescent="0.25">
      <c r="A1595" s="1" t="s">
        <v>11</v>
      </c>
      <c r="B1595" s="1" t="s">
        <v>1672</v>
      </c>
      <c r="C1595" s="1" t="s">
        <v>26</v>
      </c>
      <c r="D1595" s="1" t="s">
        <v>2204</v>
      </c>
      <c r="E1595" s="1" t="s">
        <v>1135</v>
      </c>
      <c r="F1595" s="1" t="s">
        <v>14</v>
      </c>
      <c r="G1595" s="1">
        <v>37305534</v>
      </c>
      <c r="H1595" s="1">
        <v>0</v>
      </c>
      <c r="I1595" s="1">
        <v>0</v>
      </c>
      <c r="J1595" s="1" t="s">
        <v>14</v>
      </c>
      <c r="K1595" s="1">
        <v>37305534</v>
      </c>
    </row>
    <row r="1596" spans="1:11" x14ac:dyDescent="0.25">
      <c r="A1596" s="1" t="s">
        <v>11</v>
      </c>
      <c r="B1596" s="1" t="s">
        <v>1672</v>
      </c>
      <c r="C1596" s="1" t="s">
        <v>26</v>
      </c>
      <c r="D1596" s="1" t="s">
        <v>2205</v>
      </c>
      <c r="E1596" s="1" t="s">
        <v>1318</v>
      </c>
      <c r="F1596" s="1" t="s">
        <v>14</v>
      </c>
      <c r="G1596" s="1">
        <v>26328621</v>
      </c>
      <c r="H1596" s="1">
        <v>0</v>
      </c>
      <c r="I1596" s="1">
        <v>0</v>
      </c>
      <c r="J1596" s="1" t="s">
        <v>14</v>
      </c>
      <c r="K1596" s="1">
        <v>26328621</v>
      </c>
    </row>
    <row r="1597" spans="1:11" x14ac:dyDescent="0.25">
      <c r="A1597" s="1" t="s">
        <v>11</v>
      </c>
      <c r="B1597" s="1" t="s">
        <v>1672</v>
      </c>
      <c r="C1597" s="1" t="s">
        <v>26</v>
      </c>
      <c r="D1597" s="1" t="s">
        <v>2206</v>
      </c>
      <c r="E1597" s="1" t="s">
        <v>224</v>
      </c>
      <c r="F1597" s="1" t="s">
        <v>14</v>
      </c>
      <c r="G1597" s="1">
        <v>5856629</v>
      </c>
      <c r="H1597" s="1">
        <v>0</v>
      </c>
      <c r="I1597" s="1">
        <v>0</v>
      </c>
      <c r="J1597" s="1" t="s">
        <v>14</v>
      </c>
      <c r="K1597" s="1">
        <v>5856629</v>
      </c>
    </row>
    <row r="1598" spans="1:11" x14ac:dyDescent="0.25">
      <c r="A1598" s="1" t="s">
        <v>11</v>
      </c>
      <c r="B1598" s="1" t="s">
        <v>1672</v>
      </c>
      <c r="C1598" s="1" t="s">
        <v>26</v>
      </c>
      <c r="D1598" s="1" t="s">
        <v>2207</v>
      </c>
      <c r="E1598" s="1" t="s">
        <v>1138</v>
      </c>
      <c r="F1598" s="1" t="s">
        <v>14</v>
      </c>
      <c r="G1598" s="1">
        <v>31654800</v>
      </c>
      <c r="H1598" s="1">
        <v>0</v>
      </c>
      <c r="I1598" s="1">
        <v>0</v>
      </c>
      <c r="J1598" s="1" t="s">
        <v>14</v>
      </c>
      <c r="K1598" s="1">
        <v>31654800</v>
      </c>
    </row>
    <row r="1599" spans="1:11" x14ac:dyDescent="0.25">
      <c r="A1599" s="1" t="s">
        <v>11</v>
      </c>
      <c r="B1599" s="1" t="s">
        <v>1672</v>
      </c>
      <c r="C1599" s="1" t="s">
        <v>26</v>
      </c>
      <c r="D1599" s="1" t="s">
        <v>2208</v>
      </c>
      <c r="E1599" s="1" t="s">
        <v>1142</v>
      </c>
      <c r="F1599" s="1" t="s">
        <v>14</v>
      </c>
      <c r="G1599" s="1">
        <v>58712522</v>
      </c>
      <c r="H1599" s="1">
        <v>0</v>
      </c>
      <c r="I1599" s="1">
        <v>0</v>
      </c>
      <c r="J1599" s="1" t="s">
        <v>14</v>
      </c>
      <c r="K1599" s="1">
        <v>58712522</v>
      </c>
    </row>
    <row r="1600" spans="1:11" x14ac:dyDescent="0.25">
      <c r="A1600" s="1" t="s">
        <v>11</v>
      </c>
      <c r="B1600" s="1" t="s">
        <v>1672</v>
      </c>
      <c r="C1600" s="1" t="s">
        <v>26</v>
      </c>
      <c r="D1600" s="1" t="s">
        <v>2209</v>
      </c>
      <c r="E1600" s="1" t="s">
        <v>673</v>
      </c>
      <c r="F1600" s="1" t="s">
        <v>14</v>
      </c>
      <c r="G1600" s="1">
        <v>7048319</v>
      </c>
      <c r="H1600" s="1">
        <v>0</v>
      </c>
      <c r="I1600" s="1">
        <v>0</v>
      </c>
      <c r="J1600" s="1" t="s">
        <v>14</v>
      </c>
      <c r="K1600" s="1">
        <v>7048319</v>
      </c>
    </row>
    <row r="1601" spans="1:11" x14ac:dyDescent="0.25">
      <c r="A1601" s="1" t="s">
        <v>11</v>
      </c>
      <c r="B1601" s="1" t="s">
        <v>1672</v>
      </c>
      <c r="C1601" s="1" t="s">
        <v>26</v>
      </c>
      <c r="D1601" s="1" t="s">
        <v>2210</v>
      </c>
      <c r="E1601" s="1" t="s">
        <v>675</v>
      </c>
      <c r="F1601" s="1" t="s">
        <v>14</v>
      </c>
      <c r="G1601" s="1">
        <v>59479676</v>
      </c>
      <c r="H1601" s="1">
        <v>0</v>
      </c>
      <c r="I1601" s="1">
        <v>0</v>
      </c>
      <c r="J1601" s="1" t="s">
        <v>14</v>
      </c>
      <c r="K1601" s="1">
        <v>59479676</v>
      </c>
    </row>
    <row r="1602" spans="1:11" x14ac:dyDescent="0.25">
      <c r="A1602" s="1" t="s">
        <v>11</v>
      </c>
      <c r="B1602" s="1" t="s">
        <v>1672</v>
      </c>
      <c r="C1602" s="1" t="s">
        <v>26</v>
      </c>
      <c r="D1602" s="1" t="s">
        <v>2211</v>
      </c>
      <c r="E1602" s="1" t="s">
        <v>1146</v>
      </c>
      <c r="F1602" s="1" t="s">
        <v>14</v>
      </c>
      <c r="G1602" s="1">
        <v>27962274.100000001</v>
      </c>
      <c r="H1602" s="1">
        <v>0</v>
      </c>
      <c r="I1602" s="1">
        <v>0</v>
      </c>
      <c r="J1602" s="1" t="s">
        <v>14</v>
      </c>
      <c r="K1602" s="1">
        <v>27962274.100000001</v>
      </c>
    </row>
    <row r="1603" spans="1:11" x14ac:dyDescent="0.25">
      <c r="A1603" s="1" t="s">
        <v>11</v>
      </c>
      <c r="B1603" s="1" t="s">
        <v>1672</v>
      </c>
      <c r="C1603" s="1" t="s">
        <v>26</v>
      </c>
      <c r="D1603" s="1" t="s">
        <v>2212</v>
      </c>
      <c r="E1603" s="1" t="s">
        <v>1148</v>
      </c>
      <c r="F1603" s="1" t="s">
        <v>14</v>
      </c>
      <c r="G1603" s="1">
        <v>69537447</v>
      </c>
      <c r="H1603" s="1">
        <v>0</v>
      </c>
      <c r="I1603" s="1">
        <v>0</v>
      </c>
      <c r="J1603" s="1" t="s">
        <v>14</v>
      </c>
      <c r="K1603" s="1">
        <v>69537447</v>
      </c>
    </row>
    <row r="1604" spans="1:11" x14ac:dyDescent="0.25">
      <c r="A1604" s="1" t="s">
        <v>11</v>
      </c>
      <c r="B1604" s="1" t="s">
        <v>1672</v>
      </c>
      <c r="C1604" s="1" t="s">
        <v>26</v>
      </c>
      <c r="D1604" s="1" t="s">
        <v>2213</v>
      </c>
      <c r="E1604" s="1" t="s">
        <v>1150</v>
      </c>
      <c r="F1604" s="1" t="s">
        <v>14</v>
      </c>
      <c r="G1604" s="1">
        <v>82180073</v>
      </c>
      <c r="H1604" s="1">
        <v>0</v>
      </c>
      <c r="I1604" s="1">
        <v>0</v>
      </c>
      <c r="J1604" s="1" t="s">
        <v>14</v>
      </c>
      <c r="K1604" s="1">
        <v>82180073</v>
      </c>
    </row>
    <row r="1605" spans="1:11" x14ac:dyDescent="0.25">
      <c r="A1605" s="1" t="s">
        <v>11</v>
      </c>
      <c r="B1605" s="1" t="s">
        <v>1672</v>
      </c>
      <c r="C1605" s="1" t="s">
        <v>26</v>
      </c>
      <c r="D1605" s="1" t="s">
        <v>2214</v>
      </c>
      <c r="E1605" s="1" t="s">
        <v>1152</v>
      </c>
      <c r="F1605" s="1" t="s">
        <v>14</v>
      </c>
      <c r="G1605" s="1">
        <v>17277693</v>
      </c>
      <c r="H1605" s="1">
        <v>0</v>
      </c>
      <c r="I1605" s="1">
        <v>0</v>
      </c>
      <c r="J1605" s="1" t="s">
        <v>14</v>
      </c>
      <c r="K1605" s="1">
        <v>17277693</v>
      </c>
    </row>
    <row r="1606" spans="1:11" x14ac:dyDescent="0.25">
      <c r="A1606" s="1" t="s">
        <v>11</v>
      </c>
      <c r="B1606" s="1" t="s">
        <v>1672</v>
      </c>
      <c r="C1606" s="1" t="s">
        <v>26</v>
      </c>
      <c r="D1606" s="1" t="s">
        <v>2215</v>
      </c>
      <c r="E1606" s="1" t="s">
        <v>1154</v>
      </c>
      <c r="F1606" s="1" t="s">
        <v>14</v>
      </c>
      <c r="G1606" s="1">
        <v>27040344.75</v>
      </c>
      <c r="H1606" s="1">
        <v>0</v>
      </c>
      <c r="I1606" s="1">
        <v>0</v>
      </c>
      <c r="J1606" s="1" t="s">
        <v>14</v>
      </c>
      <c r="K1606" s="1">
        <v>27040344.75</v>
      </c>
    </row>
    <row r="1607" spans="1:11" x14ac:dyDescent="0.25">
      <c r="A1607" s="1" t="s">
        <v>11</v>
      </c>
      <c r="B1607" s="1" t="s">
        <v>1672</v>
      </c>
      <c r="C1607" s="1" t="s">
        <v>26</v>
      </c>
      <c r="D1607" s="1" t="s">
        <v>2216</v>
      </c>
      <c r="E1607" s="1" t="s">
        <v>1156</v>
      </c>
      <c r="F1607" s="1" t="s">
        <v>14</v>
      </c>
      <c r="G1607" s="1">
        <v>20347583</v>
      </c>
      <c r="H1607" s="1">
        <v>0</v>
      </c>
      <c r="I1607" s="1">
        <v>0</v>
      </c>
      <c r="J1607" s="1" t="s">
        <v>14</v>
      </c>
      <c r="K1607" s="1">
        <v>20347583</v>
      </c>
    </row>
    <row r="1608" spans="1:11" x14ac:dyDescent="0.25">
      <c r="A1608" s="1" t="s">
        <v>11</v>
      </c>
      <c r="B1608" s="1" t="s">
        <v>1672</v>
      </c>
      <c r="C1608" s="1" t="s">
        <v>26</v>
      </c>
      <c r="D1608" s="1" t="s">
        <v>2217</v>
      </c>
      <c r="E1608" s="1" t="s">
        <v>1158</v>
      </c>
      <c r="F1608" s="1" t="s">
        <v>14</v>
      </c>
      <c r="G1608" s="1">
        <v>13561227</v>
      </c>
      <c r="H1608" s="1">
        <v>0</v>
      </c>
      <c r="I1608" s="1">
        <v>0</v>
      </c>
      <c r="J1608" s="1" t="s">
        <v>14</v>
      </c>
      <c r="K1608" s="1">
        <v>13561227</v>
      </c>
    </row>
    <row r="1609" spans="1:11" x14ac:dyDescent="0.25">
      <c r="A1609" s="1" t="s">
        <v>11</v>
      </c>
      <c r="B1609" s="1" t="s">
        <v>1672</v>
      </c>
      <c r="C1609" s="1" t="s">
        <v>21</v>
      </c>
      <c r="D1609" s="1" t="s">
        <v>2218</v>
      </c>
      <c r="E1609" s="1" t="s">
        <v>1720</v>
      </c>
      <c r="F1609" s="1" t="s">
        <v>14</v>
      </c>
      <c r="G1609" s="1">
        <v>149898469.69</v>
      </c>
      <c r="H1609" s="1">
        <v>6824508.71</v>
      </c>
      <c r="I1609" s="1">
        <v>0</v>
      </c>
      <c r="J1609" s="1" t="s">
        <v>14</v>
      </c>
      <c r="K1609" s="1">
        <v>156722978.40000001</v>
      </c>
    </row>
    <row r="1610" spans="1:11" x14ac:dyDescent="0.25">
      <c r="A1610" s="1" t="s">
        <v>11</v>
      </c>
      <c r="B1610" s="1" t="s">
        <v>1672</v>
      </c>
      <c r="C1610" s="1" t="s">
        <v>23</v>
      </c>
      <c r="D1610" s="1" t="s">
        <v>2219</v>
      </c>
      <c r="E1610" s="1" t="s">
        <v>1180</v>
      </c>
      <c r="F1610" s="1" t="s">
        <v>14</v>
      </c>
      <c r="G1610" s="1">
        <v>39024572</v>
      </c>
      <c r="H1610" s="1">
        <v>0</v>
      </c>
      <c r="I1610" s="1">
        <v>0</v>
      </c>
      <c r="J1610" s="1" t="s">
        <v>14</v>
      </c>
      <c r="K1610" s="1">
        <v>39024572</v>
      </c>
    </row>
    <row r="1611" spans="1:11" x14ac:dyDescent="0.25">
      <c r="A1611" s="1" t="s">
        <v>11</v>
      </c>
      <c r="B1611" s="1" t="s">
        <v>1672</v>
      </c>
      <c r="C1611" s="1" t="s">
        <v>26</v>
      </c>
      <c r="D1611" s="1" t="s">
        <v>2220</v>
      </c>
      <c r="E1611" s="1" t="s">
        <v>2221</v>
      </c>
      <c r="F1611" s="1" t="s">
        <v>14</v>
      </c>
      <c r="G1611" s="1">
        <v>32793758</v>
      </c>
      <c r="H1611" s="1">
        <v>0</v>
      </c>
      <c r="I1611" s="1">
        <v>0</v>
      </c>
      <c r="J1611" s="1" t="s">
        <v>14</v>
      </c>
      <c r="K1611" s="1">
        <v>32793758</v>
      </c>
    </row>
    <row r="1612" spans="1:11" x14ac:dyDescent="0.25">
      <c r="A1612" s="1" t="s">
        <v>11</v>
      </c>
      <c r="B1612" s="1" t="s">
        <v>1672</v>
      </c>
      <c r="C1612" s="1" t="s">
        <v>26</v>
      </c>
      <c r="D1612" s="1" t="s">
        <v>2222</v>
      </c>
      <c r="E1612" s="1" t="s">
        <v>2223</v>
      </c>
      <c r="F1612" s="1" t="s">
        <v>14</v>
      </c>
      <c r="G1612" s="1">
        <v>6230814</v>
      </c>
      <c r="H1612" s="1">
        <v>0</v>
      </c>
      <c r="I1612" s="1">
        <v>0</v>
      </c>
      <c r="J1612" s="1" t="s">
        <v>14</v>
      </c>
      <c r="K1612" s="1">
        <v>6230814</v>
      </c>
    </row>
    <row r="1613" spans="1:11" x14ac:dyDescent="0.25">
      <c r="A1613" s="1" t="s">
        <v>11</v>
      </c>
      <c r="B1613" s="1" t="s">
        <v>1672</v>
      </c>
      <c r="C1613" s="1" t="s">
        <v>23</v>
      </c>
      <c r="D1613" s="1" t="s">
        <v>2224</v>
      </c>
      <c r="E1613" s="1" t="s">
        <v>227</v>
      </c>
      <c r="F1613" s="1" t="s">
        <v>14</v>
      </c>
      <c r="G1613" s="1">
        <v>1167237</v>
      </c>
      <c r="H1613" s="1">
        <v>0</v>
      </c>
      <c r="I1613" s="1">
        <v>0</v>
      </c>
      <c r="J1613" s="1" t="s">
        <v>14</v>
      </c>
      <c r="K1613" s="1">
        <v>1167237</v>
      </c>
    </row>
    <row r="1614" spans="1:11" x14ac:dyDescent="0.25">
      <c r="A1614" s="1" t="s">
        <v>11</v>
      </c>
      <c r="B1614" s="1" t="s">
        <v>1672</v>
      </c>
      <c r="C1614" s="1" t="s">
        <v>26</v>
      </c>
      <c r="D1614" s="1" t="s">
        <v>2225</v>
      </c>
      <c r="E1614" s="1" t="s">
        <v>1195</v>
      </c>
      <c r="F1614" s="1" t="s">
        <v>14</v>
      </c>
      <c r="G1614" s="1">
        <v>980869</v>
      </c>
      <c r="H1614" s="1">
        <v>0</v>
      </c>
      <c r="I1614" s="1">
        <v>0</v>
      </c>
      <c r="J1614" s="1" t="s">
        <v>14</v>
      </c>
      <c r="K1614" s="1">
        <v>980869</v>
      </c>
    </row>
    <row r="1615" spans="1:11" x14ac:dyDescent="0.25">
      <c r="A1615" s="1" t="s">
        <v>11</v>
      </c>
      <c r="B1615" s="1" t="s">
        <v>1672</v>
      </c>
      <c r="C1615" s="1" t="s">
        <v>26</v>
      </c>
      <c r="D1615" s="1" t="s">
        <v>2226</v>
      </c>
      <c r="E1615" s="1" t="s">
        <v>1197</v>
      </c>
      <c r="F1615" s="1" t="s">
        <v>14</v>
      </c>
      <c r="G1615" s="1">
        <v>186368</v>
      </c>
      <c r="H1615" s="1">
        <v>0</v>
      </c>
      <c r="I1615" s="1">
        <v>0</v>
      </c>
      <c r="J1615" s="1" t="s">
        <v>14</v>
      </c>
      <c r="K1615" s="1">
        <v>186368</v>
      </c>
    </row>
    <row r="1616" spans="1:11" x14ac:dyDescent="0.25">
      <c r="A1616" s="1" t="s">
        <v>11</v>
      </c>
      <c r="B1616" s="1" t="s">
        <v>1672</v>
      </c>
      <c r="C1616" s="1" t="s">
        <v>23</v>
      </c>
      <c r="D1616" s="1" t="s">
        <v>2227</v>
      </c>
      <c r="E1616" s="1" t="s">
        <v>437</v>
      </c>
      <c r="F1616" s="1" t="s">
        <v>14</v>
      </c>
      <c r="G1616" s="1">
        <v>11267379</v>
      </c>
      <c r="H1616" s="1">
        <v>0</v>
      </c>
      <c r="I1616" s="1">
        <v>0</v>
      </c>
      <c r="J1616" s="1" t="s">
        <v>14</v>
      </c>
      <c r="K1616" s="1">
        <v>11267379</v>
      </c>
    </row>
    <row r="1617" spans="1:11" x14ac:dyDescent="0.25">
      <c r="A1617" s="1" t="s">
        <v>11</v>
      </c>
      <c r="B1617" s="1" t="s">
        <v>1672</v>
      </c>
      <c r="C1617" s="1" t="s">
        <v>26</v>
      </c>
      <c r="D1617" s="1" t="s">
        <v>2228</v>
      </c>
      <c r="E1617" s="1" t="s">
        <v>1212</v>
      </c>
      <c r="F1617" s="1" t="s">
        <v>14</v>
      </c>
      <c r="G1617" s="1">
        <v>2514190</v>
      </c>
      <c r="H1617" s="1">
        <v>0</v>
      </c>
      <c r="I1617" s="1">
        <v>0</v>
      </c>
      <c r="J1617" s="1" t="s">
        <v>14</v>
      </c>
      <c r="K1617" s="1">
        <v>2514190</v>
      </c>
    </row>
    <row r="1618" spans="1:11" x14ac:dyDescent="0.25">
      <c r="A1618" s="1" t="s">
        <v>11</v>
      </c>
      <c r="B1618" s="1" t="s">
        <v>1672</v>
      </c>
      <c r="C1618" s="1" t="s">
        <v>26</v>
      </c>
      <c r="D1618" s="1" t="s">
        <v>2229</v>
      </c>
      <c r="E1618" s="1" t="s">
        <v>1214</v>
      </c>
      <c r="F1618" s="1" t="s">
        <v>14</v>
      </c>
      <c r="G1618" s="1">
        <v>8753189</v>
      </c>
      <c r="H1618" s="1">
        <v>0</v>
      </c>
      <c r="I1618" s="1">
        <v>0</v>
      </c>
      <c r="J1618" s="1" t="s">
        <v>14</v>
      </c>
      <c r="K1618" s="1">
        <v>8753189</v>
      </c>
    </row>
    <row r="1619" spans="1:11" x14ac:dyDescent="0.25">
      <c r="A1619" s="1" t="s">
        <v>11</v>
      </c>
      <c r="B1619" s="1" t="s">
        <v>1672</v>
      </c>
      <c r="C1619" s="1" t="s">
        <v>23</v>
      </c>
      <c r="D1619" s="1" t="s">
        <v>2230</v>
      </c>
      <c r="E1619" s="1" t="s">
        <v>566</v>
      </c>
      <c r="F1619" s="1" t="s">
        <v>14</v>
      </c>
      <c r="G1619" s="1">
        <v>11327270.800000001</v>
      </c>
      <c r="H1619" s="1">
        <v>1231037.71</v>
      </c>
      <c r="I1619" s="1">
        <v>0</v>
      </c>
      <c r="J1619" s="1" t="s">
        <v>14</v>
      </c>
      <c r="K1619" s="1">
        <v>12558308.51</v>
      </c>
    </row>
    <row r="1620" spans="1:11" x14ac:dyDescent="0.25">
      <c r="A1620" s="1" t="s">
        <v>11</v>
      </c>
      <c r="B1620" s="1" t="s">
        <v>1672</v>
      </c>
      <c r="C1620" s="1" t="s">
        <v>26</v>
      </c>
      <c r="D1620" s="1" t="s">
        <v>2231</v>
      </c>
      <c r="E1620" s="1" t="s">
        <v>1225</v>
      </c>
      <c r="F1620" s="1" t="s">
        <v>14</v>
      </c>
      <c r="G1620" s="1">
        <v>8283060.04</v>
      </c>
      <c r="H1620" s="1">
        <v>809734.87</v>
      </c>
      <c r="I1620" s="1">
        <v>0</v>
      </c>
      <c r="J1620" s="1" t="s">
        <v>14</v>
      </c>
      <c r="K1620" s="1">
        <v>9092794.9100000001</v>
      </c>
    </row>
    <row r="1621" spans="1:11" x14ac:dyDescent="0.25">
      <c r="A1621" s="1" t="s">
        <v>11</v>
      </c>
      <c r="B1621" s="1" t="s">
        <v>1672</v>
      </c>
      <c r="C1621" s="1" t="s">
        <v>26</v>
      </c>
      <c r="D1621" s="1" t="s">
        <v>2232</v>
      </c>
      <c r="E1621" s="1" t="s">
        <v>1227</v>
      </c>
      <c r="F1621" s="1" t="s">
        <v>14</v>
      </c>
      <c r="G1621" s="1">
        <v>1970703.9</v>
      </c>
      <c r="H1621" s="1">
        <v>228236.69</v>
      </c>
      <c r="I1621" s="1">
        <v>0</v>
      </c>
      <c r="J1621" s="1" t="s">
        <v>14</v>
      </c>
      <c r="K1621" s="1">
        <v>2198940.59</v>
      </c>
    </row>
    <row r="1622" spans="1:11" x14ac:dyDescent="0.25">
      <c r="A1622" s="1" t="s">
        <v>11</v>
      </c>
      <c r="B1622" s="1" t="s">
        <v>1672</v>
      </c>
      <c r="C1622" s="1" t="s">
        <v>26</v>
      </c>
      <c r="D1622" s="1" t="s">
        <v>2233</v>
      </c>
      <c r="E1622" s="1" t="s">
        <v>1229</v>
      </c>
      <c r="F1622" s="1" t="s">
        <v>14</v>
      </c>
      <c r="G1622" s="1">
        <v>413139.9</v>
      </c>
      <c r="H1622" s="1">
        <v>42348.26</v>
      </c>
      <c r="I1622" s="1">
        <v>0</v>
      </c>
      <c r="J1622" s="1" t="s">
        <v>14</v>
      </c>
      <c r="K1622" s="1">
        <v>455488.16</v>
      </c>
    </row>
    <row r="1623" spans="1:11" x14ac:dyDescent="0.25">
      <c r="A1623" s="1" t="s">
        <v>11</v>
      </c>
      <c r="B1623" s="1" t="s">
        <v>1672</v>
      </c>
      <c r="C1623" s="1" t="s">
        <v>26</v>
      </c>
      <c r="D1623" s="1" t="s">
        <v>2234</v>
      </c>
      <c r="E1623" s="1" t="s">
        <v>1231</v>
      </c>
      <c r="F1623" s="1" t="s">
        <v>14</v>
      </c>
      <c r="G1623" s="1">
        <v>164672</v>
      </c>
      <c r="H1623" s="1">
        <v>82336</v>
      </c>
      <c r="I1623" s="1">
        <v>0</v>
      </c>
      <c r="J1623" s="1" t="s">
        <v>14</v>
      </c>
      <c r="K1623" s="1">
        <v>247008</v>
      </c>
    </row>
    <row r="1624" spans="1:11" x14ac:dyDescent="0.25">
      <c r="A1624" s="1" t="s">
        <v>11</v>
      </c>
      <c r="B1624" s="1" t="s">
        <v>1672</v>
      </c>
      <c r="C1624" s="1" t="s">
        <v>26</v>
      </c>
      <c r="D1624" s="1" t="s">
        <v>2235</v>
      </c>
      <c r="E1624" s="1" t="s">
        <v>1233</v>
      </c>
      <c r="F1624" s="1" t="s">
        <v>14</v>
      </c>
      <c r="G1624" s="1">
        <v>380342.1</v>
      </c>
      <c r="H1624" s="1">
        <v>43683.16</v>
      </c>
      <c r="I1624" s="1">
        <v>0</v>
      </c>
      <c r="J1624" s="1" t="s">
        <v>14</v>
      </c>
      <c r="K1624" s="1">
        <v>424025.26</v>
      </c>
    </row>
    <row r="1625" spans="1:11" x14ac:dyDescent="0.25">
      <c r="A1625" s="1" t="s">
        <v>11</v>
      </c>
      <c r="B1625" s="1" t="s">
        <v>1672</v>
      </c>
      <c r="C1625" s="1" t="s">
        <v>26</v>
      </c>
      <c r="D1625" s="1" t="s">
        <v>2236</v>
      </c>
      <c r="E1625" s="1" t="s">
        <v>1235</v>
      </c>
      <c r="F1625" s="1" t="s">
        <v>14</v>
      </c>
      <c r="G1625" s="1">
        <v>82108.86</v>
      </c>
      <c r="H1625" s="1">
        <v>8076.73</v>
      </c>
      <c r="I1625" s="1">
        <v>0</v>
      </c>
      <c r="J1625" s="1" t="s">
        <v>14</v>
      </c>
      <c r="K1625" s="1">
        <v>90185.59</v>
      </c>
    </row>
    <row r="1626" spans="1:11" x14ac:dyDescent="0.25">
      <c r="A1626" s="1" t="s">
        <v>11</v>
      </c>
      <c r="B1626" s="1" t="s">
        <v>1672</v>
      </c>
      <c r="C1626" s="1" t="s">
        <v>26</v>
      </c>
      <c r="D1626" s="1" t="s">
        <v>2237</v>
      </c>
      <c r="E1626" s="1" t="s">
        <v>1237</v>
      </c>
      <c r="F1626" s="1" t="s">
        <v>14</v>
      </c>
      <c r="G1626" s="1">
        <v>33244</v>
      </c>
      <c r="H1626" s="1">
        <v>16622</v>
      </c>
      <c r="I1626" s="1">
        <v>0</v>
      </c>
      <c r="J1626" s="1" t="s">
        <v>14</v>
      </c>
      <c r="K1626" s="1">
        <v>49866</v>
      </c>
    </row>
    <row r="1627" spans="1:11" x14ac:dyDescent="0.25">
      <c r="A1627" s="1" t="s">
        <v>11</v>
      </c>
      <c r="B1627" s="1" t="s">
        <v>1672</v>
      </c>
      <c r="C1627" s="1" t="s">
        <v>23</v>
      </c>
      <c r="D1627" s="1" t="s">
        <v>2238</v>
      </c>
      <c r="E1627" s="1" t="s">
        <v>1239</v>
      </c>
      <c r="F1627" s="1" t="s">
        <v>14</v>
      </c>
      <c r="G1627" s="1">
        <v>21284741</v>
      </c>
      <c r="H1627" s="1">
        <v>5168658</v>
      </c>
      <c r="I1627" s="1">
        <v>0</v>
      </c>
      <c r="J1627" s="1" t="s">
        <v>14</v>
      </c>
      <c r="K1627" s="1">
        <v>26453399</v>
      </c>
    </row>
    <row r="1628" spans="1:11" x14ac:dyDescent="0.25">
      <c r="A1628" s="1" t="s">
        <v>11</v>
      </c>
      <c r="B1628" s="1" t="s">
        <v>1672</v>
      </c>
      <c r="C1628" s="1" t="s">
        <v>26</v>
      </c>
      <c r="D1628" s="1" t="s">
        <v>2239</v>
      </c>
      <c r="E1628" s="1" t="s">
        <v>1241</v>
      </c>
      <c r="F1628" s="1" t="s">
        <v>14</v>
      </c>
      <c r="G1628" s="1">
        <v>16259038</v>
      </c>
      <c r="H1628" s="1">
        <v>4343410</v>
      </c>
      <c r="I1628" s="1">
        <v>0</v>
      </c>
      <c r="J1628" s="1" t="s">
        <v>14</v>
      </c>
      <c r="K1628" s="1">
        <v>20602448</v>
      </c>
    </row>
    <row r="1629" spans="1:11" x14ac:dyDescent="0.25">
      <c r="A1629" s="1" t="s">
        <v>11</v>
      </c>
      <c r="B1629" s="1" t="s">
        <v>1672</v>
      </c>
      <c r="C1629" s="1" t="s">
        <v>26</v>
      </c>
      <c r="D1629" s="1" t="s">
        <v>2240</v>
      </c>
      <c r="E1629" s="1" t="s">
        <v>1239</v>
      </c>
      <c r="F1629" s="1" t="s">
        <v>14</v>
      </c>
      <c r="G1629" s="1">
        <v>2452547</v>
      </c>
      <c r="H1629" s="1">
        <v>0</v>
      </c>
      <c r="I1629" s="1">
        <v>0</v>
      </c>
      <c r="J1629" s="1" t="s">
        <v>14</v>
      </c>
      <c r="K1629" s="1">
        <v>2452547</v>
      </c>
    </row>
    <row r="1630" spans="1:11" x14ac:dyDescent="0.25">
      <c r="A1630" s="1" t="s">
        <v>11</v>
      </c>
      <c r="B1630" s="1" t="s">
        <v>1672</v>
      </c>
      <c r="C1630" s="1" t="s">
        <v>26</v>
      </c>
      <c r="D1630" s="1" t="s">
        <v>2241</v>
      </c>
      <c r="E1630" s="1" t="s">
        <v>1497</v>
      </c>
      <c r="F1630" s="1" t="s">
        <v>14</v>
      </c>
      <c r="G1630" s="1">
        <v>2107172</v>
      </c>
      <c r="H1630" s="1">
        <v>825248</v>
      </c>
      <c r="I1630" s="1">
        <v>0</v>
      </c>
      <c r="J1630" s="1" t="s">
        <v>14</v>
      </c>
      <c r="K1630" s="1">
        <v>2932420</v>
      </c>
    </row>
    <row r="1631" spans="1:11" x14ac:dyDescent="0.25">
      <c r="A1631" s="1" t="s">
        <v>11</v>
      </c>
      <c r="B1631" s="1" t="s">
        <v>1672</v>
      </c>
      <c r="C1631" s="1" t="s">
        <v>26</v>
      </c>
      <c r="D1631" s="1" t="s">
        <v>2242</v>
      </c>
      <c r="E1631" s="1" t="s">
        <v>1244</v>
      </c>
      <c r="F1631" s="1" t="s">
        <v>14</v>
      </c>
      <c r="G1631" s="1">
        <v>465984</v>
      </c>
      <c r="H1631" s="1">
        <v>0</v>
      </c>
      <c r="I1631" s="1">
        <v>0</v>
      </c>
      <c r="J1631" s="1" t="s">
        <v>14</v>
      </c>
      <c r="K1631" s="1">
        <v>465984</v>
      </c>
    </row>
    <row r="1632" spans="1:11" x14ac:dyDescent="0.25">
      <c r="A1632" s="1" t="s">
        <v>11</v>
      </c>
      <c r="B1632" s="1" t="s">
        <v>1672</v>
      </c>
      <c r="C1632" s="1" t="s">
        <v>23</v>
      </c>
      <c r="D1632" s="1" t="s">
        <v>2243</v>
      </c>
      <c r="E1632" s="1" t="s">
        <v>1257</v>
      </c>
      <c r="F1632" s="1" t="s">
        <v>14</v>
      </c>
      <c r="G1632" s="1">
        <v>20552226.190000001</v>
      </c>
      <c r="H1632" s="1">
        <v>0</v>
      </c>
      <c r="I1632" s="1">
        <v>0</v>
      </c>
      <c r="J1632" s="1" t="s">
        <v>14</v>
      </c>
      <c r="K1632" s="1">
        <v>20552226.190000001</v>
      </c>
    </row>
    <row r="1633" spans="1:11" x14ac:dyDescent="0.25">
      <c r="A1633" s="1" t="s">
        <v>11</v>
      </c>
      <c r="B1633" s="1" t="s">
        <v>1672</v>
      </c>
      <c r="C1633" s="1" t="s">
        <v>26</v>
      </c>
      <c r="D1633" s="1" t="s">
        <v>2244</v>
      </c>
      <c r="E1633" s="1" t="s">
        <v>1512</v>
      </c>
      <c r="F1633" s="1" t="s">
        <v>14</v>
      </c>
      <c r="G1633" s="1">
        <v>2438857</v>
      </c>
      <c r="H1633" s="1">
        <v>0</v>
      </c>
      <c r="I1633" s="1">
        <v>0</v>
      </c>
      <c r="J1633" s="1" t="s">
        <v>14</v>
      </c>
      <c r="K1633" s="1">
        <v>2438857</v>
      </c>
    </row>
    <row r="1634" spans="1:11" x14ac:dyDescent="0.25">
      <c r="A1634" s="1" t="s">
        <v>11</v>
      </c>
      <c r="B1634" s="1" t="s">
        <v>1672</v>
      </c>
      <c r="C1634" s="1" t="s">
        <v>26</v>
      </c>
      <c r="D1634" s="1" t="s">
        <v>2245</v>
      </c>
      <c r="E1634" s="1" t="s">
        <v>1820</v>
      </c>
      <c r="F1634" s="1" t="s">
        <v>14</v>
      </c>
      <c r="G1634" s="1">
        <v>12750621</v>
      </c>
      <c r="H1634" s="1">
        <v>0</v>
      </c>
      <c r="I1634" s="1">
        <v>0</v>
      </c>
      <c r="J1634" s="1" t="s">
        <v>14</v>
      </c>
      <c r="K1634" s="1">
        <v>12750621</v>
      </c>
    </row>
    <row r="1635" spans="1:11" x14ac:dyDescent="0.25">
      <c r="A1635" s="1" t="s">
        <v>11</v>
      </c>
      <c r="B1635" s="1" t="s">
        <v>1672</v>
      </c>
      <c r="C1635" s="1" t="s">
        <v>26</v>
      </c>
      <c r="D1635" s="1" t="s">
        <v>2246</v>
      </c>
      <c r="E1635" s="1" t="s">
        <v>1743</v>
      </c>
      <c r="F1635" s="1" t="s">
        <v>14</v>
      </c>
      <c r="G1635" s="1">
        <v>600000</v>
      </c>
      <c r="H1635" s="1">
        <v>0</v>
      </c>
      <c r="I1635" s="1">
        <v>0</v>
      </c>
      <c r="J1635" s="1" t="s">
        <v>14</v>
      </c>
      <c r="K1635" s="1">
        <v>600000</v>
      </c>
    </row>
    <row r="1636" spans="1:11" x14ac:dyDescent="0.25">
      <c r="A1636" s="1" t="s">
        <v>11</v>
      </c>
      <c r="B1636" s="1" t="s">
        <v>1672</v>
      </c>
      <c r="C1636" s="1" t="s">
        <v>26</v>
      </c>
      <c r="D1636" s="1" t="s">
        <v>2247</v>
      </c>
      <c r="E1636" s="1" t="s">
        <v>1522</v>
      </c>
      <c r="F1636" s="1" t="s">
        <v>14</v>
      </c>
      <c r="G1636" s="1">
        <v>1481300</v>
      </c>
      <c r="H1636" s="1">
        <v>0</v>
      </c>
      <c r="I1636" s="1">
        <v>0</v>
      </c>
      <c r="J1636" s="1" t="s">
        <v>14</v>
      </c>
      <c r="K1636" s="1">
        <v>1481300</v>
      </c>
    </row>
    <row r="1637" spans="1:11" x14ac:dyDescent="0.25">
      <c r="A1637" s="1" t="s">
        <v>11</v>
      </c>
      <c r="B1637" s="1" t="s">
        <v>1672</v>
      </c>
      <c r="C1637" s="1" t="s">
        <v>26</v>
      </c>
      <c r="D1637" s="1" t="s">
        <v>2248</v>
      </c>
      <c r="E1637" s="1" t="s">
        <v>1524</v>
      </c>
      <c r="F1637" s="1" t="s">
        <v>14</v>
      </c>
      <c r="G1637" s="1">
        <v>463383</v>
      </c>
      <c r="H1637" s="1">
        <v>0</v>
      </c>
      <c r="I1637" s="1">
        <v>0</v>
      </c>
      <c r="J1637" s="1" t="s">
        <v>14</v>
      </c>
      <c r="K1637" s="1">
        <v>463383</v>
      </c>
    </row>
    <row r="1638" spans="1:11" x14ac:dyDescent="0.25">
      <c r="A1638" s="1" t="s">
        <v>11</v>
      </c>
      <c r="B1638" s="1" t="s">
        <v>1672</v>
      </c>
      <c r="C1638" s="1" t="s">
        <v>26</v>
      </c>
      <c r="D1638" s="1" t="s">
        <v>2249</v>
      </c>
      <c r="E1638" s="1" t="s">
        <v>1823</v>
      </c>
      <c r="F1638" s="1" t="s">
        <v>14</v>
      </c>
      <c r="G1638" s="1">
        <v>2422618.19</v>
      </c>
      <c r="H1638" s="1">
        <v>0</v>
      </c>
      <c r="I1638" s="1">
        <v>0</v>
      </c>
      <c r="J1638" s="1" t="s">
        <v>14</v>
      </c>
      <c r="K1638" s="1">
        <v>2422618.19</v>
      </c>
    </row>
    <row r="1639" spans="1:11" x14ac:dyDescent="0.25">
      <c r="A1639" s="1" t="s">
        <v>11</v>
      </c>
      <c r="B1639" s="1" t="s">
        <v>1672</v>
      </c>
      <c r="C1639" s="1" t="s">
        <v>26</v>
      </c>
      <c r="D1639" s="1" t="s">
        <v>2250</v>
      </c>
      <c r="E1639" s="1" t="s">
        <v>1928</v>
      </c>
      <c r="F1639" s="1" t="s">
        <v>14</v>
      </c>
      <c r="G1639" s="1">
        <v>114000</v>
      </c>
      <c r="H1639" s="1">
        <v>0</v>
      </c>
      <c r="I1639" s="1">
        <v>0</v>
      </c>
      <c r="J1639" s="1" t="s">
        <v>14</v>
      </c>
      <c r="K1639" s="1">
        <v>114000</v>
      </c>
    </row>
    <row r="1640" spans="1:11" x14ac:dyDescent="0.25">
      <c r="A1640" s="1" t="s">
        <v>11</v>
      </c>
      <c r="B1640" s="1" t="s">
        <v>1672</v>
      </c>
      <c r="C1640" s="1" t="s">
        <v>26</v>
      </c>
      <c r="D1640" s="1" t="s">
        <v>2251</v>
      </c>
      <c r="E1640" s="1" t="s">
        <v>1534</v>
      </c>
      <c r="F1640" s="1" t="s">
        <v>14</v>
      </c>
      <c r="G1640" s="1">
        <v>281447</v>
      </c>
      <c r="H1640" s="1">
        <v>0</v>
      </c>
      <c r="I1640" s="1">
        <v>0</v>
      </c>
      <c r="J1640" s="1" t="s">
        <v>14</v>
      </c>
      <c r="K1640" s="1">
        <v>281447</v>
      </c>
    </row>
    <row r="1641" spans="1:11" x14ac:dyDescent="0.25">
      <c r="A1641" s="1" t="s">
        <v>11</v>
      </c>
      <c r="B1641" s="1" t="s">
        <v>1672</v>
      </c>
      <c r="C1641" s="1" t="s">
        <v>23</v>
      </c>
      <c r="D1641" s="1" t="s">
        <v>2252</v>
      </c>
      <c r="E1641" s="1" t="s">
        <v>1263</v>
      </c>
      <c r="F1641" s="1" t="s">
        <v>14</v>
      </c>
      <c r="G1641" s="1">
        <v>40272357.700000003</v>
      </c>
      <c r="H1641" s="1">
        <v>0</v>
      </c>
      <c r="I1641" s="1">
        <v>0</v>
      </c>
      <c r="J1641" s="1" t="s">
        <v>14</v>
      </c>
      <c r="K1641" s="1">
        <v>40272357.700000003</v>
      </c>
    </row>
    <row r="1642" spans="1:11" x14ac:dyDescent="0.25">
      <c r="A1642" s="1" t="s">
        <v>11</v>
      </c>
      <c r="B1642" s="1" t="s">
        <v>1672</v>
      </c>
      <c r="C1642" s="1" t="s">
        <v>26</v>
      </c>
      <c r="D1642" s="1" t="s">
        <v>2253</v>
      </c>
      <c r="E1642" s="1" t="s">
        <v>1265</v>
      </c>
      <c r="F1642" s="1" t="s">
        <v>14</v>
      </c>
      <c r="G1642" s="1">
        <v>7684998.3600000003</v>
      </c>
      <c r="H1642" s="1">
        <v>0</v>
      </c>
      <c r="I1642" s="1">
        <v>0</v>
      </c>
      <c r="J1642" s="1" t="s">
        <v>14</v>
      </c>
      <c r="K1642" s="1">
        <v>7684998.3600000003</v>
      </c>
    </row>
    <row r="1643" spans="1:11" x14ac:dyDescent="0.25">
      <c r="A1643" s="1" t="s">
        <v>11</v>
      </c>
      <c r="B1643" s="1" t="s">
        <v>1672</v>
      </c>
      <c r="C1643" s="1" t="s">
        <v>26</v>
      </c>
      <c r="D1643" s="1" t="s">
        <v>2254</v>
      </c>
      <c r="E1643" s="1" t="s">
        <v>1538</v>
      </c>
      <c r="F1643" s="1" t="s">
        <v>14</v>
      </c>
      <c r="G1643" s="1">
        <v>22160726.77</v>
      </c>
      <c r="H1643" s="1">
        <v>0</v>
      </c>
      <c r="I1643" s="1">
        <v>0</v>
      </c>
      <c r="J1643" s="1" t="s">
        <v>14</v>
      </c>
      <c r="K1643" s="1">
        <v>22160726.77</v>
      </c>
    </row>
    <row r="1644" spans="1:11" x14ac:dyDescent="0.25">
      <c r="A1644" s="1" t="s">
        <v>11</v>
      </c>
      <c r="B1644" s="1" t="s">
        <v>1672</v>
      </c>
      <c r="C1644" s="1" t="s">
        <v>26</v>
      </c>
      <c r="D1644" s="1" t="s">
        <v>2255</v>
      </c>
      <c r="E1644" s="1" t="s">
        <v>1267</v>
      </c>
      <c r="F1644" s="1" t="s">
        <v>14</v>
      </c>
      <c r="G1644" s="1">
        <v>334063.55</v>
      </c>
      <c r="H1644" s="1">
        <v>0</v>
      </c>
      <c r="I1644" s="1">
        <v>0</v>
      </c>
      <c r="J1644" s="1" t="s">
        <v>14</v>
      </c>
      <c r="K1644" s="1">
        <v>334063.55</v>
      </c>
    </row>
    <row r="1645" spans="1:11" x14ac:dyDescent="0.25">
      <c r="A1645" s="1" t="s">
        <v>11</v>
      </c>
      <c r="B1645" s="1" t="s">
        <v>1672</v>
      </c>
      <c r="C1645" s="1" t="s">
        <v>26</v>
      </c>
      <c r="D1645" s="1" t="s">
        <v>2256</v>
      </c>
      <c r="E1645" s="1" t="s">
        <v>1269</v>
      </c>
      <c r="F1645" s="1" t="s">
        <v>14</v>
      </c>
      <c r="G1645" s="1">
        <v>515098.85</v>
      </c>
      <c r="H1645" s="1">
        <v>0</v>
      </c>
      <c r="I1645" s="1">
        <v>0</v>
      </c>
      <c r="J1645" s="1" t="s">
        <v>14</v>
      </c>
      <c r="K1645" s="1">
        <v>515098.85</v>
      </c>
    </row>
    <row r="1646" spans="1:11" x14ac:dyDescent="0.25">
      <c r="A1646" s="1" t="s">
        <v>11</v>
      </c>
      <c r="B1646" s="1" t="s">
        <v>1672</v>
      </c>
      <c r="C1646" s="1" t="s">
        <v>26</v>
      </c>
      <c r="D1646" s="1" t="s">
        <v>2257</v>
      </c>
      <c r="E1646" s="1" t="s">
        <v>1542</v>
      </c>
      <c r="F1646" s="1" t="s">
        <v>14</v>
      </c>
      <c r="G1646" s="1">
        <v>9577470.1699999999</v>
      </c>
      <c r="H1646" s="1">
        <v>0</v>
      </c>
      <c r="I1646" s="1">
        <v>0</v>
      </c>
      <c r="J1646" s="1" t="s">
        <v>14</v>
      </c>
      <c r="K1646" s="1">
        <v>9577470.1699999999</v>
      </c>
    </row>
    <row r="1647" spans="1:11" x14ac:dyDescent="0.25">
      <c r="A1647" s="1" t="s">
        <v>11</v>
      </c>
      <c r="B1647" s="1" t="s">
        <v>1672</v>
      </c>
      <c r="C1647" s="1" t="s">
        <v>23</v>
      </c>
      <c r="D1647" s="1" t="s">
        <v>2258</v>
      </c>
      <c r="E1647" s="1" t="s">
        <v>1273</v>
      </c>
      <c r="F1647" s="1" t="s">
        <v>14</v>
      </c>
      <c r="G1647" s="1">
        <v>4974786</v>
      </c>
      <c r="H1647" s="1">
        <v>424813</v>
      </c>
      <c r="I1647" s="1">
        <v>0</v>
      </c>
      <c r="J1647" s="1" t="s">
        <v>14</v>
      </c>
      <c r="K1647" s="1">
        <v>5399599</v>
      </c>
    </row>
    <row r="1648" spans="1:11" x14ac:dyDescent="0.25">
      <c r="A1648" s="1" t="s">
        <v>11</v>
      </c>
      <c r="B1648" s="1" t="s">
        <v>1672</v>
      </c>
      <c r="C1648" s="1" t="s">
        <v>26</v>
      </c>
      <c r="D1648" s="1" t="s">
        <v>2259</v>
      </c>
      <c r="E1648" s="1" t="s">
        <v>1273</v>
      </c>
      <c r="F1648" s="1" t="s">
        <v>14</v>
      </c>
      <c r="G1648" s="1">
        <v>4974786</v>
      </c>
      <c r="H1648" s="1">
        <v>424813</v>
      </c>
      <c r="I1648" s="1">
        <v>0</v>
      </c>
      <c r="J1648" s="1" t="s">
        <v>14</v>
      </c>
      <c r="K1648" s="1">
        <v>5399599</v>
      </c>
    </row>
    <row r="1649" spans="1:11" x14ac:dyDescent="0.25">
      <c r="A1649" s="1" t="s">
        <v>11</v>
      </c>
      <c r="B1649" s="1" t="s">
        <v>1672</v>
      </c>
      <c r="C1649" s="1" t="s">
        <v>23</v>
      </c>
      <c r="D1649" s="1" t="s">
        <v>2260</v>
      </c>
      <c r="E1649" s="1" t="s">
        <v>1289</v>
      </c>
      <c r="F1649" s="1" t="s">
        <v>14</v>
      </c>
      <c r="G1649" s="1">
        <v>27900</v>
      </c>
      <c r="H1649" s="1">
        <v>0</v>
      </c>
      <c r="I1649" s="1">
        <v>0</v>
      </c>
      <c r="J1649" s="1" t="s">
        <v>14</v>
      </c>
      <c r="K1649" s="1">
        <v>27900</v>
      </c>
    </row>
    <row r="1650" spans="1:11" x14ac:dyDescent="0.25">
      <c r="A1650" s="1" t="s">
        <v>11</v>
      </c>
      <c r="B1650" s="1" t="s">
        <v>1672</v>
      </c>
      <c r="C1650" s="1" t="s">
        <v>26</v>
      </c>
      <c r="D1650" s="1" t="s">
        <v>2261</v>
      </c>
      <c r="E1650" s="1" t="s">
        <v>1295</v>
      </c>
      <c r="F1650" s="1" t="s">
        <v>14</v>
      </c>
      <c r="G1650" s="1">
        <v>27900</v>
      </c>
      <c r="H1650" s="1">
        <v>0</v>
      </c>
      <c r="I1650" s="1">
        <v>0</v>
      </c>
      <c r="J1650" s="1" t="s">
        <v>14</v>
      </c>
      <c r="K1650" s="1">
        <v>27900</v>
      </c>
    </row>
  </sheetData>
  <autoFilter ref="A1:K1650" xr:uid="{00000000-0009-0000-0000-000000000000}"/>
  <pageMargins left="0.7" right="0.7" top="0.75" bottom="0.75" header="0.3" footer="0.3"/>
  <pageSetup fitToWidth="0" fitToHeight="0"/>
  <ignoredErrors>
    <ignoredError sqref="A1:K16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EA5B-1EB5-4F46-960F-323E32C87B9E}">
  <sheetPr>
    <outlinePr summaryBelow="0" summaryRight="0"/>
  </sheetPr>
  <dimension ref="A1:L1650"/>
  <sheetViews>
    <sheetView workbookViewId="0">
      <pane ySplit="1" topLeftCell="A116" activePane="bottomLeft" state="frozen"/>
      <selection pane="bottomLeft" activeCell="A135" sqref="A135:K153"/>
    </sheetView>
  </sheetViews>
  <sheetFormatPr baseColWidth="10" defaultRowHeight="12.75" x14ac:dyDescent="0.25"/>
  <cols>
    <col min="1" max="6" width="10.7109375" style="4" customWidth="1"/>
    <col min="7" max="9" width="14.28515625" style="5" bestFit="1" customWidth="1"/>
    <col min="10" max="10" width="21" style="5" bestFit="1" customWidth="1"/>
    <col min="11" max="11" width="14.28515625" style="5" bestFit="1" customWidth="1"/>
    <col min="12" max="12" width="11.42578125" style="6"/>
    <col min="13" max="16384" width="11.42578125" style="3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>
        <v>1</v>
      </c>
      <c r="E2" s="4" t="s">
        <v>12</v>
      </c>
      <c r="F2" s="4" t="s">
        <v>14</v>
      </c>
      <c r="G2" s="5">
        <v>57681062078.879997</v>
      </c>
      <c r="H2" s="5">
        <v>16970735098.68</v>
      </c>
      <c r="I2" s="5">
        <v>21890676881.240002</v>
      </c>
      <c r="J2" s="5" t="s">
        <v>14</v>
      </c>
      <c r="K2" s="5">
        <v>52761120296.32</v>
      </c>
    </row>
    <row r="3" spans="1:11" x14ac:dyDescent="0.25">
      <c r="A3" s="4" t="s">
        <v>11</v>
      </c>
      <c r="B3" s="4" t="s">
        <v>12</v>
      </c>
      <c r="C3" s="4" t="s">
        <v>15</v>
      </c>
      <c r="D3" s="4">
        <v>11</v>
      </c>
      <c r="E3" s="4" t="s">
        <v>17</v>
      </c>
      <c r="F3" s="4" t="s">
        <v>14</v>
      </c>
      <c r="G3" s="5">
        <v>112176407.03</v>
      </c>
      <c r="H3" s="5">
        <v>8017984418.4399996</v>
      </c>
      <c r="I3" s="5">
        <v>7967587830.3900003</v>
      </c>
      <c r="J3" s="5" t="s">
        <v>14</v>
      </c>
      <c r="K3" s="5">
        <v>162572995.08000001</v>
      </c>
    </row>
    <row r="4" spans="1:11" x14ac:dyDescent="0.25">
      <c r="A4" s="4" t="s">
        <v>11</v>
      </c>
      <c r="B4" s="4" t="s">
        <v>12</v>
      </c>
      <c r="C4" s="4" t="s">
        <v>18</v>
      </c>
      <c r="D4" s="4">
        <v>1105</v>
      </c>
      <c r="E4" s="4" t="s">
        <v>20</v>
      </c>
      <c r="F4" s="4" t="s">
        <v>14</v>
      </c>
      <c r="G4" s="5">
        <v>27769010.050000001</v>
      </c>
      <c r="H4" s="5">
        <v>67108629.840000004</v>
      </c>
      <c r="I4" s="5">
        <v>70989025.840000004</v>
      </c>
      <c r="J4" s="5" t="s">
        <v>14</v>
      </c>
      <c r="K4" s="5">
        <v>23888614.050000001</v>
      </c>
    </row>
    <row r="5" spans="1:11" x14ac:dyDescent="0.25">
      <c r="A5" s="4" t="s">
        <v>11</v>
      </c>
      <c r="B5" s="4" t="s">
        <v>12</v>
      </c>
      <c r="C5" s="4" t="s">
        <v>21</v>
      </c>
      <c r="D5" s="4">
        <v>110505</v>
      </c>
      <c r="E5" s="4" t="s">
        <v>20</v>
      </c>
      <c r="F5" s="4" t="s">
        <v>14</v>
      </c>
      <c r="G5" s="5">
        <v>27769010.050000001</v>
      </c>
      <c r="H5" s="5">
        <v>67108629.840000004</v>
      </c>
      <c r="I5" s="5">
        <v>70989025.840000004</v>
      </c>
      <c r="J5" s="5" t="s">
        <v>14</v>
      </c>
      <c r="K5" s="5">
        <v>23888614.050000001</v>
      </c>
    </row>
    <row r="6" spans="1:11" x14ac:dyDescent="0.25">
      <c r="A6" s="4" t="s">
        <v>11</v>
      </c>
      <c r="B6" s="4" t="s">
        <v>12</v>
      </c>
      <c r="C6" s="4" t="s">
        <v>23</v>
      </c>
      <c r="D6" s="4">
        <v>11050505</v>
      </c>
      <c r="E6" s="4" t="s">
        <v>25</v>
      </c>
      <c r="F6" s="4" t="s">
        <v>14</v>
      </c>
      <c r="G6" s="5">
        <v>24969010.050000001</v>
      </c>
      <c r="H6" s="5">
        <v>64184325.840000004</v>
      </c>
      <c r="I6" s="5">
        <v>68064721.840000004</v>
      </c>
      <c r="J6" s="5" t="s">
        <v>14</v>
      </c>
      <c r="K6" s="5">
        <v>21088614.050000001</v>
      </c>
    </row>
    <row r="7" spans="1:11" x14ac:dyDescent="0.25">
      <c r="A7" s="4" t="s">
        <v>11</v>
      </c>
      <c r="B7" s="4" t="s">
        <v>12</v>
      </c>
      <c r="C7" s="4" t="s">
        <v>26</v>
      </c>
      <c r="D7" s="4">
        <v>1105050505</v>
      </c>
      <c r="E7" s="4" t="s">
        <v>28</v>
      </c>
      <c r="F7" s="4" t="s">
        <v>14</v>
      </c>
      <c r="G7" s="5">
        <v>22369010.050000001</v>
      </c>
      <c r="H7" s="5">
        <v>30453310.920000002</v>
      </c>
      <c r="I7" s="5">
        <v>34619007.759999998</v>
      </c>
      <c r="J7" s="5" t="s">
        <v>14</v>
      </c>
      <c r="K7" s="5">
        <v>18203313.210000001</v>
      </c>
    </row>
    <row r="8" spans="1:11" x14ac:dyDescent="0.25">
      <c r="A8" s="4" t="s">
        <v>11</v>
      </c>
      <c r="B8" s="4" t="s">
        <v>12</v>
      </c>
      <c r="C8" s="4" t="s">
        <v>26</v>
      </c>
      <c r="D8" s="4">
        <v>1105050510</v>
      </c>
      <c r="E8" s="4" t="s">
        <v>30</v>
      </c>
      <c r="F8" s="4" t="s">
        <v>14</v>
      </c>
      <c r="G8" s="5">
        <v>2000000</v>
      </c>
      <c r="H8" s="5">
        <v>2924304</v>
      </c>
      <c r="I8" s="5">
        <v>2924304</v>
      </c>
      <c r="J8" s="5" t="s">
        <v>14</v>
      </c>
      <c r="K8" s="5">
        <v>2000000</v>
      </c>
    </row>
    <row r="9" spans="1:11" x14ac:dyDescent="0.25">
      <c r="A9" s="4" t="s">
        <v>11</v>
      </c>
      <c r="B9" s="4" t="s">
        <v>12</v>
      </c>
      <c r="C9" s="4" t="s">
        <v>26</v>
      </c>
      <c r="D9" s="4">
        <v>1105050515</v>
      </c>
      <c r="E9" s="4" t="s">
        <v>32</v>
      </c>
      <c r="F9" s="4" t="s">
        <v>14</v>
      </c>
      <c r="G9" s="5">
        <v>150000</v>
      </c>
      <c r="H9" s="5">
        <v>7763304.9199999999</v>
      </c>
      <c r="I9" s="5">
        <v>7736204.0800000001</v>
      </c>
      <c r="J9" s="5" t="s">
        <v>14</v>
      </c>
      <c r="K9" s="5">
        <v>177100.84</v>
      </c>
    </row>
    <row r="10" spans="1:11" x14ac:dyDescent="0.25">
      <c r="A10" s="4" t="s">
        <v>11</v>
      </c>
      <c r="B10" s="4" t="s">
        <v>12</v>
      </c>
      <c r="C10" s="4" t="s">
        <v>26</v>
      </c>
      <c r="D10" s="4">
        <v>1105050520</v>
      </c>
      <c r="E10" s="4" t="s">
        <v>34</v>
      </c>
      <c r="F10" s="4" t="s">
        <v>14</v>
      </c>
      <c r="G10" s="5">
        <v>150000</v>
      </c>
      <c r="H10" s="5">
        <v>6253869</v>
      </c>
      <c r="I10" s="5">
        <v>6047869</v>
      </c>
      <c r="J10" s="5" t="s">
        <v>14</v>
      </c>
      <c r="K10" s="5">
        <v>356000</v>
      </c>
    </row>
    <row r="11" spans="1:11" x14ac:dyDescent="0.25">
      <c r="A11" s="4" t="s">
        <v>11</v>
      </c>
      <c r="B11" s="4" t="s">
        <v>12</v>
      </c>
      <c r="C11" s="4" t="s">
        <v>26</v>
      </c>
      <c r="D11" s="4">
        <v>1105050525</v>
      </c>
      <c r="E11" s="4" t="s">
        <v>36</v>
      </c>
      <c r="F11" s="4" t="s">
        <v>14</v>
      </c>
      <c r="G11" s="5">
        <v>200000</v>
      </c>
      <c r="H11" s="5">
        <v>16789537</v>
      </c>
      <c r="I11" s="5">
        <v>16737337</v>
      </c>
      <c r="J11" s="5" t="s">
        <v>14</v>
      </c>
      <c r="K11" s="5">
        <v>252200</v>
      </c>
    </row>
    <row r="12" spans="1:11" x14ac:dyDescent="0.25">
      <c r="A12" s="4" t="s">
        <v>11</v>
      </c>
      <c r="B12" s="4" t="s">
        <v>12</v>
      </c>
      <c r="C12" s="4" t="s">
        <v>26</v>
      </c>
      <c r="D12" s="4">
        <v>1105050530</v>
      </c>
      <c r="E12" s="4" t="s">
        <v>38</v>
      </c>
      <c r="F12" s="4" t="s">
        <v>14</v>
      </c>
      <c r="G12" s="5">
        <v>100000</v>
      </c>
      <c r="H12" s="5">
        <v>0</v>
      </c>
      <c r="I12" s="5">
        <v>0</v>
      </c>
      <c r="J12" s="5" t="s">
        <v>14</v>
      </c>
      <c r="K12" s="5">
        <v>100000</v>
      </c>
    </row>
    <row r="13" spans="1:11" x14ac:dyDescent="0.25">
      <c r="A13" s="4" t="s">
        <v>11</v>
      </c>
      <c r="B13" s="4" t="s">
        <v>12</v>
      </c>
      <c r="C13" s="4" t="s">
        <v>23</v>
      </c>
      <c r="D13" s="4">
        <v>11050510</v>
      </c>
      <c r="E13" s="4" t="s">
        <v>40</v>
      </c>
      <c r="F13" s="4" t="s">
        <v>14</v>
      </c>
      <c r="G13" s="5">
        <v>2800000</v>
      </c>
      <c r="H13" s="5">
        <v>2924304</v>
      </c>
      <c r="I13" s="5">
        <v>2924304</v>
      </c>
      <c r="J13" s="5" t="s">
        <v>14</v>
      </c>
      <c r="K13" s="5">
        <v>2800000</v>
      </c>
    </row>
    <row r="14" spans="1:11" x14ac:dyDescent="0.25">
      <c r="A14" s="4" t="s">
        <v>11</v>
      </c>
      <c r="B14" s="4" t="s">
        <v>12</v>
      </c>
      <c r="C14" s="4" t="s">
        <v>26</v>
      </c>
      <c r="D14" s="4">
        <v>1105051005</v>
      </c>
      <c r="E14" s="4" t="s">
        <v>42</v>
      </c>
      <c r="F14" s="4" t="s">
        <v>14</v>
      </c>
      <c r="G14" s="5">
        <v>2000000</v>
      </c>
      <c r="H14" s="5">
        <v>2864304</v>
      </c>
      <c r="I14" s="5">
        <v>2864304</v>
      </c>
      <c r="J14" s="5" t="s">
        <v>14</v>
      </c>
      <c r="K14" s="5">
        <v>2000000</v>
      </c>
    </row>
    <row r="15" spans="1:11" x14ac:dyDescent="0.25">
      <c r="A15" s="4" t="s">
        <v>11</v>
      </c>
      <c r="B15" s="4" t="s">
        <v>12</v>
      </c>
      <c r="C15" s="4" t="s">
        <v>26</v>
      </c>
      <c r="D15" s="4">
        <v>1105051010</v>
      </c>
      <c r="E15" s="4" t="s">
        <v>44</v>
      </c>
      <c r="F15" s="4" t="s">
        <v>14</v>
      </c>
      <c r="G15" s="5">
        <v>300000</v>
      </c>
      <c r="H15" s="5">
        <v>60000</v>
      </c>
      <c r="I15" s="5">
        <v>60000</v>
      </c>
      <c r="J15" s="5" t="s">
        <v>14</v>
      </c>
      <c r="K15" s="5">
        <v>300000</v>
      </c>
    </row>
    <row r="16" spans="1:11" x14ac:dyDescent="0.25">
      <c r="A16" s="4" t="s">
        <v>11</v>
      </c>
      <c r="B16" s="4" t="s">
        <v>12</v>
      </c>
      <c r="C16" s="4" t="s">
        <v>26</v>
      </c>
      <c r="D16" s="4">
        <v>1105051015</v>
      </c>
      <c r="E16" s="4" t="s">
        <v>46</v>
      </c>
      <c r="F16" s="4" t="s">
        <v>14</v>
      </c>
      <c r="G16" s="5">
        <v>500000</v>
      </c>
      <c r="H16" s="5">
        <v>0</v>
      </c>
      <c r="I16" s="5">
        <v>0</v>
      </c>
      <c r="J16" s="5" t="s">
        <v>14</v>
      </c>
      <c r="K16" s="5">
        <v>500000</v>
      </c>
    </row>
    <row r="17" spans="1:11" x14ac:dyDescent="0.25">
      <c r="A17" s="4" t="s">
        <v>11</v>
      </c>
      <c r="B17" s="4" t="s">
        <v>12</v>
      </c>
      <c r="C17" s="4" t="s">
        <v>18</v>
      </c>
      <c r="D17" s="4">
        <v>1110</v>
      </c>
      <c r="E17" s="4" t="s">
        <v>48</v>
      </c>
      <c r="F17" s="4" t="s">
        <v>14</v>
      </c>
      <c r="G17" s="5">
        <v>73013496.25</v>
      </c>
      <c r="H17" s="5">
        <v>985919267</v>
      </c>
      <c r="I17" s="5">
        <v>964312025.65999997</v>
      </c>
      <c r="J17" s="5" t="s">
        <v>14</v>
      </c>
      <c r="K17" s="5">
        <v>94620737.590000004</v>
      </c>
    </row>
    <row r="18" spans="1:11" x14ac:dyDescent="0.25">
      <c r="A18" s="4" t="s">
        <v>11</v>
      </c>
      <c r="B18" s="4" t="s">
        <v>12</v>
      </c>
      <c r="C18" s="4" t="s">
        <v>21</v>
      </c>
      <c r="D18" s="4">
        <v>111010</v>
      </c>
      <c r="E18" s="4" t="s">
        <v>48</v>
      </c>
      <c r="F18" s="4" t="s">
        <v>14</v>
      </c>
      <c r="G18" s="5">
        <v>73013496.25</v>
      </c>
      <c r="H18" s="5">
        <v>985919267</v>
      </c>
      <c r="I18" s="5">
        <v>964312025.65999997</v>
      </c>
      <c r="J18" s="5" t="s">
        <v>14</v>
      </c>
      <c r="K18" s="5">
        <v>94620737.590000004</v>
      </c>
    </row>
    <row r="19" spans="1:11" x14ac:dyDescent="0.25">
      <c r="A19" s="4" t="s">
        <v>11</v>
      </c>
      <c r="B19" s="4" t="s">
        <v>12</v>
      </c>
      <c r="C19" s="4" t="s">
        <v>23</v>
      </c>
      <c r="D19" s="4">
        <v>11101005</v>
      </c>
      <c r="E19" s="4" t="s">
        <v>51</v>
      </c>
      <c r="F19" s="4" t="s">
        <v>14</v>
      </c>
      <c r="G19" s="5">
        <v>73013496.25</v>
      </c>
      <c r="H19" s="5">
        <v>985919267</v>
      </c>
      <c r="I19" s="5">
        <v>964312025.65999997</v>
      </c>
      <c r="J19" s="5" t="s">
        <v>14</v>
      </c>
      <c r="K19" s="5">
        <v>94620737.590000004</v>
      </c>
    </row>
    <row r="20" spans="1:11" x14ac:dyDescent="0.25">
      <c r="A20" s="4" t="s">
        <v>11</v>
      </c>
      <c r="B20" s="4" t="s">
        <v>12</v>
      </c>
      <c r="C20" s="4" t="s">
        <v>26</v>
      </c>
      <c r="D20" s="4">
        <v>1110100505</v>
      </c>
      <c r="E20" s="4" t="s">
        <v>53</v>
      </c>
      <c r="F20" s="4" t="s">
        <v>14</v>
      </c>
      <c r="G20" s="5">
        <v>0.71</v>
      </c>
      <c r="H20" s="5">
        <v>0</v>
      </c>
      <c r="I20" s="5">
        <v>0</v>
      </c>
      <c r="J20" s="5" t="s">
        <v>14</v>
      </c>
      <c r="K20" s="5">
        <v>0.71</v>
      </c>
    </row>
    <row r="21" spans="1:11" x14ac:dyDescent="0.25">
      <c r="A21" s="4" t="s">
        <v>11</v>
      </c>
      <c r="B21" s="4" t="s">
        <v>12</v>
      </c>
      <c r="C21" s="4" t="s">
        <v>26</v>
      </c>
      <c r="D21" s="4">
        <v>1110100510</v>
      </c>
      <c r="E21" s="4" t="s">
        <v>55</v>
      </c>
      <c r="F21" s="4" t="s">
        <v>14</v>
      </c>
      <c r="G21" s="5">
        <v>1454234.18</v>
      </c>
      <c r="H21" s="5">
        <v>527834402</v>
      </c>
      <c r="I21" s="5">
        <v>528419674</v>
      </c>
      <c r="J21" s="5" t="s">
        <v>14</v>
      </c>
      <c r="K21" s="5">
        <v>868962.18</v>
      </c>
    </row>
    <row r="22" spans="1:11" x14ac:dyDescent="0.25">
      <c r="A22" s="4" t="s">
        <v>11</v>
      </c>
      <c r="B22" s="4" t="s">
        <v>12</v>
      </c>
      <c r="C22" s="4" t="s">
        <v>26</v>
      </c>
      <c r="D22" s="4">
        <v>1110100515</v>
      </c>
      <c r="E22" s="4" t="s">
        <v>57</v>
      </c>
      <c r="F22" s="4" t="s">
        <v>14</v>
      </c>
      <c r="G22" s="5">
        <v>55638437.359999999</v>
      </c>
      <c r="H22" s="5">
        <v>440084865</v>
      </c>
      <c r="I22" s="5">
        <v>420275863.66000003</v>
      </c>
      <c r="J22" s="5" t="s">
        <v>14</v>
      </c>
      <c r="K22" s="5">
        <v>75447438.700000003</v>
      </c>
    </row>
    <row r="23" spans="1:11" x14ac:dyDescent="0.25">
      <c r="A23" s="4" t="s">
        <v>11</v>
      </c>
      <c r="B23" s="4" t="s">
        <v>12</v>
      </c>
      <c r="C23" s="4" t="s">
        <v>26</v>
      </c>
      <c r="D23" s="4">
        <v>1110100520</v>
      </c>
      <c r="E23" s="4" t="s">
        <v>59</v>
      </c>
      <c r="F23" s="4" t="s">
        <v>14</v>
      </c>
      <c r="G23" s="5">
        <v>15920824</v>
      </c>
      <c r="H23" s="5">
        <v>18000000</v>
      </c>
      <c r="I23" s="5">
        <v>15616488</v>
      </c>
      <c r="J23" s="5" t="s">
        <v>14</v>
      </c>
      <c r="K23" s="5">
        <v>18304336</v>
      </c>
    </row>
    <row r="24" spans="1:11" x14ac:dyDescent="0.25">
      <c r="A24" s="4" t="s">
        <v>11</v>
      </c>
      <c r="B24" s="4" t="s">
        <v>12</v>
      </c>
      <c r="C24" s="4" t="s">
        <v>18</v>
      </c>
      <c r="D24" s="4">
        <v>1120</v>
      </c>
      <c r="E24" s="4" t="s">
        <v>61</v>
      </c>
      <c r="F24" s="4" t="s">
        <v>14</v>
      </c>
      <c r="G24" s="5">
        <v>9781195.5199999996</v>
      </c>
      <c r="H24" s="5">
        <v>6964956521.6000004</v>
      </c>
      <c r="I24" s="5">
        <v>6932286778.8900003</v>
      </c>
      <c r="J24" s="5" t="s">
        <v>14</v>
      </c>
      <c r="K24" s="5">
        <v>42450938.229999997</v>
      </c>
    </row>
    <row r="25" spans="1:11" x14ac:dyDescent="0.25">
      <c r="A25" s="4" t="s">
        <v>11</v>
      </c>
      <c r="B25" s="4" t="s">
        <v>12</v>
      </c>
      <c r="C25" s="4" t="s">
        <v>21</v>
      </c>
      <c r="D25" s="4">
        <v>112020</v>
      </c>
      <c r="E25" s="4" t="s">
        <v>61</v>
      </c>
      <c r="F25" s="4" t="s">
        <v>14</v>
      </c>
      <c r="G25" s="5">
        <v>9781195.5199999996</v>
      </c>
      <c r="H25" s="5">
        <v>6964956521.6000004</v>
      </c>
      <c r="I25" s="5">
        <v>6932286778.8900003</v>
      </c>
      <c r="J25" s="5" t="s">
        <v>14</v>
      </c>
      <c r="K25" s="5">
        <v>42450938.229999997</v>
      </c>
    </row>
    <row r="26" spans="1:11" x14ac:dyDescent="0.25">
      <c r="A26" s="4" t="s">
        <v>11</v>
      </c>
      <c r="B26" s="4" t="s">
        <v>12</v>
      </c>
      <c r="C26" s="4" t="s">
        <v>23</v>
      </c>
      <c r="D26" s="4">
        <v>11202005</v>
      </c>
      <c r="E26" s="4" t="s">
        <v>64</v>
      </c>
      <c r="F26" s="4" t="s">
        <v>14</v>
      </c>
      <c r="G26" s="5">
        <v>9781195.5199999996</v>
      </c>
      <c r="H26" s="5">
        <v>6964956521.6000004</v>
      </c>
      <c r="I26" s="5">
        <v>6932286778.8900003</v>
      </c>
      <c r="J26" s="5" t="s">
        <v>14</v>
      </c>
      <c r="K26" s="5">
        <v>42450938.229999997</v>
      </c>
    </row>
    <row r="27" spans="1:11" x14ac:dyDescent="0.25">
      <c r="A27" s="4" t="s">
        <v>11</v>
      </c>
      <c r="B27" s="4" t="s">
        <v>12</v>
      </c>
      <c r="C27" s="4" t="s">
        <v>26</v>
      </c>
      <c r="D27" s="4">
        <v>1120200505</v>
      </c>
      <c r="E27" s="4" t="s">
        <v>66</v>
      </c>
      <c r="F27" s="4" t="s">
        <v>14</v>
      </c>
      <c r="G27" s="5">
        <v>739527.75</v>
      </c>
      <c r="H27" s="5">
        <v>421150390</v>
      </c>
      <c r="I27" s="5">
        <v>417703375</v>
      </c>
      <c r="J27" s="5" t="s">
        <v>14</v>
      </c>
      <c r="K27" s="5">
        <v>4186542.75</v>
      </c>
    </row>
    <row r="28" spans="1:11" x14ac:dyDescent="0.25">
      <c r="A28" s="4" t="s">
        <v>11</v>
      </c>
      <c r="B28" s="4" t="s">
        <v>12</v>
      </c>
      <c r="C28" s="4" t="s">
        <v>26</v>
      </c>
      <c r="D28" s="4">
        <v>1120200510</v>
      </c>
      <c r="E28" s="4" t="s">
        <v>68</v>
      </c>
      <c r="F28" s="4" t="s">
        <v>14</v>
      </c>
      <c r="G28" s="5">
        <v>559530.13</v>
      </c>
      <c r="H28" s="5">
        <v>74562335.799999997</v>
      </c>
      <c r="I28" s="5">
        <v>66118991</v>
      </c>
      <c r="J28" s="5" t="s">
        <v>14</v>
      </c>
      <c r="K28" s="5">
        <v>9002874.9299999997</v>
      </c>
    </row>
    <row r="29" spans="1:11" x14ac:dyDescent="0.25">
      <c r="A29" s="4" t="s">
        <v>11</v>
      </c>
      <c r="B29" s="4" t="s">
        <v>12</v>
      </c>
      <c r="C29" s="4" t="s">
        <v>26</v>
      </c>
      <c r="D29" s="4">
        <v>1120200515</v>
      </c>
      <c r="E29" s="4" t="s">
        <v>70</v>
      </c>
      <c r="F29" s="4" t="s">
        <v>14</v>
      </c>
      <c r="G29" s="5">
        <v>5238327.21</v>
      </c>
      <c r="H29" s="5">
        <v>4039318029</v>
      </c>
      <c r="I29" s="5">
        <v>4029754566.8899999</v>
      </c>
      <c r="J29" s="5" t="s">
        <v>14</v>
      </c>
      <c r="K29" s="5">
        <v>14801789.32</v>
      </c>
    </row>
    <row r="30" spans="1:11" x14ac:dyDescent="0.25">
      <c r="A30" s="4" t="s">
        <v>11</v>
      </c>
      <c r="B30" s="4" t="s">
        <v>12</v>
      </c>
      <c r="C30" s="4" t="s">
        <v>26</v>
      </c>
      <c r="D30" s="4">
        <v>1120200520</v>
      </c>
      <c r="E30" s="4" t="s">
        <v>72</v>
      </c>
      <c r="F30" s="4" t="s">
        <v>14</v>
      </c>
      <c r="G30" s="5">
        <v>1112266.55</v>
      </c>
      <c r="H30" s="5">
        <v>11871817</v>
      </c>
      <c r="I30" s="5">
        <v>12846970</v>
      </c>
      <c r="J30" s="5" t="s">
        <v>14</v>
      </c>
      <c r="K30" s="5">
        <v>137113.54999999999</v>
      </c>
    </row>
    <row r="31" spans="1:11" x14ac:dyDescent="0.25">
      <c r="A31" s="4" t="s">
        <v>11</v>
      </c>
      <c r="B31" s="4" t="s">
        <v>12</v>
      </c>
      <c r="C31" s="4" t="s">
        <v>26</v>
      </c>
      <c r="D31" s="4">
        <v>1120200525</v>
      </c>
      <c r="E31" s="4" t="s">
        <v>74</v>
      </c>
      <c r="F31" s="4" t="s">
        <v>14</v>
      </c>
      <c r="G31" s="5">
        <v>0</v>
      </c>
      <c r="H31" s="5">
        <v>1800000000</v>
      </c>
      <c r="I31" s="5">
        <v>1800000000</v>
      </c>
      <c r="J31" s="5" t="s">
        <v>14</v>
      </c>
      <c r="K31" s="5">
        <v>0</v>
      </c>
    </row>
    <row r="32" spans="1:11" x14ac:dyDescent="0.25">
      <c r="A32" s="4" t="s">
        <v>11</v>
      </c>
      <c r="B32" s="4" t="s">
        <v>12</v>
      </c>
      <c r="C32" s="4" t="s">
        <v>26</v>
      </c>
      <c r="D32" s="4">
        <v>1120200530</v>
      </c>
      <c r="E32" s="4" t="s">
        <v>76</v>
      </c>
      <c r="F32" s="4" t="s">
        <v>14</v>
      </c>
      <c r="G32" s="5">
        <v>2124235.58</v>
      </c>
      <c r="H32" s="5">
        <v>581786378.79999995</v>
      </c>
      <c r="I32" s="5">
        <v>569862045</v>
      </c>
      <c r="J32" s="5" t="s">
        <v>14</v>
      </c>
      <c r="K32" s="5">
        <v>14048569.380000001</v>
      </c>
    </row>
    <row r="33" spans="1:11" x14ac:dyDescent="0.25">
      <c r="A33" s="4" t="s">
        <v>11</v>
      </c>
      <c r="B33" s="4" t="s">
        <v>12</v>
      </c>
      <c r="C33" s="4" t="s">
        <v>26</v>
      </c>
      <c r="D33" s="4">
        <v>1120200535</v>
      </c>
      <c r="E33" s="4" t="s">
        <v>78</v>
      </c>
      <c r="F33" s="4" t="s">
        <v>14</v>
      </c>
      <c r="G33" s="5">
        <v>953.47</v>
      </c>
      <c r="H33" s="5">
        <v>31602000</v>
      </c>
      <c r="I33" s="5">
        <v>31477000</v>
      </c>
      <c r="J33" s="5" t="s">
        <v>14</v>
      </c>
      <c r="K33" s="5">
        <v>125953.47</v>
      </c>
    </row>
    <row r="34" spans="1:11" x14ac:dyDescent="0.25">
      <c r="A34" s="4" t="s">
        <v>11</v>
      </c>
      <c r="B34" s="4" t="s">
        <v>12</v>
      </c>
      <c r="C34" s="4" t="s">
        <v>26</v>
      </c>
      <c r="D34" s="4">
        <v>1120200540</v>
      </c>
      <c r="E34" s="4" t="s">
        <v>80</v>
      </c>
      <c r="F34" s="4" t="s">
        <v>14</v>
      </c>
      <c r="G34" s="5">
        <v>6354.83</v>
      </c>
      <c r="H34" s="5">
        <v>4665571</v>
      </c>
      <c r="I34" s="5">
        <v>4523831</v>
      </c>
      <c r="J34" s="5" t="s">
        <v>14</v>
      </c>
      <c r="K34" s="5">
        <v>148094.82999999999</v>
      </c>
    </row>
    <row r="35" spans="1:11" x14ac:dyDescent="0.25">
      <c r="A35" s="4" t="s">
        <v>11</v>
      </c>
      <c r="B35" s="4" t="s">
        <v>12</v>
      </c>
      <c r="C35" s="4" t="s">
        <v>18</v>
      </c>
      <c r="D35" s="4">
        <v>1145</v>
      </c>
      <c r="E35" s="4" t="s">
        <v>82</v>
      </c>
      <c r="F35" s="4" t="s">
        <v>14</v>
      </c>
      <c r="G35" s="5">
        <v>1612705.21</v>
      </c>
      <c r="H35" s="5">
        <v>0</v>
      </c>
      <c r="I35" s="5">
        <v>0</v>
      </c>
      <c r="J35" s="5" t="s">
        <v>14</v>
      </c>
      <c r="K35" s="5">
        <v>1612705.21</v>
      </c>
    </row>
    <row r="36" spans="1:11" x14ac:dyDescent="0.25">
      <c r="A36" s="4" t="s">
        <v>11</v>
      </c>
      <c r="B36" s="4" t="s">
        <v>12</v>
      </c>
      <c r="C36" s="4" t="s">
        <v>21</v>
      </c>
      <c r="D36" s="4">
        <v>114505</v>
      </c>
      <c r="E36" s="4" t="s">
        <v>82</v>
      </c>
      <c r="F36" s="4" t="s">
        <v>14</v>
      </c>
      <c r="G36" s="5">
        <v>1612705.21</v>
      </c>
      <c r="H36" s="5">
        <v>0</v>
      </c>
      <c r="I36" s="5">
        <v>0</v>
      </c>
      <c r="J36" s="5" t="s">
        <v>14</v>
      </c>
      <c r="K36" s="5">
        <v>1612705.21</v>
      </c>
    </row>
    <row r="37" spans="1:11" x14ac:dyDescent="0.25">
      <c r="A37" s="4" t="s">
        <v>11</v>
      </c>
      <c r="B37" s="4" t="s">
        <v>12</v>
      </c>
      <c r="C37" s="4" t="s">
        <v>23</v>
      </c>
      <c r="D37" s="4">
        <v>11450505</v>
      </c>
      <c r="E37" s="4" t="s">
        <v>82</v>
      </c>
      <c r="F37" s="4" t="s">
        <v>14</v>
      </c>
      <c r="G37" s="5">
        <v>1612705.21</v>
      </c>
      <c r="H37" s="5">
        <v>0</v>
      </c>
      <c r="I37" s="5">
        <v>0</v>
      </c>
      <c r="J37" s="5" t="s">
        <v>14</v>
      </c>
      <c r="K37" s="5">
        <v>1612705.21</v>
      </c>
    </row>
    <row r="38" spans="1:11" x14ac:dyDescent="0.25">
      <c r="A38" s="4" t="s">
        <v>11</v>
      </c>
      <c r="B38" s="4" t="s">
        <v>12</v>
      </c>
      <c r="C38" s="4" t="s">
        <v>26</v>
      </c>
      <c r="D38" s="4">
        <v>1145050505</v>
      </c>
      <c r="E38" s="4" t="s">
        <v>86</v>
      </c>
      <c r="F38" s="4" t="s">
        <v>14</v>
      </c>
      <c r="G38" s="5">
        <v>991684.35</v>
      </c>
      <c r="H38" s="5">
        <v>0</v>
      </c>
      <c r="I38" s="5">
        <v>0</v>
      </c>
      <c r="J38" s="5" t="s">
        <v>14</v>
      </c>
      <c r="K38" s="5">
        <v>991684.35</v>
      </c>
    </row>
    <row r="39" spans="1:11" x14ac:dyDescent="0.25">
      <c r="A39" s="4" t="s">
        <v>11</v>
      </c>
      <c r="B39" s="4" t="s">
        <v>12</v>
      </c>
      <c r="C39" s="4" t="s">
        <v>26</v>
      </c>
      <c r="D39" s="4">
        <v>1145050510</v>
      </c>
      <c r="E39" s="4" t="s">
        <v>88</v>
      </c>
      <c r="F39" s="4" t="s">
        <v>14</v>
      </c>
      <c r="G39" s="5">
        <v>371807.26</v>
      </c>
      <c r="H39" s="5">
        <v>0</v>
      </c>
      <c r="I39" s="5">
        <v>0</v>
      </c>
      <c r="J39" s="5" t="s">
        <v>14</v>
      </c>
      <c r="K39" s="5">
        <v>371807.26</v>
      </c>
    </row>
    <row r="40" spans="1:11" x14ac:dyDescent="0.25">
      <c r="A40" s="4" t="s">
        <v>11</v>
      </c>
      <c r="B40" s="4" t="s">
        <v>12</v>
      </c>
      <c r="C40" s="4" t="s">
        <v>26</v>
      </c>
      <c r="D40" s="4">
        <v>1145050515</v>
      </c>
      <c r="E40" s="4" t="s">
        <v>90</v>
      </c>
      <c r="F40" s="4" t="s">
        <v>14</v>
      </c>
      <c r="G40" s="5">
        <v>249213.6</v>
      </c>
      <c r="H40" s="5">
        <v>0</v>
      </c>
      <c r="I40" s="5">
        <v>0</v>
      </c>
      <c r="J40" s="5" t="s">
        <v>14</v>
      </c>
      <c r="K40" s="5">
        <v>249213.6</v>
      </c>
    </row>
    <row r="41" spans="1:11" x14ac:dyDescent="0.25">
      <c r="A41" s="4" t="s">
        <v>11</v>
      </c>
      <c r="B41" s="4" t="s">
        <v>12</v>
      </c>
      <c r="C41" s="4" t="s">
        <v>15</v>
      </c>
      <c r="D41" s="4">
        <v>12</v>
      </c>
      <c r="E41" s="4" t="s">
        <v>92</v>
      </c>
      <c r="F41" s="4" t="s">
        <v>14</v>
      </c>
      <c r="G41" s="5">
        <v>220340271</v>
      </c>
      <c r="H41" s="5">
        <v>0</v>
      </c>
      <c r="I41" s="5">
        <v>0</v>
      </c>
      <c r="J41" s="5" t="s">
        <v>14</v>
      </c>
      <c r="K41" s="5">
        <v>220340271</v>
      </c>
    </row>
    <row r="42" spans="1:11" x14ac:dyDescent="0.25">
      <c r="A42" s="4" t="s">
        <v>11</v>
      </c>
      <c r="B42" s="4" t="s">
        <v>12</v>
      </c>
      <c r="C42" s="4" t="s">
        <v>18</v>
      </c>
      <c r="D42" s="4">
        <v>1205</v>
      </c>
      <c r="E42" s="4" t="s">
        <v>94</v>
      </c>
      <c r="F42" s="4" t="s">
        <v>14</v>
      </c>
      <c r="G42" s="5">
        <v>220340271</v>
      </c>
      <c r="H42" s="5">
        <v>0</v>
      </c>
      <c r="I42" s="5">
        <v>0</v>
      </c>
      <c r="J42" s="5" t="s">
        <v>14</v>
      </c>
      <c r="K42" s="5">
        <v>220340271</v>
      </c>
    </row>
    <row r="43" spans="1:11" x14ac:dyDescent="0.25">
      <c r="A43" s="4" t="s">
        <v>11</v>
      </c>
      <c r="B43" s="4" t="s">
        <v>12</v>
      </c>
      <c r="C43" s="4" t="s">
        <v>21</v>
      </c>
      <c r="D43" s="4">
        <v>120505</v>
      </c>
      <c r="E43" s="4" t="s">
        <v>94</v>
      </c>
      <c r="F43" s="4" t="s">
        <v>14</v>
      </c>
      <c r="G43" s="5">
        <v>220340271</v>
      </c>
      <c r="H43" s="5">
        <v>0</v>
      </c>
      <c r="I43" s="5">
        <v>0</v>
      </c>
      <c r="J43" s="5" t="s">
        <v>14</v>
      </c>
      <c r="K43" s="5">
        <v>220340271</v>
      </c>
    </row>
    <row r="44" spans="1:11" x14ac:dyDescent="0.25">
      <c r="A44" s="4" t="s">
        <v>11</v>
      </c>
      <c r="B44" s="4" t="s">
        <v>12</v>
      </c>
      <c r="C44" s="4" t="s">
        <v>23</v>
      </c>
      <c r="D44" s="4">
        <v>12050515</v>
      </c>
      <c r="E44" s="4" t="s">
        <v>97</v>
      </c>
      <c r="F44" s="4" t="s">
        <v>14</v>
      </c>
      <c r="G44" s="5">
        <v>220128705</v>
      </c>
      <c r="H44" s="5">
        <v>0</v>
      </c>
      <c r="I44" s="5">
        <v>0</v>
      </c>
      <c r="J44" s="5" t="s">
        <v>14</v>
      </c>
      <c r="K44" s="5">
        <v>220128705</v>
      </c>
    </row>
    <row r="45" spans="1:11" x14ac:dyDescent="0.25">
      <c r="A45" s="4" t="s">
        <v>11</v>
      </c>
      <c r="B45" s="4" t="s">
        <v>12</v>
      </c>
      <c r="C45" s="4" t="s">
        <v>26</v>
      </c>
      <c r="D45" s="4">
        <v>1205051505</v>
      </c>
      <c r="E45" s="4" t="s">
        <v>99</v>
      </c>
      <c r="F45" s="4" t="s">
        <v>14</v>
      </c>
      <c r="G45" s="5">
        <v>220128705</v>
      </c>
      <c r="H45" s="5">
        <v>0</v>
      </c>
      <c r="I45" s="5">
        <v>0</v>
      </c>
      <c r="J45" s="5" t="s">
        <v>14</v>
      </c>
      <c r="K45" s="5">
        <v>220128705</v>
      </c>
    </row>
    <row r="46" spans="1:11" x14ac:dyDescent="0.25">
      <c r="A46" s="4" t="s">
        <v>11</v>
      </c>
      <c r="B46" s="4" t="s">
        <v>12</v>
      </c>
      <c r="C46" s="4" t="s">
        <v>23</v>
      </c>
      <c r="D46" s="4">
        <v>12050520</v>
      </c>
      <c r="E46" s="4" t="s">
        <v>101</v>
      </c>
      <c r="F46" s="4" t="s">
        <v>14</v>
      </c>
      <c r="G46" s="5">
        <v>211566</v>
      </c>
      <c r="H46" s="5">
        <v>0</v>
      </c>
      <c r="I46" s="5">
        <v>0</v>
      </c>
      <c r="J46" s="5" t="s">
        <v>14</v>
      </c>
      <c r="K46" s="5">
        <v>211566</v>
      </c>
    </row>
    <row r="47" spans="1:11" x14ac:dyDescent="0.25">
      <c r="A47" s="4" t="s">
        <v>11</v>
      </c>
      <c r="B47" s="4" t="s">
        <v>12</v>
      </c>
      <c r="C47" s="4" t="s">
        <v>26</v>
      </c>
      <c r="D47" s="4">
        <v>1205052010</v>
      </c>
      <c r="E47" s="4" t="s">
        <v>103</v>
      </c>
      <c r="F47" s="4" t="s">
        <v>14</v>
      </c>
      <c r="G47" s="5">
        <v>211566</v>
      </c>
      <c r="H47" s="5">
        <v>0</v>
      </c>
      <c r="I47" s="5">
        <v>0</v>
      </c>
      <c r="J47" s="5" t="s">
        <v>14</v>
      </c>
      <c r="K47" s="5">
        <v>211566</v>
      </c>
    </row>
    <row r="48" spans="1:11" x14ac:dyDescent="0.25">
      <c r="A48" s="4" t="s">
        <v>11</v>
      </c>
      <c r="B48" s="4" t="s">
        <v>12</v>
      </c>
      <c r="C48" s="4" t="s">
        <v>15</v>
      </c>
      <c r="D48" s="4">
        <v>13</v>
      </c>
      <c r="E48" s="4" t="s">
        <v>105</v>
      </c>
      <c r="F48" s="4" t="s">
        <v>14</v>
      </c>
      <c r="G48" s="5">
        <v>36243266435.580002</v>
      </c>
      <c r="H48" s="5">
        <v>7398046327.8699999</v>
      </c>
      <c r="I48" s="5">
        <v>12388423260.709999</v>
      </c>
      <c r="J48" s="5" t="s">
        <v>14</v>
      </c>
      <c r="K48" s="5">
        <v>31252889502.740002</v>
      </c>
    </row>
    <row r="49" spans="1:11" x14ac:dyDescent="0.25">
      <c r="A49" s="4" t="s">
        <v>11</v>
      </c>
      <c r="B49" s="4" t="s">
        <v>12</v>
      </c>
      <c r="C49" s="4" t="s">
        <v>18</v>
      </c>
      <c r="D49" s="4">
        <v>1305</v>
      </c>
      <c r="E49" s="4" t="s">
        <v>107</v>
      </c>
      <c r="F49" s="4" t="s">
        <v>14</v>
      </c>
      <c r="G49" s="5">
        <v>34902911095.07</v>
      </c>
      <c r="H49" s="5">
        <v>7327027030.71</v>
      </c>
      <c r="I49" s="5">
        <v>11334176881.709999</v>
      </c>
      <c r="J49" s="5" t="s">
        <v>14</v>
      </c>
      <c r="K49" s="5">
        <v>30895761244.07</v>
      </c>
    </row>
    <row r="50" spans="1:11" x14ac:dyDescent="0.25">
      <c r="A50" s="4" t="s">
        <v>11</v>
      </c>
      <c r="B50" s="4" t="s">
        <v>12</v>
      </c>
      <c r="C50" s="4" t="s">
        <v>21</v>
      </c>
      <c r="D50" s="4">
        <v>130505</v>
      </c>
      <c r="E50" s="4" t="s">
        <v>107</v>
      </c>
      <c r="F50" s="4" t="s">
        <v>14</v>
      </c>
      <c r="G50" s="5">
        <v>34902911095.07</v>
      </c>
      <c r="H50" s="5">
        <v>7327027030.71</v>
      </c>
      <c r="I50" s="5">
        <v>11334176881.709999</v>
      </c>
      <c r="J50" s="5" t="s">
        <v>14</v>
      </c>
      <c r="K50" s="5">
        <v>30895761244.07</v>
      </c>
    </row>
    <row r="51" spans="1:11" x14ac:dyDescent="0.25">
      <c r="A51" s="4" t="s">
        <v>11</v>
      </c>
      <c r="B51" s="4" t="s">
        <v>12</v>
      </c>
      <c r="C51" s="4" t="s">
        <v>23</v>
      </c>
      <c r="D51" s="4">
        <v>13050505</v>
      </c>
      <c r="E51" s="4" t="s">
        <v>110</v>
      </c>
      <c r="F51" s="4" t="s">
        <v>14</v>
      </c>
      <c r="G51" s="5">
        <v>5124151357.1000004</v>
      </c>
      <c r="H51" s="5">
        <v>3770726417</v>
      </c>
      <c r="I51" s="5">
        <v>5502800633</v>
      </c>
      <c r="J51" s="5" t="s">
        <v>14</v>
      </c>
      <c r="K51" s="5">
        <v>3392077141.0999999</v>
      </c>
    </row>
    <row r="52" spans="1:11" x14ac:dyDescent="0.25">
      <c r="A52" s="4" t="s">
        <v>11</v>
      </c>
      <c r="B52" s="4" t="s">
        <v>12</v>
      </c>
      <c r="C52" s="4" t="s">
        <v>26</v>
      </c>
      <c r="D52" s="4">
        <v>1305050505</v>
      </c>
      <c r="E52" s="4" t="s">
        <v>112</v>
      </c>
      <c r="F52" s="4" t="s">
        <v>14</v>
      </c>
      <c r="G52" s="5">
        <v>676659615</v>
      </c>
      <c r="H52" s="5">
        <v>1602568962</v>
      </c>
      <c r="I52" s="5">
        <v>1544142637</v>
      </c>
      <c r="J52" s="5" t="s">
        <v>14</v>
      </c>
      <c r="K52" s="5">
        <v>735085940</v>
      </c>
    </row>
    <row r="53" spans="1:11" x14ac:dyDescent="0.25">
      <c r="A53" s="4" t="s">
        <v>11</v>
      </c>
      <c r="B53" s="4" t="s">
        <v>12</v>
      </c>
      <c r="C53" s="4" t="s">
        <v>26</v>
      </c>
      <c r="D53" s="4">
        <v>1305050510</v>
      </c>
      <c r="E53" s="4" t="s">
        <v>114</v>
      </c>
      <c r="F53" s="4" t="s">
        <v>14</v>
      </c>
      <c r="G53" s="5">
        <v>81486418</v>
      </c>
      <c r="H53" s="5">
        <v>718886776</v>
      </c>
      <c r="I53" s="5">
        <v>239077458</v>
      </c>
      <c r="J53" s="5" t="s">
        <v>14</v>
      </c>
      <c r="K53" s="5">
        <v>561295736</v>
      </c>
    </row>
    <row r="54" spans="1:11" x14ac:dyDescent="0.25">
      <c r="A54" s="4" t="s">
        <v>11</v>
      </c>
      <c r="B54" s="4" t="s">
        <v>12</v>
      </c>
      <c r="C54" s="4" t="s">
        <v>26</v>
      </c>
      <c r="D54" s="4">
        <v>1305050515</v>
      </c>
      <c r="E54" s="4" t="s">
        <v>116</v>
      </c>
      <c r="F54" s="4" t="s">
        <v>14</v>
      </c>
      <c r="G54" s="5">
        <v>10189264</v>
      </c>
      <c r="H54" s="5">
        <v>42069922</v>
      </c>
      <c r="I54" s="5">
        <v>31040003</v>
      </c>
      <c r="J54" s="5" t="s">
        <v>14</v>
      </c>
      <c r="K54" s="5">
        <v>21219183</v>
      </c>
    </row>
    <row r="55" spans="1:11" x14ac:dyDescent="0.25">
      <c r="A55" s="4" t="s">
        <v>11</v>
      </c>
      <c r="B55" s="4" t="s">
        <v>12</v>
      </c>
      <c r="C55" s="4" t="s">
        <v>26</v>
      </c>
      <c r="D55" s="4">
        <v>1305050520</v>
      </c>
      <c r="E55" s="4" t="s">
        <v>97</v>
      </c>
      <c r="F55" s="4" t="s">
        <v>14</v>
      </c>
      <c r="G55" s="5">
        <v>339111652</v>
      </c>
      <c r="H55" s="5">
        <v>336322470</v>
      </c>
      <c r="I55" s="5">
        <v>416636149</v>
      </c>
      <c r="J55" s="5" t="s">
        <v>14</v>
      </c>
      <c r="K55" s="5">
        <v>258797973</v>
      </c>
    </row>
    <row r="56" spans="1:11" x14ac:dyDescent="0.25">
      <c r="A56" s="4" t="s">
        <v>11</v>
      </c>
      <c r="B56" s="4" t="s">
        <v>12</v>
      </c>
      <c r="C56" s="4" t="s">
        <v>26</v>
      </c>
      <c r="D56" s="4">
        <v>1305050525</v>
      </c>
      <c r="E56" s="4" t="s">
        <v>119</v>
      </c>
      <c r="F56" s="4" t="s">
        <v>14</v>
      </c>
      <c r="G56" s="5">
        <v>1328878929.0999999</v>
      </c>
      <c r="H56" s="5">
        <v>556307538</v>
      </c>
      <c r="I56" s="5">
        <v>319029170</v>
      </c>
      <c r="J56" s="5" t="s">
        <v>14</v>
      </c>
      <c r="K56" s="5">
        <v>1566157297.0999999</v>
      </c>
    </row>
    <row r="57" spans="1:11" x14ac:dyDescent="0.25">
      <c r="A57" s="4" t="s">
        <v>11</v>
      </c>
      <c r="B57" s="4" t="s">
        <v>12</v>
      </c>
      <c r="C57" s="4" t="s">
        <v>26</v>
      </c>
      <c r="D57" s="4">
        <v>1305050550</v>
      </c>
      <c r="E57" s="4" t="s">
        <v>121</v>
      </c>
      <c r="F57" s="4" t="s">
        <v>14</v>
      </c>
      <c r="G57" s="5">
        <v>4795954</v>
      </c>
      <c r="H57" s="5">
        <v>17390658</v>
      </c>
      <c r="I57" s="5">
        <v>20985139</v>
      </c>
      <c r="J57" s="5" t="s">
        <v>14</v>
      </c>
      <c r="K57" s="5">
        <v>1201473</v>
      </c>
    </row>
    <row r="58" spans="1:11" x14ac:dyDescent="0.25">
      <c r="A58" s="4" t="s">
        <v>11</v>
      </c>
      <c r="B58" s="4" t="s">
        <v>12</v>
      </c>
      <c r="C58" s="4" t="s">
        <v>26</v>
      </c>
      <c r="D58" s="4">
        <v>1305050555</v>
      </c>
      <c r="E58" s="4" t="s">
        <v>123</v>
      </c>
      <c r="F58" s="4" t="s">
        <v>14</v>
      </c>
      <c r="G58" s="5">
        <v>76737289</v>
      </c>
      <c r="H58" s="5">
        <v>289120845</v>
      </c>
      <c r="I58" s="5">
        <v>203129048</v>
      </c>
      <c r="J58" s="5" t="s">
        <v>14</v>
      </c>
      <c r="K58" s="5">
        <v>162729086</v>
      </c>
    </row>
    <row r="59" spans="1:11" x14ac:dyDescent="0.25">
      <c r="A59" s="4" t="s">
        <v>11</v>
      </c>
      <c r="B59" s="4" t="s">
        <v>12</v>
      </c>
      <c r="C59" s="4" t="s">
        <v>26</v>
      </c>
      <c r="D59" s="4">
        <v>1305050565</v>
      </c>
      <c r="E59" s="4" t="s">
        <v>125</v>
      </c>
      <c r="F59" s="4" t="s">
        <v>14</v>
      </c>
      <c r="G59" s="5">
        <v>14159644</v>
      </c>
      <c r="H59" s="5">
        <v>94179285</v>
      </c>
      <c r="I59" s="5">
        <v>99152262</v>
      </c>
      <c r="J59" s="5" t="s">
        <v>14</v>
      </c>
      <c r="K59" s="5">
        <v>9186667</v>
      </c>
    </row>
    <row r="60" spans="1:11" x14ac:dyDescent="0.25">
      <c r="A60" s="4" t="s">
        <v>11</v>
      </c>
      <c r="B60" s="4" t="s">
        <v>12</v>
      </c>
      <c r="C60" s="4" t="s">
        <v>26</v>
      </c>
      <c r="D60" s="4">
        <v>1305050570</v>
      </c>
      <c r="E60" s="4" t="s">
        <v>127</v>
      </c>
      <c r="F60" s="4" t="s">
        <v>14</v>
      </c>
      <c r="G60" s="5">
        <v>7240075</v>
      </c>
      <c r="H60" s="5">
        <v>0</v>
      </c>
      <c r="I60" s="5">
        <v>0</v>
      </c>
      <c r="J60" s="5" t="s">
        <v>14</v>
      </c>
      <c r="K60" s="5">
        <v>7240075</v>
      </c>
    </row>
    <row r="61" spans="1:11" x14ac:dyDescent="0.25">
      <c r="A61" s="4" t="s">
        <v>11</v>
      </c>
      <c r="B61" s="4" t="s">
        <v>12</v>
      </c>
      <c r="C61" s="4" t="s">
        <v>26</v>
      </c>
      <c r="D61" s="4">
        <v>1305050580</v>
      </c>
      <c r="E61" s="4" t="s">
        <v>129</v>
      </c>
      <c r="F61" s="4" t="s">
        <v>14</v>
      </c>
      <c r="G61" s="5">
        <v>28238942</v>
      </c>
      <c r="H61" s="5">
        <v>113879961</v>
      </c>
      <c r="I61" s="5">
        <v>72955192</v>
      </c>
      <c r="J61" s="5" t="s">
        <v>14</v>
      </c>
      <c r="K61" s="5">
        <v>69163711</v>
      </c>
    </row>
    <row r="62" spans="1:11" x14ac:dyDescent="0.25">
      <c r="A62" s="4" t="s">
        <v>11</v>
      </c>
      <c r="B62" s="4" t="s">
        <v>12</v>
      </c>
      <c r="C62" s="4" t="s">
        <v>26</v>
      </c>
      <c r="D62" s="4">
        <v>1305050585</v>
      </c>
      <c r="E62" s="4" t="s">
        <v>131</v>
      </c>
      <c r="F62" s="4" t="s">
        <v>14</v>
      </c>
      <c r="G62" s="5">
        <v>2556653575</v>
      </c>
      <c r="H62" s="5">
        <v>0</v>
      </c>
      <c r="I62" s="5">
        <v>2556653575</v>
      </c>
      <c r="J62" s="5" t="s">
        <v>14</v>
      </c>
      <c r="K62" s="5">
        <v>0</v>
      </c>
    </row>
    <row r="63" spans="1:11" x14ac:dyDescent="0.25">
      <c r="A63" s="4" t="s">
        <v>11</v>
      </c>
      <c r="B63" s="4" t="s">
        <v>12</v>
      </c>
      <c r="C63" s="4" t="s">
        <v>23</v>
      </c>
      <c r="D63" s="4">
        <v>13050510</v>
      </c>
      <c r="E63" s="4" t="s">
        <v>133</v>
      </c>
      <c r="F63" s="4" t="s">
        <v>14</v>
      </c>
      <c r="G63" s="5">
        <v>26526030840.060001</v>
      </c>
      <c r="H63" s="5">
        <v>2925103065</v>
      </c>
      <c r="I63" s="5">
        <v>4872893941.71</v>
      </c>
      <c r="J63" s="5" t="s">
        <v>14</v>
      </c>
      <c r="K63" s="5">
        <v>24578239963.349998</v>
      </c>
    </row>
    <row r="64" spans="1:11" x14ac:dyDescent="0.25">
      <c r="A64" s="4" t="s">
        <v>11</v>
      </c>
      <c r="B64" s="4" t="s">
        <v>12</v>
      </c>
      <c r="C64" s="4" t="s">
        <v>26</v>
      </c>
      <c r="D64" s="4">
        <v>1305051005</v>
      </c>
      <c r="E64" s="4" t="s">
        <v>112</v>
      </c>
      <c r="F64" s="4" t="s">
        <v>14</v>
      </c>
      <c r="G64" s="5">
        <v>14525350493.16</v>
      </c>
      <c r="H64" s="5">
        <v>1527200015</v>
      </c>
      <c r="I64" s="5">
        <v>2889652240.71</v>
      </c>
      <c r="J64" s="5" t="s">
        <v>14</v>
      </c>
      <c r="K64" s="5">
        <v>13162898267.450001</v>
      </c>
    </row>
    <row r="65" spans="1:11" x14ac:dyDescent="0.25">
      <c r="A65" s="4" t="s">
        <v>11</v>
      </c>
      <c r="B65" s="4" t="s">
        <v>12</v>
      </c>
      <c r="C65" s="4" t="s">
        <v>26</v>
      </c>
      <c r="D65" s="4">
        <v>1305051010</v>
      </c>
      <c r="E65" s="4" t="s">
        <v>114</v>
      </c>
      <c r="F65" s="4" t="s">
        <v>14</v>
      </c>
      <c r="G65" s="5">
        <v>1830732760.75</v>
      </c>
      <c r="H65" s="5">
        <v>238038218</v>
      </c>
      <c r="I65" s="5">
        <v>304384004</v>
      </c>
      <c r="J65" s="5" t="s">
        <v>14</v>
      </c>
      <c r="K65" s="5">
        <v>1764386974.75</v>
      </c>
    </row>
    <row r="66" spans="1:11" x14ac:dyDescent="0.25">
      <c r="A66" s="4" t="s">
        <v>11</v>
      </c>
      <c r="B66" s="4" t="s">
        <v>12</v>
      </c>
      <c r="C66" s="4" t="s">
        <v>26</v>
      </c>
      <c r="D66" s="4">
        <v>1305051015</v>
      </c>
      <c r="E66" s="4" t="s">
        <v>116</v>
      </c>
      <c r="F66" s="4" t="s">
        <v>14</v>
      </c>
      <c r="G66" s="5">
        <v>4387998560</v>
      </c>
      <c r="H66" s="5">
        <v>23972366</v>
      </c>
      <c r="I66" s="5">
        <v>18095798</v>
      </c>
      <c r="J66" s="5" t="s">
        <v>14</v>
      </c>
      <c r="K66" s="5">
        <v>4393875128</v>
      </c>
    </row>
    <row r="67" spans="1:11" x14ac:dyDescent="0.25">
      <c r="A67" s="4" t="s">
        <v>11</v>
      </c>
      <c r="B67" s="4" t="s">
        <v>12</v>
      </c>
      <c r="C67" s="4" t="s">
        <v>26</v>
      </c>
      <c r="D67" s="4">
        <v>1305051020</v>
      </c>
      <c r="E67" s="4" t="s">
        <v>97</v>
      </c>
      <c r="F67" s="4" t="s">
        <v>14</v>
      </c>
      <c r="G67" s="5">
        <v>721656819.54999995</v>
      </c>
      <c r="H67" s="5">
        <v>381748416</v>
      </c>
      <c r="I67" s="5">
        <v>251172537</v>
      </c>
      <c r="J67" s="5" t="s">
        <v>14</v>
      </c>
      <c r="K67" s="5">
        <v>852232698.54999995</v>
      </c>
    </row>
    <row r="68" spans="1:11" x14ac:dyDescent="0.25">
      <c r="A68" s="4" t="s">
        <v>11</v>
      </c>
      <c r="B68" s="4" t="s">
        <v>12</v>
      </c>
      <c r="C68" s="4" t="s">
        <v>26</v>
      </c>
      <c r="D68" s="4">
        <v>1305051025</v>
      </c>
      <c r="E68" s="4" t="s">
        <v>119</v>
      </c>
      <c r="F68" s="4" t="s">
        <v>14</v>
      </c>
      <c r="G68" s="5">
        <v>3491941106.96</v>
      </c>
      <c r="H68" s="5">
        <v>318037349</v>
      </c>
      <c r="I68" s="5">
        <v>610962903</v>
      </c>
      <c r="J68" s="5" t="s">
        <v>14</v>
      </c>
      <c r="K68" s="5">
        <v>3199015552.96</v>
      </c>
    </row>
    <row r="69" spans="1:11" x14ac:dyDescent="0.25">
      <c r="A69" s="4" t="s">
        <v>11</v>
      </c>
      <c r="B69" s="4" t="s">
        <v>12</v>
      </c>
      <c r="C69" s="4" t="s">
        <v>26</v>
      </c>
      <c r="D69" s="4">
        <v>1305051030</v>
      </c>
      <c r="E69" s="4" t="s">
        <v>140</v>
      </c>
      <c r="F69" s="4" t="s">
        <v>14</v>
      </c>
      <c r="G69" s="5">
        <v>491181410</v>
      </c>
      <c r="H69" s="5">
        <v>47269705</v>
      </c>
      <c r="I69" s="5">
        <v>47370306</v>
      </c>
      <c r="J69" s="5" t="s">
        <v>14</v>
      </c>
      <c r="K69" s="5">
        <v>491080809</v>
      </c>
    </row>
    <row r="70" spans="1:11" x14ac:dyDescent="0.25">
      <c r="A70" s="4" t="s">
        <v>11</v>
      </c>
      <c r="B70" s="4" t="s">
        <v>12</v>
      </c>
      <c r="C70" s="4" t="s">
        <v>26</v>
      </c>
      <c r="D70" s="4">
        <v>1305051035</v>
      </c>
      <c r="E70" s="4" t="s">
        <v>142</v>
      </c>
      <c r="F70" s="4" t="s">
        <v>14</v>
      </c>
      <c r="G70" s="5">
        <v>506966</v>
      </c>
      <c r="H70" s="5">
        <v>4212605</v>
      </c>
      <c r="I70" s="5">
        <v>4424910</v>
      </c>
      <c r="J70" s="5" t="s">
        <v>14</v>
      </c>
      <c r="K70" s="5">
        <v>294661</v>
      </c>
    </row>
    <row r="71" spans="1:11" x14ac:dyDescent="0.25">
      <c r="A71" s="4" t="s">
        <v>11</v>
      </c>
      <c r="B71" s="4" t="s">
        <v>12</v>
      </c>
      <c r="C71" s="4" t="s">
        <v>26</v>
      </c>
      <c r="D71" s="4">
        <v>1305051040</v>
      </c>
      <c r="E71" s="4" t="s">
        <v>144</v>
      </c>
      <c r="F71" s="4" t="s">
        <v>14</v>
      </c>
      <c r="G71" s="5">
        <v>192794294</v>
      </c>
      <c r="H71" s="5">
        <v>0</v>
      </c>
      <c r="I71" s="5">
        <v>0</v>
      </c>
      <c r="J71" s="5" t="s">
        <v>14</v>
      </c>
      <c r="K71" s="5">
        <v>192794294</v>
      </c>
    </row>
    <row r="72" spans="1:11" x14ac:dyDescent="0.25">
      <c r="A72" s="4" t="s">
        <v>11</v>
      </c>
      <c r="B72" s="4" t="s">
        <v>12</v>
      </c>
      <c r="C72" s="4" t="s">
        <v>26</v>
      </c>
      <c r="D72" s="4">
        <v>1305051050</v>
      </c>
      <c r="E72" s="4" t="s">
        <v>121</v>
      </c>
      <c r="F72" s="4" t="s">
        <v>14</v>
      </c>
      <c r="G72" s="5">
        <v>17731348</v>
      </c>
      <c r="H72" s="5">
        <v>20985139</v>
      </c>
      <c r="I72" s="5">
        <v>11365854</v>
      </c>
      <c r="J72" s="5" t="s">
        <v>14</v>
      </c>
      <c r="K72" s="5">
        <v>27350633</v>
      </c>
    </row>
    <row r="73" spans="1:11" x14ac:dyDescent="0.25">
      <c r="A73" s="4" t="s">
        <v>11</v>
      </c>
      <c r="B73" s="4" t="s">
        <v>12</v>
      </c>
      <c r="C73" s="4" t="s">
        <v>26</v>
      </c>
      <c r="D73" s="4">
        <v>1305051055</v>
      </c>
      <c r="E73" s="4" t="s">
        <v>123</v>
      </c>
      <c r="F73" s="4" t="s">
        <v>14</v>
      </c>
      <c r="G73" s="5">
        <v>450834910</v>
      </c>
      <c r="H73" s="5">
        <v>193739608</v>
      </c>
      <c r="I73" s="5">
        <v>408763830</v>
      </c>
      <c r="J73" s="5" t="s">
        <v>14</v>
      </c>
      <c r="K73" s="5">
        <v>235810688</v>
      </c>
    </row>
    <row r="74" spans="1:11" x14ac:dyDescent="0.25">
      <c r="A74" s="4" t="s">
        <v>11</v>
      </c>
      <c r="B74" s="4" t="s">
        <v>12</v>
      </c>
      <c r="C74" s="4" t="s">
        <v>26</v>
      </c>
      <c r="D74" s="4">
        <v>1305051065</v>
      </c>
      <c r="E74" s="4" t="s">
        <v>125</v>
      </c>
      <c r="F74" s="4" t="s">
        <v>14</v>
      </c>
      <c r="G74" s="5">
        <v>147386988.90000001</v>
      </c>
      <c r="H74" s="5">
        <v>94898857</v>
      </c>
      <c r="I74" s="5">
        <v>87269663</v>
      </c>
      <c r="J74" s="5" t="s">
        <v>14</v>
      </c>
      <c r="K74" s="5">
        <v>155016182.90000001</v>
      </c>
    </row>
    <row r="75" spans="1:11" x14ac:dyDescent="0.25">
      <c r="A75" s="4" t="s">
        <v>11</v>
      </c>
      <c r="B75" s="4" t="s">
        <v>12</v>
      </c>
      <c r="C75" s="4" t="s">
        <v>26</v>
      </c>
      <c r="D75" s="4">
        <v>1305051070</v>
      </c>
      <c r="E75" s="4" t="s">
        <v>127</v>
      </c>
      <c r="F75" s="4" t="s">
        <v>14</v>
      </c>
      <c r="G75" s="5">
        <v>96039662.739999995</v>
      </c>
      <c r="H75" s="5">
        <v>0</v>
      </c>
      <c r="I75" s="5">
        <v>0</v>
      </c>
      <c r="J75" s="5" t="s">
        <v>14</v>
      </c>
      <c r="K75" s="5">
        <v>96039662.739999995</v>
      </c>
    </row>
    <row r="76" spans="1:11" x14ac:dyDescent="0.25">
      <c r="A76" s="4" t="s">
        <v>11</v>
      </c>
      <c r="B76" s="4" t="s">
        <v>12</v>
      </c>
      <c r="C76" s="4" t="s">
        <v>26</v>
      </c>
      <c r="D76" s="4">
        <v>1305051080</v>
      </c>
      <c r="E76" s="4" t="s">
        <v>129</v>
      </c>
      <c r="F76" s="4" t="s">
        <v>14</v>
      </c>
      <c r="G76" s="5">
        <v>171875520</v>
      </c>
      <c r="H76" s="5">
        <v>75000787</v>
      </c>
      <c r="I76" s="5">
        <v>239431896</v>
      </c>
      <c r="J76" s="5" t="s">
        <v>14</v>
      </c>
      <c r="K76" s="5">
        <v>7444411</v>
      </c>
    </row>
    <row r="77" spans="1:11" x14ac:dyDescent="0.25">
      <c r="A77" s="4" t="s">
        <v>11</v>
      </c>
      <c r="B77" s="4" t="s">
        <v>12</v>
      </c>
      <c r="C77" s="4" t="s">
        <v>23</v>
      </c>
      <c r="D77" s="4">
        <v>13050515</v>
      </c>
      <c r="E77" s="4" t="s">
        <v>151</v>
      </c>
      <c r="F77" s="4" t="s">
        <v>14</v>
      </c>
      <c r="G77" s="5">
        <v>5051083738.8100004</v>
      </c>
      <c r="H77" s="5">
        <v>504208986</v>
      </c>
      <c r="I77" s="5">
        <v>927564228</v>
      </c>
      <c r="J77" s="5" t="s">
        <v>14</v>
      </c>
      <c r="K77" s="5">
        <v>4627728496.8100004</v>
      </c>
    </row>
    <row r="78" spans="1:11" x14ac:dyDescent="0.25">
      <c r="A78" s="4" t="s">
        <v>11</v>
      </c>
      <c r="B78" s="4" t="s">
        <v>12</v>
      </c>
      <c r="C78" s="4" t="s">
        <v>26</v>
      </c>
      <c r="D78" s="4">
        <v>1305051505</v>
      </c>
      <c r="E78" s="4" t="s">
        <v>112</v>
      </c>
      <c r="F78" s="4" t="s">
        <v>14</v>
      </c>
      <c r="G78" s="5">
        <v>2284815696.5500002</v>
      </c>
      <c r="H78" s="5">
        <v>208146853</v>
      </c>
      <c r="I78" s="5">
        <v>485783628</v>
      </c>
      <c r="J78" s="5" t="s">
        <v>14</v>
      </c>
      <c r="K78" s="5">
        <v>2007178921.55</v>
      </c>
    </row>
    <row r="79" spans="1:11" x14ac:dyDescent="0.25">
      <c r="A79" s="4" t="s">
        <v>11</v>
      </c>
      <c r="B79" s="4" t="s">
        <v>12</v>
      </c>
      <c r="C79" s="4" t="s">
        <v>26</v>
      </c>
      <c r="D79" s="4">
        <v>1305051510</v>
      </c>
      <c r="E79" s="4" t="s">
        <v>114</v>
      </c>
      <c r="F79" s="4" t="s">
        <v>14</v>
      </c>
      <c r="G79" s="5">
        <v>273132303.80000001</v>
      </c>
      <c r="H79" s="5">
        <v>79933482</v>
      </c>
      <c r="I79" s="5">
        <v>12853017</v>
      </c>
      <c r="J79" s="5" t="s">
        <v>14</v>
      </c>
      <c r="K79" s="5">
        <v>340212768.80000001</v>
      </c>
    </row>
    <row r="80" spans="1:11" x14ac:dyDescent="0.25">
      <c r="A80" s="4" t="s">
        <v>11</v>
      </c>
      <c r="B80" s="4" t="s">
        <v>12</v>
      </c>
      <c r="C80" s="4" t="s">
        <v>26</v>
      </c>
      <c r="D80" s="4">
        <v>1305051515</v>
      </c>
      <c r="E80" s="4" t="s">
        <v>116</v>
      </c>
      <c r="F80" s="4" t="s">
        <v>14</v>
      </c>
      <c r="G80" s="5">
        <v>6564579</v>
      </c>
      <c r="H80" s="5">
        <v>0</v>
      </c>
      <c r="I80" s="5">
        <v>0</v>
      </c>
      <c r="J80" s="5" t="s">
        <v>14</v>
      </c>
      <c r="K80" s="5">
        <v>6564579</v>
      </c>
    </row>
    <row r="81" spans="1:11" x14ac:dyDescent="0.25">
      <c r="A81" s="4" t="s">
        <v>11</v>
      </c>
      <c r="B81" s="4" t="s">
        <v>12</v>
      </c>
      <c r="C81" s="4" t="s">
        <v>26</v>
      </c>
      <c r="D81" s="4">
        <v>1305051520</v>
      </c>
      <c r="E81" s="4" t="s">
        <v>97</v>
      </c>
      <c r="F81" s="4" t="s">
        <v>14</v>
      </c>
      <c r="G81" s="5">
        <v>132755997.7</v>
      </c>
      <c r="H81" s="5">
        <v>8788482</v>
      </c>
      <c r="I81" s="5">
        <v>6288684</v>
      </c>
      <c r="J81" s="5" t="s">
        <v>14</v>
      </c>
      <c r="K81" s="5">
        <v>135255795.69999999</v>
      </c>
    </row>
    <row r="82" spans="1:11" x14ac:dyDescent="0.25">
      <c r="A82" s="4" t="s">
        <v>11</v>
      </c>
      <c r="B82" s="4" t="s">
        <v>12</v>
      </c>
      <c r="C82" s="4" t="s">
        <v>26</v>
      </c>
      <c r="D82" s="4">
        <v>1305051525</v>
      </c>
      <c r="E82" s="4" t="s">
        <v>119</v>
      </c>
      <c r="F82" s="4" t="s">
        <v>14</v>
      </c>
      <c r="G82" s="5">
        <v>1941611803.0599999</v>
      </c>
      <c r="H82" s="5">
        <v>184290023</v>
      </c>
      <c r="I82" s="5">
        <v>388430507</v>
      </c>
      <c r="J82" s="5" t="s">
        <v>14</v>
      </c>
      <c r="K82" s="5">
        <v>1737471319.0599999</v>
      </c>
    </row>
    <row r="83" spans="1:11" x14ac:dyDescent="0.25">
      <c r="A83" s="4" t="s">
        <v>11</v>
      </c>
      <c r="B83" s="4" t="s">
        <v>12</v>
      </c>
      <c r="C83" s="4" t="s">
        <v>26</v>
      </c>
      <c r="D83" s="4">
        <v>1305051550</v>
      </c>
      <c r="E83" s="4" t="s">
        <v>121</v>
      </c>
      <c r="F83" s="4" t="s">
        <v>14</v>
      </c>
      <c r="G83" s="5">
        <v>36935077</v>
      </c>
      <c r="H83" s="5">
        <v>2052000</v>
      </c>
      <c r="I83" s="5">
        <v>2052000</v>
      </c>
      <c r="J83" s="5" t="s">
        <v>14</v>
      </c>
      <c r="K83" s="5">
        <v>36935077</v>
      </c>
    </row>
    <row r="84" spans="1:11" x14ac:dyDescent="0.25">
      <c r="A84" s="4" t="s">
        <v>11</v>
      </c>
      <c r="B84" s="4" t="s">
        <v>12</v>
      </c>
      <c r="C84" s="4" t="s">
        <v>26</v>
      </c>
      <c r="D84" s="4">
        <v>1305051555</v>
      </c>
      <c r="E84" s="4" t="s">
        <v>123</v>
      </c>
      <c r="F84" s="4" t="s">
        <v>14</v>
      </c>
      <c r="G84" s="5">
        <v>204504340</v>
      </c>
      <c r="H84" s="5">
        <v>11847509</v>
      </c>
      <c r="I84" s="5">
        <v>17431411</v>
      </c>
      <c r="J84" s="5" t="s">
        <v>14</v>
      </c>
      <c r="K84" s="5">
        <v>198920438</v>
      </c>
    </row>
    <row r="85" spans="1:11" x14ac:dyDescent="0.25">
      <c r="A85" s="4" t="s">
        <v>11</v>
      </c>
      <c r="B85" s="4" t="s">
        <v>12</v>
      </c>
      <c r="C85" s="4" t="s">
        <v>26</v>
      </c>
      <c r="D85" s="4">
        <v>1305051565</v>
      </c>
      <c r="E85" s="4" t="s">
        <v>125</v>
      </c>
      <c r="F85" s="4" t="s">
        <v>14</v>
      </c>
      <c r="G85" s="5">
        <v>44731015.700000003</v>
      </c>
      <c r="H85" s="5">
        <v>3217946</v>
      </c>
      <c r="I85" s="5">
        <v>909562</v>
      </c>
      <c r="J85" s="5" t="s">
        <v>14</v>
      </c>
      <c r="K85" s="5">
        <v>47039399.700000003</v>
      </c>
    </row>
    <row r="86" spans="1:11" x14ac:dyDescent="0.25">
      <c r="A86" s="4" t="s">
        <v>11</v>
      </c>
      <c r="B86" s="4" t="s">
        <v>12</v>
      </c>
      <c r="C86" s="4" t="s">
        <v>26</v>
      </c>
      <c r="D86" s="4">
        <v>1305051570</v>
      </c>
      <c r="E86" s="4" t="s">
        <v>127</v>
      </c>
      <c r="F86" s="4" t="s">
        <v>14</v>
      </c>
      <c r="G86" s="5">
        <v>4464765</v>
      </c>
      <c r="H86" s="5">
        <v>0</v>
      </c>
      <c r="I86" s="5">
        <v>0</v>
      </c>
      <c r="J86" s="5" t="s">
        <v>14</v>
      </c>
      <c r="K86" s="5">
        <v>4464765</v>
      </c>
    </row>
    <row r="87" spans="1:11" x14ac:dyDescent="0.25">
      <c r="A87" s="4" t="s">
        <v>11</v>
      </c>
      <c r="B87" s="4" t="s">
        <v>12</v>
      </c>
      <c r="C87" s="4" t="s">
        <v>26</v>
      </c>
      <c r="D87" s="4">
        <v>1305051580</v>
      </c>
      <c r="E87" s="4" t="s">
        <v>129</v>
      </c>
      <c r="F87" s="4" t="s">
        <v>14</v>
      </c>
      <c r="G87" s="5">
        <v>121568161</v>
      </c>
      <c r="H87" s="5">
        <v>5932691</v>
      </c>
      <c r="I87" s="5">
        <v>13815419</v>
      </c>
      <c r="J87" s="5" t="s">
        <v>14</v>
      </c>
      <c r="K87" s="5">
        <v>113685433</v>
      </c>
    </row>
    <row r="88" spans="1:11" x14ac:dyDescent="0.25">
      <c r="A88" s="4" t="s">
        <v>11</v>
      </c>
      <c r="B88" s="4" t="s">
        <v>12</v>
      </c>
      <c r="C88" s="4" t="s">
        <v>23</v>
      </c>
      <c r="D88" s="4">
        <v>13050516</v>
      </c>
      <c r="E88" s="4" t="s">
        <v>163</v>
      </c>
      <c r="F88" s="4" t="s">
        <v>14</v>
      </c>
      <c r="G88" s="5">
        <v>472654259.5</v>
      </c>
      <c r="H88" s="5">
        <v>126404000</v>
      </c>
      <c r="I88" s="5">
        <v>30918079</v>
      </c>
      <c r="J88" s="5" t="s">
        <v>14</v>
      </c>
      <c r="K88" s="5">
        <v>568140180.5</v>
      </c>
    </row>
    <row r="89" spans="1:11" x14ac:dyDescent="0.25">
      <c r="A89" s="4" t="s">
        <v>11</v>
      </c>
      <c r="B89" s="4" t="s">
        <v>12</v>
      </c>
      <c r="C89" s="4" t="s">
        <v>26</v>
      </c>
      <c r="D89" s="4">
        <v>1305051605</v>
      </c>
      <c r="E89" s="4" t="s">
        <v>112</v>
      </c>
      <c r="F89" s="4" t="s">
        <v>14</v>
      </c>
      <c r="G89" s="5">
        <v>373343421</v>
      </c>
      <c r="H89" s="5">
        <v>124192097</v>
      </c>
      <c r="I89" s="5">
        <v>21486000</v>
      </c>
      <c r="J89" s="5" t="s">
        <v>14</v>
      </c>
      <c r="K89" s="5">
        <v>476049518</v>
      </c>
    </row>
    <row r="90" spans="1:11" x14ac:dyDescent="0.25">
      <c r="A90" s="4" t="s">
        <v>11</v>
      </c>
      <c r="B90" s="4" t="s">
        <v>12</v>
      </c>
      <c r="C90" s="4" t="s">
        <v>26</v>
      </c>
      <c r="D90" s="4">
        <v>1305051610</v>
      </c>
      <c r="E90" s="4" t="s">
        <v>114</v>
      </c>
      <c r="F90" s="4" t="s">
        <v>14</v>
      </c>
      <c r="G90" s="5">
        <v>12800563</v>
      </c>
      <c r="H90" s="5">
        <v>1112003</v>
      </c>
      <c r="I90" s="5">
        <v>563732</v>
      </c>
      <c r="J90" s="5" t="s">
        <v>14</v>
      </c>
      <c r="K90" s="5">
        <v>13348834</v>
      </c>
    </row>
    <row r="91" spans="1:11" x14ac:dyDescent="0.25">
      <c r="A91" s="4" t="s">
        <v>11</v>
      </c>
      <c r="B91" s="4" t="s">
        <v>12</v>
      </c>
      <c r="C91" s="4" t="s">
        <v>26</v>
      </c>
      <c r="D91" s="4">
        <v>1305051620</v>
      </c>
      <c r="E91" s="4" t="s">
        <v>97</v>
      </c>
      <c r="F91" s="4" t="s">
        <v>14</v>
      </c>
      <c r="G91" s="5">
        <v>15166584</v>
      </c>
      <c r="H91" s="5">
        <v>0</v>
      </c>
      <c r="I91" s="5">
        <v>106697</v>
      </c>
      <c r="J91" s="5" t="s">
        <v>14</v>
      </c>
      <c r="K91" s="5">
        <v>15059887</v>
      </c>
    </row>
    <row r="92" spans="1:11" x14ac:dyDescent="0.25">
      <c r="A92" s="4" t="s">
        <v>11</v>
      </c>
      <c r="B92" s="4" t="s">
        <v>12</v>
      </c>
      <c r="C92" s="4" t="s">
        <v>26</v>
      </c>
      <c r="D92" s="4">
        <v>1305051625</v>
      </c>
      <c r="E92" s="4" t="s">
        <v>119</v>
      </c>
      <c r="F92" s="4" t="s">
        <v>14</v>
      </c>
      <c r="G92" s="5">
        <v>70078407.5</v>
      </c>
      <c r="H92" s="5">
        <v>0</v>
      </c>
      <c r="I92" s="5">
        <v>8200546</v>
      </c>
      <c r="J92" s="5" t="s">
        <v>14</v>
      </c>
      <c r="K92" s="5">
        <v>61877861.5</v>
      </c>
    </row>
    <row r="93" spans="1:11" x14ac:dyDescent="0.25">
      <c r="A93" s="4" t="s">
        <v>11</v>
      </c>
      <c r="B93" s="4" t="s">
        <v>12</v>
      </c>
      <c r="C93" s="4" t="s">
        <v>26</v>
      </c>
      <c r="D93" s="4">
        <v>1305051650</v>
      </c>
      <c r="E93" s="4" t="s">
        <v>121</v>
      </c>
      <c r="F93" s="4" t="s">
        <v>14</v>
      </c>
      <c r="G93" s="5">
        <v>0</v>
      </c>
      <c r="H93" s="5">
        <v>1099900</v>
      </c>
      <c r="I93" s="5">
        <v>0</v>
      </c>
      <c r="J93" s="5" t="s">
        <v>14</v>
      </c>
      <c r="K93" s="5">
        <v>1099900</v>
      </c>
    </row>
    <row r="94" spans="1:11" x14ac:dyDescent="0.25">
      <c r="A94" s="4" t="s">
        <v>11</v>
      </c>
      <c r="B94" s="4" t="s">
        <v>12</v>
      </c>
      <c r="C94" s="4" t="s">
        <v>26</v>
      </c>
      <c r="D94" s="4">
        <v>1305051655</v>
      </c>
      <c r="E94" s="4" t="s">
        <v>123</v>
      </c>
      <c r="F94" s="4" t="s">
        <v>14</v>
      </c>
      <c r="G94" s="5">
        <v>422447</v>
      </c>
      <c r="H94" s="5">
        <v>0</v>
      </c>
      <c r="I94" s="5">
        <v>0</v>
      </c>
      <c r="J94" s="5" t="s">
        <v>14</v>
      </c>
      <c r="K94" s="5">
        <v>422447</v>
      </c>
    </row>
    <row r="95" spans="1:11" x14ac:dyDescent="0.25">
      <c r="A95" s="4" t="s">
        <v>11</v>
      </c>
      <c r="B95" s="4" t="s">
        <v>12</v>
      </c>
      <c r="C95" s="4" t="s">
        <v>26</v>
      </c>
      <c r="D95" s="4">
        <v>1305051680</v>
      </c>
      <c r="E95" s="4" t="s">
        <v>129</v>
      </c>
      <c r="F95" s="4" t="s">
        <v>14</v>
      </c>
      <c r="G95" s="5">
        <v>842837</v>
      </c>
      <c r="H95" s="5">
        <v>0</v>
      </c>
      <c r="I95" s="5">
        <v>561104</v>
      </c>
      <c r="J95" s="5" t="s">
        <v>14</v>
      </c>
      <c r="K95" s="5">
        <v>281733</v>
      </c>
    </row>
    <row r="96" spans="1:11" x14ac:dyDescent="0.25">
      <c r="A96" s="4" t="s">
        <v>11</v>
      </c>
      <c r="B96" s="4" t="s">
        <v>12</v>
      </c>
      <c r="C96" s="4" t="s">
        <v>23</v>
      </c>
      <c r="D96" s="4">
        <v>13050599</v>
      </c>
      <c r="E96" s="4" t="s">
        <v>172</v>
      </c>
      <c r="F96" s="4" t="s">
        <v>173</v>
      </c>
      <c r="G96" s="5">
        <v>2271009100.4000001</v>
      </c>
      <c r="H96" s="5">
        <v>584562.71</v>
      </c>
      <c r="I96" s="5">
        <v>0</v>
      </c>
      <c r="J96" s="5" t="s">
        <v>173</v>
      </c>
      <c r="K96" s="5">
        <v>2270424537.6900001</v>
      </c>
    </row>
    <row r="97" spans="1:11" x14ac:dyDescent="0.25">
      <c r="A97" s="4" t="s">
        <v>11</v>
      </c>
      <c r="B97" s="4" t="s">
        <v>12</v>
      </c>
      <c r="C97" s="4" t="s">
        <v>26</v>
      </c>
      <c r="D97" s="4">
        <v>1305059905</v>
      </c>
      <c r="E97" s="4" t="s">
        <v>112</v>
      </c>
      <c r="F97" s="4" t="s">
        <v>173</v>
      </c>
      <c r="G97" s="5">
        <v>369355595.73000002</v>
      </c>
      <c r="H97" s="5">
        <v>584562.71</v>
      </c>
      <c r="I97" s="5">
        <v>0</v>
      </c>
      <c r="J97" s="5" t="s">
        <v>173</v>
      </c>
      <c r="K97" s="5">
        <v>368771033.01999998</v>
      </c>
    </row>
    <row r="98" spans="1:11" x14ac:dyDescent="0.25">
      <c r="A98" s="4" t="s">
        <v>11</v>
      </c>
      <c r="B98" s="4" t="s">
        <v>12</v>
      </c>
      <c r="C98" s="4" t="s">
        <v>26</v>
      </c>
      <c r="D98" s="4">
        <v>1305059910</v>
      </c>
      <c r="E98" s="4" t="s">
        <v>114</v>
      </c>
      <c r="F98" s="4" t="s">
        <v>173</v>
      </c>
      <c r="G98" s="5">
        <v>45661261.880000003</v>
      </c>
      <c r="H98" s="5">
        <v>0</v>
      </c>
      <c r="I98" s="5">
        <v>0</v>
      </c>
      <c r="J98" s="5" t="s">
        <v>173</v>
      </c>
      <c r="K98" s="5">
        <v>45661261.880000003</v>
      </c>
    </row>
    <row r="99" spans="1:11" x14ac:dyDescent="0.25">
      <c r="A99" s="4" t="s">
        <v>11</v>
      </c>
      <c r="B99" s="4" t="s">
        <v>12</v>
      </c>
      <c r="C99" s="4" t="s">
        <v>26</v>
      </c>
      <c r="D99" s="4">
        <v>1305059915</v>
      </c>
      <c r="E99" s="4" t="s">
        <v>116</v>
      </c>
      <c r="F99" s="4" t="s">
        <v>173</v>
      </c>
      <c r="G99" s="5">
        <v>1809210549.47</v>
      </c>
      <c r="H99" s="5">
        <v>0</v>
      </c>
      <c r="I99" s="5">
        <v>0</v>
      </c>
      <c r="J99" s="5" t="s">
        <v>173</v>
      </c>
      <c r="K99" s="5">
        <v>1809210549.47</v>
      </c>
    </row>
    <row r="100" spans="1:11" x14ac:dyDescent="0.25">
      <c r="A100" s="4" t="s">
        <v>11</v>
      </c>
      <c r="B100" s="4" t="s">
        <v>12</v>
      </c>
      <c r="C100" s="4" t="s">
        <v>26</v>
      </c>
      <c r="D100" s="4">
        <v>1305059925</v>
      </c>
      <c r="E100" s="4" t="s">
        <v>119</v>
      </c>
      <c r="F100" s="4" t="s">
        <v>173</v>
      </c>
      <c r="G100" s="5">
        <v>292045</v>
      </c>
      <c r="H100" s="5">
        <v>0</v>
      </c>
      <c r="I100" s="5">
        <v>0</v>
      </c>
      <c r="J100" s="5" t="s">
        <v>173</v>
      </c>
      <c r="K100" s="5">
        <v>292045</v>
      </c>
    </row>
    <row r="101" spans="1:11" x14ac:dyDescent="0.25">
      <c r="A101" s="4" t="s">
        <v>11</v>
      </c>
      <c r="B101" s="4" t="s">
        <v>12</v>
      </c>
      <c r="C101" s="4" t="s">
        <v>26</v>
      </c>
      <c r="D101" s="4">
        <v>1305059940</v>
      </c>
      <c r="E101" s="4" t="s">
        <v>144</v>
      </c>
      <c r="F101" s="4" t="s">
        <v>173</v>
      </c>
      <c r="G101" s="5">
        <v>30224441.91</v>
      </c>
      <c r="H101" s="5">
        <v>0</v>
      </c>
      <c r="I101" s="5">
        <v>0</v>
      </c>
      <c r="J101" s="5" t="s">
        <v>173</v>
      </c>
      <c r="K101" s="5">
        <v>30224441.91</v>
      </c>
    </row>
    <row r="102" spans="1:11" x14ac:dyDescent="0.25">
      <c r="A102" s="4" t="s">
        <v>11</v>
      </c>
      <c r="B102" s="4" t="s">
        <v>12</v>
      </c>
      <c r="C102" s="4" t="s">
        <v>26</v>
      </c>
      <c r="D102" s="4">
        <v>1305059945</v>
      </c>
      <c r="E102" s="4" t="s">
        <v>180</v>
      </c>
      <c r="F102" s="4" t="s">
        <v>173</v>
      </c>
      <c r="G102" s="5">
        <v>2452075.4500000002</v>
      </c>
      <c r="H102" s="5">
        <v>0</v>
      </c>
      <c r="I102" s="5">
        <v>0</v>
      </c>
      <c r="J102" s="5" t="s">
        <v>173</v>
      </c>
      <c r="K102" s="5">
        <v>2452075.4500000002</v>
      </c>
    </row>
    <row r="103" spans="1:11" x14ac:dyDescent="0.25">
      <c r="A103" s="4" t="s">
        <v>11</v>
      </c>
      <c r="B103" s="4" t="s">
        <v>12</v>
      </c>
      <c r="C103" s="4" t="s">
        <v>26</v>
      </c>
      <c r="D103" s="4">
        <v>1305059965</v>
      </c>
      <c r="E103" s="4" t="s">
        <v>125</v>
      </c>
      <c r="F103" s="4" t="s">
        <v>173</v>
      </c>
      <c r="G103" s="5">
        <v>13813130.960000001</v>
      </c>
      <c r="H103" s="5">
        <v>0</v>
      </c>
      <c r="I103" s="5">
        <v>0</v>
      </c>
      <c r="J103" s="5" t="s">
        <v>173</v>
      </c>
      <c r="K103" s="5">
        <v>13813130.960000001</v>
      </c>
    </row>
    <row r="104" spans="1:11" x14ac:dyDescent="0.25">
      <c r="A104" s="4" t="s">
        <v>11</v>
      </c>
      <c r="B104" s="4" t="s">
        <v>12</v>
      </c>
      <c r="C104" s="4" t="s">
        <v>18</v>
      </c>
      <c r="D104" s="4">
        <v>1320</v>
      </c>
      <c r="E104" s="4" t="s">
        <v>183</v>
      </c>
      <c r="F104" s="4" t="s">
        <v>14</v>
      </c>
      <c r="G104" s="5">
        <v>1004576452</v>
      </c>
      <c r="H104" s="5">
        <v>23801971</v>
      </c>
      <c r="I104" s="5">
        <v>1002466155</v>
      </c>
      <c r="J104" s="5" t="s">
        <v>14</v>
      </c>
      <c r="K104" s="5">
        <v>25912268</v>
      </c>
    </row>
    <row r="105" spans="1:11" x14ac:dyDescent="0.25">
      <c r="A105" s="4" t="s">
        <v>11</v>
      </c>
      <c r="B105" s="4" t="s">
        <v>12</v>
      </c>
      <c r="C105" s="4" t="s">
        <v>21</v>
      </c>
      <c r="D105" s="4">
        <v>132022</v>
      </c>
      <c r="E105" s="4" t="s">
        <v>185</v>
      </c>
      <c r="F105" s="4" t="s">
        <v>14</v>
      </c>
      <c r="G105" s="5">
        <v>1004576452</v>
      </c>
      <c r="H105" s="5">
        <v>23801971</v>
      </c>
      <c r="I105" s="5">
        <v>1002466155</v>
      </c>
      <c r="J105" s="5" t="s">
        <v>14</v>
      </c>
      <c r="K105" s="5">
        <v>25912268</v>
      </c>
    </row>
    <row r="106" spans="1:11" x14ac:dyDescent="0.25">
      <c r="A106" s="4" t="s">
        <v>11</v>
      </c>
      <c r="B106" s="4" t="s">
        <v>12</v>
      </c>
      <c r="C106" s="4" t="s">
        <v>23</v>
      </c>
      <c r="D106" s="4">
        <v>13202205</v>
      </c>
      <c r="E106" s="4" t="s">
        <v>187</v>
      </c>
      <c r="F106" s="4" t="s">
        <v>14</v>
      </c>
      <c r="G106" s="5">
        <v>1000057190</v>
      </c>
      <c r="H106" s="5">
        <v>2408965</v>
      </c>
      <c r="I106" s="5">
        <v>1002466155</v>
      </c>
      <c r="J106" s="5" t="s">
        <v>14</v>
      </c>
      <c r="K106" s="5">
        <v>0</v>
      </c>
    </row>
    <row r="107" spans="1:11" x14ac:dyDescent="0.25">
      <c r="A107" s="4" t="s">
        <v>11</v>
      </c>
      <c r="B107" s="4" t="s">
        <v>12</v>
      </c>
      <c r="C107" s="4" t="s">
        <v>26</v>
      </c>
      <c r="D107" s="4">
        <v>1320220510</v>
      </c>
      <c r="E107" s="4" t="s">
        <v>189</v>
      </c>
      <c r="F107" s="4" t="s">
        <v>14</v>
      </c>
      <c r="G107" s="5">
        <v>0</v>
      </c>
      <c r="H107" s="5">
        <v>1659133</v>
      </c>
      <c r="I107" s="5">
        <v>1659133</v>
      </c>
      <c r="J107" s="5" t="s">
        <v>14</v>
      </c>
      <c r="K107" s="5">
        <v>0</v>
      </c>
    </row>
    <row r="108" spans="1:11" x14ac:dyDescent="0.25">
      <c r="A108" s="4" t="s">
        <v>11</v>
      </c>
      <c r="B108" s="4" t="s">
        <v>12</v>
      </c>
      <c r="C108" s="4" t="s">
        <v>26</v>
      </c>
      <c r="D108" s="4">
        <v>1320220590</v>
      </c>
      <c r="E108" s="4" t="s">
        <v>191</v>
      </c>
      <c r="F108" s="4" t="s">
        <v>14</v>
      </c>
      <c r="G108" s="5">
        <v>1000057190</v>
      </c>
      <c r="H108" s="5">
        <v>0</v>
      </c>
      <c r="I108" s="5">
        <v>1000057190</v>
      </c>
      <c r="J108" s="5" t="s">
        <v>14</v>
      </c>
      <c r="K108" s="5">
        <v>0</v>
      </c>
    </row>
    <row r="109" spans="1:11" x14ac:dyDescent="0.25">
      <c r="A109" s="4" t="s">
        <v>11</v>
      </c>
      <c r="B109" s="4" t="s">
        <v>12</v>
      </c>
      <c r="C109" s="4" t="s">
        <v>26</v>
      </c>
      <c r="D109" s="4">
        <v>1320220595</v>
      </c>
      <c r="E109" s="4" t="s">
        <v>193</v>
      </c>
      <c r="F109" s="4" t="s">
        <v>14</v>
      </c>
      <c r="G109" s="5">
        <v>0</v>
      </c>
      <c r="H109" s="5">
        <v>749832</v>
      </c>
      <c r="I109" s="5">
        <v>749832</v>
      </c>
      <c r="J109" s="5" t="s">
        <v>14</v>
      </c>
      <c r="K109" s="5">
        <v>0</v>
      </c>
    </row>
    <row r="110" spans="1:11" x14ac:dyDescent="0.25">
      <c r="A110" s="4" t="s">
        <v>11</v>
      </c>
      <c r="B110" s="4" t="s">
        <v>12</v>
      </c>
      <c r="C110" s="4" t="s">
        <v>23</v>
      </c>
      <c r="D110" s="4">
        <v>13202210</v>
      </c>
      <c r="E110" s="4" t="s">
        <v>195</v>
      </c>
      <c r="F110" s="4" t="s">
        <v>14</v>
      </c>
      <c r="G110" s="5">
        <v>0</v>
      </c>
      <c r="H110" s="5">
        <v>21393006</v>
      </c>
      <c r="I110" s="5">
        <v>0</v>
      </c>
      <c r="J110" s="5" t="s">
        <v>14</v>
      </c>
      <c r="K110" s="5">
        <v>21393006</v>
      </c>
    </row>
    <row r="111" spans="1:11" x14ac:dyDescent="0.25">
      <c r="A111" s="4" t="s">
        <v>11</v>
      </c>
      <c r="B111" s="4" t="s">
        <v>12</v>
      </c>
      <c r="C111" s="4" t="s">
        <v>26</v>
      </c>
      <c r="D111" s="4">
        <v>1320221010</v>
      </c>
      <c r="E111" s="4" t="s">
        <v>197</v>
      </c>
      <c r="F111" s="4" t="s">
        <v>14</v>
      </c>
      <c r="G111" s="5">
        <v>0</v>
      </c>
      <c r="H111" s="5">
        <v>21393006</v>
      </c>
      <c r="I111" s="5">
        <v>0</v>
      </c>
      <c r="J111" s="5" t="s">
        <v>14</v>
      </c>
      <c r="K111" s="5">
        <v>21393006</v>
      </c>
    </row>
    <row r="112" spans="1:11" x14ac:dyDescent="0.25">
      <c r="A112" s="4" t="s">
        <v>11</v>
      </c>
      <c r="B112" s="4" t="s">
        <v>12</v>
      </c>
      <c r="C112" s="4" t="s">
        <v>23</v>
      </c>
      <c r="D112" s="4">
        <v>13202215</v>
      </c>
      <c r="E112" s="4" t="s">
        <v>199</v>
      </c>
      <c r="F112" s="4" t="s">
        <v>14</v>
      </c>
      <c r="G112" s="5">
        <v>4519262</v>
      </c>
      <c r="H112" s="5">
        <v>0</v>
      </c>
      <c r="I112" s="5">
        <v>0</v>
      </c>
      <c r="J112" s="5" t="s">
        <v>14</v>
      </c>
      <c r="K112" s="5">
        <v>4519262</v>
      </c>
    </row>
    <row r="113" spans="1:11" x14ac:dyDescent="0.25">
      <c r="A113" s="4" t="s">
        <v>11</v>
      </c>
      <c r="B113" s="4" t="s">
        <v>12</v>
      </c>
      <c r="C113" s="4" t="s">
        <v>26</v>
      </c>
      <c r="D113" s="4">
        <v>1320221595</v>
      </c>
      <c r="E113" s="4" t="s">
        <v>193</v>
      </c>
      <c r="F113" s="4" t="s">
        <v>14</v>
      </c>
      <c r="G113" s="5">
        <v>4519262</v>
      </c>
      <c r="H113" s="5">
        <v>0</v>
      </c>
      <c r="I113" s="5">
        <v>0</v>
      </c>
      <c r="J113" s="5" t="s">
        <v>14</v>
      </c>
      <c r="K113" s="5">
        <v>4519262</v>
      </c>
    </row>
    <row r="114" spans="1:11" x14ac:dyDescent="0.25">
      <c r="A114" s="4" t="s">
        <v>11</v>
      </c>
      <c r="B114" s="4" t="s">
        <v>12</v>
      </c>
      <c r="C114" s="4" t="s">
        <v>18</v>
      </c>
      <c r="D114" s="4">
        <v>1330</v>
      </c>
      <c r="E114" s="4" t="s">
        <v>202</v>
      </c>
      <c r="F114" s="4" t="s">
        <v>14</v>
      </c>
      <c r="G114" s="5">
        <v>190218356</v>
      </c>
      <c r="H114" s="5">
        <v>30167121</v>
      </c>
      <c r="I114" s="5">
        <v>10790115</v>
      </c>
      <c r="J114" s="5" t="s">
        <v>14</v>
      </c>
      <c r="K114" s="5">
        <v>209595362</v>
      </c>
    </row>
    <row r="115" spans="1:11" x14ac:dyDescent="0.25">
      <c r="A115" s="4" t="s">
        <v>11</v>
      </c>
      <c r="B115" s="4" t="s">
        <v>12</v>
      </c>
      <c r="C115" s="4" t="s">
        <v>21</v>
      </c>
      <c r="D115" s="4">
        <v>133030</v>
      </c>
      <c r="E115" s="4" t="s">
        <v>202</v>
      </c>
      <c r="F115" s="4" t="s">
        <v>14</v>
      </c>
      <c r="G115" s="5">
        <v>190218356</v>
      </c>
      <c r="H115" s="5">
        <v>30167121</v>
      </c>
      <c r="I115" s="5">
        <v>10790115</v>
      </c>
      <c r="J115" s="5" t="s">
        <v>14</v>
      </c>
      <c r="K115" s="5">
        <v>209595362</v>
      </c>
    </row>
    <row r="116" spans="1:11" x14ac:dyDescent="0.25">
      <c r="A116" s="4" t="s">
        <v>11</v>
      </c>
      <c r="B116" s="4" t="s">
        <v>12</v>
      </c>
      <c r="C116" s="4" t="s">
        <v>23</v>
      </c>
      <c r="D116" s="4">
        <v>13303005</v>
      </c>
      <c r="E116" s="4" t="s">
        <v>202</v>
      </c>
      <c r="F116" s="4" t="s">
        <v>14</v>
      </c>
      <c r="G116" s="5">
        <v>190218356</v>
      </c>
      <c r="H116" s="5">
        <v>30167121</v>
      </c>
      <c r="I116" s="5">
        <v>10790115</v>
      </c>
      <c r="J116" s="5" t="s">
        <v>14</v>
      </c>
      <c r="K116" s="5">
        <v>209595362</v>
      </c>
    </row>
    <row r="117" spans="1:11" x14ac:dyDescent="0.25">
      <c r="A117" s="4" t="s">
        <v>11</v>
      </c>
      <c r="B117" s="4" t="s">
        <v>12</v>
      </c>
      <c r="C117" s="4" t="s">
        <v>26</v>
      </c>
      <c r="D117" s="4">
        <v>1330300505</v>
      </c>
      <c r="E117" s="4" t="s">
        <v>206</v>
      </c>
      <c r="F117" s="4" t="s">
        <v>14</v>
      </c>
      <c r="G117" s="5">
        <v>190218356</v>
      </c>
      <c r="H117" s="5">
        <v>30167121</v>
      </c>
      <c r="I117" s="5">
        <v>10790115</v>
      </c>
      <c r="J117" s="5" t="s">
        <v>14</v>
      </c>
      <c r="K117" s="5">
        <v>209595362</v>
      </c>
    </row>
    <row r="118" spans="1:11" x14ac:dyDescent="0.25">
      <c r="A118" s="4" t="s">
        <v>11</v>
      </c>
      <c r="B118" s="4" t="s">
        <v>12</v>
      </c>
      <c r="C118" s="4" t="s">
        <v>23</v>
      </c>
      <c r="D118" s="4">
        <v>13606010</v>
      </c>
      <c r="E118" s="4" t="s">
        <v>208</v>
      </c>
      <c r="F118" s="4" t="s">
        <v>14</v>
      </c>
      <c r="G118" s="5">
        <v>242066638.19</v>
      </c>
      <c r="H118" s="5">
        <v>0</v>
      </c>
      <c r="I118" s="5">
        <v>0</v>
      </c>
      <c r="J118" s="5" t="s">
        <v>14</v>
      </c>
      <c r="K118" s="5">
        <v>242066638.19</v>
      </c>
    </row>
    <row r="119" spans="1:11" x14ac:dyDescent="0.25">
      <c r="A119" s="4" t="s">
        <v>11</v>
      </c>
      <c r="B119" s="4" t="s">
        <v>12</v>
      </c>
      <c r="C119" s="4" t="s">
        <v>26</v>
      </c>
      <c r="D119" s="4">
        <v>1360601005</v>
      </c>
      <c r="E119" s="4" t="s">
        <v>210</v>
      </c>
      <c r="F119" s="4" t="s">
        <v>14</v>
      </c>
      <c r="G119" s="5">
        <v>242066638.19</v>
      </c>
      <c r="H119" s="5">
        <v>0</v>
      </c>
      <c r="I119" s="5">
        <v>0</v>
      </c>
      <c r="J119" s="5" t="s">
        <v>14</v>
      </c>
      <c r="K119" s="5">
        <v>242066638.19</v>
      </c>
    </row>
    <row r="120" spans="1:11" x14ac:dyDescent="0.25">
      <c r="A120" s="4" t="s">
        <v>11</v>
      </c>
      <c r="B120" s="4" t="s">
        <v>12</v>
      </c>
      <c r="C120" s="4" t="s">
        <v>23</v>
      </c>
      <c r="D120" s="4">
        <v>13606099</v>
      </c>
      <c r="E120" s="4" t="s">
        <v>212</v>
      </c>
      <c r="F120" s="4" t="s">
        <v>173</v>
      </c>
      <c r="G120" s="5">
        <v>242066638.19</v>
      </c>
      <c r="H120" s="5">
        <v>0</v>
      </c>
      <c r="I120" s="5">
        <v>0</v>
      </c>
      <c r="J120" s="5" t="s">
        <v>173</v>
      </c>
      <c r="K120" s="5">
        <v>242066638.19</v>
      </c>
    </row>
    <row r="121" spans="1:11" x14ac:dyDescent="0.25">
      <c r="A121" s="4" t="s">
        <v>11</v>
      </c>
      <c r="B121" s="4" t="s">
        <v>12</v>
      </c>
      <c r="C121" s="4" t="s">
        <v>26</v>
      </c>
      <c r="D121" s="4">
        <v>1360609905</v>
      </c>
      <c r="E121" s="4" t="s">
        <v>214</v>
      </c>
      <c r="F121" s="4" t="s">
        <v>173</v>
      </c>
      <c r="G121" s="5">
        <v>242066638.19</v>
      </c>
      <c r="H121" s="5">
        <v>0</v>
      </c>
      <c r="I121" s="5">
        <v>0</v>
      </c>
      <c r="J121" s="5" t="s">
        <v>173</v>
      </c>
      <c r="K121" s="5">
        <v>242066638.19</v>
      </c>
    </row>
    <row r="122" spans="1:11" x14ac:dyDescent="0.25">
      <c r="A122" s="4" t="s">
        <v>11</v>
      </c>
      <c r="B122" s="4" t="s">
        <v>12</v>
      </c>
      <c r="C122" s="4" t="s">
        <v>18</v>
      </c>
      <c r="D122" s="4">
        <v>1365</v>
      </c>
      <c r="E122" s="4" t="s">
        <v>216</v>
      </c>
      <c r="F122" s="4" t="s">
        <v>14</v>
      </c>
      <c r="G122" s="5">
        <v>1398870</v>
      </c>
      <c r="H122" s="5">
        <v>10770</v>
      </c>
      <c r="I122" s="5">
        <v>0</v>
      </c>
      <c r="J122" s="5" t="s">
        <v>14</v>
      </c>
      <c r="K122" s="5">
        <v>1409640</v>
      </c>
    </row>
    <row r="123" spans="1:11" x14ac:dyDescent="0.25">
      <c r="A123" s="4" t="s">
        <v>11</v>
      </c>
      <c r="B123" s="4" t="s">
        <v>12</v>
      </c>
      <c r="C123" s="4" t="s">
        <v>21</v>
      </c>
      <c r="D123" s="4">
        <v>136565</v>
      </c>
      <c r="E123" s="4" t="s">
        <v>216</v>
      </c>
      <c r="F123" s="4" t="s">
        <v>14</v>
      </c>
      <c r="G123" s="5">
        <v>1398870</v>
      </c>
      <c r="H123" s="5">
        <v>10770</v>
      </c>
      <c r="I123" s="5">
        <v>0</v>
      </c>
      <c r="J123" s="5" t="s">
        <v>14</v>
      </c>
      <c r="K123" s="5">
        <v>1409640</v>
      </c>
    </row>
    <row r="124" spans="1:11" x14ac:dyDescent="0.25">
      <c r="A124" s="4" t="s">
        <v>11</v>
      </c>
      <c r="B124" s="4" t="s">
        <v>12</v>
      </c>
      <c r="C124" s="4" t="s">
        <v>23</v>
      </c>
      <c r="D124" s="4">
        <v>13656505</v>
      </c>
      <c r="E124" s="4" t="s">
        <v>216</v>
      </c>
      <c r="F124" s="4" t="s">
        <v>14</v>
      </c>
      <c r="G124" s="5">
        <v>1398870</v>
      </c>
      <c r="H124" s="5">
        <v>10770</v>
      </c>
      <c r="I124" s="5">
        <v>0</v>
      </c>
      <c r="J124" s="5" t="s">
        <v>14</v>
      </c>
      <c r="K124" s="5">
        <v>1409640</v>
      </c>
    </row>
    <row r="125" spans="1:11" x14ac:dyDescent="0.25">
      <c r="A125" s="4" t="s">
        <v>11</v>
      </c>
      <c r="B125" s="4" t="s">
        <v>12</v>
      </c>
      <c r="C125" s="4" t="s">
        <v>26</v>
      </c>
      <c r="D125" s="4">
        <v>1365650505</v>
      </c>
      <c r="E125" s="4" t="s">
        <v>216</v>
      </c>
      <c r="F125" s="4" t="s">
        <v>14</v>
      </c>
      <c r="G125" s="5">
        <v>1398870</v>
      </c>
      <c r="H125" s="5">
        <v>10770</v>
      </c>
      <c r="I125" s="5">
        <v>0</v>
      </c>
      <c r="J125" s="5" t="s">
        <v>14</v>
      </c>
      <c r="K125" s="5">
        <v>1409640</v>
      </c>
    </row>
    <row r="126" spans="1:11" x14ac:dyDescent="0.25">
      <c r="A126" s="4" t="s">
        <v>11</v>
      </c>
      <c r="B126" s="4" t="s">
        <v>12</v>
      </c>
      <c r="C126" s="4" t="s">
        <v>18</v>
      </c>
      <c r="D126" s="4">
        <v>1380</v>
      </c>
      <c r="E126" s="4" t="s">
        <v>221</v>
      </c>
      <c r="F126" s="4" t="s">
        <v>14</v>
      </c>
      <c r="G126" s="5">
        <v>144161662.50999999</v>
      </c>
      <c r="H126" s="5">
        <v>17039435.16</v>
      </c>
      <c r="I126" s="5">
        <v>40990109</v>
      </c>
      <c r="J126" s="5" t="s">
        <v>14</v>
      </c>
      <c r="K126" s="5">
        <v>120210988.67</v>
      </c>
    </row>
    <row r="127" spans="1:11" x14ac:dyDescent="0.25">
      <c r="A127" s="4" t="s">
        <v>11</v>
      </c>
      <c r="B127" s="4" t="s">
        <v>12</v>
      </c>
      <c r="C127" s="4" t="s">
        <v>21</v>
      </c>
      <c r="D127" s="4">
        <v>138080</v>
      </c>
      <c r="E127" s="4" t="s">
        <v>221</v>
      </c>
      <c r="F127" s="4" t="s">
        <v>14</v>
      </c>
      <c r="G127" s="5">
        <v>144161662.50999999</v>
      </c>
      <c r="H127" s="5">
        <v>17039435.16</v>
      </c>
      <c r="I127" s="5">
        <v>40990109</v>
      </c>
      <c r="J127" s="5" t="s">
        <v>14</v>
      </c>
      <c r="K127" s="5">
        <v>120210988.67</v>
      </c>
    </row>
    <row r="128" spans="1:11" x14ac:dyDescent="0.25">
      <c r="A128" s="4" t="s">
        <v>11</v>
      </c>
      <c r="B128" s="4" t="s">
        <v>12</v>
      </c>
      <c r="C128" s="4" t="s">
        <v>23</v>
      </c>
      <c r="D128" s="4">
        <v>13808020</v>
      </c>
      <c r="E128" s="4" t="s">
        <v>224</v>
      </c>
      <c r="F128" s="4" t="s">
        <v>14</v>
      </c>
      <c r="G128" s="5">
        <v>115817470</v>
      </c>
      <c r="H128" s="5">
        <v>8133646</v>
      </c>
      <c r="I128" s="5">
        <v>28076708</v>
      </c>
      <c r="J128" s="5" t="s">
        <v>14</v>
      </c>
      <c r="K128" s="5">
        <v>95874408</v>
      </c>
    </row>
    <row r="129" spans="1:11" x14ac:dyDescent="0.25">
      <c r="A129" s="4" t="s">
        <v>11</v>
      </c>
      <c r="B129" s="4" t="s">
        <v>12</v>
      </c>
      <c r="C129" s="4" t="s">
        <v>26</v>
      </c>
      <c r="D129" s="4">
        <v>1380802005</v>
      </c>
      <c r="E129" s="4" t="s">
        <v>224</v>
      </c>
      <c r="F129" s="4" t="s">
        <v>14</v>
      </c>
      <c r="G129" s="5">
        <v>115817470</v>
      </c>
      <c r="H129" s="5">
        <v>8133646</v>
      </c>
      <c r="I129" s="5">
        <v>28076708</v>
      </c>
      <c r="J129" s="5" t="s">
        <v>14</v>
      </c>
      <c r="K129" s="5">
        <v>95874408</v>
      </c>
    </row>
    <row r="130" spans="1:11" x14ac:dyDescent="0.25">
      <c r="A130" s="4" t="s">
        <v>11</v>
      </c>
      <c r="B130" s="4" t="s">
        <v>12</v>
      </c>
      <c r="C130" s="4" t="s">
        <v>23</v>
      </c>
      <c r="D130" s="4">
        <v>13808030</v>
      </c>
      <c r="E130" s="4" t="s">
        <v>227</v>
      </c>
      <c r="F130" s="4" t="s">
        <v>14</v>
      </c>
      <c r="G130" s="5">
        <v>36.729999999999997</v>
      </c>
      <c r="H130" s="5">
        <v>0</v>
      </c>
      <c r="I130" s="5">
        <v>0</v>
      </c>
      <c r="J130" s="5" t="s">
        <v>14</v>
      </c>
      <c r="K130" s="5">
        <v>36.729999999999997</v>
      </c>
    </row>
    <row r="131" spans="1:11" x14ac:dyDescent="0.25">
      <c r="A131" s="4" t="s">
        <v>11</v>
      </c>
      <c r="B131" s="4" t="s">
        <v>12</v>
      </c>
      <c r="C131" s="4" t="s">
        <v>26</v>
      </c>
      <c r="D131" s="4">
        <v>1380803005</v>
      </c>
      <c r="E131" s="4" t="s">
        <v>227</v>
      </c>
      <c r="F131" s="4" t="s">
        <v>14</v>
      </c>
      <c r="G131" s="5">
        <v>36.729999999999997</v>
      </c>
      <c r="H131" s="5">
        <v>0</v>
      </c>
      <c r="I131" s="5">
        <v>0</v>
      </c>
      <c r="J131" s="5" t="s">
        <v>14</v>
      </c>
      <c r="K131" s="5">
        <v>36.729999999999997</v>
      </c>
    </row>
    <row r="132" spans="1:11" x14ac:dyDescent="0.25">
      <c r="A132" s="4" t="s">
        <v>11</v>
      </c>
      <c r="B132" s="4" t="s">
        <v>12</v>
      </c>
      <c r="C132" s="4" t="s">
        <v>23</v>
      </c>
      <c r="D132" s="4">
        <v>13808095</v>
      </c>
      <c r="E132" s="4" t="s">
        <v>230</v>
      </c>
      <c r="F132" s="4" t="s">
        <v>14</v>
      </c>
      <c r="G132" s="5">
        <v>28344155.780000001</v>
      </c>
      <c r="H132" s="5">
        <v>8905789.1600000001</v>
      </c>
      <c r="I132" s="5">
        <v>12913401</v>
      </c>
      <c r="J132" s="5" t="s">
        <v>14</v>
      </c>
      <c r="K132" s="5">
        <v>24336543.940000001</v>
      </c>
    </row>
    <row r="133" spans="1:11" x14ac:dyDescent="0.25">
      <c r="A133" s="4" t="s">
        <v>11</v>
      </c>
      <c r="B133" s="4" t="s">
        <v>12</v>
      </c>
      <c r="C133" s="4" t="s">
        <v>26</v>
      </c>
      <c r="D133" s="4">
        <v>1380809505</v>
      </c>
      <c r="E133" s="4" t="s">
        <v>221</v>
      </c>
      <c r="F133" s="4" t="s">
        <v>14</v>
      </c>
      <c r="G133" s="5">
        <v>14096922.779999999</v>
      </c>
      <c r="H133" s="5">
        <v>37799.160000000003</v>
      </c>
      <c r="I133" s="5">
        <v>11883522</v>
      </c>
      <c r="J133" s="5" t="s">
        <v>14</v>
      </c>
      <c r="K133" s="5">
        <v>2251199.94</v>
      </c>
    </row>
    <row r="134" spans="1:11" x14ac:dyDescent="0.25">
      <c r="A134" s="4" t="s">
        <v>11</v>
      </c>
      <c r="B134" s="4" t="s">
        <v>12</v>
      </c>
      <c r="C134" s="4" t="s">
        <v>26</v>
      </c>
      <c r="D134" s="4">
        <v>1380809520</v>
      </c>
      <c r="E134" s="4" t="s">
        <v>233</v>
      </c>
      <c r="F134" s="4" t="s">
        <v>14</v>
      </c>
      <c r="G134" s="5">
        <v>14247233</v>
      </c>
      <c r="H134" s="5">
        <v>8867990</v>
      </c>
      <c r="I134" s="5">
        <v>1029879</v>
      </c>
      <c r="J134" s="5" t="s">
        <v>14</v>
      </c>
      <c r="K134" s="5">
        <v>22085344</v>
      </c>
    </row>
    <row r="135" spans="1:11" x14ac:dyDescent="0.25">
      <c r="A135" s="7" t="s">
        <v>11</v>
      </c>
      <c r="B135" s="7" t="s">
        <v>12</v>
      </c>
      <c r="C135" s="7" t="s">
        <v>15</v>
      </c>
      <c r="D135" s="7">
        <v>14</v>
      </c>
      <c r="E135" s="7" t="s">
        <v>235</v>
      </c>
      <c r="F135" s="7" t="s">
        <v>14</v>
      </c>
      <c r="G135" s="8">
        <v>1196843573.48</v>
      </c>
      <c r="H135" s="8">
        <v>1417229523.6900001</v>
      </c>
      <c r="I135" s="8">
        <v>1332903174.7</v>
      </c>
      <c r="J135" s="8" t="s">
        <v>14</v>
      </c>
      <c r="K135" s="8">
        <v>1281169922.47</v>
      </c>
    </row>
    <row r="136" spans="1:11" x14ac:dyDescent="0.25">
      <c r="A136" s="7" t="s">
        <v>11</v>
      </c>
      <c r="B136" s="7" t="s">
        <v>12</v>
      </c>
      <c r="C136" s="7" t="s">
        <v>18</v>
      </c>
      <c r="D136" s="7">
        <v>1405</v>
      </c>
      <c r="E136" s="7" t="s">
        <v>237</v>
      </c>
      <c r="F136" s="7" t="s">
        <v>14</v>
      </c>
      <c r="G136" s="8">
        <v>264304543.80000001</v>
      </c>
      <c r="H136" s="8">
        <v>534444656.99000001</v>
      </c>
      <c r="I136" s="8">
        <v>472012245.99000001</v>
      </c>
      <c r="J136" s="8" t="s">
        <v>14</v>
      </c>
      <c r="K136" s="8">
        <v>326736954.80000001</v>
      </c>
    </row>
    <row r="137" spans="1:11" x14ac:dyDescent="0.25">
      <c r="A137" s="7" t="s">
        <v>11</v>
      </c>
      <c r="B137" s="7" t="s">
        <v>12</v>
      </c>
      <c r="C137" s="7" t="s">
        <v>21</v>
      </c>
      <c r="D137" s="7">
        <v>140505</v>
      </c>
      <c r="E137" s="7" t="s">
        <v>237</v>
      </c>
      <c r="F137" s="7" t="s">
        <v>14</v>
      </c>
      <c r="G137" s="8">
        <v>264304543.80000001</v>
      </c>
      <c r="H137" s="8">
        <v>534444656.99000001</v>
      </c>
      <c r="I137" s="8">
        <v>472012245.99000001</v>
      </c>
      <c r="J137" s="8" t="s">
        <v>14</v>
      </c>
      <c r="K137" s="8">
        <v>326736954.80000001</v>
      </c>
    </row>
    <row r="138" spans="1:11" x14ac:dyDescent="0.25">
      <c r="A138" s="7" t="s">
        <v>11</v>
      </c>
      <c r="B138" s="7" t="s">
        <v>12</v>
      </c>
      <c r="C138" s="7" t="s">
        <v>23</v>
      </c>
      <c r="D138" s="7">
        <v>14050505</v>
      </c>
      <c r="E138" s="7" t="s">
        <v>237</v>
      </c>
      <c r="F138" s="7" t="s">
        <v>14</v>
      </c>
      <c r="G138" s="8">
        <v>264304543.80000001</v>
      </c>
      <c r="H138" s="8">
        <v>534444656.99000001</v>
      </c>
      <c r="I138" s="8">
        <v>472012245.99000001</v>
      </c>
      <c r="J138" s="8" t="s">
        <v>14</v>
      </c>
      <c r="K138" s="8">
        <v>326736954.80000001</v>
      </c>
    </row>
    <row r="139" spans="1:11" x14ac:dyDescent="0.25">
      <c r="A139" s="7" t="s">
        <v>11</v>
      </c>
      <c r="B139" s="7" t="s">
        <v>12</v>
      </c>
      <c r="C139" s="7" t="s">
        <v>26</v>
      </c>
      <c r="D139" s="7">
        <v>1405050505</v>
      </c>
      <c r="E139" s="7" t="s">
        <v>237</v>
      </c>
      <c r="F139" s="7" t="s">
        <v>14</v>
      </c>
      <c r="G139" s="8">
        <v>264304543.80000001</v>
      </c>
      <c r="H139" s="8">
        <v>534444656.99000001</v>
      </c>
      <c r="I139" s="8">
        <v>472012245.99000001</v>
      </c>
      <c r="J139" s="8" t="s">
        <v>14</v>
      </c>
      <c r="K139" s="8">
        <v>326736954.80000001</v>
      </c>
    </row>
    <row r="140" spans="1:11" x14ac:dyDescent="0.25">
      <c r="A140" s="7" t="s">
        <v>11</v>
      </c>
      <c r="B140" s="7" t="s">
        <v>12</v>
      </c>
      <c r="C140" s="7" t="s">
        <v>18</v>
      </c>
      <c r="D140" s="7">
        <v>1410</v>
      </c>
      <c r="E140" s="7" t="s">
        <v>242</v>
      </c>
      <c r="F140" s="7" t="s">
        <v>14</v>
      </c>
      <c r="G140" s="8">
        <v>675120558.76999998</v>
      </c>
      <c r="H140" s="8">
        <v>831458668.16999996</v>
      </c>
      <c r="I140" s="8">
        <v>810352184.95000005</v>
      </c>
      <c r="J140" s="8" t="s">
        <v>14</v>
      </c>
      <c r="K140" s="8">
        <v>696227041.99000001</v>
      </c>
    </row>
    <row r="141" spans="1:11" x14ac:dyDescent="0.25">
      <c r="A141" s="7" t="s">
        <v>11</v>
      </c>
      <c r="B141" s="7" t="s">
        <v>12</v>
      </c>
      <c r="C141" s="7" t="s">
        <v>21</v>
      </c>
      <c r="D141" s="7">
        <v>141010</v>
      </c>
      <c r="E141" s="7" t="s">
        <v>242</v>
      </c>
      <c r="F141" s="7" t="s">
        <v>14</v>
      </c>
      <c r="G141" s="8">
        <v>675120558.76999998</v>
      </c>
      <c r="H141" s="8">
        <v>831458668.16999996</v>
      </c>
      <c r="I141" s="8">
        <v>810352184.95000005</v>
      </c>
      <c r="J141" s="8" t="s">
        <v>14</v>
      </c>
      <c r="K141" s="8">
        <v>696227041.99000001</v>
      </c>
    </row>
    <row r="142" spans="1:11" x14ac:dyDescent="0.25">
      <c r="A142" s="7" t="s">
        <v>11</v>
      </c>
      <c r="B142" s="7" t="s">
        <v>12</v>
      </c>
      <c r="C142" s="7" t="s">
        <v>23</v>
      </c>
      <c r="D142" s="7">
        <v>14101005</v>
      </c>
      <c r="E142" s="7" t="s">
        <v>242</v>
      </c>
      <c r="F142" s="7" t="s">
        <v>14</v>
      </c>
      <c r="G142" s="8">
        <v>675120558.76999998</v>
      </c>
      <c r="H142" s="8">
        <v>831458668.16999996</v>
      </c>
      <c r="I142" s="8">
        <v>810352184.95000005</v>
      </c>
      <c r="J142" s="8" t="s">
        <v>14</v>
      </c>
      <c r="K142" s="8">
        <v>696227041.99000001</v>
      </c>
    </row>
    <row r="143" spans="1:11" x14ac:dyDescent="0.25">
      <c r="A143" s="7" t="s">
        <v>11</v>
      </c>
      <c r="B143" s="7" t="s">
        <v>12</v>
      </c>
      <c r="C143" s="7" t="s">
        <v>26</v>
      </c>
      <c r="D143" s="7">
        <v>1410100505</v>
      </c>
      <c r="E143" s="7" t="s">
        <v>246</v>
      </c>
      <c r="F143" s="7" t="s">
        <v>14</v>
      </c>
      <c r="G143" s="8">
        <v>661718477.00999999</v>
      </c>
      <c r="H143" s="8">
        <v>624912852.16999996</v>
      </c>
      <c r="I143" s="8">
        <v>603806368.95000005</v>
      </c>
      <c r="J143" s="8" t="s">
        <v>14</v>
      </c>
      <c r="K143" s="8">
        <v>682824960.23000002</v>
      </c>
    </row>
    <row r="144" spans="1:11" x14ac:dyDescent="0.25">
      <c r="A144" s="7" t="s">
        <v>11</v>
      </c>
      <c r="B144" s="7" t="s">
        <v>12</v>
      </c>
      <c r="C144" s="7" t="s">
        <v>26</v>
      </c>
      <c r="D144" s="7">
        <v>1410100510</v>
      </c>
      <c r="E144" s="7" t="s">
        <v>248</v>
      </c>
      <c r="F144" s="7" t="s">
        <v>14</v>
      </c>
      <c r="G144" s="8">
        <v>13402081.76</v>
      </c>
      <c r="H144" s="8">
        <v>206545816</v>
      </c>
      <c r="I144" s="8">
        <v>206545816</v>
      </c>
      <c r="J144" s="8" t="s">
        <v>14</v>
      </c>
      <c r="K144" s="8">
        <v>13402081.76</v>
      </c>
    </row>
    <row r="145" spans="1:11" x14ac:dyDescent="0.25">
      <c r="A145" s="7" t="s">
        <v>11</v>
      </c>
      <c r="B145" s="7" t="s">
        <v>12</v>
      </c>
      <c r="C145" s="7" t="s">
        <v>18</v>
      </c>
      <c r="D145" s="7">
        <v>1455</v>
      </c>
      <c r="E145" s="7" t="s">
        <v>250</v>
      </c>
      <c r="F145" s="7" t="s">
        <v>14</v>
      </c>
      <c r="G145" s="8">
        <v>257418470.91</v>
      </c>
      <c r="H145" s="8">
        <v>51326198.530000001</v>
      </c>
      <c r="I145" s="8">
        <v>50538743.759999998</v>
      </c>
      <c r="J145" s="8" t="s">
        <v>14</v>
      </c>
      <c r="K145" s="8">
        <v>258205925.68000001</v>
      </c>
    </row>
    <row r="146" spans="1:11" x14ac:dyDescent="0.25">
      <c r="A146" s="7" t="s">
        <v>11</v>
      </c>
      <c r="B146" s="7" t="s">
        <v>12</v>
      </c>
      <c r="C146" s="7" t="s">
        <v>21</v>
      </c>
      <c r="D146" s="7">
        <v>145555</v>
      </c>
      <c r="E146" s="7" t="s">
        <v>250</v>
      </c>
      <c r="F146" s="7" t="s">
        <v>14</v>
      </c>
      <c r="G146" s="8">
        <v>257418470.91</v>
      </c>
      <c r="H146" s="8">
        <v>51326198.530000001</v>
      </c>
      <c r="I146" s="8">
        <v>50538743.759999998</v>
      </c>
      <c r="J146" s="8" t="s">
        <v>14</v>
      </c>
      <c r="K146" s="8">
        <v>258205925.68000001</v>
      </c>
    </row>
    <row r="147" spans="1:11" x14ac:dyDescent="0.25">
      <c r="A147" s="7" t="s">
        <v>11</v>
      </c>
      <c r="B147" s="7" t="s">
        <v>12</v>
      </c>
      <c r="C147" s="7" t="s">
        <v>23</v>
      </c>
      <c r="D147" s="7">
        <v>14555505</v>
      </c>
      <c r="E147" s="7" t="s">
        <v>250</v>
      </c>
      <c r="F147" s="7" t="s">
        <v>14</v>
      </c>
      <c r="G147" s="8">
        <v>257418470.91</v>
      </c>
      <c r="H147" s="8">
        <v>51326198.530000001</v>
      </c>
      <c r="I147" s="8">
        <v>50538743.759999998</v>
      </c>
      <c r="J147" s="8" t="s">
        <v>14</v>
      </c>
      <c r="K147" s="8">
        <v>258205925.68000001</v>
      </c>
    </row>
    <row r="148" spans="1:11" x14ac:dyDescent="0.25">
      <c r="A148" s="7" t="s">
        <v>11</v>
      </c>
      <c r="B148" s="7" t="s">
        <v>12</v>
      </c>
      <c r="C148" s="7" t="s">
        <v>26</v>
      </c>
      <c r="D148" s="7">
        <v>1455550515</v>
      </c>
      <c r="E148" s="7" t="s">
        <v>254</v>
      </c>
      <c r="F148" s="7" t="s">
        <v>14</v>
      </c>
      <c r="G148" s="8">
        <v>19093299.670000002</v>
      </c>
      <c r="H148" s="8">
        <v>6125012</v>
      </c>
      <c r="I148" s="8">
        <v>5448890</v>
      </c>
      <c r="J148" s="8" t="s">
        <v>14</v>
      </c>
      <c r="K148" s="8">
        <v>19769421.670000002</v>
      </c>
    </row>
    <row r="149" spans="1:11" x14ac:dyDescent="0.25">
      <c r="A149" s="7" t="s">
        <v>11</v>
      </c>
      <c r="B149" s="7" t="s">
        <v>12</v>
      </c>
      <c r="C149" s="7" t="s">
        <v>26</v>
      </c>
      <c r="D149" s="7">
        <v>1455550520</v>
      </c>
      <c r="E149" s="7" t="s">
        <v>256</v>
      </c>
      <c r="F149" s="7" t="s">
        <v>14</v>
      </c>
      <c r="G149" s="8">
        <v>22552261.68</v>
      </c>
      <c r="H149" s="8">
        <v>693207.42</v>
      </c>
      <c r="I149" s="8">
        <v>2332451</v>
      </c>
      <c r="J149" s="8" t="s">
        <v>14</v>
      </c>
      <c r="K149" s="8">
        <v>20913018.100000001</v>
      </c>
    </row>
    <row r="150" spans="1:11" x14ac:dyDescent="0.25">
      <c r="A150" s="7" t="s">
        <v>11</v>
      </c>
      <c r="B150" s="7" t="s">
        <v>12</v>
      </c>
      <c r="C150" s="7" t="s">
        <v>26</v>
      </c>
      <c r="D150" s="7">
        <v>1455550525</v>
      </c>
      <c r="E150" s="7" t="s">
        <v>258</v>
      </c>
      <c r="F150" s="7" t="s">
        <v>14</v>
      </c>
      <c r="G150" s="8">
        <v>35494991.789999999</v>
      </c>
      <c r="H150" s="8">
        <v>20522007.460000001</v>
      </c>
      <c r="I150" s="8">
        <v>18071147.75</v>
      </c>
      <c r="J150" s="8" t="s">
        <v>14</v>
      </c>
      <c r="K150" s="8">
        <v>37945851.5</v>
      </c>
    </row>
    <row r="151" spans="1:11" x14ac:dyDescent="0.25">
      <c r="A151" s="7" t="s">
        <v>11</v>
      </c>
      <c r="B151" s="7" t="s">
        <v>12</v>
      </c>
      <c r="C151" s="7" t="s">
        <v>26</v>
      </c>
      <c r="D151" s="7">
        <v>1455550530</v>
      </c>
      <c r="E151" s="7" t="s">
        <v>260</v>
      </c>
      <c r="F151" s="7" t="s">
        <v>14</v>
      </c>
      <c r="G151" s="8">
        <v>21501427.940000001</v>
      </c>
      <c r="H151" s="8">
        <v>12888127.35</v>
      </c>
      <c r="I151" s="8">
        <v>10207870.07</v>
      </c>
      <c r="J151" s="8" t="s">
        <v>14</v>
      </c>
      <c r="K151" s="8">
        <v>24181685.219999999</v>
      </c>
    </row>
    <row r="152" spans="1:11" x14ac:dyDescent="0.25">
      <c r="A152" s="7" t="s">
        <v>11</v>
      </c>
      <c r="B152" s="7" t="s">
        <v>12</v>
      </c>
      <c r="C152" s="7" t="s">
        <v>26</v>
      </c>
      <c r="D152" s="7">
        <v>1455550535</v>
      </c>
      <c r="E152" s="7" t="s">
        <v>262</v>
      </c>
      <c r="F152" s="7" t="s">
        <v>14</v>
      </c>
      <c r="G152" s="8">
        <v>157745964.72</v>
      </c>
      <c r="H152" s="8">
        <v>8313928.6299999999</v>
      </c>
      <c r="I152" s="8">
        <v>11997152.98</v>
      </c>
      <c r="J152" s="8" t="s">
        <v>14</v>
      </c>
      <c r="K152" s="8">
        <v>154062740.37</v>
      </c>
    </row>
    <row r="153" spans="1:11" x14ac:dyDescent="0.25">
      <c r="A153" s="7" t="s">
        <v>11</v>
      </c>
      <c r="B153" s="7" t="s">
        <v>12</v>
      </c>
      <c r="C153" s="7" t="s">
        <v>26</v>
      </c>
      <c r="D153" s="7">
        <v>1455550540</v>
      </c>
      <c r="E153" s="7" t="s">
        <v>264</v>
      </c>
      <c r="F153" s="7" t="s">
        <v>14</v>
      </c>
      <c r="G153" s="8">
        <v>1030525.11</v>
      </c>
      <c r="H153" s="8">
        <v>2783915.67</v>
      </c>
      <c r="I153" s="8">
        <v>2481231.96</v>
      </c>
      <c r="J153" s="8" t="s">
        <v>14</v>
      </c>
      <c r="K153" s="8">
        <v>1333208.82</v>
      </c>
    </row>
    <row r="154" spans="1:11" x14ac:dyDescent="0.25">
      <c r="A154" s="4" t="s">
        <v>11</v>
      </c>
      <c r="B154" s="4" t="s">
        <v>12</v>
      </c>
      <c r="C154" s="4" t="s">
        <v>15</v>
      </c>
      <c r="D154" s="4">
        <v>15</v>
      </c>
      <c r="E154" s="4" t="s">
        <v>266</v>
      </c>
      <c r="F154" s="4" t="s">
        <v>14</v>
      </c>
      <c r="G154" s="5">
        <v>19205812203.790001</v>
      </c>
      <c r="H154" s="5">
        <v>4316828.68</v>
      </c>
      <c r="I154" s="5">
        <v>7155127.4400000004</v>
      </c>
      <c r="J154" s="5" t="s">
        <v>14</v>
      </c>
      <c r="K154" s="5">
        <v>19202973905.029999</v>
      </c>
    </row>
    <row r="155" spans="1:11" x14ac:dyDescent="0.25">
      <c r="A155" s="4" t="s">
        <v>11</v>
      </c>
      <c r="B155" s="4" t="s">
        <v>12</v>
      </c>
      <c r="C155" s="4" t="s">
        <v>18</v>
      </c>
      <c r="D155" s="4">
        <v>1504</v>
      </c>
      <c r="E155" s="4" t="s">
        <v>268</v>
      </c>
      <c r="F155" s="4" t="s">
        <v>14</v>
      </c>
      <c r="G155" s="5">
        <v>4918553400</v>
      </c>
      <c r="H155" s="5">
        <v>0</v>
      </c>
      <c r="I155" s="5">
        <v>0</v>
      </c>
      <c r="J155" s="5" t="s">
        <v>14</v>
      </c>
      <c r="K155" s="5">
        <v>4918553400</v>
      </c>
    </row>
    <row r="156" spans="1:11" x14ac:dyDescent="0.25">
      <c r="A156" s="4" t="s">
        <v>11</v>
      </c>
      <c r="B156" s="4" t="s">
        <v>12</v>
      </c>
      <c r="C156" s="4" t="s">
        <v>21</v>
      </c>
      <c r="D156" s="4">
        <v>150404</v>
      </c>
      <c r="E156" s="4" t="s">
        <v>268</v>
      </c>
      <c r="F156" s="4" t="s">
        <v>14</v>
      </c>
      <c r="G156" s="5">
        <v>4918553400</v>
      </c>
      <c r="H156" s="5">
        <v>0</v>
      </c>
      <c r="I156" s="5">
        <v>0</v>
      </c>
      <c r="J156" s="5" t="s">
        <v>14</v>
      </c>
      <c r="K156" s="5">
        <v>4918553400</v>
      </c>
    </row>
    <row r="157" spans="1:11" x14ac:dyDescent="0.25">
      <c r="A157" s="4" t="s">
        <v>11</v>
      </c>
      <c r="B157" s="4" t="s">
        <v>12</v>
      </c>
      <c r="C157" s="4" t="s">
        <v>23</v>
      </c>
      <c r="D157" s="4">
        <v>15040405</v>
      </c>
      <c r="E157" s="4" t="s">
        <v>271</v>
      </c>
      <c r="F157" s="4" t="s">
        <v>14</v>
      </c>
      <c r="G157" s="5">
        <v>4918553400</v>
      </c>
      <c r="H157" s="5">
        <v>0</v>
      </c>
      <c r="I157" s="5">
        <v>0</v>
      </c>
      <c r="J157" s="5" t="s">
        <v>14</v>
      </c>
      <c r="K157" s="5">
        <v>4918553400</v>
      </c>
    </row>
    <row r="158" spans="1:11" x14ac:dyDescent="0.25">
      <c r="A158" s="4" t="s">
        <v>11</v>
      </c>
      <c r="B158" s="4" t="s">
        <v>12</v>
      </c>
      <c r="C158" s="4" t="s">
        <v>26</v>
      </c>
      <c r="D158" s="4">
        <v>1504040505</v>
      </c>
      <c r="E158" s="4" t="s">
        <v>273</v>
      </c>
      <c r="F158" s="4" t="s">
        <v>14</v>
      </c>
      <c r="G158" s="5">
        <v>4262271600</v>
      </c>
      <c r="H158" s="5">
        <v>0</v>
      </c>
      <c r="I158" s="5">
        <v>0</v>
      </c>
      <c r="J158" s="5" t="s">
        <v>14</v>
      </c>
      <c r="K158" s="5">
        <v>4262271600</v>
      </c>
    </row>
    <row r="159" spans="1:11" x14ac:dyDescent="0.25">
      <c r="A159" s="4" t="s">
        <v>11</v>
      </c>
      <c r="B159" s="4" t="s">
        <v>12</v>
      </c>
      <c r="C159" s="4" t="s">
        <v>26</v>
      </c>
      <c r="D159" s="4">
        <v>1504040510</v>
      </c>
      <c r="E159" s="4" t="s">
        <v>275</v>
      </c>
      <c r="F159" s="4" t="s">
        <v>14</v>
      </c>
      <c r="G159" s="5">
        <v>178422300</v>
      </c>
      <c r="H159" s="5">
        <v>0</v>
      </c>
      <c r="I159" s="5">
        <v>0</v>
      </c>
      <c r="J159" s="5" t="s">
        <v>14</v>
      </c>
      <c r="K159" s="5">
        <v>178422300</v>
      </c>
    </row>
    <row r="160" spans="1:11" x14ac:dyDescent="0.25">
      <c r="A160" s="4" t="s">
        <v>11</v>
      </c>
      <c r="B160" s="4" t="s">
        <v>12</v>
      </c>
      <c r="C160" s="4" t="s">
        <v>26</v>
      </c>
      <c r="D160" s="4">
        <v>1504040515</v>
      </c>
      <c r="E160" s="4" t="s">
        <v>277</v>
      </c>
      <c r="F160" s="4" t="s">
        <v>14</v>
      </c>
      <c r="G160" s="5">
        <v>477859500</v>
      </c>
      <c r="H160" s="5">
        <v>0</v>
      </c>
      <c r="I160" s="5">
        <v>0</v>
      </c>
      <c r="J160" s="5" t="s">
        <v>14</v>
      </c>
      <c r="K160" s="5">
        <v>477859500</v>
      </c>
    </row>
    <row r="161" spans="1:11" x14ac:dyDescent="0.25">
      <c r="A161" s="4" t="s">
        <v>11</v>
      </c>
      <c r="B161" s="4" t="s">
        <v>12</v>
      </c>
      <c r="C161" s="4" t="s">
        <v>18</v>
      </c>
      <c r="D161" s="4">
        <v>1512</v>
      </c>
      <c r="E161" s="4" t="s">
        <v>279</v>
      </c>
      <c r="F161" s="4" t="s">
        <v>14</v>
      </c>
      <c r="G161" s="5">
        <v>67987872</v>
      </c>
      <c r="H161" s="5">
        <v>0</v>
      </c>
      <c r="I161" s="5">
        <v>0</v>
      </c>
      <c r="J161" s="5" t="s">
        <v>14</v>
      </c>
      <c r="K161" s="5">
        <v>67987872</v>
      </c>
    </row>
    <row r="162" spans="1:11" x14ac:dyDescent="0.25">
      <c r="A162" s="4" t="s">
        <v>11</v>
      </c>
      <c r="B162" s="4" t="s">
        <v>12</v>
      </c>
      <c r="C162" s="4" t="s">
        <v>21</v>
      </c>
      <c r="D162" s="4">
        <v>151212</v>
      </c>
      <c r="E162" s="4" t="s">
        <v>279</v>
      </c>
      <c r="F162" s="4" t="s">
        <v>14</v>
      </c>
      <c r="G162" s="5">
        <v>67987872</v>
      </c>
      <c r="H162" s="5">
        <v>0</v>
      </c>
      <c r="I162" s="5">
        <v>0</v>
      </c>
      <c r="J162" s="5" t="s">
        <v>14</v>
      </c>
      <c r="K162" s="5">
        <v>67987872</v>
      </c>
    </row>
    <row r="163" spans="1:11" x14ac:dyDescent="0.25">
      <c r="A163" s="4" t="s">
        <v>11</v>
      </c>
      <c r="B163" s="4" t="s">
        <v>12</v>
      </c>
      <c r="C163" s="4" t="s">
        <v>23</v>
      </c>
      <c r="D163" s="4">
        <v>15121215</v>
      </c>
      <c r="E163" s="4" t="s">
        <v>282</v>
      </c>
      <c r="F163" s="4" t="s">
        <v>14</v>
      </c>
      <c r="G163" s="5">
        <v>67987872</v>
      </c>
      <c r="H163" s="5">
        <v>0</v>
      </c>
      <c r="I163" s="5">
        <v>0</v>
      </c>
      <c r="J163" s="5" t="s">
        <v>14</v>
      </c>
      <c r="K163" s="5">
        <v>67987872</v>
      </c>
    </row>
    <row r="164" spans="1:11" x14ac:dyDescent="0.25">
      <c r="A164" s="4" t="s">
        <v>11</v>
      </c>
      <c r="B164" s="4" t="s">
        <v>12</v>
      </c>
      <c r="C164" s="4" t="s">
        <v>26</v>
      </c>
      <c r="D164" s="4">
        <v>1512121505</v>
      </c>
      <c r="E164" s="4" t="s">
        <v>282</v>
      </c>
      <c r="F164" s="4" t="s">
        <v>14</v>
      </c>
      <c r="G164" s="5">
        <v>67987872</v>
      </c>
      <c r="H164" s="5">
        <v>0</v>
      </c>
      <c r="I164" s="5">
        <v>0</v>
      </c>
      <c r="J164" s="5" t="s">
        <v>14</v>
      </c>
      <c r="K164" s="5">
        <v>67987872</v>
      </c>
    </row>
    <row r="165" spans="1:11" x14ac:dyDescent="0.25">
      <c r="A165" s="4" t="s">
        <v>11</v>
      </c>
      <c r="B165" s="4" t="s">
        <v>12</v>
      </c>
      <c r="C165" s="4" t="s">
        <v>18</v>
      </c>
      <c r="D165" s="4">
        <v>1516</v>
      </c>
      <c r="E165" s="4" t="s">
        <v>285</v>
      </c>
      <c r="F165" s="4" t="s">
        <v>14</v>
      </c>
      <c r="G165" s="5">
        <v>10253919508.690001</v>
      </c>
      <c r="H165" s="5">
        <v>0</v>
      </c>
      <c r="I165" s="5">
        <v>0</v>
      </c>
      <c r="J165" s="5" t="s">
        <v>14</v>
      </c>
      <c r="K165" s="5">
        <v>10253919508.690001</v>
      </c>
    </row>
    <row r="166" spans="1:11" x14ac:dyDescent="0.25">
      <c r="A166" s="4" t="s">
        <v>11</v>
      </c>
      <c r="B166" s="4" t="s">
        <v>12</v>
      </c>
      <c r="C166" s="4" t="s">
        <v>21</v>
      </c>
      <c r="D166" s="4">
        <v>151616</v>
      </c>
      <c r="E166" s="4" t="s">
        <v>285</v>
      </c>
      <c r="F166" s="4" t="s">
        <v>14</v>
      </c>
      <c r="G166" s="5">
        <v>10253919508.690001</v>
      </c>
      <c r="H166" s="5">
        <v>0</v>
      </c>
      <c r="I166" s="5">
        <v>0</v>
      </c>
      <c r="J166" s="5" t="s">
        <v>14</v>
      </c>
      <c r="K166" s="5">
        <v>10253919508.690001</v>
      </c>
    </row>
    <row r="167" spans="1:11" x14ac:dyDescent="0.25">
      <c r="A167" s="4" t="s">
        <v>11</v>
      </c>
      <c r="B167" s="4" t="s">
        <v>12</v>
      </c>
      <c r="C167" s="4" t="s">
        <v>23</v>
      </c>
      <c r="D167" s="4">
        <v>15161605</v>
      </c>
      <c r="E167" s="4" t="s">
        <v>288</v>
      </c>
      <c r="F167" s="4" t="s">
        <v>14</v>
      </c>
      <c r="G167" s="5">
        <v>12282723690</v>
      </c>
      <c r="H167" s="5">
        <v>0</v>
      </c>
      <c r="I167" s="5">
        <v>0</v>
      </c>
      <c r="J167" s="5" t="s">
        <v>14</v>
      </c>
      <c r="K167" s="5">
        <v>12282723690</v>
      </c>
    </row>
    <row r="168" spans="1:11" x14ac:dyDescent="0.25">
      <c r="A168" s="4" t="s">
        <v>11</v>
      </c>
      <c r="B168" s="4" t="s">
        <v>12</v>
      </c>
      <c r="C168" s="4" t="s">
        <v>26</v>
      </c>
      <c r="D168" s="4">
        <v>1516160505</v>
      </c>
      <c r="E168" s="4" t="s">
        <v>273</v>
      </c>
      <c r="F168" s="4" t="s">
        <v>14</v>
      </c>
      <c r="G168" s="5">
        <v>10751399490</v>
      </c>
      <c r="H168" s="5">
        <v>0</v>
      </c>
      <c r="I168" s="5">
        <v>0</v>
      </c>
      <c r="J168" s="5" t="s">
        <v>14</v>
      </c>
      <c r="K168" s="5">
        <v>10751399490</v>
      </c>
    </row>
    <row r="169" spans="1:11" x14ac:dyDescent="0.25">
      <c r="A169" s="4" t="s">
        <v>11</v>
      </c>
      <c r="B169" s="4" t="s">
        <v>12</v>
      </c>
      <c r="C169" s="4" t="s">
        <v>26</v>
      </c>
      <c r="D169" s="4">
        <v>1516160510</v>
      </c>
      <c r="E169" s="4" t="s">
        <v>275</v>
      </c>
      <c r="F169" s="4" t="s">
        <v>14</v>
      </c>
      <c r="G169" s="5">
        <v>1115005500</v>
      </c>
      <c r="H169" s="5">
        <v>0</v>
      </c>
      <c r="I169" s="5">
        <v>0</v>
      </c>
      <c r="J169" s="5" t="s">
        <v>14</v>
      </c>
      <c r="K169" s="5">
        <v>1115005500</v>
      </c>
    </row>
    <row r="170" spans="1:11" x14ac:dyDescent="0.25">
      <c r="A170" s="4" t="s">
        <v>11</v>
      </c>
      <c r="B170" s="4" t="s">
        <v>12</v>
      </c>
      <c r="C170" s="4" t="s">
        <v>26</v>
      </c>
      <c r="D170" s="4">
        <v>1516160515</v>
      </c>
      <c r="E170" s="4" t="s">
        <v>292</v>
      </c>
      <c r="F170" s="4" t="s">
        <v>14</v>
      </c>
      <c r="G170" s="5">
        <v>416318700</v>
      </c>
      <c r="H170" s="5">
        <v>0</v>
      </c>
      <c r="I170" s="5">
        <v>0</v>
      </c>
      <c r="J170" s="5" t="s">
        <v>14</v>
      </c>
      <c r="K170" s="5">
        <v>416318700</v>
      </c>
    </row>
    <row r="171" spans="1:11" x14ac:dyDescent="0.25">
      <c r="A171" s="4" t="s">
        <v>11</v>
      </c>
      <c r="B171" s="4" t="s">
        <v>12</v>
      </c>
      <c r="C171" s="4" t="s">
        <v>23</v>
      </c>
      <c r="D171" s="4">
        <v>15161690</v>
      </c>
      <c r="E171" s="4" t="s">
        <v>294</v>
      </c>
      <c r="F171" s="4" t="s">
        <v>173</v>
      </c>
      <c r="G171" s="5">
        <v>2028804181.3099999</v>
      </c>
      <c r="H171" s="5">
        <v>0</v>
      </c>
      <c r="I171" s="5">
        <v>0</v>
      </c>
      <c r="J171" s="5" t="s">
        <v>173</v>
      </c>
      <c r="K171" s="5">
        <v>2028804181.3099999</v>
      </c>
    </row>
    <row r="172" spans="1:11" x14ac:dyDescent="0.25">
      <c r="A172" s="4" t="s">
        <v>11</v>
      </c>
      <c r="B172" s="4" t="s">
        <v>12</v>
      </c>
      <c r="C172" s="4" t="s">
        <v>26</v>
      </c>
      <c r="D172" s="4">
        <v>1516169005</v>
      </c>
      <c r="E172" s="4" t="s">
        <v>273</v>
      </c>
      <c r="F172" s="4" t="s">
        <v>173</v>
      </c>
      <c r="G172" s="5">
        <v>1755532158.1199999</v>
      </c>
      <c r="H172" s="5">
        <v>0</v>
      </c>
      <c r="I172" s="5">
        <v>0</v>
      </c>
      <c r="J172" s="5" t="s">
        <v>173</v>
      </c>
      <c r="K172" s="5">
        <v>1755532158.1199999</v>
      </c>
    </row>
    <row r="173" spans="1:11" x14ac:dyDescent="0.25">
      <c r="A173" s="4" t="s">
        <v>11</v>
      </c>
      <c r="B173" s="4" t="s">
        <v>12</v>
      </c>
      <c r="C173" s="4" t="s">
        <v>26</v>
      </c>
      <c r="D173" s="4">
        <v>1516169010</v>
      </c>
      <c r="E173" s="4" t="s">
        <v>275</v>
      </c>
      <c r="F173" s="4" t="s">
        <v>173</v>
      </c>
      <c r="G173" s="5">
        <v>199516841.46000001</v>
      </c>
      <c r="H173" s="5">
        <v>0</v>
      </c>
      <c r="I173" s="5">
        <v>0</v>
      </c>
      <c r="J173" s="5" t="s">
        <v>173</v>
      </c>
      <c r="K173" s="5">
        <v>199516841.46000001</v>
      </c>
    </row>
    <row r="174" spans="1:11" x14ac:dyDescent="0.25">
      <c r="A174" s="4" t="s">
        <v>11</v>
      </c>
      <c r="B174" s="4" t="s">
        <v>12</v>
      </c>
      <c r="C174" s="4" t="s">
        <v>26</v>
      </c>
      <c r="D174" s="4">
        <v>1516169015</v>
      </c>
      <c r="E174" s="4" t="s">
        <v>292</v>
      </c>
      <c r="F174" s="4" t="s">
        <v>173</v>
      </c>
      <c r="G174" s="5">
        <v>73755181.730000004</v>
      </c>
      <c r="H174" s="5">
        <v>0</v>
      </c>
      <c r="I174" s="5">
        <v>0</v>
      </c>
      <c r="J174" s="5" t="s">
        <v>173</v>
      </c>
      <c r="K174" s="5">
        <v>73755181.730000004</v>
      </c>
    </row>
    <row r="175" spans="1:11" x14ac:dyDescent="0.25">
      <c r="A175" s="4" t="s">
        <v>11</v>
      </c>
      <c r="B175" s="4" t="s">
        <v>12</v>
      </c>
      <c r="C175" s="4" t="s">
        <v>18</v>
      </c>
      <c r="D175" s="4">
        <v>1520</v>
      </c>
      <c r="E175" s="4" t="s">
        <v>299</v>
      </c>
      <c r="F175" s="4" t="s">
        <v>14</v>
      </c>
      <c r="G175" s="5">
        <v>487454775.5</v>
      </c>
      <c r="H175" s="5">
        <v>1086226.24</v>
      </c>
      <c r="I175" s="5">
        <v>1675892</v>
      </c>
      <c r="J175" s="5" t="s">
        <v>14</v>
      </c>
      <c r="K175" s="5">
        <v>486865109.74000001</v>
      </c>
    </row>
    <row r="176" spans="1:11" x14ac:dyDescent="0.25">
      <c r="A176" s="4" t="s">
        <v>11</v>
      </c>
      <c r="B176" s="4" t="s">
        <v>12</v>
      </c>
      <c r="C176" s="4" t="s">
        <v>21</v>
      </c>
      <c r="D176" s="4">
        <v>152020</v>
      </c>
      <c r="E176" s="4" t="s">
        <v>299</v>
      </c>
      <c r="F176" s="4" t="s">
        <v>14</v>
      </c>
      <c r="G176" s="5">
        <v>487454775.5</v>
      </c>
      <c r="H176" s="5">
        <v>1086226.24</v>
      </c>
      <c r="I176" s="5">
        <v>1675892</v>
      </c>
      <c r="J176" s="5" t="s">
        <v>14</v>
      </c>
      <c r="K176" s="5">
        <v>486865109.74000001</v>
      </c>
    </row>
    <row r="177" spans="1:11" x14ac:dyDescent="0.25">
      <c r="A177" s="4" t="s">
        <v>11</v>
      </c>
      <c r="B177" s="4" t="s">
        <v>12</v>
      </c>
      <c r="C177" s="4" t="s">
        <v>23</v>
      </c>
      <c r="D177" s="4">
        <v>15202005</v>
      </c>
      <c r="E177" s="4" t="s">
        <v>299</v>
      </c>
      <c r="F177" s="4" t="s">
        <v>14</v>
      </c>
      <c r="G177" s="5">
        <v>2827901496</v>
      </c>
      <c r="H177" s="5">
        <v>0</v>
      </c>
      <c r="I177" s="5">
        <v>1675892</v>
      </c>
      <c r="J177" s="5" t="s">
        <v>14</v>
      </c>
      <c r="K177" s="5">
        <v>2826225604</v>
      </c>
    </row>
    <row r="178" spans="1:11" x14ac:dyDescent="0.25">
      <c r="A178" s="4" t="s">
        <v>11</v>
      </c>
      <c r="B178" s="4" t="s">
        <v>12</v>
      </c>
      <c r="C178" s="4" t="s">
        <v>26</v>
      </c>
      <c r="D178" s="4">
        <v>1520200505</v>
      </c>
      <c r="E178" s="4" t="s">
        <v>303</v>
      </c>
      <c r="F178" s="4" t="s">
        <v>14</v>
      </c>
      <c r="G178" s="5">
        <v>8181363</v>
      </c>
      <c r="H178" s="5">
        <v>0</v>
      </c>
      <c r="I178" s="5">
        <v>1675892</v>
      </c>
      <c r="J178" s="5" t="s">
        <v>14</v>
      </c>
      <c r="K178" s="5">
        <v>6505471</v>
      </c>
    </row>
    <row r="179" spans="1:11" x14ac:dyDescent="0.25">
      <c r="A179" s="4" t="s">
        <v>11</v>
      </c>
      <c r="B179" s="4" t="s">
        <v>12</v>
      </c>
      <c r="C179" s="4" t="s">
        <v>26</v>
      </c>
      <c r="D179" s="4">
        <v>1520200510</v>
      </c>
      <c r="E179" s="4" t="s">
        <v>305</v>
      </c>
      <c r="F179" s="4" t="s">
        <v>14</v>
      </c>
      <c r="G179" s="5">
        <v>8718064</v>
      </c>
      <c r="H179" s="5">
        <v>0</v>
      </c>
      <c r="I179" s="5">
        <v>0</v>
      </c>
      <c r="J179" s="5" t="s">
        <v>14</v>
      </c>
      <c r="K179" s="5">
        <v>8718064</v>
      </c>
    </row>
    <row r="180" spans="1:11" x14ac:dyDescent="0.25">
      <c r="A180" s="4" t="s">
        <v>11</v>
      </c>
      <c r="B180" s="4" t="s">
        <v>12</v>
      </c>
      <c r="C180" s="4" t="s">
        <v>26</v>
      </c>
      <c r="D180" s="4">
        <v>1520200515</v>
      </c>
      <c r="E180" s="4" t="s">
        <v>307</v>
      </c>
      <c r="F180" s="4" t="s">
        <v>14</v>
      </c>
      <c r="G180" s="5">
        <v>69749991</v>
      </c>
      <c r="H180" s="5">
        <v>0</v>
      </c>
      <c r="I180" s="5">
        <v>0</v>
      </c>
      <c r="J180" s="5" t="s">
        <v>14</v>
      </c>
      <c r="K180" s="5">
        <v>69749991</v>
      </c>
    </row>
    <row r="181" spans="1:11" x14ac:dyDescent="0.25">
      <c r="A181" s="4" t="s">
        <v>11</v>
      </c>
      <c r="B181" s="4" t="s">
        <v>12</v>
      </c>
      <c r="C181" s="4" t="s">
        <v>26</v>
      </c>
      <c r="D181" s="4">
        <v>1520200520</v>
      </c>
      <c r="E181" s="4" t="s">
        <v>309</v>
      </c>
      <c r="F181" s="4" t="s">
        <v>14</v>
      </c>
      <c r="G181" s="5">
        <v>311860553</v>
      </c>
      <c r="H181" s="5">
        <v>0</v>
      </c>
      <c r="I181" s="5">
        <v>0</v>
      </c>
      <c r="J181" s="5" t="s">
        <v>14</v>
      </c>
      <c r="K181" s="5">
        <v>311860553</v>
      </c>
    </row>
    <row r="182" spans="1:11" x14ac:dyDescent="0.25">
      <c r="A182" s="4" t="s">
        <v>11</v>
      </c>
      <c r="B182" s="4" t="s">
        <v>12</v>
      </c>
      <c r="C182" s="4" t="s">
        <v>26</v>
      </c>
      <c r="D182" s="4">
        <v>1520200525</v>
      </c>
      <c r="E182" s="4" t="s">
        <v>311</v>
      </c>
      <c r="F182" s="4" t="s">
        <v>14</v>
      </c>
      <c r="G182" s="5">
        <v>1197106210</v>
      </c>
      <c r="H182" s="5">
        <v>0</v>
      </c>
      <c r="I182" s="5">
        <v>0</v>
      </c>
      <c r="J182" s="5" t="s">
        <v>14</v>
      </c>
      <c r="K182" s="5">
        <v>1197106210</v>
      </c>
    </row>
    <row r="183" spans="1:11" x14ac:dyDescent="0.25">
      <c r="A183" s="4" t="s">
        <v>11</v>
      </c>
      <c r="B183" s="4" t="s">
        <v>12</v>
      </c>
      <c r="C183" s="4" t="s">
        <v>26</v>
      </c>
      <c r="D183" s="4">
        <v>1520200535</v>
      </c>
      <c r="E183" s="4" t="s">
        <v>313</v>
      </c>
      <c r="F183" s="4" t="s">
        <v>14</v>
      </c>
      <c r="G183" s="5">
        <v>1785000</v>
      </c>
      <c r="H183" s="5">
        <v>0</v>
      </c>
      <c r="I183" s="5">
        <v>0</v>
      </c>
      <c r="J183" s="5" t="s">
        <v>14</v>
      </c>
      <c r="K183" s="5">
        <v>1785000</v>
      </c>
    </row>
    <row r="184" spans="1:11" x14ac:dyDescent="0.25">
      <c r="A184" s="4" t="s">
        <v>11</v>
      </c>
      <c r="B184" s="4" t="s">
        <v>12</v>
      </c>
      <c r="C184" s="4" t="s">
        <v>26</v>
      </c>
      <c r="D184" s="4">
        <v>1520200540</v>
      </c>
      <c r="E184" s="4" t="s">
        <v>315</v>
      </c>
      <c r="F184" s="4" t="s">
        <v>14</v>
      </c>
      <c r="G184" s="5">
        <v>1230500315</v>
      </c>
      <c r="H184" s="5">
        <v>0</v>
      </c>
      <c r="I184" s="5">
        <v>0</v>
      </c>
      <c r="J184" s="5" t="s">
        <v>14</v>
      </c>
      <c r="K184" s="5">
        <v>1230500315</v>
      </c>
    </row>
    <row r="185" spans="1:11" x14ac:dyDescent="0.25">
      <c r="A185" s="4" t="s">
        <v>11</v>
      </c>
      <c r="B185" s="4" t="s">
        <v>12</v>
      </c>
      <c r="C185" s="4" t="s">
        <v>23</v>
      </c>
      <c r="D185" s="4">
        <v>15202090</v>
      </c>
      <c r="E185" s="4" t="s">
        <v>317</v>
      </c>
      <c r="F185" s="4" t="s">
        <v>173</v>
      </c>
      <c r="G185" s="5">
        <v>2340446720.5</v>
      </c>
      <c r="H185" s="5">
        <v>1086226.24</v>
      </c>
      <c r="I185" s="5">
        <v>0</v>
      </c>
      <c r="J185" s="5" t="s">
        <v>173</v>
      </c>
      <c r="K185" s="5">
        <v>2339360494.2600002</v>
      </c>
    </row>
    <row r="186" spans="1:11" x14ac:dyDescent="0.25">
      <c r="A186" s="4" t="s">
        <v>11</v>
      </c>
      <c r="B186" s="4" t="s">
        <v>12</v>
      </c>
      <c r="C186" s="4" t="s">
        <v>26</v>
      </c>
      <c r="D186" s="4">
        <v>1520209005</v>
      </c>
      <c r="E186" s="4" t="s">
        <v>317</v>
      </c>
      <c r="F186" s="4" t="s">
        <v>173</v>
      </c>
      <c r="G186" s="5">
        <v>2340446720.5</v>
      </c>
      <c r="H186" s="5">
        <v>1086226.24</v>
      </c>
      <c r="I186" s="5">
        <v>0</v>
      </c>
      <c r="J186" s="5" t="s">
        <v>173</v>
      </c>
      <c r="K186" s="5">
        <v>2339360494.2600002</v>
      </c>
    </row>
    <row r="187" spans="1:11" x14ac:dyDescent="0.25">
      <c r="A187" s="4" t="s">
        <v>11</v>
      </c>
      <c r="B187" s="4" t="s">
        <v>12</v>
      </c>
      <c r="C187" s="4" t="s">
        <v>18</v>
      </c>
      <c r="D187" s="4">
        <v>1524</v>
      </c>
      <c r="E187" s="4" t="s">
        <v>320</v>
      </c>
      <c r="F187" s="4" t="s">
        <v>14</v>
      </c>
      <c r="G187" s="5">
        <v>215026764.36000001</v>
      </c>
      <c r="H187" s="5">
        <v>2081437</v>
      </c>
      <c r="I187" s="5">
        <v>4330070</v>
      </c>
      <c r="J187" s="5" t="s">
        <v>14</v>
      </c>
      <c r="K187" s="5">
        <v>212778131.36000001</v>
      </c>
    </row>
    <row r="188" spans="1:11" x14ac:dyDescent="0.25">
      <c r="A188" s="4" t="s">
        <v>11</v>
      </c>
      <c r="B188" s="4" t="s">
        <v>12</v>
      </c>
      <c r="C188" s="4" t="s">
        <v>21</v>
      </c>
      <c r="D188" s="4">
        <v>152424</v>
      </c>
      <c r="E188" s="4" t="s">
        <v>320</v>
      </c>
      <c r="F188" s="4" t="s">
        <v>14</v>
      </c>
      <c r="G188" s="5">
        <v>215026764.36000001</v>
      </c>
      <c r="H188" s="5">
        <v>2081437</v>
      </c>
      <c r="I188" s="5">
        <v>4330070</v>
      </c>
      <c r="J188" s="5" t="s">
        <v>14</v>
      </c>
      <c r="K188" s="5">
        <v>212778131.36000001</v>
      </c>
    </row>
    <row r="189" spans="1:11" x14ac:dyDescent="0.25">
      <c r="A189" s="4" t="s">
        <v>11</v>
      </c>
      <c r="B189" s="4" t="s">
        <v>12</v>
      </c>
      <c r="C189" s="4" t="s">
        <v>23</v>
      </c>
      <c r="D189" s="4">
        <v>15242405</v>
      </c>
      <c r="E189" s="4" t="s">
        <v>320</v>
      </c>
      <c r="F189" s="4" t="s">
        <v>14</v>
      </c>
      <c r="G189" s="5">
        <v>1302171939.6300001</v>
      </c>
      <c r="H189" s="5">
        <v>2081437</v>
      </c>
      <c r="I189" s="5">
        <v>4330070</v>
      </c>
      <c r="J189" s="5" t="s">
        <v>14</v>
      </c>
      <c r="K189" s="5">
        <v>1299923306.6300001</v>
      </c>
    </row>
    <row r="190" spans="1:11" x14ac:dyDescent="0.25">
      <c r="A190" s="4" t="s">
        <v>11</v>
      </c>
      <c r="B190" s="4" t="s">
        <v>12</v>
      </c>
      <c r="C190" s="4" t="s">
        <v>26</v>
      </c>
      <c r="D190" s="4">
        <v>1524240505</v>
      </c>
      <c r="E190" s="4" t="s">
        <v>324</v>
      </c>
      <c r="F190" s="4" t="s">
        <v>14</v>
      </c>
      <c r="G190" s="5">
        <v>116109753.90000001</v>
      </c>
      <c r="H190" s="5">
        <v>2081437</v>
      </c>
      <c r="I190" s="5">
        <v>2248633</v>
      </c>
      <c r="J190" s="5" t="s">
        <v>14</v>
      </c>
      <c r="K190" s="5">
        <v>115942557.90000001</v>
      </c>
    </row>
    <row r="191" spans="1:11" x14ac:dyDescent="0.25">
      <c r="A191" s="4" t="s">
        <v>11</v>
      </c>
      <c r="B191" s="4" t="s">
        <v>12</v>
      </c>
      <c r="C191" s="4" t="s">
        <v>26</v>
      </c>
      <c r="D191" s="4">
        <v>1524240510</v>
      </c>
      <c r="E191" s="4" t="s">
        <v>326</v>
      </c>
      <c r="F191" s="4" t="s">
        <v>14</v>
      </c>
      <c r="G191" s="5">
        <v>32793985</v>
      </c>
      <c r="H191" s="5">
        <v>0</v>
      </c>
      <c r="I191" s="5">
        <v>41865</v>
      </c>
      <c r="J191" s="5" t="s">
        <v>14</v>
      </c>
      <c r="K191" s="5">
        <v>32752120</v>
      </c>
    </row>
    <row r="192" spans="1:11" x14ac:dyDescent="0.25">
      <c r="A192" s="4" t="s">
        <v>11</v>
      </c>
      <c r="B192" s="4" t="s">
        <v>12</v>
      </c>
      <c r="C192" s="4" t="s">
        <v>26</v>
      </c>
      <c r="D192" s="4">
        <v>1524240515</v>
      </c>
      <c r="E192" s="4" t="s">
        <v>328</v>
      </c>
      <c r="F192" s="4" t="s">
        <v>14</v>
      </c>
      <c r="G192" s="5">
        <v>314812139.14999998</v>
      </c>
      <c r="H192" s="5">
        <v>0</v>
      </c>
      <c r="I192" s="5">
        <v>1101165</v>
      </c>
      <c r="J192" s="5" t="s">
        <v>14</v>
      </c>
      <c r="K192" s="5">
        <v>313710974.14999998</v>
      </c>
    </row>
    <row r="193" spans="1:11" x14ac:dyDescent="0.25">
      <c r="A193" s="4" t="s">
        <v>11</v>
      </c>
      <c r="B193" s="4" t="s">
        <v>12</v>
      </c>
      <c r="C193" s="4" t="s">
        <v>26</v>
      </c>
      <c r="D193" s="4">
        <v>1524240520</v>
      </c>
      <c r="E193" s="4" t="s">
        <v>330</v>
      </c>
      <c r="F193" s="4" t="s">
        <v>14</v>
      </c>
      <c r="G193" s="5">
        <v>130964729.48</v>
      </c>
      <c r="H193" s="5">
        <v>0</v>
      </c>
      <c r="I193" s="5">
        <v>0</v>
      </c>
      <c r="J193" s="5" t="s">
        <v>14</v>
      </c>
      <c r="K193" s="5">
        <v>130964729.48</v>
      </c>
    </row>
    <row r="194" spans="1:11" x14ac:dyDescent="0.25">
      <c r="A194" s="4" t="s">
        <v>11</v>
      </c>
      <c r="B194" s="4" t="s">
        <v>12</v>
      </c>
      <c r="C194" s="4" t="s">
        <v>26</v>
      </c>
      <c r="D194" s="4">
        <v>1524240525</v>
      </c>
      <c r="E194" s="4" t="s">
        <v>332</v>
      </c>
      <c r="F194" s="4" t="s">
        <v>14</v>
      </c>
      <c r="G194" s="5">
        <v>72476812</v>
      </c>
      <c r="H194" s="5">
        <v>0</v>
      </c>
      <c r="I194" s="5">
        <v>0</v>
      </c>
      <c r="J194" s="5" t="s">
        <v>14</v>
      </c>
      <c r="K194" s="5">
        <v>72476812</v>
      </c>
    </row>
    <row r="195" spans="1:11" x14ac:dyDescent="0.25">
      <c r="A195" s="4" t="s">
        <v>11</v>
      </c>
      <c r="B195" s="4" t="s">
        <v>12</v>
      </c>
      <c r="C195" s="4" t="s">
        <v>26</v>
      </c>
      <c r="D195" s="4">
        <v>1524240530</v>
      </c>
      <c r="E195" s="4" t="s">
        <v>334</v>
      </c>
      <c r="F195" s="4" t="s">
        <v>14</v>
      </c>
      <c r="G195" s="5">
        <v>4986072</v>
      </c>
      <c r="H195" s="5">
        <v>0</v>
      </c>
      <c r="I195" s="5">
        <v>87870</v>
      </c>
      <c r="J195" s="5" t="s">
        <v>14</v>
      </c>
      <c r="K195" s="5">
        <v>4898202</v>
      </c>
    </row>
    <row r="196" spans="1:11" x14ac:dyDescent="0.25">
      <c r="A196" s="4" t="s">
        <v>11</v>
      </c>
      <c r="B196" s="4" t="s">
        <v>12</v>
      </c>
      <c r="C196" s="4" t="s">
        <v>26</v>
      </c>
      <c r="D196" s="4">
        <v>1524240535</v>
      </c>
      <c r="E196" s="4" t="s">
        <v>336</v>
      </c>
      <c r="F196" s="4" t="s">
        <v>14</v>
      </c>
      <c r="G196" s="5">
        <v>148869920</v>
      </c>
      <c r="H196" s="5">
        <v>0</v>
      </c>
      <c r="I196" s="5">
        <v>0</v>
      </c>
      <c r="J196" s="5" t="s">
        <v>14</v>
      </c>
      <c r="K196" s="5">
        <v>148869920</v>
      </c>
    </row>
    <row r="197" spans="1:11" x14ac:dyDescent="0.25">
      <c r="A197" s="4" t="s">
        <v>11</v>
      </c>
      <c r="B197" s="4" t="s">
        <v>12</v>
      </c>
      <c r="C197" s="4" t="s">
        <v>26</v>
      </c>
      <c r="D197" s="4">
        <v>1524240540</v>
      </c>
      <c r="E197" s="4" t="s">
        <v>338</v>
      </c>
      <c r="F197" s="4" t="s">
        <v>14</v>
      </c>
      <c r="G197" s="5">
        <v>481158528.10000002</v>
      </c>
      <c r="H197" s="5">
        <v>0</v>
      </c>
      <c r="I197" s="5">
        <v>850537</v>
      </c>
      <c r="J197" s="5" t="s">
        <v>14</v>
      </c>
      <c r="K197" s="5">
        <v>480307991.10000002</v>
      </c>
    </row>
    <row r="198" spans="1:11" x14ac:dyDescent="0.25">
      <c r="A198" s="4" t="s">
        <v>11</v>
      </c>
      <c r="B198" s="4" t="s">
        <v>12</v>
      </c>
      <c r="C198" s="4" t="s">
        <v>23</v>
      </c>
      <c r="D198" s="4">
        <v>15242490</v>
      </c>
      <c r="E198" s="4" t="s">
        <v>340</v>
      </c>
      <c r="F198" s="4" t="s">
        <v>173</v>
      </c>
      <c r="G198" s="5">
        <v>1087145175.27</v>
      </c>
      <c r="H198" s="5">
        <v>0</v>
      </c>
      <c r="I198" s="5">
        <v>0</v>
      </c>
      <c r="J198" s="5" t="s">
        <v>173</v>
      </c>
      <c r="K198" s="5">
        <v>1087145175.27</v>
      </c>
    </row>
    <row r="199" spans="1:11" x14ac:dyDescent="0.25">
      <c r="A199" s="4" t="s">
        <v>11</v>
      </c>
      <c r="B199" s="4" t="s">
        <v>12</v>
      </c>
      <c r="C199" s="4" t="s">
        <v>26</v>
      </c>
      <c r="D199" s="4">
        <v>1524249005</v>
      </c>
      <c r="E199" s="4" t="s">
        <v>340</v>
      </c>
      <c r="F199" s="4" t="s">
        <v>173</v>
      </c>
      <c r="G199" s="5">
        <v>1087145175.27</v>
      </c>
      <c r="H199" s="5">
        <v>0</v>
      </c>
      <c r="I199" s="5">
        <v>0</v>
      </c>
      <c r="J199" s="5" t="s">
        <v>173</v>
      </c>
      <c r="K199" s="5">
        <v>1087145175.27</v>
      </c>
    </row>
    <row r="200" spans="1:11" x14ac:dyDescent="0.25">
      <c r="A200" s="4" t="s">
        <v>11</v>
      </c>
      <c r="B200" s="4" t="s">
        <v>12</v>
      </c>
      <c r="C200" s="4" t="s">
        <v>18</v>
      </c>
      <c r="D200" s="4">
        <v>1528</v>
      </c>
      <c r="E200" s="4" t="s">
        <v>343</v>
      </c>
      <c r="F200" s="4" t="s">
        <v>14</v>
      </c>
      <c r="G200" s="5">
        <v>179725640.22</v>
      </c>
      <c r="H200" s="5">
        <v>754151.36</v>
      </c>
      <c r="I200" s="5">
        <v>754151.36</v>
      </c>
      <c r="J200" s="5" t="s">
        <v>14</v>
      </c>
      <c r="K200" s="5">
        <v>179725640.22</v>
      </c>
    </row>
    <row r="201" spans="1:11" x14ac:dyDescent="0.25">
      <c r="A201" s="4" t="s">
        <v>11</v>
      </c>
      <c r="B201" s="4" t="s">
        <v>12</v>
      </c>
      <c r="C201" s="4" t="s">
        <v>21</v>
      </c>
      <c r="D201" s="4">
        <v>152828</v>
      </c>
      <c r="E201" s="4" t="s">
        <v>343</v>
      </c>
      <c r="F201" s="4" t="s">
        <v>14</v>
      </c>
      <c r="G201" s="5">
        <v>179725640.22</v>
      </c>
      <c r="H201" s="5">
        <v>754151.36</v>
      </c>
      <c r="I201" s="5">
        <v>754151.36</v>
      </c>
      <c r="J201" s="5" t="s">
        <v>14</v>
      </c>
      <c r="K201" s="5">
        <v>179725640.22</v>
      </c>
    </row>
    <row r="202" spans="1:11" x14ac:dyDescent="0.25">
      <c r="A202" s="4" t="s">
        <v>11</v>
      </c>
      <c r="B202" s="4" t="s">
        <v>12</v>
      </c>
      <c r="C202" s="4" t="s">
        <v>23</v>
      </c>
      <c r="D202" s="4">
        <v>15282805</v>
      </c>
      <c r="E202" s="4" t="s">
        <v>343</v>
      </c>
      <c r="F202" s="4" t="s">
        <v>14</v>
      </c>
      <c r="G202" s="5">
        <v>2012833464.4400001</v>
      </c>
      <c r="H202" s="5">
        <v>754151.36</v>
      </c>
      <c r="I202" s="5">
        <v>754151.36</v>
      </c>
      <c r="J202" s="5" t="s">
        <v>14</v>
      </c>
      <c r="K202" s="5">
        <v>2012833464.4400001</v>
      </c>
    </row>
    <row r="203" spans="1:11" x14ac:dyDescent="0.25">
      <c r="A203" s="4" t="s">
        <v>11</v>
      </c>
      <c r="B203" s="4" t="s">
        <v>12</v>
      </c>
      <c r="C203" s="4" t="s">
        <v>26</v>
      </c>
      <c r="D203" s="4">
        <v>1528280505</v>
      </c>
      <c r="E203" s="4" t="s">
        <v>347</v>
      </c>
      <c r="F203" s="4" t="s">
        <v>14</v>
      </c>
      <c r="G203" s="5">
        <v>82438047</v>
      </c>
      <c r="H203" s="5">
        <v>754151.36</v>
      </c>
      <c r="I203" s="5">
        <v>0</v>
      </c>
      <c r="J203" s="5" t="s">
        <v>14</v>
      </c>
      <c r="K203" s="5">
        <v>83192198.359999999</v>
      </c>
    </row>
    <row r="204" spans="1:11" x14ac:dyDescent="0.25">
      <c r="A204" s="4" t="s">
        <v>11</v>
      </c>
      <c r="B204" s="4" t="s">
        <v>12</v>
      </c>
      <c r="C204" s="4" t="s">
        <v>26</v>
      </c>
      <c r="D204" s="4">
        <v>1528280510</v>
      </c>
      <c r="E204" s="4" t="s">
        <v>349</v>
      </c>
      <c r="F204" s="4" t="s">
        <v>14</v>
      </c>
      <c r="G204" s="5">
        <v>38777064.939999998</v>
      </c>
      <c r="H204" s="5">
        <v>0</v>
      </c>
      <c r="I204" s="5">
        <v>0</v>
      </c>
      <c r="J204" s="5" t="s">
        <v>14</v>
      </c>
      <c r="K204" s="5">
        <v>38777064.939999998</v>
      </c>
    </row>
    <row r="205" spans="1:11" x14ac:dyDescent="0.25">
      <c r="A205" s="4" t="s">
        <v>11</v>
      </c>
      <c r="B205" s="4" t="s">
        <v>12</v>
      </c>
      <c r="C205" s="4" t="s">
        <v>26</v>
      </c>
      <c r="D205" s="4">
        <v>1528280515</v>
      </c>
      <c r="E205" s="4" t="s">
        <v>351</v>
      </c>
      <c r="F205" s="4" t="s">
        <v>14</v>
      </c>
      <c r="G205" s="5">
        <v>94933267</v>
      </c>
      <c r="H205" s="5">
        <v>0</v>
      </c>
      <c r="I205" s="5">
        <v>0</v>
      </c>
      <c r="J205" s="5" t="s">
        <v>14</v>
      </c>
      <c r="K205" s="5">
        <v>94933267</v>
      </c>
    </row>
    <row r="206" spans="1:11" x14ac:dyDescent="0.25">
      <c r="A206" s="4" t="s">
        <v>11</v>
      </c>
      <c r="B206" s="4" t="s">
        <v>12</v>
      </c>
      <c r="C206" s="4" t="s">
        <v>26</v>
      </c>
      <c r="D206" s="4">
        <v>1528280520</v>
      </c>
      <c r="E206" s="4" t="s">
        <v>353</v>
      </c>
      <c r="F206" s="4" t="s">
        <v>14</v>
      </c>
      <c r="G206" s="5">
        <v>33100139.82</v>
      </c>
      <c r="H206" s="5">
        <v>0</v>
      </c>
      <c r="I206" s="5">
        <v>0</v>
      </c>
      <c r="J206" s="5" t="s">
        <v>14</v>
      </c>
      <c r="K206" s="5">
        <v>33100139.82</v>
      </c>
    </row>
    <row r="207" spans="1:11" x14ac:dyDescent="0.25">
      <c r="A207" s="4" t="s">
        <v>11</v>
      </c>
      <c r="B207" s="4" t="s">
        <v>12</v>
      </c>
      <c r="C207" s="4" t="s">
        <v>26</v>
      </c>
      <c r="D207" s="4">
        <v>1528280525</v>
      </c>
      <c r="E207" s="4" t="s">
        <v>355</v>
      </c>
      <c r="F207" s="4" t="s">
        <v>14</v>
      </c>
      <c r="G207" s="5">
        <v>870143895.17999995</v>
      </c>
      <c r="H207" s="5">
        <v>0</v>
      </c>
      <c r="I207" s="5">
        <v>210000.36</v>
      </c>
      <c r="J207" s="5" t="s">
        <v>14</v>
      </c>
      <c r="K207" s="5">
        <v>869933894.82000005</v>
      </c>
    </row>
    <row r="208" spans="1:11" x14ac:dyDescent="0.25">
      <c r="A208" s="4" t="s">
        <v>11</v>
      </c>
      <c r="B208" s="4" t="s">
        <v>12</v>
      </c>
      <c r="C208" s="4" t="s">
        <v>26</v>
      </c>
      <c r="D208" s="4">
        <v>1528280530</v>
      </c>
      <c r="E208" s="4" t="s">
        <v>357</v>
      </c>
      <c r="F208" s="4" t="s">
        <v>14</v>
      </c>
      <c r="G208" s="5">
        <v>15516731</v>
      </c>
      <c r="H208" s="5">
        <v>0</v>
      </c>
      <c r="I208" s="5">
        <v>0</v>
      </c>
      <c r="J208" s="5" t="s">
        <v>14</v>
      </c>
      <c r="K208" s="5">
        <v>15516731</v>
      </c>
    </row>
    <row r="209" spans="1:11" x14ac:dyDescent="0.25">
      <c r="A209" s="4" t="s">
        <v>11</v>
      </c>
      <c r="B209" s="4" t="s">
        <v>12</v>
      </c>
      <c r="C209" s="4" t="s">
        <v>26</v>
      </c>
      <c r="D209" s="4">
        <v>1528280535</v>
      </c>
      <c r="E209" s="4" t="s">
        <v>359</v>
      </c>
      <c r="F209" s="4" t="s">
        <v>14</v>
      </c>
      <c r="G209" s="5">
        <v>21503077</v>
      </c>
      <c r="H209" s="5">
        <v>0</v>
      </c>
      <c r="I209" s="5">
        <v>0</v>
      </c>
      <c r="J209" s="5" t="s">
        <v>14</v>
      </c>
      <c r="K209" s="5">
        <v>21503077</v>
      </c>
    </row>
    <row r="210" spans="1:11" x14ac:dyDescent="0.25">
      <c r="A210" s="4" t="s">
        <v>11</v>
      </c>
      <c r="B210" s="4" t="s">
        <v>12</v>
      </c>
      <c r="C210" s="4" t="s">
        <v>26</v>
      </c>
      <c r="D210" s="4">
        <v>1528280540</v>
      </c>
      <c r="E210" s="4" t="s">
        <v>361</v>
      </c>
      <c r="F210" s="4" t="s">
        <v>14</v>
      </c>
      <c r="G210" s="5">
        <v>844993284.5</v>
      </c>
      <c r="H210" s="5">
        <v>0</v>
      </c>
      <c r="I210" s="5">
        <v>544151</v>
      </c>
      <c r="J210" s="5" t="s">
        <v>14</v>
      </c>
      <c r="K210" s="5">
        <v>844449133.5</v>
      </c>
    </row>
    <row r="211" spans="1:11" x14ac:dyDescent="0.25">
      <c r="A211" s="4" t="s">
        <v>11</v>
      </c>
      <c r="B211" s="4" t="s">
        <v>12</v>
      </c>
      <c r="C211" s="4" t="s">
        <v>26</v>
      </c>
      <c r="D211" s="4">
        <v>1528280545</v>
      </c>
      <c r="E211" s="4" t="s">
        <v>363</v>
      </c>
      <c r="F211" s="4" t="s">
        <v>14</v>
      </c>
      <c r="G211" s="5">
        <v>11427958</v>
      </c>
      <c r="H211" s="5">
        <v>0</v>
      </c>
      <c r="I211" s="5">
        <v>0</v>
      </c>
      <c r="J211" s="5" t="s">
        <v>14</v>
      </c>
      <c r="K211" s="5">
        <v>11427958</v>
      </c>
    </row>
    <row r="212" spans="1:11" x14ac:dyDescent="0.25">
      <c r="A212" s="4" t="s">
        <v>11</v>
      </c>
      <c r="B212" s="4" t="s">
        <v>12</v>
      </c>
      <c r="C212" s="4" t="s">
        <v>23</v>
      </c>
      <c r="D212" s="4">
        <v>15282890</v>
      </c>
      <c r="E212" s="4" t="s">
        <v>365</v>
      </c>
      <c r="F212" s="4" t="s">
        <v>173</v>
      </c>
      <c r="G212" s="5">
        <v>1833107824.22</v>
      </c>
      <c r="H212" s="5">
        <v>0</v>
      </c>
      <c r="I212" s="5">
        <v>0</v>
      </c>
      <c r="J212" s="5" t="s">
        <v>173</v>
      </c>
      <c r="K212" s="5">
        <v>1833107824.22</v>
      </c>
    </row>
    <row r="213" spans="1:11" x14ac:dyDescent="0.25">
      <c r="A213" s="4" t="s">
        <v>11</v>
      </c>
      <c r="B213" s="4" t="s">
        <v>12</v>
      </c>
      <c r="C213" s="4" t="s">
        <v>26</v>
      </c>
      <c r="D213" s="4">
        <v>1528289005</v>
      </c>
      <c r="E213" s="4" t="s">
        <v>365</v>
      </c>
      <c r="F213" s="4" t="s">
        <v>173</v>
      </c>
      <c r="G213" s="5">
        <v>1651778213.4300001</v>
      </c>
      <c r="H213" s="5">
        <v>0</v>
      </c>
      <c r="I213" s="5">
        <v>0</v>
      </c>
      <c r="J213" s="5" t="s">
        <v>173</v>
      </c>
      <c r="K213" s="5">
        <v>1651778213.4300001</v>
      </c>
    </row>
    <row r="214" spans="1:11" x14ac:dyDescent="0.25">
      <c r="A214" s="4" t="s">
        <v>11</v>
      </c>
      <c r="B214" s="4" t="s">
        <v>12</v>
      </c>
      <c r="C214" s="4" t="s">
        <v>26</v>
      </c>
      <c r="D214" s="4">
        <v>1528289010</v>
      </c>
      <c r="E214" s="4" t="s">
        <v>368</v>
      </c>
      <c r="F214" s="4" t="s">
        <v>173</v>
      </c>
      <c r="G214" s="5">
        <v>181329610.78999999</v>
      </c>
      <c r="H214" s="5">
        <v>0</v>
      </c>
      <c r="I214" s="5">
        <v>0</v>
      </c>
      <c r="J214" s="5" t="s">
        <v>173</v>
      </c>
      <c r="K214" s="5">
        <v>181329610.78999999</v>
      </c>
    </row>
    <row r="215" spans="1:11" x14ac:dyDescent="0.25">
      <c r="A215" s="4" t="s">
        <v>11</v>
      </c>
      <c r="B215" s="4" t="s">
        <v>12</v>
      </c>
      <c r="C215" s="4" t="s">
        <v>18</v>
      </c>
      <c r="D215" s="4">
        <v>1532</v>
      </c>
      <c r="E215" s="4" t="s">
        <v>370</v>
      </c>
      <c r="F215" s="4" t="s">
        <v>14</v>
      </c>
      <c r="G215" s="5">
        <v>3049718016.5599999</v>
      </c>
      <c r="H215" s="5">
        <v>395014.08</v>
      </c>
      <c r="I215" s="5">
        <v>395014.08</v>
      </c>
      <c r="J215" s="5" t="s">
        <v>14</v>
      </c>
      <c r="K215" s="5">
        <v>3049718016.5599999</v>
      </c>
    </row>
    <row r="216" spans="1:11" x14ac:dyDescent="0.25">
      <c r="A216" s="4" t="s">
        <v>11</v>
      </c>
      <c r="B216" s="4" t="s">
        <v>12</v>
      </c>
      <c r="C216" s="4" t="s">
        <v>21</v>
      </c>
      <c r="D216" s="4">
        <v>153232</v>
      </c>
      <c r="E216" s="4" t="s">
        <v>370</v>
      </c>
      <c r="F216" s="4" t="s">
        <v>14</v>
      </c>
      <c r="G216" s="5">
        <v>3049718016.5599999</v>
      </c>
      <c r="H216" s="5">
        <v>395014.08</v>
      </c>
      <c r="I216" s="5">
        <v>395014.08</v>
      </c>
      <c r="J216" s="5" t="s">
        <v>14</v>
      </c>
      <c r="K216" s="5">
        <v>3049718016.5599999</v>
      </c>
    </row>
    <row r="217" spans="1:11" x14ac:dyDescent="0.25">
      <c r="A217" s="4" t="s">
        <v>11</v>
      </c>
      <c r="B217" s="4" t="s">
        <v>12</v>
      </c>
      <c r="C217" s="4" t="s">
        <v>23</v>
      </c>
      <c r="D217" s="4">
        <v>15323205</v>
      </c>
      <c r="E217" s="4" t="s">
        <v>370</v>
      </c>
      <c r="F217" s="4" t="s">
        <v>14</v>
      </c>
      <c r="G217" s="5">
        <v>14093608347.08</v>
      </c>
      <c r="H217" s="5">
        <v>395014.08</v>
      </c>
      <c r="I217" s="5">
        <v>395014.08</v>
      </c>
      <c r="J217" s="5" t="s">
        <v>14</v>
      </c>
      <c r="K217" s="5">
        <v>14093608347.08</v>
      </c>
    </row>
    <row r="218" spans="1:11" x14ac:dyDescent="0.25">
      <c r="A218" s="4" t="s">
        <v>11</v>
      </c>
      <c r="B218" s="4" t="s">
        <v>12</v>
      </c>
      <c r="C218" s="4" t="s">
        <v>26</v>
      </c>
      <c r="D218" s="4">
        <v>1532320505</v>
      </c>
      <c r="E218" s="4" t="s">
        <v>374</v>
      </c>
      <c r="F218" s="4" t="s">
        <v>14</v>
      </c>
      <c r="G218" s="5">
        <v>273676384.07999998</v>
      </c>
      <c r="H218" s="5">
        <v>0</v>
      </c>
      <c r="I218" s="5">
        <v>395014.08</v>
      </c>
      <c r="J218" s="5" t="s">
        <v>14</v>
      </c>
      <c r="K218" s="5">
        <v>273281370</v>
      </c>
    </row>
    <row r="219" spans="1:11" x14ac:dyDescent="0.25">
      <c r="A219" s="4" t="s">
        <v>11</v>
      </c>
      <c r="B219" s="4" t="s">
        <v>12</v>
      </c>
      <c r="C219" s="4" t="s">
        <v>26</v>
      </c>
      <c r="D219" s="4">
        <v>1532320510</v>
      </c>
      <c r="E219" s="4" t="s">
        <v>376</v>
      </c>
      <c r="F219" s="4" t="s">
        <v>14</v>
      </c>
      <c r="G219" s="5">
        <v>69898962</v>
      </c>
      <c r="H219" s="5">
        <v>0</v>
      </c>
      <c r="I219" s="5">
        <v>0</v>
      </c>
      <c r="J219" s="5" t="s">
        <v>14</v>
      </c>
      <c r="K219" s="5">
        <v>69898962</v>
      </c>
    </row>
    <row r="220" spans="1:11" x14ac:dyDescent="0.25">
      <c r="A220" s="4" t="s">
        <v>11</v>
      </c>
      <c r="B220" s="4" t="s">
        <v>12</v>
      </c>
      <c r="C220" s="4" t="s">
        <v>26</v>
      </c>
      <c r="D220" s="4">
        <v>1532320515</v>
      </c>
      <c r="E220" s="4" t="s">
        <v>378</v>
      </c>
      <c r="F220" s="4" t="s">
        <v>14</v>
      </c>
      <c r="G220" s="5">
        <v>3185436280</v>
      </c>
      <c r="H220" s="5">
        <v>395014.08</v>
      </c>
      <c r="I220" s="5">
        <v>0</v>
      </c>
      <c r="J220" s="5" t="s">
        <v>14</v>
      </c>
      <c r="K220" s="5">
        <v>3185831294.0799999</v>
      </c>
    </row>
    <row r="221" spans="1:11" x14ac:dyDescent="0.25">
      <c r="A221" s="4" t="s">
        <v>11</v>
      </c>
      <c r="B221" s="4" t="s">
        <v>12</v>
      </c>
      <c r="C221" s="4" t="s">
        <v>26</v>
      </c>
      <c r="D221" s="4">
        <v>1532320520</v>
      </c>
      <c r="E221" s="4" t="s">
        <v>380</v>
      </c>
      <c r="F221" s="4" t="s">
        <v>14</v>
      </c>
      <c r="G221" s="5">
        <v>4828389059</v>
      </c>
      <c r="H221" s="5">
        <v>0</v>
      </c>
      <c r="I221" s="5">
        <v>0</v>
      </c>
      <c r="J221" s="5" t="s">
        <v>14</v>
      </c>
      <c r="K221" s="5">
        <v>4828389059</v>
      </c>
    </row>
    <row r="222" spans="1:11" x14ac:dyDescent="0.25">
      <c r="A222" s="4" t="s">
        <v>11</v>
      </c>
      <c r="B222" s="4" t="s">
        <v>12</v>
      </c>
      <c r="C222" s="4" t="s">
        <v>26</v>
      </c>
      <c r="D222" s="4">
        <v>1532320525</v>
      </c>
      <c r="E222" s="4" t="s">
        <v>382</v>
      </c>
      <c r="F222" s="4" t="s">
        <v>14</v>
      </c>
      <c r="G222" s="5">
        <v>5473132595</v>
      </c>
      <c r="H222" s="5">
        <v>0</v>
      </c>
      <c r="I222" s="5">
        <v>0</v>
      </c>
      <c r="J222" s="5" t="s">
        <v>14</v>
      </c>
      <c r="K222" s="5">
        <v>5473132595</v>
      </c>
    </row>
    <row r="223" spans="1:11" x14ac:dyDescent="0.25">
      <c r="A223" s="4" t="s">
        <v>11</v>
      </c>
      <c r="B223" s="4" t="s">
        <v>12</v>
      </c>
      <c r="C223" s="4" t="s">
        <v>26</v>
      </c>
      <c r="D223" s="4">
        <v>1532320530</v>
      </c>
      <c r="E223" s="4" t="s">
        <v>384</v>
      </c>
      <c r="F223" s="4" t="s">
        <v>14</v>
      </c>
      <c r="G223" s="5">
        <v>6876684</v>
      </c>
      <c r="H223" s="5">
        <v>0</v>
      </c>
      <c r="I223" s="5">
        <v>0</v>
      </c>
      <c r="J223" s="5" t="s">
        <v>14</v>
      </c>
      <c r="K223" s="5">
        <v>6876684</v>
      </c>
    </row>
    <row r="224" spans="1:11" x14ac:dyDescent="0.25">
      <c r="A224" s="4" t="s">
        <v>11</v>
      </c>
      <c r="B224" s="4" t="s">
        <v>12</v>
      </c>
      <c r="C224" s="4" t="s">
        <v>26</v>
      </c>
      <c r="D224" s="4">
        <v>1532320535</v>
      </c>
      <c r="E224" s="4" t="s">
        <v>386</v>
      </c>
      <c r="F224" s="4" t="s">
        <v>14</v>
      </c>
      <c r="G224" s="5">
        <v>11783719</v>
      </c>
      <c r="H224" s="5">
        <v>0</v>
      </c>
      <c r="I224" s="5">
        <v>0</v>
      </c>
      <c r="J224" s="5" t="s">
        <v>14</v>
      </c>
      <c r="K224" s="5">
        <v>11783719</v>
      </c>
    </row>
    <row r="225" spans="1:11" x14ac:dyDescent="0.25">
      <c r="A225" s="4" t="s">
        <v>11</v>
      </c>
      <c r="B225" s="4" t="s">
        <v>12</v>
      </c>
      <c r="C225" s="4" t="s">
        <v>26</v>
      </c>
      <c r="D225" s="4">
        <v>1532320540</v>
      </c>
      <c r="E225" s="4" t="s">
        <v>388</v>
      </c>
      <c r="F225" s="4" t="s">
        <v>14</v>
      </c>
      <c r="G225" s="5">
        <v>176852795</v>
      </c>
      <c r="H225" s="5">
        <v>0</v>
      </c>
      <c r="I225" s="5">
        <v>0</v>
      </c>
      <c r="J225" s="5" t="s">
        <v>14</v>
      </c>
      <c r="K225" s="5">
        <v>176852795</v>
      </c>
    </row>
    <row r="226" spans="1:11" x14ac:dyDescent="0.25">
      <c r="A226" s="4" t="s">
        <v>11</v>
      </c>
      <c r="B226" s="4" t="s">
        <v>12</v>
      </c>
      <c r="C226" s="4" t="s">
        <v>26</v>
      </c>
      <c r="D226" s="4">
        <v>1532320545</v>
      </c>
      <c r="E226" s="4" t="s">
        <v>390</v>
      </c>
      <c r="F226" s="4" t="s">
        <v>14</v>
      </c>
      <c r="G226" s="5">
        <v>67561869</v>
      </c>
      <c r="H226" s="5">
        <v>0</v>
      </c>
      <c r="I226" s="5">
        <v>0</v>
      </c>
      <c r="J226" s="5" t="s">
        <v>14</v>
      </c>
      <c r="K226" s="5">
        <v>67561869</v>
      </c>
    </row>
    <row r="227" spans="1:11" x14ac:dyDescent="0.25">
      <c r="A227" s="4" t="s">
        <v>11</v>
      </c>
      <c r="B227" s="4" t="s">
        <v>12</v>
      </c>
      <c r="C227" s="4" t="s">
        <v>23</v>
      </c>
      <c r="D227" s="4">
        <v>15323290</v>
      </c>
      <c r="E227" s="4" t="s">
        <v>392</v>
      </c>
      <c r="F227" s="4" t="s">
        <v>173</v>
      </c>
      <c r="G227" s="5">
        <v>11043890330.52</v>
      </c>
      <c r="H227" s="5">
        <v>0</v>
      </c>
      <c r="I227" s="5">
        <v>0</v>
      </c>
      <c r="J227" s="5" t="s">
        <v>173</v>
      </c>
      <c r="K227" s="5">
        <v>11043890330.52</v>
      </c>
    </row>
    <row r="228" spans="1:11" x14ac:dyDescent="0.25">
      <c r="A228" s="4" t="s">
        <v>11</v>
      </c>
      <c r="B228" s="4" t="s">
        <v>12</v>
      </c>
      <c r="C228" s="4" t="s">
        <v>26</v>
      </c>
      <c r="D228" s="4">
        <v>1532329005</v>
      </c>
      <c r="E228" s="4" t="s">
        <v>392</v>
      </c>
      <c r="F228" s="4" t="s">
        <v>173</v>
      </c>
      <c r="G228" s="5">
        <v>10855919286.389999</v>
      </c>
      <c r="H228" s="5">
        <v>0</v>
      </c>
      <c r="I228" s="5">
        <v>0</v>
      </c>
      <c r="J228" s="5" t="s">
        <v>173</v>
      </c>
      <c r="K228" s="5">
        <v>10855919286.389999</v>
      </c>
    </row>
    <row r="229" spans="1:11" x14ac:dyDescent="0.25">
      <c r="A229" s="4" t="s">
        <v>11</v>
      </c>
      <c r="B229" s="4" t="s">
        <v>12</v>
      </c>
      <c r="C229" s="4" t="s">
        <v>26</v>
      </c>
      <c r="D229" s="4">
        <v>1532329010</v>
      </c>
      <c r="E229" s="4" t="s">
        <v>395</v>
      </c>
      <c r="F229" s="4" t="s">
        <v>173</v>
      </c>
      <c r="G229" s="5">
        <v>187971044.13</v>
      </c>
      <c r="H229" s="5">
        <v>0</v>
      </c>
      <c r="I229" s="5">
        <v>0</v>
      </c>
      <c r="J229" s="5" t="s">
        <v>173</v>
      </c>
      <c r="K229" s="5">
        <v>187971044.13</v>
      </c>
    </row>
    <row r="230" spans="1:11" x14ac:dyDescent="0.25">
      <c r="A230" s="4" t="s">
        <v>11</v>
      </c>
      <c r="B230" s="4" t="s">
        <v>12</v>
      </c>
      <c r="C230" s="4" t="s">
        <v>18</v>
      </c>
      <c r="D230" s="4">
        <v>1540</v>
      </c>
      <c r="E230" s="4" t="s">
        <v>397</v>
      </c>
      <c r="F230" s="4" t="s">
        <v>14</v>
      </c>
      <c r="G230" s="5">
        <v>33426226.460000001</v>
      </c>
      <c r="H230" s="5">
        <v>0</v>
      </c>
      <c r="I230" s="5">
        <v>0</v>
      </c>
      <c r="J230" s="5" t="s">
        <v>14</v>
      </c>
      <c r="K230" s="5">
        <v>33426226.460000001</v>
      </c>
    </row>
    <row r="231" spans="1:11" x14ac:dyDescent="0.25">
      <c r="A231" s="4" t="s">
        <v>11</v>
      </c>
      <c r="B231" s="4" t="s">
        <v>12</v>
      </c>
      <c r="C231" s="4" t="s">
        <v>21</v>
      </c>
      <c r="D231" s="4">
        <v>154040</v>
      </c>
      <c r="E231" s="4" t="s">
        <v>397</v>
      </c>
      <c r="F231" s="4" t="s">
        <v>14</v>
      </c>
      <c r="G231" s="5">
        <v>33426226.460000001</v>
      </c>
      <c r="H231" s="5">
        <v>0</v>
      </c>
      <c r="I231" s="5">
        <v>0</v>
      </c>
      <c r="J231" s="5" t="s">
        <v>14</v>
      </c>
      <c r="K231" s="5">
        <v>33426226.460000001</v>
      </c>
    </row>
    <row r="232" spans="1:11" x14ac:dyDescent="0.25">
      <c r="A232" s="4" t="s">
        <v>11</v>
      </c>
      <c r="B232" s="4" t="s">
        <v>12</v>
      </c>
      <c r="C232" s="4" t="s">
        <v>23</v>
      </c>
      <c r="D232" s="4">
        <v>15404005</v>
      </c>
      <c r="E232" s="4" t="s">
        <v>400</v>
      </c>
      <c r="F232" s="4" t="s">
        <v>14</v>
      </c>
      <c r="G232" s="5">
        <v>69865550</v>
      </c>
      <c r="H232" s="5">
        <v>0</v>
      </c>
      <c r="I232" s="5">
        <v>0</v>
      </c>
      <c r="J232" s="5" t="s">
        <v>14</v>
      </c>
      <c r="K232" s="5">
        <v>69865550</v>
      </c>
    </row>
    <row r="233" spans="1:11" x14ac:dyDescent="0.25">
      <c r="A233" s="4" t="s">
        <v>11</v>
      </c>
      <c r="B233" s="4" t="s">
        <v>12</v>
      </c>
      <c r="C233" s="4" t="s">
        <v>26</v>
      </c>
      <c r="D233" s="4">
        <v>1540400505</v>
      </c>
      <c r="E233" s="4" t="s">
        <v>402</v>
      </c>
      <c r="F233" s="4" t="s">
        <v>14</v>
      </c>
      <c r="G233" s="5">
        <v>69865550</v>
      </c>
      <c r="H233" s="5">
        <v>0</v>
      </c>
      <c r="I233" s="5">
        <v>0</v>
      </c>
      <c r="J233" s="5" t="s">
        <v>14</v>
      </c>
      <c r="K233" s="5">
        <v>69865550</v>
      </c>
    </row>
    <row r="234" spans="1:11" x14ac:dyDescent="0.25">
      <c r="A234" s="4" t="s">
        <v>11</v>
      </c>
      <c r="B234" s="4" t="s">
        <v>12</v>
      </c>
      <c r="C234" s="4" t="s">
        <v>23</v>
      </c>
      <c r="D234" s="4">
        <v>15404090</v>
      </c>
      <c r="E234" s="4" t="s">
        <v>404</v>
      </c>
      <c r="F234" s="4" t="s">
        <v>173</v>
      </c>
      <c r="G234" s="5">
        <v>36439323.539999999</v>
      </c>
      <c r="H234" s="5">
        <v>0</v>
      </c>
      <c r="I234" s="5">
        <v>0</v>
      </c>
      <c r="J234" s="5" t="s">
        <v>173</v>
      </c>
      <c r="K234" s="5">
        <v>36439323.539999999</v>
      </c>
    </row>
    <row r="235" spans="1:11" x14ac:dyDescent="0.25">
      <c r="A235" s="4" t="s">
        <v>11</v>
      </c>
      <c r="B235" s="4" t="s">
        <v>12</v>
      </c>
      <c r="C235" s="4" t="s">
        <v>26</v>
      </c>
      <c r="D235" s="4">
        <v>1540409005</v>
      </c>
      <c r="E235" s="4" t="s">
        <v>406</v>
      </c>
      <c r="F235" s="4" t="s">
        <v>173</v>
      </c>
      <c r="G235" s="5">
        <v>36439323.539999999</v>
      </c>
      <c r="H235" s="5">
        <v>0</v>
      </c>
      <c r="I235" s="5">
        <v>0</v>
      </c>
      <c r="J235" s="5" t="s">
        <v>173</v>
      </c>
      <c r="K235" s="5">
        <v>36439323.539999999</v>
      </c>
    </row>
    <row r="236" spans="1:11" x14ac:dyDescent="0.25">
      <c r="A236" s="4" t="s">
        <v>11</v>
      </c>
      <c r="B236" s="4" t="s">
        <v>12</v>
      </c>
      <c r="C236" s="4" t="s">
        <v>15</v>
      </c>
      <c r="D236" s="4">
        <v>16</v>
      </c>
      <c r="E236" s="4" t="s">
        <v>408</v>
      </c>
      <c r="F236" s="4" t="s">
        <v>14</v>
      </c>
      <c r="G236" s="5">
        <v>566264067</v>
      </c>
      <c r="H236" s="5">
        <v>0</v>
      </c>
      <c r="I236" s="5">
        <v>12510574</v>
      </c>
      <c r="J236" s="5" t="s">
        <v>14</v>
      </c>
      <c r="K236" s="5">
        <v>553753493</v>
      </c>
    </row>
    <row r="237" spans="1:11" x14ac:dyDescent="0.25">
      <c r="A237" s="4" t="s">
        <v>11</v>
      </c>
      <c r="B237" s="4" t="s">
        <v>12</v>
      </c>
      <c r="C237" s="4" t="s">
        <v>18</v>
      </c>
      <c r="D237" s="4">
        <v>1605</v>
      </c>
      <c r="E237" s="4" t="s">
        <v>410</v>
      </c>
      <c r="F237" s="4" t="s">
        <v>14</v>
      </c>
      <c r="G237" s="5">
        <v>566264067</v>
      </c>
      <c r="H237" s="5">
        <v>0</v>
      </c>
      <c r="I237" s="5">
        <v>12510574</v>
      </c>
      <c r="J237" s="5" t="s">
        <v>14</v>
      </c>
      <c r="K237" s="5">
        <v>553753493</v>
      </c>
    </row>
    <row r="238" spans="1:11" x14ac:dyDescent="0.25">
      <c r="A238" s="4" t="s">
        <v>11</v>
      </c>
      <c r="B238" s="4" t="s">
        <v>12</v>
      </c>
      <c r="C238" s="4" t="s">
        <v>21</v>
      </c>
      <c r="D238" s="4">
        <v>160505</v>
      </c>
      <c r="E238" s="4" t="s">
        <v>412</v>
      </c>
      <c r="F238" s="4" t="s">
        <v>14</v>
      </c>
      <c r="G238" s="5">
        <v>357247699</v>
      </c>
      <c r="H238" s="5">
        <v>0</v>
      </c>
      <c r="I238" s="5">
        <v>10575238</v>
      </c>
      <c r="J238" s="5" t="s">
        <v>14</v>
      </c>
      <c r="K238" s="5">
        <v>346672461</v>
      </c>
    </row>
    <row r="239" spans="1:11" x14ac:dyDescent="0.25">
      <c r="A239" s="4" t="s">
        <v>11</v>
      </c>
      <c r="B239" s="4" t="s">
        <v>12</v>
      </c>
      <c r="C239" s="4" t="s">
        <v>23</v>
      </c>
      <c r="D239" s="4">
        <v>16050505</v>
      </c>
      <c r="E239" s="4" t="s">
        <v>412</v>
      </c>
      <c r="F239" s="4" t="s">
        <v>14</v>
      </c>
      <c r="G239" s="5">
        <v>787635521</v>
      </c>
      <c r="H239" s="5">
        <v>0</v>
      </c>
      <c r="I239" s="5">
        <v>0</v>
      </c>
      <c r="J239" s="5" t="s">
        <v>14</v>
      </c>
      <c r="K239" s="5">
        <v>787635521</v>
      </c>
    </row>
    <row r="240" spans="1:11" x14ac:dyDescent="0.25">
      <c r="A240" s="4" t="s">
        <v>11</v>
      </c>
      <c r="B240" s="4" t="s">
        <v>12</v>
      </c>
      <c r="C240" s="4" t="s">
        <v>26</v>
      </c>
      <c r="D240" s="4">
        <v>1605050505</v>
      </c>
      <c r="E240" s="4" t="s">
        <v>412</v>
      </c>
      <c r="F240" s="4" t="s">
        <v>14</v>
      </c>
      <c r="G240" s="5">
        <v>581324192</v>
      </c>
      <c r="H240" s="5">
        <v>0</v>
      </c>
      <c r="I240" s="5">
        <v>0</v>
      </c>
      <c r="J240" s="5" t="s">
        <v>14</v>
      </c>
      <c r="K240" s="5">
        <v>581324192</v>
      </c>
    </row>
    <row r="241" spans="1:11" x14ac:dyDescent="0.25">
      <c r="A241" s="4" t="s">
        <v>11</v>
      </c>
      <c r="B241" s="4" t="s">
        <v>12</v>
      </c>
      <c r="C241" s="4" t="s">
        <v>26</v>
      </c>
      <c r="D241" s="4">
        <v>1605050510</v>
      </c>
      <c r="E241" s="4" t="s">
        <v>416</v>
      </c>
      <c r="F241" s="4" t="s">
        <v>14</v>
      </c>
      <c r="G241" s="5">
        <v>206311329</v>
      </c>
      <c r="H241" s="5">
        <v>0</v>
      </c>
      <c r="I241" s="5">
        <v>0</v>
      </c>
      <c r="J241" s="5" t="s">
        <v>14</v>
      </c>
      <c r="K241" s="5">
        <v>206311329</v>
      </c>
    </row>
    <row r="242" spans="1:11" x14ac:dyDescent="0.25">
      <c r="A242" s="4" t="s">
        <v>11</v>
      </c>
      <c r="B242" s="4" t="s">
        <v>12</v>
      </c>
      <c r="C242" s="4" t="s">
        <v>23</v>
      </c>
      <c r="D242" s="4">
        <v>16050590</v>
      </c>
      <c r="E242" s="4" t="s">
        <v>418</v>
      </c>
      <c r="F242" s="4" t="s">
        <v>173</v>
      </c>
      <c r="G242" s="5">
        <v>-430387822</v>
      </c>
      <c r="H242" s="5">
        <v>0</v>
      </c>
      <c r="I242" s="5">
        <v>10575238</v>
      </c>
      <c r="J242" s="5" t="s">
        <v>173</v>
      </c>
      <c r="K242" s="5">
        <v>-440963060</v>
      </c>
    </row>
    <row r="243" spans="1:11" x14ac:dyDescent="0.25">
      <c r="A243" s="4" t="s">
        <v>11</v>
      </c>
      <c r="B243" s="4" t="s">
        <v>12</v>
      </c>
      <c r="C243" s="4" t="s">
        <v>26</v>
      </c>
      <c r="D243" s="4">
        <v>1605059005</v>
      </c>
      <c r="E243" s="4" t="s">
        <v>418</v>
      </c>
      <c r="F243" s="4" t="s">
        <v>173</v>
      </c>
      <c r="G243" s="5">
        <v>-310039552</v>
      </c>
      <c r="H243" s="5">
        <v>0</v>
      </c>
      <c r="I243" s="5">
        <v>4844368</v>
      </c>
      <c r="J243" s="5" t="s">
        <v>173</v>
      </c>
      <c r="K243" s="5">
        <v>-314883920</v>
      </c>
    </row>
    <row r="244" spans="1:11" x14ac:dyDescent="0.25">
      <c r="A244" s="4" t="s">
        <v>11</v>
      </c>
      <c r="B244" s="4" t="s">
        <v>12</v>
      </c>
      <c r="C244" s="4" t="s">
        <v>26</v>
      </c>
      <c r="D244" s="4">
        <v>1605059010</v>
      </c>
      <c r="E244" s="4" t="s">
        <v>421</v>
      </c>
      <c r="F244" s="4" t="s">
        <v>173</v>
      </c>
      <c r="G244" s="5">
        <v>-120348270</v>
      </c>
      <c r="H244" s="5">
        <v>0</v>
      </c>
      <c r="I244" s="5">
        <v>5730870</v>
      </c>
      <c r="J244" s="5" t="s">
        <v>173</v>
      </c>
      <c r="K244" s="5">
        <v>-126079140</v>
      </c>
    </row>
    <row r="245" spans="1:11" x14ac:dyDescent="0.25">
      <c r="A245" s="4" t="s">
        <v>11</v>
      </c>
      <c r="B245" s="4" t="s">
        <v>12</v>
      </c>
      <c r="C245" s="4" t="s">
        <v>21</v>
      </c>
      <c r="D245" s="4">
        <v>160510</v>
      </c>
      <c r="E245" s="4" t="s">
        <v>423</v>
      </c>
      <c r="F245" s="4" t="s">
        <v>14</v>
      </c>
      <c r="G245" s="5">
        <v>209016368</v>
      </c>
      <c r="H245" s="5">
        <v>0</v>
      </c>
      <c r="I245" s="5">
        <v>1935336</v>
      </c>
      <c r="J245" s="5" t="s">
        <v>14</v>
      </c>
      <c r="K245" s="5">
        <v>207081032</v>
      </c>
    </row>
    <row r="246" spans="1:11" x14ac:dyDescent="0.25">
      <c r="A246" s="4" t="s">
        <v>11</v>
      </c>
      <c r="B246" s="4" t="s">
        <v>12</v>
      </c>
      <c r="C246" s="4" t="s">
        <v>23</v>
      </c>
      <c r="D246" s="4">
        <v>16051010</v>
      </c>
      <c r="E246" s="4" t="s">
        <v>423</v>
      </c>
      <c r="F246" s="4" t="s">
        <v>14</v>
      </c>
      <c r="G246" s="5">
        <v>232240400</v>
      </c>
      <c r="H246" s="5">
        <v>0</v>
      </c>
      <c r="I246" s="5">
        <v>0</v>
      </c>
      <c r="J246" s="5" t="s">
        <v>14</v>
      </c>
      <c r="K246" s="5">
        <v>232240400</v>
      </c>
    </row>
    <row r="247" spans="1:11" x14ac:dyDescent="0.25">
      <c r="A247" s="4" t="s">
        <v>11</v>
      </c>
      <c r="B247" s="4" t="s">
        <v>12</v>
      </c>
      <c r="C247" s="4" t="s">
        <v>26</v>
      </c>
      <c r="D247" s="4">
        <v>1605101005</v>
      </c>
      <c r="E247" s="4" t="s">
        <v>282</v>
      </c>
      <c r="F247" s="4" t="s">
        <v>14</v>
      </c>
      <c r="G247" s="5">
        <v>232240400</v>
      </c>
      <c r="H247" s="5">
        <v>0</v>
      </c>
      <c r="I247" s="5">
        <v>0</v>
      </c>
      <c r="J247" s="5" t="s">
        <v>14</v>
      </c>
      <c r="K247" s="5">
        <v>232240400</v>
      </c>
    </row>
    <row r="248" spans="1:11" x14ac:dyDescent="0.25">
      <c r="A248" s="4" t="s">
        <v>11</v>
      </c>
      <c r="B248" s="4" t="s">
        <v>12</v>
      </c>
      <c r="C248" s="4" t="s">
        <v>23</v>
      </c>
      <c r="D248" s="4">
        <v>16051090</v>
      </c>
      <c r="E248" s="4" t="s">
        <v>427</v>
      </c>
      <c r="F248" s="4" t="s">
        <v>173</v>
      </c>
      <c r="G248" s="5">
        <v>-23224032</v>
      </c>
      <c r="H248" s="5">
        <v>0</v>
      </c>
      <c r="I248" s="5">
        <v>1935336</v>
      </c>
      <c r="J248" s="5" t="s">
        <v>173</v>
      </c>
      <c r="K248" s="5">
        <v>-25159368</v>
      </c>
    </row>
    <row r="249" spans="1:11" x14ac:dyDescent="0.25">
      <c r="A249" s="4" t="s">
        <v>11</v>
      </c>
      <c r="B249" s="4" t="s">
        <v>12</v>
      </c>
      <c r="C249" s="4" t="s">
        <v>26</v>
      </c>
      <c r="D249" s="4">
        <v>1605109005</v>
      </c>
      <c r="E249" s="4" t="s">
        <v>429</v>
      </c>
      <c r="F249" s="4" t="s">
        <v>173</v>
      </c>
      <c r="G249" s="5">
        <v>-23224032</v>
      </c>
      <c r="H249" s="5">
        <v>0</v>
      </c>
      <c r="I249" s="5">
        <v>1935336</v>
      </c>
      <c r="J249" s="5" t="s">
        <v>173</v>
      </c>
      <c r="K249" s="5">
        <v>-25159368</v>
      </c>
    </row>
    <row r="250" spans="1:11" x14ac:dyDescent="0.25">
      <c r="A250" s="4" t="s">
        <v>11</v>
      </c>
      <c r="B250" s="4" t="s">
        <v>12</v>
      </c>
      <c r="C250" s="4" t="s">
        <v>15</v>
      </c>
      <c r="D250" s="4">
        <v>17</v>
      </c>
      <c r="E250" s="4" t="s">
        <v>431</v>
      </c>
      <c r="F250" s="4" t="s">
        <v>14</v>
      </c>
      <c r="G250" s="5">
        <v>136359121</v>
      </c>
      <c r="H250" s="5">
        <v>133158000</v>
      </c>
      <c r="I250" s="5">
        <v>182096914</v>
      </c>
      <c r="J250" s="5" t="s">
        <v>14</v>
      </c>
      <c r="K250" s="5">
        <v>87420207</v>
      </c>
    </row>
    <row r="251" spans="1:11" x14ac:dyDescent="0.25">
      <c r="A251" s="4" t="s">
        <v>11</v>
      </c>
      <c r="B251" s="4" t="s">
        <v>12</v>
      </c>
      <c r="C251" s="4" t="s">
        <v>18</v>
      </c>
      <c r="D251" s="4">
        <v>1705</v>
      </c>
      <c r="E251" s="4" t="s">
        <v>431</v>
      </c>
      <c r="F251" s="4" t="s">
        <v>14</v>
      </c>
      <c r="G251" s="5">
        <v>136359121</v>
      </c>
      <c r="H251" s="5">
        <v>133158000</v>
      </c>
      <c r="I251" s="5">
        <v>182096914</v>
      </c>
      <c r="J251" s="5" t="s">
        <v>14</v>
      </c>
      <c r="K251" s="5">
        <v>87420207</v>
      </c>
    </row>
    <row r="252" spans="1:11" x14ac:dyDescent="0.25">
      <c r="A252" s="4" t="s">
        <v>11</v>
      </c>
      <c r="B252" s="4" t="s">
        <v>12</v>
      </c>
      <c r="C252" s="4" t="s">
        <v>21</v>
      </c>
      <c r="D252" s="4">
        <v>170505</v>
      </c>
      <c r="E252" s="4" t="s">
        <v>434</v>
      </c>
      <c r="F252" s="4" t="s">
        <v>14</v>
      </c>
      <c r="G252" s="5">
        <v>136359121</v>
      </c>
      <c r="H252" s="5">
        <v>133158000</v>
      </c>
      <c r="I252" s="5">
        <v>182096914</v>
      </c>
      <c r="J252" s="5" t="s">
        <v>14</v>
      </c>
      <c r="K252" s="5">
        <v>87420207</v>
      </c>
    </row>
    <row r="253" spans="1:11" x14ac:dyDescent="0.25">
      <c r="A253" s="4" t="s">
        <v>11</v>
      </c>
      <c r="B253" s="4" t="s">
        <v>12</v>
      </c>
      <c r="C253" s="4" t="s">
        <v>23</v>
      </c>
      <c r="D253" s="4">
        <v>17050530</v>
      </c>
      <c r="E253" s="4" t="s">
        <v>434</v>
      </c>
      <c r="F253" s="4" t="s">
        <v>14</v>
      </c>
      <c r="G253" s="5">
        <v>136359121</v>
      </c>
      <c r="H253" s="5">
        <v>133158000</v>
      </c>
      <c r="I253" s="5">
        <v>182096914</v>
      </c>
      <c r="J253" s="5" t="s">
        <v>14</v>
      </c>
      <c r="K253" s="5">
        <v>87420207</v>
      </c>
    </row>
    <row r="254" spans="1:11" x14ac:dyDescent="0.25">
      <c r="A254" s="4" t="s">
        <v>11</v>
      </c>
      <c r="B254" s="4" t="s">
        <v>12</v>
      </c>
      <c r="C254" s="4" t="s">
        <v>26</v>
      </c>
      <c r="D254" s="4">
        <v>1705053005</v>
      </c>
      <c r="E254" s="4" t="s">
        <v>437</v>
      </c>
      <c r="F254" s="4" t="s">
        <v>14</v>
      </c>
      <c r="G254" s="5">
        <v>362000</v>
      </c>
      <c r="H254" s="5">
        <v>0</v>
      </c>
      <c r="I254" s="5">
        <v>181000</v>
      </c>
      <c r="J254" s="5" t="s">
        <v>14</v>
      </c>
      <c r="K254" s="5">
        <v>181000</v>
      </c>
    </row>
    <row r="255" spans="1:11" x14ac:dyDescent="0.25">
      <c r="A255" s="4" t="s">
        <v>11</v>
      </c>
      <c r="B255" s="4" t="s">
        <v>12</v>
      </c>
      <c r="C255" s="4" t="s">
        <v>26</v>
      </c>
      <c r="D255" s="4">
        <v>1705053010</v>
      </c>
      <c r="E255" s="4" t="s">
        <v>439</v>
      </c>
      <c r="F255" s="4" t="s">
        <v>14</v>
      </c>
      <c r="G255" s="5">
        <v>8139250</v>
      </c>
      <c r="H255" s="5">
        <v>133158000</v>
      </c>
      <c r="I255" s="5">
        <v>117986490</v>
      </c>
      <c r="J255" s="5" t="s">
        <v>14</v>
      </c>
      <c r="K255" s="5">
        <v>23310760</v>
      </c>
    </row>
    <row r="256" spans="1:11" x14ac:dyDescent="0.25">
      <c r="A256" s="4" t="s">
        <v>11</v>
      </c>
      <c r="B256" s="4" t="s">
        <v>12</v>
      </c>
      <c r="C256" s="4" t="s">
        <v>26</v>
      </c>
      <c r="D256" s="4">
        <v>1705053020</v>
      </c>
      <c r="E256" s="4" t="s">
        <v>441</v>
      </c>
      <c r="F256" s="4" t="s">
        <v>14</v>
      </c>
      <c r="G256" s="5">
        <v>127857871</v>
      </c>
      <c r="H256" s="5">
        <v>0</v>
      </c>
      <c r="I256" s="5">
        <v>63929424</v>
      </c>
      <c r="J256" s="5" t="s">
        <v>14</v>
      </c>
      <c r="K256" s="5">
        <v>63928447</v>
      </c>
    </row>
    <row r="257" spans="1:11" x14ac:dyDescent="0.25">
      <c r="A257" s="4" t="s">
        <v>11</v>
      </c>
      <c r="B257" s="4" t="s">
        <v>442</v>
      </c>
      <c r="C257" s="4" t="s">
        <v>13</v>
      </c>
      <c r="D257" s="4">
        <v>2</v>
      </c>
      <c r="E257" s="4" t="s">
        <v>442</v>
      </c>
      <c r="F257" s="4" t="s">
        <v>173</v>
      </c>
      <c r="G257" s="5">
        <v>51537243882.540001</v>
      </c>
      <c r="H257" s="5">
        <v>9583477858.1800003</v>
      </c>
      <c r="I257" s="5">
        <v>6303311011.71</v>
      </c>
      <c r="J257" s="5" t="s">
        <v>173</v>
      </c>
      <c r="K257" s="5">
        <v>48257077036.07</v>
      </c>
    </row>
    <row r="258" spans="1:11" x14ac:dyDescent="0.25">
      <c r="A258" s="4" t="s">
        <v>11</v>
      </c>
      <c r="B258" s="4" t="s">
        <v>442</v>
      </c>
      <c r="C258" s="4" t="s">
        <v>15</v>
      </c>
      <c r="D258" s="4">
        <v>21</v>
      </c>
      <c r="E258" s="4" t="s">
        <v>444</v>
      </c>
      <c r="F258" s="4" t="s">
        <v>173</v>
      </c>
      <c r="G258" s="5">
        <v>4755355361.4099998</v>
      </c>
      <c r="H258" s="5">
        <v>590939575</v>
      </c>
      <c r="I258" s="5">
        <v>286490311</v>
      </c>
      <c r="J258" s="5" t="s">
        <v>173</v>
      </c>
      <c r="K258" s="5">
        <v>4450906097.4099998</v>
      </c>
    </row>
    <row r="259" spans="1:11" x14ac:dyDescent="0.25">
      <c r="A259" s="4" t="s">
        <v>11</v>
      </c>
      <c r="B259" s="4" t="s">
        <v>442</v>
      </c>
      <c r="C259" s="4" t="s">
        <v>18</v>
      </c>
      <c r="D259" s="4">
        <v>2105</v>
      </c>
      <c r="E259" s="4" t="s">
        <v>446</v>
      </c>
      <c r="F259" s="4" t="s">
        <v>173</v>
      </c>
      <c r="G259" s="5">
        <v>4755355361.4099998</v>
      </c>
      <c r="H259" s="5">
        <v>590939575</v>
      </c>
      <c r="I259" s="5">
        <v>286490311</v>
      </c>
      <c r="J259" s="5" t="s">
        <v>173</v>
      </c>
      <c r="K259" s="5">
        <v>4450906097.4099998</v>
      </c>
    </row>
    <row r="260" spans="1:11" x14ac:dyDescent="0.25">
      <c r="A260" s="4" t="s">
        <v>11</v>
      </c>
      <c r="B260" s="4" t="s">
        <v>442</v>
      </c>
      <c r="C260" s="4" t="s">
        <v>21</v>
      </c>
      <c r="D260" s="4">
        <v>210505</v>
      </c>
      <c r="E260" s="4" t="s">
        <v>446</v>
      </c>
      <c r="F260" s="4" t="s">
        <v>173</v>
      </c>
      <c r="G260" s="5">
        <v>4755355361.4099998</v>
      </c>
      <c r="H260" s="5">
        <v>590939575</v>
      </c>
      <c r="I260" s="5">
        <v>286490311</v>
      </c>
      <c r="J260" s="5" t="s">
        <v>173</v>
      </c>
      <c r="K260" s="5">
        <v>4450906097.4099998</v>
      </c>
    </row>
    <row r="261" spans="1:11" x14ac:dyDescent="0.25">
      <c r="A261" s="4" t="s">
        <v>11</v>
      </c>
      <c r="B261" s="4" t="s">
        <v>442</v>
      </c>
      <c r="C261" s="4" t="s">
        <v>23</v>
      </c>
      <c r="D261" s="4">
        <v>21050510</v>
      </c>
      <c r="E261" s="4" t="s">
        <v>449</v>
      </c>
      <c r="F261" s="4" t="s">
        <v>173</v>
      </c>
      <c r="G261" s="5">
        <v>1684750562.3900001</v>
      </c>
      <c r="H261" s="5">
        <v>578928779</v>
      </c>
      <c r="I261" s="5">
        <v>286490311</v>
      </c>
      <c r="J261" s="5" t="s">
        <v>173</v>
      </c>
      <c r="K261" s="5">
        <v>1392312094.3900001</v>
      </c>
    </row>
    <row r="262" spans="1:11" x14ac:dyDescent="0.25">
      <c r="A262" s="4" t="s">
        <v>11</v>
      </c>
      <c r="B262" s="4" t="s">
        <v>442</v>
      </c>
      <c r="C262" s="4" t="s">
        <v>26</v>
      </c>
      <c r="D262" s="4">
        <v>2105051005</v>
      </c>
      <c r="E262" s="4" t="s">
        <v>451</v>
      </c>
      <c r="F262" s="4" t="s">
        <v>173</v>
      </c>
      <c r="G262" s="5">
        <v>301194167.99000001</v>
      </c>
      <c r="H262" s="5">
        <v>150527502</v>
      </c>
      <c r="I262" s="5">
        <v>110000000</v>
      </c>
      <c r="J262" s="5" t="s">
        <v>173</v>
      </c>
      <c r="K262" s="5">
        <v>260666665.99000001</v>
      </c>
    </row>
    <row r="263" spans="1:11" x14ac:dyDescent="0.25">
      <c r="A263" s="4" t="s">
        <v>11</v>
      </c>
      <c r="B263" s="4" t="s">
        <v>442</v>
      </c>
      <c r="C263" s="4" t="s">
        <v>26</v>
      </c>
      <c r="D263" s="4">
        <v>2105051010</v>
      </c>
      <c r="E263" s="4" t="s">
        <v>453</v>
      </c>
      <c r="F263" s="4" t="s">
        <v>173</v>
      </c>
      <c r="G263" s="5">
        <v>9900810.5999999996</v>
      </c>
      <c r="H263" s="5">
        <v>4133009</v>
      </c>
      <c r="I263" s="5">
        <v>0</v>
      </c>
      <c r="J263" s="5" t="s">
        <v>173</v>
      </c>
      <c r="K263" s="5">
        <v>5767801.5999999996</v>
      </c>
    </row>
    <row r="264" spans="1:11" x14ac:dyDescent="0.25">
      <c r="A264" s="4" t="s">
        <v>11</v>
      </c>
      <c r="B264" s="4" t="s">
        <v>442</v>
      </c>
      <c r="C264" s="4" t="s">
        <v>26</v>
      </c>
      <c r="D264" s="4">
        <v>2105051025</v>
      </c>
      <c r="E264" s="4" t="s">
        <v>455</v>
      </c>
      <c r="F264" s="4" t="s">
        <v>173</v>
      </c>
      <c r="G264" s="5">
        <v>516032713</v>
      </c>
      <c r="H264" s="5">
        <v>100079000</v>
      </c>
      <c r="I264" s="5">
        <v>176490311</v>
      </c>
      <c r="J264" s="5" t="s">
        <v>173</v>
      </c>
      <c r="K264" s="5">
        <v>592444024</v>
      </c>
    </row>
    <row r="265" spans="1:11" x14ac:dyDescent="0.25">
      <c r="A265" s="4" t="s">
        <v>11</v>
      </c>
      <c r="B265" s="4" t="s">
        <v>442</v>
      </c>
      <c r="C265" s="4" t="s">
        <v>26</v>
      </c>
      <c r="D265" s="4">
        <v>2105051030</v>
      </c>
      <c r="E265" s="4" t="s">
        <v>457</v>
      </c>
      <c r="F265" s="4" t="s">
        <v>173</v>
      </c>
      <c r="G265" s="5">
        <v>102870000</v>
      </c>
      <c r="H265" s="5">
        <v>51435000</v>
      </c>
      <c r="I265" s="5">
        <v>0</v>
      </c>
      <c r="J265" s="5" t="s">
        <v>173</v>
      </c>
      <c r="K265" s="5">
        <v>51435000</v>
      </c>
    </row>
    <row r="266" spans="1:11" x14ac:dyDescent="0.25">
      <c r="A266" s="4" t="s">
        <v>11</v>
      </c>
      <c r="B266" s="4" t="s">
        <v>442</v>
      </c>
      <c r="C266" s="4" t="s">
        <v>26</v>
      </c>
      <c r="D266" s="4">
        <v>2105051035</v>
      </c>
      <c r="E266" s="4" t="s">
        <v>459</v>
      </c>
      <c r="F266" s="4" t="s">
        <v>173</v>
      </c>
      <c r="G266" s="5">
        <v>27775333.300000001</v>
      </c>
      <c r="H266" s="5">
        <v>0</v>
      </c>
      <c r="I266" s="5">
        <v>0</v>
      </c>
      <c r="J266" s="5" t="s">
        <v>173</v>
      </c>
      <c r="K266" s="5">
        <v>27775333.300000001</v>
      </c>
    </row>
    <row r="267" spans="1:11" x14ac:dyDescent="0.25">
      <c r="A267" s="4" t="s">
        <v>11</v>
      </c>
      <c r="B267" s="4" t="s">
        <v>442</v>
      </c>
      <c r="C267" s="4" t="s">
        <v>26</v>
      </c>
      <c r="D267" s="4">
        <v>2105051040</v>
      </c>
      <c r="E267" s="4" t="s">
        <v>461</v>
      </c>
      <c r="F267" s="4" t="s">
        <v>173</v>
      </c>
      <c r="G267" s="5">
        <v>8326800</v>
      </c>
      <c r="H267" s="5">
        <v>4167000</v>
      </c>
      <c r="I267" s="5">
        <v>0</v>
      </c>
      <c r="J267" s="5" t="s">
        <v>173</v>
      </c>
      <c r="K267" s="5">
        <v>4159800</v>
      </c>
    </row>
    <row r="268" spans="1:11" x14ac:dyDescent="0.25">
      <c r="A268" s="4" t="s">
        <v>11</v>
      </c>
      <c r="B268" s="4" t="s">
        <v>442</v>
      </c>
      <c r="C268" s="4" t="s">
        <v>26</v>
      </c>
      <c r="D268" s="4">
        <v>2105051045</v>
      </c>
      <c r="E268" s="4" t="s">
        <v>463</v>
      </c>
      <c r="F268" s="4" t="s">
        <v>173</v>
      </c>
      <c r="G268" s="5">
        <v>181668000</v>
      </c>
      <c r="H268" s="5">
        <v>90833000</v>
      </c>
      <c r="I268" s="5">
        <v>0</v>
      </c>
      <c r="J268" s="5" t="s">
        <v>173</v>
      </c>
      <c r="K268" s="5">
        <v>90835000</v>
      </c>
    </row>
    <row r="269" spans="1:11" x14ac:dyDescent="0.25">
      <c r="A269" s="4" t="s">
        <v>11</v>
      </c>
      <c r="B269" s="4" t="s">
        <v>442</v>
      </c>
      <c r="C269" s="4" t="s">
        <v>26</v>
      </c>
      <c r="D269" s="4">
        <v>2105051050</v>
      </c>
      <c r="E269" s="4" t="s">
        <v>465</v>
      </c>
      <c r="F269" s="4" t="s">
        <v>173</v>
      </c>
      <c r="G269" s="5">
        <v>83328220.040000007</v>
      </c>
      <c r="H269" s="5">
        <v>35625000</v>
      </c>
      <c r="I269" s="5">
        <v>0</v>
      </c>
      <c r="J269" s="5" t="s">
        <v>173</v>
      </c>
      <c r="K269" s="5">
        <v>47703220.039999999</v>
      </c>
    </row>
    <row r="270" spans="1:11" x14ac:dyDescent="0.25">
      <c r="A270" s="4" t="s">
        <v>11</v>
      </c>
      <c r="B270" s="4" t="s">
        <v>442</v>
      </c>
      <c r="C270" s="4" t="s">
        <v>26</v>
      </c>
      <c r="D270" s="4">
        <v>2105051055</v>
      </c>
      <c r="E270" s="4" t="s">
        <v>467</v>
      </c>
      <c r="F270" s="4" t="s">
        <v>173</v>
      </c>
      <c r="G270" s="5">
        <v>137789293</v>
      </c>
      <c r="H270" s="5">
        <v>34447322</v>
      </c>
      <c r="I270" s="5">
        <v>0</v>
      </c>
      <c r="J270" s="5" t="s">
        <v>173</v>
      </c>
      <c r="K270" s="5">
        <v>103341971</v>
      </c>
    </row>
    <row r="271" spans="1:11" x14ac:dyDescent="0.25">
      <c r="A271" s="4" t="s">
        <v>11</v>
      </c>
      <c r="B271" s="4" t="s">
        <v>442</v>
      </c>
      <c r="C271" s="4" t="s">
        <v>26</v>
      </c>
      <c r="D271" s="4">
        <v>2105051060</v>
      </c>
      <c r="E271" s="4" t="s">
        <v>469</v>
      </c>
      <c r="F271" s="4" t="s">
        <v>173</v>
      </c>
      <c r="G271" s="5">
        <v>190688746</v>
      </c>
      <c r="H271" s="5">
        <v>47672187</v>
      </c>
      <c r="I271" s="5">
        <v>0</v>
      </c>
      <c r="J271" s="5" t="s">
        <v>173</v>
      </c>
      <c r="K271" s="5">
        <v>143016559</v>
      </c>
    </row>
    <row r="272" spans="1:11" x14ac:dyDescent="0.25">
      <c r="A272" s="4" t="s">
        <v>11</v>
      </c>
      <c r="B272" s="4" t="s">
        <v>442</v>
      </c>
      <c r="C272" s="4" t="s">
        <v>26</v>
      </c>
      <c r="D272" s="4">
        <v>2105051070</v>
      </c>
      <c r="E272" s="4" t="s">
        <v>471</v>
      </c>
      <c r="F272" s="4" t="s">
        <v>173</v>
      </c>
      <c r="G272" s="5">
        <v>17192580.899999999</v>
      </c>
      <c r="H272" s="5">
        <v>8596287</v>
      </c>
      <c r="I272" s="5">
        <v>0</v>
      </c>
      <c r="J272" s="5" t="s">
        <v>173</v>
      </c>
      <c r="K272" s="5">
        <v>8596293.9000000004</v>
      </c>
    </row>
    <row r="273" spans="1:11" x14ac:dyDescent="0.25">
      <c r="A273" s="4" t="s">
        <v>11</v>
      </c>
      <c r="B273" s="4" t="s">
        <v>442</v>
      </c>
      <c r="C273" s="4" t="s">
        <v>26</v>
      </c>
      <c r="D273" s="4">
        <v>2105051080</v>
      </c>
      <c r="E273" s="4" t="s">
        <v>473</v>
      </c>
      <c r="F273" s="4" t="s">
        <v>173</v>
      </c>
      <c r="G273" s="5">
        <v>55547148.450000003</v>
      </c>
      <c r="H273" s="5">
        <v>31323000</v>
      </c>
      <c r="I273" s="5">
        <v>0</v>
      </c>
      <c r="J273" s="5" t="s">
        <v>173</v>
      </c>
      <c r="K273" s="5">
        <v>24224148.449999999</v>
      </c>
    </row>
    <row r="274" spans="1:11" x14ac:dyDescent="0.25">
      <c r="A274" s="4" t="s">
        <v>11</v>
      </c>
      <c r="B274" s="4" t="s">
        <v>442</v>
      </c>
      <c r="C274" s="4" t="s">
        <v>26</v>
      </c>
      <c r="D274" s="4">
        <v>2105051081</v>
      </c>
      <c r="E274" s="4" t="s">
        <v>475</v>
      </c>
      <c r="F274" s="4" t="s">
        <v>173</v>
      </c>
      <c r="G274" s="5">
        <v>27848614.800000001</v>
      </c>
      <c r="H274" s="5">
        <v>9787471</v>
      </c>
      <c r="I274" s="5">
        <v>0</v>
      </c>
      <c r="J274" s="5" t="s">
        <v>173</v>
      </c>
      <c r="K274" s="5">
        <v>18061143.800000001</v>
      </c>
    </row>
    <row r="275" spans="1:11" x14ac:dyDescent="0.25">
      <c r="A275" s="4" t="s">
        <v>11</v>
      </c>
      <c r="B275" s="4" t="s">
        <v>442</v>
      </c>
      <c r="C275" s="4" t="s">
        <v>26</v>
      </c>
      <c r="D275" s="4">
        <v>2105051083</v>
      </c>
      <c r="E275" s="4" t="s">
        <v>477</v>
      </c>
      <c r="F275" s="4" t="s">
        <v>173</v>
      </c>
      <c r="G275" s="5">
        <v>10690028.960000001</v>
      </c>
      <c r="H275" s="5">
        <v>3359001</v>
      </c>
      <c r="I275" s="5">
        <v>0</v>
      </c>
      <c r="J275" s="5" t="s">
        <v>173</v>
      </c>
      <c r="K275" s="5">
        <v>7331027.96</v>
      </c>
    </row>
    <row r="276" spans="1:11" x14ac:dyDescent="0.25">
      <c r="A276" s="4" t="s">
        <v>11</v>
      </c>
      <c r="B276" s="4" t="s">
        <v>442</v>
      </c>
      <c r="C276" s="4" t="s">
        <v>26</v>
      </c>
      <c r="D276" s="4">
        <v>2105051085</v>
      </c>
      <c r="E276" s="4" t="s">
        <v>479</v>
      </c>
      <c r="F276" s="4" t="s">
        <v>173</v>
      </c>
      <c r="G276" s="5">
        <v>13898105.35</v>
      </c>
      <c r="H276" s="5">
        <v>6944000</v>
      </c>
      <c r="I276" s="5">
        <v>0</v>
      </c>
      <c r="J276" s="5" t="s">
        <v>173</v>
      </c>
      <c r="K276" s="5">
        <v>6954105.3499999996</v>
      </c>
    </row>
    <row r="277" spans="1:11" x14ac:dyDescent="0.25">
      <c r="A277" s="4" t="s">
        <v>11</v>
      </c>
      <c r="B277" s="4" t="s">
        <v>442</v>
      </c>
      <c r="C277" s="4" t="s">
        <v>23</v>
      </c>
      <c r="D277" s="4">
        <v>21050515</v>
      </c>
      <c r="E277" s="4" t="s">
        <v>481</v>
      </c>
      <c r="F277" s="4" t="s">
        <v>173</v>
      </c>
      <c r="G277" s="5">
        <v>3058594003.02</v>
      </c>
      <c r="H277" s="5">
        <v>0</v>
      </c>
      <c r="I277" s="5">
        <v>0</v>
      </c>
      <c r="J277" s="5" t="s">
        <v>173</v>
      </c>
      <c r="K277" s="5">
        <v>3058594003.02</v>
      </c>
    </row>
    <row r="278" spans="1:11" x14ac:dyDescent="0.25">
      <c r="A278" s="4" t="s">
        <v>11</v>
      </c>
      <c r="B278" s="4" t="s">
        <v>442</v>
      </c>
      <c r="C278" s="4" t="s">
        <v>26</v>
      </c>
      <c r="D278" s="4">
        <v>2105051510</v>
      </c>
      <c r="E278" s="4" t="s">
        <v>453</v>
      </c>
      <c r="F278" s="4" t="s">
        <v>173</v>
      </c>
      <c r="G278" s="5">
        <v>7903721.4000000004</v>
      </c>
      <c r="H278" s="5">
        <v>0</v>
      </c>
      <c r="I278" s="5">
        <v>0</v>
      </c>
      <c r="J278" s="5" t="s">
        <v>173</v>
      </c>
      <c r="K278" s="5">
        <v>7903721.4000000004</v>
      </c>
    </row>
    <row r="279" spans="1:11" x14ac:dyDescent="0.25">
      <c r="A279" s="4" t="s">
        <v>11</v>
      </c>
      <c r="B279" s="4" t="s">
        <v>442</v>
      </c>
      <c r="C279" s="4" t="s">
        <v>26</v>
      </c>
      <c r="D279" s="4">
        <v>2105051520</v>
      </c>
      <c r="E279" s="4" t="s">
        <v>471</v>
      </c>
      <c r="F279" s="4" t="s">
        <v>173</v>
      </c>
      <c r="G279" s="5">
        <v>17192575.100000001</v>
      </c>
      <c r="H279" s="5">
        <v>0</v>
      </c>
      <c r="I279" s="5">
        <v>0</v>
      </c>
      <c r="J279" s="5" t="s">
        <v>173</v>
      </c>
      <c r="K279" s="5">
        <v>17192575.100000001</v>
      </c>
    </row>
    <row r="280" spans="1:11" x14ac:dyDescent="0.25">
      <c r="A280" s="4" t="s">
        <v>11</v>
      </c>
      <c r="B280" s="4" t="s">
        <v>442</v>
      </c>
      <c r="C280" s="4" t="s">
        <v>26</v>
      </c>
      <c r="D280" s="4">
        <v>2105051530</v>
      </c>
      <c r="E280" s="4" t="s">
        <v>457</v>
      </c>
      <c r="F280" s="4" t="s">
        <v>173</v>
      </c>
      <c r="G280" s="5">
        <v>308610000</v>
      </c>
      <c r="H280" s="5">
        <v>0</v>
      </c>
      <c r="I280" s="5">
        <v>0</v>
      </c>
      <c r="J280" s="5" t="s">
        <v>173</v>
      </c>
      <c r="K280" s="5">
        <v>308610000</v>
      </c>
    </row>
    <row r="281" spans="1:11" x14ac:dyDescent="0.25">
      <c r="A281" s="4" t="s">
        <v>11</v>
      </c>
      <c r="B281" s="4" t="s">
        <v>442</v>
      </c>
      <c r="C281" s="4" t="s">
        <v>26</v>
      </c>
      <c r="D281" s="4">
        <v>2105051535</v>
      </c>
      <c r="E281" s="4" t="s">
        <v>486</v>
      </c>
      <c r="F281" s="4" t="s">
        <v>173</v>
      </c>
      <c r="G281" s="5">
        <v>83332666.700000003</v>
      </c>
      <c r="H281" s="5">
        <v>0</v>
      </c>
      <c r="I281" s="5">
        <v>0</v>
      </c>
      <c r="J281" s="5" t="s">
        <v>173</v>
      </c>
      <c r="K281" s="5">
        <v>83332666.700000003</v>
      </c>
    </row>
    <row r="282" spans="1:11" x14ac:dyDescent="0.25">
      <c r="A282" s="4" t="s">
        <v>11</v>
      </c>
      <c r="B282" s="4" t="s">
        <v>442</v>
      </c>
      <c r="C282" s="4" t="s">
        <v>26</v>
      </c>
      <c r="D282" s="4">
        <v>2105051540</v>
      </c>
      <c r="E282" s="4" t="s">
        <v>461</v>
      </c>
      <c r="F282" s="4" t="s">
        <v>173</v>
      </c>
      <c r="G282" s="5">
        <v>33331200</v>
      </c>
      <c r="H282" s="5">
        <v>0</v>
      </c>
      <c r="I282" s="5">
        <v>0</v>
      </c>
      <c r="J282" s="5" t="s">
        <v>173</v>
      </c>
      <c r="K282" s="5">
        <v>33331200</v>
      </c>
    </row>
    <row r="283" spans="1:11" x14ac:dyDescent="0.25">
      <c r="A283" s="4" t="s">
        <v>11</v>
      </c>
      <c r="B283" s="4" t="s">
        <v>442</v>
      </c>
      <c r="C283" s="4" t="s">
        <v>26</v>
      </c>
      <c r="D283" s="4">
        <v>2105051550</v>
      </c>
      <c r="E283" s="4" t="s">
        <v>465</v>
      </c>
      <c r="F283" s="4" t="s">
        <v>173</v>
      </c>
      <c r="G283" s="5">
        <v>666666667</v>
      </c>
      <c r="H283" s="5">
        <v>0</v>
      </c>
      <c r="I283" s="5">
        <v>0</v>
      </c>
      <c r="J283" s="5" t="s">
        <v>173</v>
      </c>
      <c r="K283" s="5">
        <v>666666667</v>
      </c>
    </row>
    <row r="284" spans="1:11" x14ac:dyDescent="0.25">
      <c r="A284" s="4" t="s">
        <v>11</v>
      </c>
      <c r="B284" s="4" t="s">
        <v>442</v>
      </c>
      <c r="C284" s="4" t="s">
        <v>26</v>
      </c>
      <c r="D284" s="4">
        <v>2105051579</v>
      </c>
      <c r="E284" s="4" t="s">
        <v>490</v>
      </c>
      <c r="F284" s="4" t="s">
        <v>173</v>
      </c>
      <c r="G284" s="5">
        <v>1500000000</v>
      </c>
      <c r="H284" s="5">
        <v>0</v>
      </c>
      <c r="I284" s="5">
        <v>0</v>
      </c>
      <c r="J284" s="5" t="s">
        <v>173</v>
      </c>
      <c r="K284" s="5">
        <v>1500000000</v>
      </c>
    </row>
    <row r="285" spans="1:11" x14ac:dyDescent="0.25">
      <c r="A285" s="4" t="s">
        <v>11</v>
      </c>
      <c r="B285" s="4" t="s">
        <v>442</v>
      </c>
      <c r="C285" s="4" t="s">
        <v>26</v>
      </c>
      <c r="D285" s="4">
        <v>2105051581</v>
      </c>
      <c r="E285" s="4" t="s">
        <v>475</v>
      </c>
      <c r="F285" s="4" t="s">
        <v>173</v>
      </c>
      <c r="G285" s="5">
        <v>98157043.200000003</v>
      </c>
      <c r="H285" s="5">
        <v>0</v>
      </c>
      <c r="I285" s="5">
        <v>0</v>
      </c>
      <c r="J285" s="5" t="s">
        <v>173</v>
      </c>
      <c r="K285" s="5">
        <v>98157043.200000003</v>
      </c>
    </row>
    <row r="286" spans="1:11" x14ac:dyDescent="0.25">
      <c r="A286" s="4" t="s">
        <v>11</v>
      </c>
      <c r="B286" s="4" t="s">
        <v>442</v>
      </c>
      <c r="C286" s="4" t="s">
        <v>26</v>
      </c>
      <c r="D286" s="4">
        <v>2105051583</v>
      </c>
      <c r="E286" s="4" t="s">
        <v>477</v>
      </c>
      <c r="F286" s="4" t="s">
        <v>173</v>
      </c>
      <c r="G286" s="5">
        <v>44788849.039999999</v>
      </c>
      <c r="H286" s="5">
        <v>0</v>
      </c>
      <c r="I286" s="5">
        <v>0</v>
      </c>
      <c r="J286" s="5" t="s">
        <v>173</v>
      </c>
      <c r="K286" s="5">
        <v>44788849.039999999</v>
      </c>
    </row>
    <row r="287" spans="1:11" x14ac:dyDescent="0.25">
      <c r="A287" s="4" t="s">
        <v>11</v>
      </c>
      <c r="B287" s="4" t="s">
        <v>442</v>
      </c>
      <c r="C287" s="4" t="s">
        <v>26</v>
      </c>
      <c r="D287" s="4">
        <v>2105051585</v>
      </c>
      <c r="E287" s="4" t="s">
        <v>473</v>
      </c>
      <c r="F287" s="4" t="s">
        <v>173</v>
      </c>
      <c r="G287" s="5">
        <v>249997385.93000001</v>
      </c>
      <c r="H287" s="5">
        <v>0</v>
      </c>
      <c r="I287" s="5">
        <v>0</v>
      </c>
      <c r="J287" s="5" t="s">
        <v>173</v>
      </c>
      <c r="K287" s="5">
        <v>249997385.93000001</v>
      </c>
    </row>
    <row r="288" spans="1:11" x14ac:dyDescent="0.25">
      <c r="A288" s="4" t="s">
        <v>11</v>
      </c>
      <c r="B288" s="4" t="s">
        <v>442</v>
      </c>
      <c r="C288" s="4" t="s">
        <v>26</v>
      </c>
      <c r="D288" s="4">
        <v>2105051586</v>
      </c>
      <c r="E288" s="4" t="s">
        <v>479</v>
      </c>
      <c r="F288" s="4" t="s">
        <v>173</v>
      </c>
      <c r="G288" s="5">
        <v>48613894.649999999</v>
      </c>
      <c r="H288" s="5">
        <v>0</v>
      </c>
      <c r="I288" s="5">
        <v>0</v>
      </c>
      <c r="J288" s="5" t="s">
        <v>173</v>
      </c>
      <c r="K288" s="5">
        <v>48613894.649999999</v>
      </c>
    </row>
    <row r="289" spans="1:11" x14ac:dyDescent="0.25">
      <c r="A289" s="4" t="s">
        <v>11</v>
      </c>
      <c r="B289" s="4" t="s">
        <v>442</v>
      </c>
      <c r="C289" s="4" t="s">
        <v>23</v>
      </c>
      <c r="D289" s="4">
        <v>21050525</v>
      </c>
      <c r="E289" s="4" t="s">
        <v>496</v>
      </c>
      <c r="F289" s="4" t="s">
        <v>173</v>
      </c>
      <c r="G289" s="5">
        <v>12010796</v>
      </c>
      <c r="H289" s="5">
        <v>12010796</v>
      </c>
      <c r="I289" s="5">
        <v>0</v>
      </c>
      <c r="J289" s="5" t="s">
        <v>173</v>
      </c>
      <c r="K289" s="5">
        <v>0</v>
      </c>
    </row>
    <row r="290" spans="1:11" x14ac:dyDescent="0.25">
      <c r="A290" s="4" t="s">
        <v>11</v>
      </c>
      <c r="B290" s="4" t="s">
        <v>442</v>
      </c>
      <c r="C290" s="4" t="s">
        <v>26</v>
      </c>
      <c r="D290" s="4">
        <v>2105052510</v>
      </c>
      <c r="E290" s="4" t="s">
        <v>498</v>
      </c>
      <c r="F290" s="4" t="s">
        <v>173</v>
      </c>
      <c r="G290" s="5">
        <v>7033596</v>
      </c>
      <c r="H290" s="5">
        <v>7033596</v>
      </c>
      <c r="I290" s="5">
        <v>0</v>
      </c>
      <c r="J290" s="5" t="s">
        <v>173</v>
      </c>
      <c r="K290" s="5">
        <v>0</v>
      </c>
    </row>
    <row r="291" spans="1:11" x14ac:dyDescent="0.25">
      <c r="A291" s="4" t="s">
        <v>11</v>
      </c>
      <c r="B291" s="4" t="s">
        <v>442</v>
      </c>
      <c r="C291" s="4" t="s">
        <v>26</v>
      </c>
      <c r="D291" s="4">
        <v>2105052515</v>
      </c>
      <c r="E291" s="4" t="s">
        <v>500</v>
      </c>
      <c r="F291" s="4" t="s">
        <v>173</v>
      </c>
      <c r="G291" s="5">
        <v>4977200</v>
      </c>
      <c r="H291" s="5">
        <v>4977200</v>
      </c>
      <c r="I291" s="5">
        <v>0</v>
      </c>
      <c r="J291" s="5" t="s">
        <v>173</v>
      </c>
      <c r="K291" s="5">
        <v>0</v>
      </c>
    </row>
    <row r="292" spans="1:11" x14ac:dyDescent="0.25">
      <c r="A292" s="4" t="s">
        <v>11</v>
      </c>
      <c r="B292" s="4" t="s">
        <v>442</v>
      </c>
      <c r="C292" s="4" t="s">
        <v>15</v>
      </c>
      <c r="D292" s="4">
        <v>22</v>
      </c>
      <c r="E292" s="4" t="s">
        <v>502</v>
      </c>
      <c r="F292" s="4" t="s">
        <v>173</v>
      </c>
      <c r="G292" s="5">
        <v>7362093874.0799999</v>
      </c>
      <c r="H292" s="5">
        <v>806756991.12</v>
      </c>
      <c r="I292" s="5">
        <v>566025059.65999997</v>
      </c>
      <c r="J292" s="5" t="s">
        <v>173</v>
      </c>
      <c r="K292" s="5">
        <v>7121361942.6199999</v>
      </c>
    </row>
    <row r="293" spans="1:11" x14ac:dyDescent="0.25">
      <c r="A293" s="4" t="s">
        <v>11</v>
      </c>
      <c r="B293" s="4" t="s">
        <v>442</v>
      </c>
      <c r="C293" s="4" t="s">
        <v>18</v>
      </c>
      <c r="D293" s="4">
        <v>2205</v>
      </c>
      <c r="E293" s="4" t="s">
        <v>504</v>
      </c>
      <c r="F293" s="4" t="s">
        <v>173</v>
      </c>
      <c r="G293" s="5">
        <v>7362093874.0799999</v>
      </c>
      <c r="H293" s="5">
        <v>806756991.12</v>
      </c>
      <c r="I293" s="5">
        <v>566025059.65999997</v>
      </c>
      <c r="J293" s="5" t="s">
        <v>173</v>
      </c>
      <c r="K293" s="5">
        <v>7121361942.6199999</v>
      </c>
    </row>
    <row r="294" spans="1:11" x14ac:dyDescent="0.25">
      <c r="A294" s="4" t="s">
        <v>11</v>
      </c>
      <c r="B294" s="4" t="s">
        <v>442</v>
      </c>
      <c r="C294" s="4" t="s">
        <v>21</v>
      </c>
      <c r="D294" s="4">
        <v>220505</v>
      </c>
      <c r="E294" s="4" t="s">
        <v>506</v>
      </c>
      <c r="F294" s="4" t="s">
        <v>173</v>
      </c>
      <c r="G294" s="5">
        <v>7362093874.0799999</v>
      </c>
      <c r="H294" s="5">
        <v>806756991.12</v>
      </c>
      <c r="I294" s="5">
        <v>566025059.65999997</v>
      </c>
      <c r="J294" s="5" t="s">
        <v>173</v>
      </c>
      <c r="K294" s="5">
        <v>7121361942.6199999</v>
      </c>
    </row>
    <row r="295" spans="1:11" x14ac:dyDescent="0.25">
      <c r="A295" s="4" t="s">
        <v>11</v>
      </c>
      <c r="B295" s="4" t="s">
        <v>442</v>
      </c>
      <c r="C295" s="4" t="s">
        <v>23</v>
      </c>
      <c r="D295" s="4">
        <v>22050505</v>
      </c>
      <c r="E295" s="4" t="s">
        <v>506</v>
      </c>
      <c r="F295" s="4" t="s">
        <v>173</v>
      </c>
      <c r="G295" s="5">
        <v>7362093874.0799999</v>
      </c>
      <c r="H295" s="5">
        <v>806756991.12</v>
      </c>
      <c r="I295" s="5">
        <v>566025059.65999997</v>
      </c>
      <c r="J295" s="5" t="s">
        <v>173</v>
      </c>
      <c r="K295" s="5">
        <v>7121361942.6199999</v>
      </c>
    </row>
    <row r="296" spans="1:11" x14ac:dyDescent="0.25">
      <c r="A296" s="4" t="s">
        <v>11</v>
      </c>
      <c r="B296" s="4" t="s">
        <v>442</v>
      </c>
      <c r="C296" s="4" t="s">
        <v>26</v>
      </c>
      <c r="D296" s="4">
        <v>2205050505</v>
      </c>
      <c r="E296" s="4" t="s">
        <v>509</v>
      </c>
      <c r="F296" s="4" t="s">
        <v>173</v>
      </c>
      <c r="G296" s="5">
        <v>7333085111.0799999</v>
      </c>
      <c r="H296" s="5">
        <v>783014203.12</v>
      </c>
      <c r="I296" s="5">
        <v>541741077.65999997</v>
      </c>
      <c r="J296" s="5" t="s">
        <v>173</v>
      </c>
      <c r="K296" s="5">
        <v>7091811985.6199999</v>
      </c>
    </row>
    <row r="297" spans="1:11" x14ac:dyDescent="0.25">
      <c r="A297" s="4" t="s">
        <v>11</v>
      </c>
      <c r="B297" s="4" t="s">
        <v>442</v>
      </c>
      <c r="C297" s="4" t="s">
        <v>26</v>
      </c>
      <c r="D297" s="4">
        <v>2205050510</v>
      </c>
      <c r="E297" s="4" t="s">
        <v>511</v>
      </c>
      <c r="F297" s="4" t="s">
        <v>173</v>
      </c>
      <c r="G297" s="5">
        <v>29008763</v>
      </c>
      <c r="H297" s="5">
        <v>23742788</v>
      </c>
      <c r="I297" s="5">
        <v>24283982</v>
      </c>
      <c r="J297" s="5" t="s">
        <v>173</v>
      </c>
      <c r="K297" s="5">
        <v>29549957</v>
      </c>
    </row>
    <row r="298" spans="1:11" x14ac:dyDescent="0.25">
      <c r="A298" s="4" t="s">
        <v>11</v>
      </c>
      <c r="B298" s="4" t="s">
        <v>442</v>
      </c>
      <c r="C298" s="4" t="s">
        <v>15</v>
      </c>
      <c r="D298" s="4">
        <v>23</v>
      </c>
      <c r="E298" s="4" t="s">
        <v>513</v>
      </c>
      <c r="F298" s="4" t="s">
        <v>173</v>
      </c>
      <c r="G298" s="5">
        <v>30980135075.75</v>
      </c>
      <c r="H298" s="5">
        <v>2177012586.6700001</v>
      </c>
      <c r="I298" s="5">
        <v>1459996602.6600001</v>
      </c>
      <c r="J298" s="5" t="s">
        <v>173</v>
      </c>
      <c r="K298" s="5">
        <v>30263119091.740002</v>
      </c>
    </row>
    <row r="299" spans="1:11" x14ac:dyDescent="0.25">
      <c r="A299" s="4" t="s">
        <v>11</v>
      </c>
      <c r="B299" s="4" t="s">
        <v>442</v>
      </c>
      <c r="C299" s="4" t="s">
        <v>18</v>
      </c>
      <c r="D299" s="4">
        <v>2317</v>
      </c>
      <c r="E299" s="4" t="s">
        <v>515</v>
      </c>
      <c r="F299" s="4" t="s">
        <v>173</v>
      </c>
      <c r="G299" s="5">
        <v>18878156707.07</v>
      </c>
      <c r="H299" s="5">
        <v>100697855</v>
      </c>
      <c r="I299" s="5">
        <v>491373972.68000001</v>
      </c>
      <c r="J299" s="5" t="s">
        <v>173</v>
      </c>
      <c r="K299" s="5">
        <v>19268832824.75</v>
      </c>
    </row>
    <row r="300" spans="1:11" x14ac:dyDescent="0.25">
      <c r="A300" s="4" t="s">
        <v>11</v>
      </c>
      <c r="B300" s="4" t="s">
        <v>442</v>
      </c>
      <c r="C300" s="4" t="s">
        <v>21</v>
      </c>
      <c r="D300" s="4">
        <v>231705</v>
      </c>
      <c r="E300" s="4" t="s">
        <v>517</v>
      </c>
      <c r="F300" s="4" t="s">
        <v>173</v>
      </c>
      <c r="G300" s="5">
        <v>4978721641.3699999</v>
      </c>
      <c r="H300" s="5">
        <v>100697855</v>
      </c>
      <c r="I300" s="5">
        <v>491373972.68000001</v>
      </c>
      <c r="J300" s="5" t="s">
        <v>173</v>
      </c>
      <c r="K300" s="5">
        <v>5369397759.0500002</v>
      </c>
    </row>
    <row r="301" spans="1:11" x14ac:dyDescent="0.25">
      <c r="A301" s="4" t="s">
        <v>11</v>
      </c>
      <c r="B301" s="4" t="s">
        <v>442</v>
      </c>
      <c r="C301" s="4" t="s">
        <v>23</v>
      </c>
      <c r="D301" s="4">
        <v>23170505</v>
      </c>
      <c r="E301" s="4" t="s">
        <v>187</v>
      </c>
      <c r="F301" s="4" t="s">
        <v>173</v>
      </c>
      <c r="G301" s="5">
        <v>4654567124.4899998</v>
      </c>
      <c r="H301" s="5">
        <v>5697855</v>
      </c>
      <c r="I301" s="5">
        <v>420257287.68000001</v>
      </c>
      <c r="J301" s="5" t="s">
        <v>173</v>
      </c>
      <c r="K301" s="5">
        <v>5069126557.1700001</v>
      </c>
    </row>
    <row r="302" spans="1:11" x14ac:dyDescent="0.25">
      <c r="A302" s="4" t="s">
        <v>11</v>
      </c>
      <c r="B302" s="4" t="s">
        <v>442</v>
      </c>
      <c r="C302" s="4" t="s">
        <v>26</v>
      </c>
      <c r="D302" s="4">
        <v>2317050510</v>
      </c>
      <c r="E302" s="4" t="s">
        <v>520</v>
      </c>
      <c r="F302" s="4" t="s">
        <v>173</v>
      </c>
      <c r="G302" s="5">
        <v>1103527690.1400001</v>
      </c>
      <c r="H302" s="5">
        <v>0</v>
      </c>
      <c r="I302" s="5">
        <v>113466181.68000001</v>
      </c>
      <c r="J302" s="5" t="s">
        <v>173</v>
      </c>
      <c r="K302" s="5">
        <v>1216993871.8199999</v>
      </c>
    </row>
    <row r="303" spans="1:11" x14ac:dyDescent="0.25">
      <c r="A303" s="4" t="s">
        <v>11</v>
      </c>
      <c r="B303" s="4" t="s">
        <v>442</v>
      </c>
      <c r="C303" s="4" t="s">
        <v>26</v>
      </c>
      <c r="D303" s="4">
        <v>2317050550</v>
      </c>
      <c r="E303" s="4" t="s">
        <v>522</v>
      </c>
      <c r="F303" s="4" t="s">
        <v>173</v>
      </c>
      <c r="G303" s="5">
        <v>3547764401.3499999</v>
      </c>
      <c r="H303" s="5">
        <v>655412</v>
      </c>
      <c r="I303" s="5">
        <v>300327706</v>
      </c>
      <c r="J303" s="5" t="s">
        <v>173</v>
      </c>
      <c r="K303" s="5">
        <v>3847436695.3499999</v>
      </c>
    </row>
    <row r="304" spans="1:11" x14ac:dyDescent="0.25">
      <c r="A304" s="4" t="s">
        <v>11</v>
      </c>
      <c r="B304" s="4" t="s">
        <v>442</v>
      </c>
      <c r="C304" s="4" t="s">
        <v>26</v>
      </c>
      <c r="D304" s="4">
        <v>2317050555</v>
      </c>
      <c r="E304" s="4" t="s">
        <v>524</v>
      </c>
      <c r="F304" s="4" t="s">
        <v>173</v>
      </c>
      <c r="G304" s="5">
        <v>43333</v>
      </c>
      <c r="H304" s="5">
        <v>43333</v>
      </c>
      <c r="I304" s="5">
        <v>0</v>
      </c>
      <c r="J304" s="5" t="s">
        <v>173</v>
      </c>
      <c r="K304" s="5">
        <v>0</v>
      </c>
    </row>
    <row r="305" spans="1:11" x14ac:dyDescent="0.25">
      <c r="A305" s="4" t="s">
        <v>11</v>
      </c>
      <c r="B305" s="4" t="s">
        <v>442</v>
      </c>
      <c r="C305" s="4" t="s">
        <v>26</v>
      </c>
      <c r="D305" s="4">
        <v>2317050560</v>
      </c>
      <c r="E305" s="4" t="s">
        <v>526</v>
      </c>
      <c r="F305" s="4" t="s">
        <v>173</v>
      </c>
      <c r="G305" s="5">
        <v>3231700</v>
      </c>
      <c r="H305" s="5">
        <v>4999110</v>
      </c>
      <c r="I305" s="5">
        <v>6463400</v>
      </c>
      <c r="J305" s="5" t="s">
        <v>173</v>
      </c>
      <c r="K305" s="5">
        <v>4695990</v>
      </c>
    </row>
    <row r="306" spans="1:11" x14ac:dyDescent="0.25">
      <c r="A306" s="4" t="s">
        <v>11</v>
      </c>
      <c r="B306" s="4" t="s">
        <v>442</v>
      </c>
      <c r="C306" s="4" t="s">
        <v>23</v>
      </c>
      <c r="D306" s="4">
        <v>23170510</v>
      </c>
      <c r="E306" s="4" t="s">
        <v>195</v>
      </c>
      <c r="F306" s="4" t="s">
        <v>173</v>
      </c>
      <c r="G306" s="5">
        <v>0</v>
      </c>
      <c r="H306" s="5">
        <v>0</v>
      </c>
      <c r="I306" s="5">
        <v>1116685</v>
      </c>
      <c r="J306" s="5" t="s">
        <v>173</v>
      </c>
      <c r="K306" s="5">
        <v>1116685</v>
      </c>
    </row>
    <row r="307" spans="1:11" x14ac:dyDescent="0.25">
      <c r="A307" s="4" t="s">
        <v>11</v>
      </c>
      <c r="B307" s="4" t="s">
        <v>442</v>
      </c>
      <c r="C307" s="4" t="s">
        <v>26</v>
      </c>
      <c r="D307" s="4">
        <v>2317051005</v>
      </c>
      <c r="E307" s="4" t="s">
        <v>197</v>
      </c>
      <c r="F307" s="4" t="s">
        <v>173</v>
      </c>
      <c r="G307" s="5">
        <v>0</v>
      </c>
      <c r="H307" s="5">
        <v>0</v>
      </c>
      <c r="I307" s="5">
        <v>1116685</v>
      </c>
      <c r="J307" s="5" t="s">
        <v>173</v>
      </c>
      <c r="K307" s="5">
        <v>1116685</v>
      </c>
    </row>
    <row r="308" spans="1:11" x14ac:dyDescent="0.25">
      <c r="A308" s="4" t="s">
        <v>11</v>
      </c>
      <c r="B308" s="4" t="s">
        <v>442</v>
      </c>
      <c r="C308" s="4" t="s">
        <v>23</v>
      </c>
      <c r="D308" s="4">
        <v>23170520</v>
      </c>
      <c r="E308" s="4" t="s">
        <v>530</v>
      </c>
      <c r="F308" s="4" t="s">
        <v>173</v>
      </c>
      <c r="G308" s="5">
        <v>322156207</v>
      </c>
      <c r="H308" s="5">
        <v>95000000</v>
      </c>
      <c r="I308" s="5">
        <v>70000000</v>
      </c>
      <c r="J308" s="5" t="s">
        <v>173</v>
      </c>
      <c r="K308" s="5">
        <v>297156207</v>
      </c>
    </row>
    <row r="309" spans="1:11" x14ac:dyDescent="0.25">
      <c r="A309" s="4" t="s">
        <v>11</v>
      </c>
      <c r="B309" s="4" t="s">
        <v>442</v>
      </c>
      <c r="C309" s="4" t="s">
        <v>26</v>
      </c>
      <c r="D309" s="4">
        <v>2317052015</v>
      </c>
      <c r="E309" s="4" t="s">
        <v>532</v>
      </c>
      <c r="F309" s="4" t="s">
        <v>173</v>
      </c>
      <c r="G309" s="5">
        <v>322156207</v>
      </c>
      <c r="H309" s="5">
        <v>95000000</v>
      </c>
      <c r="I309" s="5">
        <v>70000000</v>
      </c>
      <c r="J309" s="5" t="s">
        <v>173</v>
      </c>
      <c r="K309" s="5">
        <v>297156207</v>
      </c>
    </row>
    <row r="310" spans="1:11" x14ac:dyDescent="0.25">
      <c r="A310" s="4" t="s">
        <v>11</v>
      </c>
      <c r="B310" s="4" t="s">
        <v>442</v>
      </c>
      <c r="C310" s="4" t="s">
        <v>23</v>
      </c>
      <c r="D310" s="4">
        <v>23170530</v>
      </c>
      <c r="E310" s="4" t="s">
        <v>534</v>
      </c>
      <c r="F310" s="4" t="s">
        <v>173</v>
      </c>
      <c r="G310" s="5">
        <v>1998309.88</v>
      </c>
      <c r="H310" s="5">
        <v>0</v>
      </c>
      <c r="I310" s="5">
        <v>0</v>
      </c>
      <c r="J310" s="5" t="s">
        <v>173</v>
      </c>
      <c r="K310" s="5">
        <v>1998309.88</v>
      </c>
    </row>
    <row r="311" spans="1:11" x14ac:dyDescent="0.25">
      <c r="A311" s="4" t="s">
        <v>11</v>
      </c>
      <c r="B311" s="4" t="s">
        <v>442</v>
      </c>
      <c r="C311" s="4" t="s">
        <v>26</v>
      </c>
      <c r="D311" s="4">
        <v>2317053005</v>
      </c>
      <c r="E311" s="4" t="s">
        <v>536</v>
      </c>
      <c r="F311" s="4" t="s">
        <v>173</v>
      </c>
      <c r="G311" s="5">
        <v>1998309.88</v>
      </c>
      <c r="H311" s="5">
        <v>0</v>
      </c>
      <c r="I311" s="5">
        <v>0</v>
      </c>
      <c r="J311" s="5" t="s">
        <v>173</v>
      </c>
      <c r="K311" s="5">
        <v>1998309.88</v>
      </c>
    </row>
    <row r="312" spans="1:11" x14ac:dyDescent="0.25">
      <c r="A312" s="4" t="s">
        <v>11</v>
      </c>
      <c r="B312" s="4" t="s">
        <v>442</v>
      </c>
      <c r="C312" s="4" t="s">
        <v>21</v>
      </c>
      <c r="D312" s="4">
        <v>231730</v>
      </c>
      <c r="E312" s="4" t="s">
        <v>538</v>
      </c>
      <c r="F312" s="4" t="s">
        <v>173</v>
      </c>
      <c r="G312" s="5">
        <v>13899435065.700001</v>
      </c>
      <c r="H312" s="5">
        <v>0</v>
      </c>
      <c r="I312" s="5">
        <v>0</v>
      </c>
      <c r="J312" s="5" t="s">
        <v>173</v>
      </c>
      <c r="K312" s="5">
        <v>13899435065.700001</v>
      </c>
    </row>
    <row r="313" spans="1:11" x14ac:dyDescent="0.25">
      <c r="A313" s="4" t="s">
        <v>11</v>
      </c>
      <c r="B313" s="4" t="s">
        <v>442</v>
      </c>
      <c r="C313" s="4" t="s">
        <v>23</v>
      </c>
      <c r="D313" s="4">
        <v>23173030</v>
      </c>
      <c r="E313" s="4" t="s">
        <v>187</v>
      </c>
      <c r="F313" s="4" t="s">
        <v>173</v>
      </c>
      <c r="G313" s="5">
        <v>13899435065.700001</v>
      </c>
      <c r="H313" s="5">
        <v>0</v>
      </c>
      <c r="I313" s="5">
        <v>0</v>
      </c>
      <c r="J313" s="5" t="s">
        <v>173</v>
      </c>
      <c r="K313" s="5">
        <v>13899435065.700001</v>
      </c>
    </row>
    <row r="314" spans="1:11" x14ac:dyDescent="0.25">
      <c r="A314" s="4" t="s">
        <v>11</v>
      </c>
      <c r="B314" s="4" t="s">
        <v>442</v>
      </c>
      <c r="C314" s="4" t="s">
        <v>26</v>
      </c>
      <c r="D314" s="4">
        <v>2317303005</v>
      </c>
      <c r="E314" s="4" t="s">
        <v>541</v>
      </c>
      <c r="F314" s="4" t="s">
        <v>173</v>
      </c>
      <c r="G314" s="5">
        <v>13899435065.700001</v>
      </c>
      <c r="H314" s="5">
        <v>0</v>
      </c>
      <c r="I314" s="5">
        <v>0</v>
      </c>
      <c r="J314" s="5" t="s">
        <v>173</v>
      </c>
      <c r="K314" s="5">
        <v>13899435065.700001</v>
      </c>
    </row>
    <row r="315" spans="1:11" x14ac:dyDescent="0.25">
      <c r="A315" s="4" t="s">
        <v>11</v>
      </c>
      <c r="B315" s="4" t="s">
        <v>442</v>
      </c>
      <c r="C315" s="4" t="s">
        <v>18</v>
      </c>
      <c r="D315" s="4">
        <v>2335</v>
      </c>
      <c r="E315" s="4" t="s">
        <v>543</v>
      </c>
      <c r="F315" s="4" t="s">
        <v>173</v>
      </c>
      <c r="G315" s="5">
        <v>12101978368.68</v>
      </c>
      <c r="H315" s="5">
        <v>2076314731.6700001</v>
      </c>
      <c r="I315" s="5">
        <v>968622629.98000002</v>
      </c>
      <c r="J315" s="5" t="s">
        <v>173</v>
      </c>
      <c r="K315" s="5">
        <v>10994286266.99</v>
      </c>
    </row>
    <row r="316" spans="1:11" x14ac:dyDescent="0.25">
      <c r="A316" s="4" t="s">
        <v>11</v>
      </c>
      <c r="B316" s="4" t="s">
        <v>442</v>
      </c>
      <c r="C316" s="4" t="s">
        <v>21</v>
      </c>
      <c r="D316" s="4">
        <v>233535</v>
      </c>
      <c r="E316" s="4" t="s">
        <v>543</v>
      </c>
      <c r="F316" s="4" t="s">
        <v>173</v>
      </c>
      <c r="G316" s="5">
        <v>12101978368.68</v>
      </c>
      <c r="H316" s="5">
        <v>2076314731.6700001</v>
      </c>
      <c r="I316" s="5">
        <v>968622629.98000002</v>
      </c>
      <c r="J316" s="5" t="s">
        <v>173</v>
      </c>
      <c r="K316" s="5">
        <v>10994286266.99</v>
      </c>
    </row>
    <row r="317" spans="1:11" x14ac:dyDescent="0.25">
      <c r="A317" s="4" t="s">
        <v>11</v>
      </c>
      <c r="B317" s="4" t="s">
        <v>442</v>
      </c>
      <c r="C317" s="4" t="s">
        <v>23</v>
      </c>
      <c r="D317" s="4">
        <v>23353505</v>
      </c>
      <c r="E317" s="4" t="s">
        <v>543</v>
      </c>
      <c r="F317" s="4" t="s">
        <v>173</v>
      </c>
      <c r="G317" s="5">
        <v>487786403.06</v>
      </c>
      <c r="H317" s="5">
        <v>106690970</v>
      </c>
      <c r="I317" s="5">
        <v>139593590</v>
      </c>
      <c r="J317" s="5" t="s">
        <v>173</v>
      </c>
      <c r="K317" s="5">
        <v>520689023.06</v>
      </c>
    </row>
    <row r="318" spans="1:11" x14ac:dyDescent="0.25">
      <c r="A318" s="4" t="s">
        <v>11</v>
      </c>
      <c r="B318" s="4" t="s">
        <v>442</v>
      </c>
      <c r="C318" s="4" t="s">
        <v>26</v>
      </c>
      <c r="D318" s="4">
        <v>2335350505</v>
      </c>
      <c r="E318" s="4" t="s">
        <v>543</v>
      </c>
      <c r="F318" s="4" t="s">
        <v>173</v>
      </c>
      <c r="G318" s="5">
        <v>487786403.06</v>
      </c>
      <c r="H318" s="5">
        <v>106690970</v>
      </c>
      <c r="I318" s="5">
        <v>139593590</v>
      </c>
      <c r="J318" s="5" t="s">
        <v>173</v>
      </c>
      <c r="K318" s="5">
        <v>520689023.06</v>
      </c>
    </row>
    <row r="319" spans="1:11" x14ac:dyDescent="0.25">
      <c r="A319" s="4" t="s">
        <v>11</v>
      </c>
      <c r="B319" s="4" t="s">
        <v>442</v>
      </c>
      <c r="C319" s="4" t="s">
        <v>23</v>
      </c>
      <c r="D319" s="4">
        <v>23353510</v>
      </c>
      <c r="E319" s="4" t="s">
        <v>548</v>
      </c>
      <c r="F319" s="4" t="s">
        <v>173</v>
      </c>
      <c r="G319" s="5">
        <v>45454498</v>
      </c>
      <c r="H319" s="5">
        <v>3851458</v>
      </c>
      <c r="I319" s="5">
        <v>1000000</v>
      </c>
      <c r="J319" s="5" t="s">
        <v>173</v>
      </c>
      <c r="K319" s="5">
        <v>42603040</v>
      </c>
    </row>
    <row r="320" spans="1:11" x14ac:dyDescent="0.25">
      <c r="A320" s="4" t="s">
        <v>11</v>
      </c>
      <c r="B320" s="4" t="s">
        <v>442</v>
      </c>
      <c r="C320" s="4" t="s">
        <v>26</v>
      </c>
      <c r="D320" s="4">
        <v>2335351005</v>
      </c>
      <c r="E320" s="4" t="s">
        <v>550</v>
      </c>
      <c r="F320" s="4" t="s">
        <v>173</v>
      </c>
      <c r="G320" s="5">
        <v>45454498</v>
      </c>
      <c r="H320" s="5">
        <v>2851458</v>
      </c>
      <c r="I320" s="5">
        <v>0</v>
      </c>
      <c r="J320" s="5" t="s">
        <v>173</v>
      </c>
      <c r="K320" s="5">
        <v>42603040</v>
      </c>
    </row>
    <row r="321" spans="1:11" x14ac:dyDescent="0.25">
      <c r="A321" s="4" t="s">
        <v>11</v>
      </c>
      <c r="B321" s="4" t="s">
        <v>442</v>
      </c>
      <c r="C321" s="4" t="s">
        <v>26</v>
      </c>
      <c r="D321" s="4">
        <v>2335351010</v>
      </c>
      <c r="E321" s="4" t="s">
        <v>552</v>
      </c>
      <c r="F321" s="4" t="s">
        <v>173</v>
      </c>
      <c r="G321" s="5">
        <v>0</v>
      </c>
      <c r="H321" s="5">
        <v>1000000</v>
      </c>
      <c r="I321" s="5">
        <v>1000000</v>
      </c>
      <c r="J321" s="5" t="s">
        <v>173</v>
      </c>
      <c r="K321" s="5">
        <v>0</v>
      </c>
    </row>
    <row r="322" spans="1:11" x14ac:dyDescent="0.25">
      <c r="A322" s="4" t="s">
        <v>11</v>
      </c>
      <c r="B322" s="4" t="s">
        <v>442</v>
      </c>
      <c r="C322" s="4" t="s">
        <v>23</v>
      </c>
      <c r="D322" s="4">
        <v>23353515</v>
      </c>
      <c r="E322" s="4" t="s">
        <v>554</v>
      </c>
      <c r="F322" s="4" t="s">
        <v>173</v>
      </c>
      <c r="G322" s="5">
        <v>7721997417.5</v>
      </c>
      <c r="H322" s="5">
        <v>723696436</v>
      </c>
      <c r="I322" s="5">
        <v>180060215</v>
      </c>
      <c r="J322" s="5" t="s">
        <v>173</v>
      </c>
      <c r="K322" s="5">
        <v>7178361196.5</v>
      </c>
    </row>
    <row r="323" spans="1:11" x14ac:dyDescent="0.25">
      <c r="A323" s="4" t="s">
        <v>11</v>
      </c>
      <c r="B323" s="4" t="s">
        <v>442</v>
      </c>
      <c r="C323" s="4" t="s">
        <v>26</v>
      </c>
      <c r="D323" s="4">
        <v>2335351505</v>
      </c>
      <c r="E323" s="4" t="s">
        <v>554</v>
      </c>
      <c r="F323" s="4" t="s">
        <v>173</v>
      </c>
      <c r="G323" s="5">
        <v>6279260716.5</v>
      </c>
      <c r="H323" s="5">
        <v>713242941</v>
      </c>
      <c r="I323" s="5">
        <v>178119438</v>
      </c>
      <c r="J323" s="5" t="s">
        <v>173</v>
      </c>
      <c r="K323" s="5">
        <v>5744137213.5</v>
      </c>
    </row>
    <row r="324" spans="1:11" x14ac:dyDescent="0.25">
      <c r="A324" s="4" t="s">
        <v>11</v>
      </c>
      <c r="B324" s="4" t="s">
        <v>442</v>
      </c>
      <c r="C324" s="4" t="s">
        <v>26</v>
      </c>
      <c r="D324" s="4">
        <v>2335351510</v>
      </c>
      <c r="E324" s="4" t="s">
        <v>557</v>
      </c>
      <c r="F324" s="4" t="s">
        <v>173</v>
      </c>
      <c r="G324" s="5">
        <v>1442736701</v>
      </c>
      <c r="H324" s="5">
        <v>10453495</v>
      </c>
      <c r="I324" s="5">
        <v>1940777</v>
      </c>
      <c r="J324" s="5" t="s">
        <v>173</v>
      </c>
      <c r="K324" s="5">
        <v>1434223983</v>
      </c>
    </row>
    <row r="325" spans="1:11" x14ac:dyDescent="0.25">
      <c r="A325" s="4" t="s">
        <v>11</v>
      </c>
      <c r="B325" s="4" t="s">
        <v>442</v>
      </c>
      <c r="C325" s="4" t="s">
        <v>23</v>
      </c>
      <c r="D325" s="4">
        <v>23353520</v>
      </c>
      <c r="E325" s="4" t="s">
        <v>543</v>
      </c>
      <c r="F325" s="4" t="s">
        <v>173</v>
      </c>
      <c r="G325" s="5">
        <v>3007296206.3099999</v>
      </c>
      <c r="H325" s="5">
        <v>838813016.32000005</v>
      </c>
      <c r="I325" s="5">
        <v>370449190.92000002</v>
      </c>
      <c r="J325" s="5" t="s">
        <v>173</v>
      </c>
      <c r="K325" s="5">
        <v>2538932380.9099998</v>
      </c>
    </row>
    <row r="326" spans="1:11" x14ac:dyDescent="0.25">
      <c r="A326" s="4" t="s">
        <v>11</v>
      </c>
      <c r="B326" s="4" t="s">
        <v>442</v>
      </c>
      <c r="C326" s="4" t="s">
        <v>26</v>
      </c>
      <c r="D326" s="4">
        <v>2335352005</v>
      </c>
      <c r="E326" s="4" t="s">
        <v>560</v>
      </c>
      <c r="F326" s="4" t="s">
        <v>173</v>
      </c>
      <c r="G326" s="5">
        <v>492965024.19</v>
      </c>
      <c r="H326" s="5">
        <v>104410033</v>
      </c>
      <c r="I326" s="5">
        <v>7347589</v>
      </c>
      <c r="J326" s="5" t="s">
        <v>173</v>
      </c>
      <c r="K326" s="5">
        <v>395902580.19</v>
      </c>
    </row>
    <row r="327" spans="1:11" x14ac:dyDescent="0.25">
      <c r="A327" s="4" t="s">
        <v>11</v>
      </c>
      <c r="B327" s="4" t="s">
        <v>442</v>
      </c>
      <c r="C327" s="4" t="s">
        <v>26</v>
      </c>
      <c r="D327" s="4">
        <v>2335352010</v>
      </c>
      <c r="E327" s="4" t="s">
        <v>562</v>
      </c>
      <c r="F327" s="4" t="s">
        <v>173</v>
      </c>
      <c r="G327" s="5">
        <v>1520235</v>
      </c>
      <c r="H327" s="5">
        <v>0</v>
      </c>
      <c r="I327" s="5">
        <v>0</v>
      </c>
      <c r="J327" s="5" t="s">
        <v>173</v>
      </c>
      <c r="K327" s="5">
        <v>1520235</v>
      </c>
    </row>
    <row r="328" spans="1:11" x14ac:dyDescent="0.25">
      <c r="A328" s="4" t="s">
        <v>11</v>
      </c>
      <c r="B328" s="4" t="s">
        <v>442</v>
      </c>
      <c r="C328" s="4" t="s">
        <v>26</v>
      </c>
      <c r="D328" s="4">
        <v>2335352015</v>
      </c>
      <c r="E328" s="4" t="s">
        <v>227</v>
      </c>
      <c r="F328" s="4" t="s">
        <v>173</v>
      </c>
      <c r="G328" s="5">
        <v>165096965</v>
      </c>
      <c r="H328" s="5">
        <v>58436410</v>
      </c>
      <c r="I328" s="5">
        <v>23947349</v>
      </c>
      <c r="J328" s="5" t="s">
        <v>173</v>
      </c>
      <c r="K328" s="5">
        <v>130607904</v>
      </c>
    </row>
    <row r="329" spans="1:11" x14ac:dyDescent="0.25">
      <c r="A329" s="4" t="s">
        <v>11</v>
      </c>
      <c r="B329" s="4" t="s">
        <v>442</v>
      </c>
      <c r="C329" s="4" t="s">
        <v>26</v>
      </c>
      <c r="D329" s="4">
        <v>2335352020</v>
      </c>
      <c r="E329" s="4" t="s">
        <v>437</v>
      </c>
      <c r="F329" s="4" t="s">
        <v>173</v>
      </c>
      <c r="G329" s="5">
        <v>965890</v>
      </c>
      <c r="H329" s="5">
        <v>182437</v>
      </c>
      <c r="I329" s="5">
        <v>182437</v>
      </c>
      <c r="J329" s="5" t="s">
        <v>173</v>
      </c>
      <c r="K329" s="5">
        <v>965890</v>
      </c>
    </row>
    <row r="330" spans="1:11" x14ac:dyDescent="0.25">
      <c r="A330" s="4" t="s">
        <v>11</v>
      </c>
      <c r="B330" s="4" t="s">
        <v>442</v>
      </c>
      <c r="C330" s="4" t="s">
        <v>26</v>
      </c>
      <c r="D330" s="4">
        <v>2335352025</v>
      </c>
      <c r="E330" s="4" t="s">
        <v>566</v>
      </c>
      <c r="F330" s="4" t="s">
        <v>173</v>
      </c>
      <c r="G330" s="5">
        <v>5254611</v>
      </c>
      <c r="H330" s="5">
        <v>89454651</v>
      </c>
      <c r="I330" s="5">
        <v>84204070</v>
      </c>
      <c r="J330" s="5" t="s">
        <v>173</v>
      </c>
      <c r="K330" s="5">
        <v>4030</v>
      </c>
    </row>
    <row r="331" spans="1:11" x14ac:dyDescent="0.25">
      <c r="A331" s="4" t="s">
        <v>11</v>
      </c>
      <c r="B331" s="4" t="s">
        <v>442</v>
      </c>
      <c r="C331" s="4" t="s">
        <v>26</v>
      </c>
      <c r="D331" s="4">
        <v>2335352030</v>
      </c>
      <c r="E331" s="4" t="s">
        <v>568</v>
      </c>
      <c r="F331" s="4" t="s">
        <v>173</v>
      </c>
      <c r="G331" s="5">
        <v>440568654.62</v>
      </c>
      <c r="H331" s="5">
        <v>130357649.31999999</v>
      </c>
      <c r="I331" s="5">
        <v>52259700.920000002</v>
      </c>
      <c r="J331" s="5" t="s">
        <v>173</v>
      </c>
      <c r="K331" s="5">
        <v>362470706.22000003</v>
      </c>
    </row>
    <row r="332" spans="1:11" x14ac:dyDescent="0.25">
      <c r="A332" s="4" t="s">
        <v>11</v>
      </c>
      <c r="B332" s="4" t="s">
        <v>442</v>
      </c>
      <c r="C332" s="4" t="s">
        <v>26</v>
      </c>
      <c r="D332" s="4">
        <v>2335352035</v>
      </c>
      <c r="E332" s="4" t="s">
        <v>570</v>
      </c>
      <c r="F332" s="4" t="s">
        <v>173</v>
      </c>
      <c r="G332" s="5">
        <v>31687435</v>
      </c>
      <c r="H332" s="5">
        <v>0</v>
      </c>
      <c r="I332" s="5">
        <v>0</v>
      </c>
      <c r="J332" s="5" t="s">
        <v>173</v>
      </c>
      <c r="K332" s="5">
        <v>31687435</v>
      </c>
    </row>
    <row r="333" spans="1:11" x14ac:dyDescent="0.25">
      <c r="A333" s="4" t="s">
        <v>11</v>
      </c>
      <c r="B333" s="4" t="s">
        <v>442</v>
      </c>
      <c r="C333" s="4" t="s">
        <v>26</v>
      </c>
      <c r="D333" s="4">
        <v>2335352040</v>
      </c>
      <c r="E333" s="4" t="s">
        <v>572</v>
      </c>
      <c r="F333" s="4" t="s">
        <v>173</v>
      </c>
      <c r="G333" s="5">
        <v>1869237391.5</v>
      </c>
      <c r="H333" s="5">
        <v>455971836</v>
      </c>
      <c r="I333" s="5">
        <v>202508045</v>
      </c>
      <c r="J333" s="5" t="s">
        <v>173</v>
      </c>
      <c r="K333" s="5">
        <v>1615773600.5</v>
      </c>
    </row>
    <row r="334" spans="1:11" x14ac:dyDescent="0.25">
      <c r="A334" s="4" t="s">
        <v>11</v>
      </c>
      <c r="B334" s="4" t="s">
        <v>442</v>
      </c>
      <c r="C334" s="4" t="s">
        <v>23</v>
      </c>
      <c r="D334" s="4">
        <v>23353580</v>
      </c>
      <c r="E334" s="4" t="s">
        <v>574</v>
      </c>
      <c r="F334" s="4" t="s">
        <v>173</v>
      </c>
      <c r="G334" s="5">
        <v>839443843.80999994</v>
      </c>
      <c r="H334" s="5">
        <v>403262851.35000002</v>
      </c>
      <c r="I334" s="5">
        <v>277519634.06</v>
      </c>
      <c r="J334" s="5" t="s">
        <v>173</v>
      </c>
      <c r="K334" s="5">
        <v>713700626.51999998</v>
      </c>
    </row>
    <row r="335" spans="1:11" x14ac:dyDescent="0.25">
      <c r="A335" s="4" t="s">
        <v>11</v>
      </c>
      <c r="B335" s="4" t="s">
        <v>442</v>
      </c>
      <c r="C335" s="4" t="s">
        <v>26</v>
      </c>
      <c r="D335" s="4">
        <v>2335358005</v>
      </c>
      <c r="E335" s="4" t="s">
        <v>576</v>
      </c>
      <c r="F335" s="4" t="s">
        <v>173</v>
      </c>
      <c r="G335" s="5">
        <v>262590937.81</v>
      </c>
      <c r="H335" s="5">
        <v>286897891.35000002</v>
      </c>
      <c r="I335" s="5">
        <v>247475101.06</v>
      </c>
      <c r="J335" s="5" t="s">
        <v>173</v>
      </c>
      <c r="K335" s="5">
        <v>223168147.52000001</v>
      </c>
    </row>
    <row r="336" spans="1:11" x14ac:dyDescent="0.25">
      <c r="A336" s="4" t="s">
        <v>11</v>
      </c>
      <c r="B336" s="4" t="s">
        <v>442</v>
      </c>
      <c r="C336" s="4" t="s">
        <v>26</v>
      </c>
      <c r="D336" s="4">
        <v>2335358010</v>
      </c>
      <c r="E336" s="4" t="s">
        <v>578</v>
      </c>
      <c r="F336" s="4" t="s">
        <v>173</v>
      </c>
      <c r="G336" s="5">
        <v>15674501</v>
      </c>
      <c r="H336" s="5">
        <v>2448096</v>
      </c>
      <c r="I336" s="5">
        <v>11058389</v>
      </c>
      <c r="J336" s="5" t="s">
        <v>173</v>
      </c>
      <c r="K336" s="5">
        <v>24284794</v>
      </c>
    </row>
    <row r="337" spans="1:11" x14ac:dyDescent="0.25">
      <c r="A337" s="4" t="s">
        <v>11</v>
      </c>
      <c r="B337" s="4" t="s">
        <v>442</v>
      </c>
      <c r="C337" s="4" t="s">
        <v>26</v>
      </c>
      <c r="D337" s="4">
        <v>2335358015</v>
      </c>
      <c r="E337" s="4" t="s">
        <v>554</v>
      </c>
      <c r="F337" s="4" t="s">
        <v>173</v>
      </c>
      <c r="G337" s="5">
        <v>284669052</v>
      </c>
      <c r="H337" s="5">
        <v>0</v>
      </c>
      <c r="I337" s="5">
        <v>0</v>
      </c>
      <c r="J337" s="5" t="s">
        <v>173</v>
      </c>
      <c r="K337" s="5">
        <v>284669052</v>
      </c>
    </row>
    <row r="338" spans="1:11" x14ac:dyDescent="0.25">
      <c r="A338" s="4" t="s">
        <v>11</v>
      </c>
      <c r="B338" s="4" t="s">
        <v>442</v>
      </c>
      <c r="C338" s="4" t="s">
        <v>26</v>
      </c>
      <c r="D338" s="4">
        <v>2335358020</v>
      </c>
      <c r="E338" s="4" t="s">
        <v>581</v>
      </c>
      <c r="F338" s="4" t="s">
        <v>173</v>
      </c>
      <c r="G338" s="5">
        <v>276509353</v>
      </c>
      <c r="H338" s="5">
        <v>113916864</v>
      </c>
      <c r="I338" s="5">
        <v>18986144</v>
      </c>
      <c r="J338" s="5" t="s">
        <v>173</v>
      </c>
      <c r="K338" s="5">
        <v>181578633</v>
      </c>
    </row>
    <row r="339" spans="1:11" x14ac:dyDescent="0.25">
      <c r="A339" s="4" t="s">
        <v>11</v>
      </c>
      <c r="B339" s="4" t="s">
        <v>442</v>
      </c>
      <c r="C339" s="4" t="s">
        <v>15</v>
      </c>
      <c r="D339" s="4">
        <v>24</v>
      </c>
      <c r="E339" s="4" t="s">
        <v>583</v>
      </c>
      <c r="F339" s="4" t="s">
        <v>173</v>
      </c>
      <c r="G339" s="5">
        <v>141762263.71000001</v>
      </c>
      <c r="H339" s="5">
        <v>113826280.68000001</v>
      </c>
      <c r="I339" s="5">
        <v>27698477.16</v>
      </c>
      <c r="J339" s="5" t="s">
        <v>173</v>
      </c>
      <c r="K339" s="5">
        <v>55634460.189999998</v>
      </c>
    </row>
    <row r="340" spans="1:11" x14ac:dyDescent="0.25">
      <c r="A340" s="4" t="s">
        <v>11</v>
      </c>
      <c r="B340" s="4" t="s">
        <v>442</v>
      </c>
      <c r="C340" s="4" t="s">
        <v>18</v>
      </c>
      <c r="D340" s="4">
        <v>2408</v>
      </c>
      <c r="E340" s="4" t="s">
        <v>585</v>
      </c>
      <c r="F340" s="4" t="s">
        <v>173</v>
      </c>
      <c r="G340" s="5">
        <v>932286.93</v>
      </c>
      <c r="H340" s="5">
        <v>932286.68</v>
      </c>
      <c r="I340" s="5">
        <v>6035.16</v>
      </c>
      <c r="J340" s="5" t="s">
        <v>173</v>
      </c>
      <c r="K340" s="5">
        <v>6035.41</v>
      </c>
    </row>
    <row r="341" spans="1:11" x14ac:dyDescent="0.25">
      <c r="A341" s="4" t="s">
        <v>11</v>
      </c>
      <c r="B341" s="4" t="s">
        <v>442</v>
      </c>
      <c r="C341" s="4" t="s">
        <v>21</v>
      </c>
      <c r="D341" s="4">
        <v>240808</v>
      </c>
      <c r="E341" s="4" t="s">
        <v>585</v>
      </c>
      <c r="F341" s="4" t="s">
        <v>173</v>
      </c>
      <c r="G341" s="5">
        <v>932286.93</v>
      </c>
      <c r="H341" s="5">
        <v>932286.68</v>
      </c>
      <c r="I341" s="5">
        <v>6035.16</v>
      </c>
      <c r="J341" s="5" t="s">
        <v>173</v>
      </c>
      <c r="K341" s="5">
        <v>6035.41</v>
      </c>
    </row>
    <row r="342" spans="1:11" x14ac:dyDescent="0.25">
      <c r="A342" s="4" t="s">
        <v>11</v>
      </c>
      <c r="B342" s="4" t="s">
        <v>442</v>
      </c>
      <c r="C342" s="4" t="s">
        <v>23</v>
      </c>
      <c r="D342" s="4">
        <v>24080805</v>
      </c>
      <c r="E342" s="4" t="s">
        <v>588</v>
      </c>
      <c r="F342" s="4" t="s">
        <v>173</v>
      </c>
      <c r="G342" s="5">
        <v>932286.68</v>
      </c>
      <c r="H342" s="5">
        <v>932286.68</v>
      </c>
      <c r="I342" s="5">
        <v>6035.16</v>
      </c>
      <c r="J342" s="5" t="s">
        <v>173</v>
      </c>
      <c r="K342" s="5">
        <v>6035.16</v>
      </c>
    </row>
    <row r="343" spans="1:11" x14ac:dyDescent="0.25">
      <c r="A343" s="4" t="s">
        <v>11</v>
      </c>
      <c r="B343" s="4" t="s">
        <v>442</v>
      </c>
      <c r="C343" s="4" t="s">
        <v>26</v>
      </c>
      <c r="D343" s="4">
        <v>2408080510</v>
      </c>
      <c r="E343" s="4" t="s">
        <v>590</v>
      </c>
      <c r="F343" s="4" t="s">
        <v>173</v>
      </c>
      <c r="G343" s="5">
        <v>932286.68</v>
      </c>
      <c r="H343" s="5">
        <v>932286.68</v>
      </c>
      <c r="I343" s="5">
        <v>6035.16</v>
      </c>
      <c r="J343" s="5" t="s">
        <v>173</v>
      </c>
      <c r="K343" s="5">
        <v>6035.16</v>
      </c>
    </row>
    <row r="344" spans="1:11" x14ac:dyDescent="0.25">
      <c r="A344" s="4" t="s">
        <v>11</v>
      </c>
      <c r="B344" s="4" t="s">
        <v>442</v>
      </c>
      <c r="C344" s="4" t="s">
        <v>23</v>
      </c>
      <c r="D344" s="4">
        <v>24080810</v>
      </c>
      <c r="E344" s="4" t="s">
        <v>592</v>
      </c>
      <c r="F344" s="4" t="s">
        <v>173</v>
      </c>
      <c r="G344" s="5">
        <v>0.25</v>
      </c>
      <c r="H344" s="5">
        <v>0</v>
      </c>
      <c r="I344" s="5">
        <v>0</v>
      </c>
      <c r="J344" s="5" t="s">
        <v>173</v>
      </c>
      <c r="K344" s="5">
        <v>0.25</v>
      </c>
    </row>
    <row r="345" spans="1:11" x14ac:dyDescent="0.25">
      <c r="A345" s="4" t="s">
        <v>11</v>
      </c>
      <c r="B345" s="4" t="s">
        <v>442</v>
      </c>
      <c r="C345" s="4" t="s">
        <v>26</v>
      </c>
      <c r="D345" s="4">
        <v>2408081010</v>
      </c>
      <c r="E345" s="4" t="s">
        <v>594</v>
      </c>
      <c r="F345" s="4" t="s">
        <v>173</v>
      </c>
      <c r="G345" s="5">
        <v>0.25</v>
      </c>
      <c r="H345" s="5">
        <v>0</v>
      </c>
      <c r="I345" s="5">
        <v>0</v>
      </c>
      <c r="J345" s="5" t="s">
        <v>173</v>
      </c>
      <c r="K345" s="5">
        <v>0.25</v>
      </c>
    </row>
    <row r="346" spans="1:11" x14ac:dyDescent="0.25">
      <c r="A346" s="4" t="s">
        <v>11</v>
      </c>
      <c r="B346" s="4" t="s">
        <v>442</v>
      </c>
      <c r="C346" s="4" t="s">
        <v>18</v>
      </c>
      <c r="D346" s="4">
        <v>2412</v>
      </c>
      <c r="E346" s="4" t="s">
        <v>596</v>
      </c>
      <c r="F346" s="4" t="s">
        <v>173</v>
      </c>
      <c r="G346" s="5">
        <v>28296080.870000001</v>
      </c>
      <c r="H346" s="5">
        <v>0</v>
      </c>
      <c r="I346" s="5">
        <v>0</v>
      </c>
      <c r="J346" s="5" t="s">
        <v>173</v>
      </c>
      <c r="K346" s="5">
        <v>28296080.870000001</v>
      </c>
    </row>
    <row r="347" spans="1:11" x14ac:dyDescent="0.25">
      <c r="A347" s="4" t="s">
        <v>11</v>
      </c>
      <c r="B347" s="4" t="s">
        <v>442</v>
      </c>
      <c r="C347" s="4" t="s">
        <v>21</v>
      </c>
      <c r="D347" s="4">
        <v>241212</v>
      </c>
      <c r="E347" s="4" t="s">
        <v>596</v>
      </c>
      <c r="F347" s="4" t="s">
        <v>173</v>
      </c>
      <c r="G347" s="5">
        <v>28296080.870000001</v>
      </c>
      <c r="H347" s="5">
        <v>0</v>
      </c>
      <c r="I347" s="5">
        <v>0</v>
      </c>
      <c r="J347" s="5" t="s">
        <v>173</v>
      </c>
      <c r="K347" s="5">
        <v>28296080.870000001</v>
      </c>
    </row>
    <row r="348" spans="1:11" x14ac:dyDescent="0.25">
      <c r="A348" s="4" t="s">
        <v>11</v>
      </c>
      <c r="B348" s="4" t="s">
        <v>442</v>
      </c>
      <c r="C348" s="4" t="s">
        <v>23</v>
      </c>
      <c r="D348" s="4">
        <v>24121205</v>
      </c>
      <c r="E348" s="4" t="s">
        <v>599</v>
      </c>
      <c r="F348" s="4" t="s">
        <v>173</v>
      </c>
      <c r="G348" s="5">
        <v>28296080.870000001</v>
      </c>
      <c r="H348" s="5">
        <v>0</v>
      </c>
      <c r="I348" s="5">
        <v>0</v>
      </c>
      <c r="J348" s="5" t="s">
        <v>173</v>
      </c>
      <c r="K348" s="5">
        <v>28296080.870000001</v>
      </c>
    </row>
    <row r="349" spans="1:11" x14ac:dyDescent="0.25">
      <c r="A349" s="4" t="s">
        <v>11</v>
      </c>
      <c r="B349" s="4" t="s">
        <v>442</v>
      </c>
      <c r="C349" s="4" t="s">
        <v>26</v>
      </c>
      <c r="D349" s="4">
        <v>2412120505</v>
      </c>
      <c r="E349" s="4" t="s">
        <v>599</v>
      </c>
      <c r="F349" s="4" t="s">
        <v>173</v>
      </c>
      <c r="G349" s="5">
        <v>28296080.870000001</v>
      </c>
      <c r="H349" s="5">
        <v>0</v>
      </c>
      <c r="I349" s="5">
        <v>0</v>
      </c>
      <c r="J349" s="5" t="s">
        <v>173</v>
      </c>
      <c r="K349" s="5">
        <v>28296080.870000001</v>
      </c>
    </row>
    <row r="350" spans="1:11" x14ac:dyDescent="0.25">
      <c r="A350" s="4" t="s">
        <v>11</v>
      </c>
      <c r="B350" s="4" t="s">
        <v>442</v>
      </c>
      <c r="C350" s="4" t="s">
        <v>18</v>
      </c>
      <c r="D350" s="4">
        <v>2465</v>
      </c>
      <c r="E350" s="4" t="s">
        <v>602</v>
      </c>
      <c r="F350" s="4" t="s">
        <v>173</v>
      </c>
      <c r="G350" s="5">
        <v>103560058.2</v>
      </c>
      <c r="H350" s="5">
        <v>103903995</v>
      </c>
      <c r="I350" s="5">
        <v>24941713</v>
      </c>
      <c r="J350" s="5" t="s">
        <v>173</v>
      </c>
      <c r="K350" s="5">
        <v>24597776.199999999</v>
      </c>
    </row>
    <row r="351" spans="1:11" x14ac:dyDescent="0.25">
      <c r="A351" s="4" t="s">
        <v>11</v>
      </c>
      <c r="B351" s="4" t="s">
        <v>442</v>
      </c>
      <c r="C351" s="4" t="s">
        <v>21</v>
      </c>
      <c r="D351" s="4">
        <v>246565</v>
      </c>
      <c r="E351" s="4" t="s">
        <v>602</v>
      </c>
      <c r="F351" s="4" t="s">
        <v>173</v>
      </c>
      <c r="G351" s="5">
        <v>103560058.2</v>
      </c>
      <c r="H351" s="5">
        <v>103903995</v>
      </c>
      <c r="I351" s="5">
        <v>24941713</v>
      </c>
      <c r="J351" s="5" t="s">
        <v>173</v>
      </c>
      <c r="K351" s="5">
        <v>24597776.199999999</v>
      </c>
    </row>
    <row r="352" spans="1:11" x14ac:dyDescent="0.25">
      <c r="A352" s="4" t="s">
        <v>11</v>
      </c>
      <c r="B352" s="4" t="s">
        <v>442</v>
      </c>
      <c r="C352" s="4" t="s">
        <v>23</v>
      </c>
      <c r="D352" s="4">
        <v>24656505</v>
      </c>
      <c r="E352" s="4" t="s">
        <v>605</v>
      </c>
      <c r="F352" s="4" t="s">
        <v>173</v>
      </c>
      <c r="G352" s="5">
        <v>58774000.020000003</v>
      </c>
      <c r="H352" s="5">
        <v>58774000</v>
      </c>
      <c r="I352" s="5">
        <v>0</v>
      </c>
      <c r="J352" s="5" t="s">
        <v>173</v>
      </c>
      <c r="K352" s="5">
        <v>0.02</v>
      </c>
    </row>
    <row r="353" spans="1:11" x14ac:dyDescent="0.25">
      <c r="A353" s="4" t="s">
        <v>11</v>
      </c>
      <c r="B353" s="4" t="s">
        <v>442</v>
      </c>
      <c r="C353" s="4" t="s">
        <v>26</v>
      </c>
      <c r="D353" s="4">
        <v>2465650505</v>
      </c>
      <c r="E353" s="4" t="s">
        <v>605</v>
      </c>
      <c r="F353" s="4" t="s">
        <v>173</v>
      </c>
      <c r="G353" s="5">
        <v>58774000.020000003</v>
      </c>
      <c r="H353" s="5">
        <v>58774000</v>
      </c>
      <c r="I353" s="5">
        <v>0</v>
      </c>
      <c r="J353" s="5" t="s">
        <v>173</v>
      </c>
      <c r="K353" s="5">
        <v>0.02</v>
      </c>
    </row>
    <row r="354" spans="1:11" x14ac:dyDescent="0.25">
      <c r="A354" s="4" t="s">
        <v>11</v>
      </c>
      <c r="B354" s="4" t="s">
        <v>442</v>
      </c>
      <c r="C354" s="4" t="s">
        <v>23</v>
      </c>
      <c r="D354" s="4">
        <v>24656515</v>
      </c>
      <c r="E354" s="4" t="s">
        <v>548</v>
      </c>
      <c r="F354" s="4" t="s">
        <v>173</v>
      </c>
      <c r="G354" s="5">
        <v>26410303.899999999</v>
      </c>
      <c r="H354" s="5">
        <v>26410304</v>
      </c>
      <c r="I354" s="5">
        <v>9518656</v>
      </c>
      <c r="J354" s="5" t="s">
        <v>173</v>
      </c>
      <c r="K354" s="5">
        <v>9518655.9000000004</v>
      </c>
    </row>
    <row r="355" spans="1:11" x14ac:dyDescent="0.25">
      <c r="A355" s="4" t="s">
        <v>11</v>
      </c>
      <c r="B355" s="4" t="s">
        <v>442</v>
      </c>
      <c r="C355" s="4" t="s">
        <v>26</v>
      </c>
      <c r="D355" s="4">
        <v>2465651510</v>
      </c>
      <c r="E355" s="4" t="s">
        <v>609</v>
      </c>
      <c r="F355" s="4" t="s">
        <v>173</v>
      </c>
      <c r="G355" s="5">
        <v>200000</v>
      </c>
      <c r="H355" s="5">
        <v>200000</v>
      </c>
      <c r="I355" s="5">
        <v>112317</v>
      </c>
      <c r="J355" s="5" t="s">
        <v>173</v>
      </c>
      <c r="K355" s="5">
        <v>112317</v>
      </c>
    </row>
    <row r="356" spans="1:11" x14ac:dyDescent="0.25">
      <c r="A356" s="4" t="s">
        <v>11</v>
      </c>
      <c r="B356" s="4" t="s">
        <v>442</v>
      </c>
      <c r="C356" s="4" t="s">
        <v>26</v>
      </c>
      <c r="D356" s="4">
        <v>2465651515</v>
      </c>
      <c r="E356" s="4" t="s">
        <v>611</v>
      </c>
      <c r="F356" s="4" t="s">
        <v>173</v>
      </c>
      <c r="G356" s="5">
        <v>25693955</v>
      </c>
      <c r="H356" s="5">
        <v>25693955</v>
      </c>
      <c r="I356" s="5">
        <v>8889991</v>
      </c>
      <c r="J356" s="5" t="s">
        <v>173</v>
      </c>
      <c r="K356" s="5">
        <v>8889991</v>
      </c>
    </row>
    <row r="357" spans="1:11" x14ac:dyDescent="0.25">
      <c r="A357" s="4" t="s">
        <v>11</v>
      </c>
      <c r="B357" s="4" t="s">
        <v>442</v>
      </c>
      <c r="C357" s="4" t="s">
        <v>26</v>
      </c>
      <c r="D357" s="4">
        <v>2465651520</v>
      </c>
      <c r="E357" s="4" t="s">
        <v>613</v>
      </c>
      <c r="F357" s="4" t="s">
        <v>14</v>
      </c>
      <c r="G357" s="5">
        <v>-0.1</v>
      </c>
      <c r="H357" s="5">
        <v>0</v>
      </c>
      <c r="I357" s="5">
        <v>0</v>
      </c>
      <c r="J357" s="5" t="s">
        <v>14</v>
      </c>
      <c r="K357" s="5">
        <v>-0.1</v>
      </c>
    </row>
    <row r="358" spans="1:11" x14ac:dyDescent="0.25">
      <c r="A358" s="4" t="s">
        <v>11</v>
      </c>
      <c r="B358" s="4" t="s">
        <v>442</v>
      </c>
      <c r="C358" s="4" t="s">
        <v>26</v>
      </c>
      <c r="D358" s="4">
        <v>2465651525</v>
      </c>
      <c r="E358" s="4" t="s">
        <v>615</v>
      </c>
      <c r="F358" s="4" t="s">
        <v>173</v>
      </c>
      <c r="G358" s="5">
        <v>516349</v>
      </c>
      <c r="H358" s="5">
        <v>516349</v>
      </c>
      <c r="I358" s="5">
        <v>516348</v>
      </c>
      <c r="J358" s="5" t="s">
        <v>173</v>
      </c>
      <c r="K358" s="5">
        <v>516348</v>
      </c>
    </row>
    <row r="359" spans="1:11" x14ac:dyDescent="0.25">
      <c r="A359" s="4" t="s">
        <v>11</v>
      </c>
      <c r="B359" s="4" t="s">
        <v>442</v>
      </c>
      <c r="C359" s="4" t="s">
        <v>23</v>
      </c>
      <c r="D359" s="4">
        <v>24656525</v>
      </c>
      <c r="E359" s="4" t="s">
        <v>617</v>
      </c>
      <c r="F359" s="4" t="s">
        <v>173</v>
      </c>
      <c r="G359" s="5">
        <v>3185259</v>
      </c>
      <c r="H359" s="5">
        <v>3185259</v>
      </c>
      <c r="I359" s="5">
        <v>2207996</v>
      </c>
      <c r="J359" s="5" t="s">
        <v>173</v>
      </c>
      <c r="K359" s="5">
        <v>2207996</v>
      </c>
    </row>
    <row r="360" spans="1:11" x14ac:dyDescent="0.25">
      <c r="A360" s="4" t="s">
        <v>11</v>
      </c>
      <c r="B360" s="4" t="s">
        <v>442</v>
      </c>
      <c r="C360" s="4" t="s">
        <v>26</v>
      </c>
      <c r="D360" s="4">
        <v>2465652505</v>
      </c>
      <c r="E360" s="4" t="s">
        <v>619</v>
      </c>
      <c r="F360" s="4" t="s">
        <v>173</v>
      </c>
      <c r="G360" s="5">
        <v>17205</v>
      </c>
      <c r="H360" s="5">
        <v>17205</v>
      </c>
      <c r="I360" s="5">
        <v>16275</v>
      </c>
      <c r="J360" s="5" t="s">
        <v>173</v>
      </c>
      <c r="K360" s="5">
        <v>16275</v>
      </c>
    </row>
    <row r="361" spans="1:11" x14ac:dyDescent="0.25">
      <c r="A361" s="4" t="s">
        <v>11</v>
      </c>
      <c r="B361" s="4" t="s">
        <v>442</v>
      </c>
      <c r="C361" s="4" t="s">
        <v>26</v>
      </c>
      <c r="D361" s="4">
        <v>2465652510</v>
      </c>
      <c r="E361" s="4" t="s">
        <v>621</v>
      </c>
      <c r="F361" s="4" t="s">
        <v>173</v>
      </c>
      <c r="G361" s="5">
        <v>687360</v>
      </c>
      <c r="H361" s="5">
        <v>687360</v>
      </c>
      <c r="I361" s="5">
        <v>254997</v>
      </c>
      <c r="J361" s="5" t="s">
        <v>173</v>
      </c>
      <c r="K361" s="5">
        <v>254997</v>
      </c>
    </row>
    <row r="362" spans="1:11" x14ac:dyDescent="0.25">
      <c r="A362" s="4" t="s">
        <v>11</v>
      </c>
      <c r="B362" s="4" t="s">
        <v>442</v>
      </c>
      <c r="C362" s="4" t="s">
        <v>26</v>
      </c>
      <c r="D362" s="4">
        <v>2465652520</v>
      </c>
      <c r="E362" s="4" t="s">
        <v>623</v>
      </c>
      <c r="F362" s="4" t="s">
        <v>173</v>
      </c>
      <c r="G362" s="5">
        <v>2450575</v>
      </c>
      <c r="H362" s="5">
        <v>2450575</v>
      </c>
      <c r="I362" s="5">
        <v>1936724</v>
      </c>
      <c r="J362" s="5" t="s">
        <v>173</v>
      </c>
      <c r="K362" s="5">
        <v>1936724</v>
      </c>
    </row>
    <row r="363" spans="1:11" x14ac:dyDescent="0.25">
      <c r="A363" s="4" t="s">
        <v>11</v>
      </c>
      <c r="B363" s="4" t="s">
        <v>442</v>
      </c>
      <c r="C363" s="4" t="s">
        <v>26</v>
      </c>
      <c r="D363" s="4">
        <v>2465652525</v>
      </c>
      <c r="E363" s="4" t="s">
        <v>625</v>
      </c>
      <c r="F363" s="4" t="s">
        <v>173</v>
      </c>
      <c r="G363" s="5">
        <v>30119</v>
      </c>
      <c r="H363" s="5">
        <v>30119</v>
      </c>
      <c r="I363" s="5">
        <v>0</v>
      </c>
      <c r="J363" s="5" t="s">
        <v>173</v>
      </c>
      <c r="K363" s="5">
        <v>0</v>
      </c>
    </row>
    <row r="364" spans="1:11" x14ac:dyDescent="0.25">
      <c r="A364" s="4" t="s">
        <v>11</v>
      </c>
      <c r="B364" s="4" t="s">
        <v>442</v>
      </c>
      <c r="C364" s="4" t="s">
        <v>23</v>
      </c>
      <c r="D364" s="4">
        <v>24656530</v>
      </c>
      <c r="E364" s="4" t="s">
        <v>227</v>
      </c>
      <c r="F364" s="4" t="s">
        <v>173</v>
      </c>
      <c r="G364" s="5">
        <v>694124</v>
      </c>
      <c r="H364" s="5">
        <v>694124</v>
      </c>
      <c r="I364" s="5">
        <v>835604</v>
      </c>
      <c r="J364" s="5" t="s">
        <v>173</v>
      </c>
      <c r="K364" s="5">
        <v>835604</v>
      </c>
    </row>
    <row r="365" spans="1:11" x14ac:dyDescent="0.25">
      <c r="A365" s="4" t="s">
        <v>11</v>
      </c>
      <c r="B365" s="4" t="s">
        <v>442</v>
      </c>
      <c r="C365" s="4" t="s">
        <v>26</v>
      </c>
      <c r="D365" s="4">
        <v>2465653010</v>
      </c>
      <c r="E365" s="4" t="s">
        <v>628</v>
      </c>
      <c r="F365" s="4" t="s">
        <v>173</v>
      </c>
      <c r="G365" s="5">
        <v>694124</v>
      </c>
      <c r="H365" s="5">
        <v>694124</v>
      </c>
      <c r="I365" s="5">
        <v>835604</v>
      </c>
      <c r="J365" s="5" t="s">
        <v>173</v>
      </c>
      <c r="K365" s="5">
        <v>835604</v>
      </c>
    </row>
    <row r="366" spans="1:11" x14ac:dyDescent="0.25">
      <c r="A366" s="4" t="s">
        <v>11</v>
      </c>
      <c r="B366" s="4" t="s">
        <v>442</v>
      </c>
      <c r="C366" s="4" t="s">
        <v>23</v>
      </c>
      <c r="D366" s="4">
        <v>24656540</v>
      </c>
      <c r="E366" s="4" t="s">
        <v>630</v>
      </c>
      <c r="F366" s="4" t="s">
        <v>173</v>
      </c>
      <c r="G366" s="5">
        <v>14496371.279999999</v>
      </c>
      <c r="H366" s="5">
        <v>14840308</v>
      </c>
      <c r="I366" s="5">
        <v>12379457</v>
      </c>
      <c r="J366" s="5" t="s">
        <v>173</v>
      </c>
      <c r="K366" s="5">
        <v>12035520.279999999</v>
      </c>
    </row>
    <row r="367" spans="1:11" x14ac:dyDescent="0.25">
      <c r="A367" s="4" t="s">
        <v>11</v>
      </c>
      <c r="B367" s="4" t="s">
        <v>442</v>
      </c>
      <c r="C367" s="4" t="s">
        <v>26</v>
      </c>
      <c r="D367" s="4">
        <v>2465654005</v>
      </c>
      <c r="E367" s="4" t="s">
        <v>632</v>
      </c>
      <c r="F367" s="4" t="s">
        <v>173</v>
      </c>
      <c r="G367" s="5">
        <v>237455</v>
      </c>
      <c r="H367" s="5">
        <v>237455</v>
      </c>
      <c r="I367" s="5">
        <v>214531</v>
      </c>
      <c r="J367" s="5" t="s">
        <v>173</v>
      </c>
      <c r="K367" s="5">
        <v>214531</v>
      </c>
    </row>
    <row r="368" spans="1:11" x14ac:dyDescent="0.25">
      <c r="A368" s="4" t="s">
        <v>11</v>
      </c>
      <c r="B368" s="4" t="s">
        <v>442</v>
      </c>
      <c r="C368" s="4" t="s">
        <v>26</v>
      </c>
      <c r="D368" s="4">
        <v>2465654010</v>
      </c>
      <c r="E368" s="4" t="s">
        <v>634</v>
      </c>
      <c r="F368" s="4" t="s">
        <v>173</v>
      </c>
      <c r="G368" s="5">
        <v>11598549.279999999</v>
      </c>
      <c r="H368" s="5">
        <v>11942486</v>
      </c>
      <c r="I368" s="5">
        <v>11665791</v>
      </c>
      <c r="J368" s="5" t="s">
        <v>173</v>
      </c>
      <c r="K368" s="5">
        <v>11321854.279999999</v>
      </c>
    </row>
    <row r="369" spans="1:11" x14ac:dyDescent="0.25">
      <c r="A369" s="4" t="s">
        <v>11</v>
      </c>
      <c r="B369" s="4" t="s">
        <v>442</v>
      </c>
      <c r="C369" s="4" t="s">
        <v>26</v>
      </c>
      <c r="D369" s="4">
        <v>2465654015</v>
      </c>
      <c r="E369" s="4" t="s">
        <v>636</v>
      </c>
      <c r="F369" s="4" t="s">
        <v>173</v>
      </c>
      <c r="G369" s="5">
        <v>2660367</v>
      </c>
      <c r="H369" s="5">
        <v>2660367</v>
      </c>
      <c r="I369" s="5">
        <v>499135</v>
      </c>
      <c r="J369" s="5" t="s">
        <v>173</v>
      </c>
      <c r="K369" s="5">
        <v>499135</v>
      </c>
    </row>
    <row r="370" spans="1:11" x14ac:dyDescent="0.25">
      <c r="A370" s="4" t="s">
        <v>11</v>
      </c>
      <c r="B370" s="4" t="s">
        <v>442</v>
      </c>
      <c r="C370" s="4" t="s">
        <v>18</v>
      </c>
      <c r="D370" s="4">
        <v>2467</v>
      </c>
      <c r="E370" s="4" t="s">
        <v>638</v>
      </c>
      <c r="F370" s="4" t="s">
        <v>173</v>
      </c>
      <c r="G370" s="5">
        <v>348923</v>
      </c>
      <c r="H370" s="5">
        <v>362527</v>
      </c>
      <c r="I370" s="5">
        <v>241986</v>
      </c>
      <c r="J370" s="5" t="s">
        <v>173</v>
      </c>
      <c r="K370" s="5">
        <v>228382</v>
      </c>
    </row>
    <row r="371" spans="1:11" x14ac:dyDescent="0.25">
      <c r="A371" s="4" t="s">
        <v>11</v>
      </c>
      <c r="B371" s="4" t="s">
        <v>442</v>
      </c>
      <c r="C371" s="4" t="s">
        <v>21</v>
      </c>
      <c r="D371" s="4">
        <v>246767</v>
      </c>
      <c r="E371" s="4" t="s">
        <v>638</v>
      </c>
      <c r="F371" s="4" t="s">
        <v>173</v>
      </c>
      <c r="G371" s="5">
        <v>348923</v>
      </c>
      <c r="H371" s="5">
        <v>362527</v>
      </c>
      <c r="I371" s="5">
        <v>241986</v>
      </c>
      <c r="J371" s="5" t="s">
        <v>173</v>
      </c>
      <c r="K371" s="5">
        <v>228382</v>
      </c>
    </row>
    <row r="372" spans="1:11" x14ac:dyDescent="0.25">
      <c r="A372" s="4" t="s">
        <v>11</v>
      </c>
      <c r="B372" s="4" t="s">
        <v>442</v>
      </c>
      <c r="C372" s="4" t="s">
        <v>23</v>
      </c>
      <c r="D372" s="4">
        <v>24676705</v>
      </c>
      <c r="E372" s="4" t="s">
        <v>641</v>
      </c>
      <c r="F372" s="4" t="s">
        <v>173</v>
      </c>
      <c r="G372" s="5">
        <v>348923</v>
      </c>
      <c r="H372" s="5">
        <v>362527</v>
      </c>
      <c r="I372" s="5">
        <v>241986</v>
      </c>
      <c r="J372" s="5" t="s">
        <v>173</v>
      </c>
      <c r="K372" s="5">
        <v>228382</v>
      </c>
    </row>
    <row r="373" spans="1:11" x14ac:dyDescent="0.25">
      <c r="A373" s="4" t="s">
        <v>11</v>
      </c>
      <c r="B373" s="4" t="s">
        <v>442</v>
      </c>
      <c r="C373" s="4" t="s">
        <v>26</v>
      </c>
      <c r="D373" s="4">
        <v>2467670505</v>
      </c>
      <c r="E373" s="4" t="s">
        <v>643</v>
      </c>
      <c r="F373" s="4" t="s">
        <v>173</v>
      </c>
      <c r="G373" s="5">
        <v>348923</v>
      </c>
      <c r="H373" s="5">
        <v>362527</v>
      </c>
      <c r="I373" s="5">
        <v>241986</v>
      </c>
      <c r="J373" s="5" t="s">
        <v>173</v>
      </c>
      <c r="K373" s="5">
        <v>228382</v>
      </c>
    </row>
    <row r="374" spans="1:11" x14ac:dyDescent="0.25">
      <c r="A374" s="4" t="s">
        <v>11</v>
      </c>
      <c r="B374" s="4" t="s">
        <v>442</v>
      </c>
      <c r="C374" s="4" t="s">
        <v>18</v>
      </c>
      <c r="D374" s="4">
        <v>2468</v>
      </c>
      <c r="E374" s="4" t="s">
        <v>645</v>
      </c>
      <c r="F374" s="4" t="s">
        <v>173</v>
      </c>
      <c r="G374" s="5">
        <v>8624914.7100000009</v>
      </c>
      <c r="H374" s="5">
        <v>8627472</v>
      </c>
      <c r="I374" s="5">
        <v>2508743</v>
      </c>
      <c r="J374" s="5" t="s">
        <v>173</v>
      </c>
      <c r="K374" s="5">
        <v>2506185.71</v>
      </c>
    </row>
    <row r="375" spans="1:11" x14ac:dyDescent="0.25">
      <c r="A375" s="4" t="s">
        <v>11</v>
      </c>
      <c r="B375" s="4" t="s">
        <v>442</v>
      </c>
      <c r="C375" s="4" t="s">
        <v>21</v>
      </c>
      <c r="D375" s="4">
        <v>246868</v>
      </c>
      <c r="E375" s="4" t="s">
        <v>645</v>
      </c>
      <c r="F375" s="4" t="s">
        <v>173</v>
      </c>
      <c r="G375" s="5">
        <v>8624914.7100000009</v>
      </c>
      <c r="H375" s="5">
        <v>8627472</v>
      </c>
      <c r="I375" s="5">
        <v>2508743</v>
      </c>
      <c r="J375" s="5" t="s">
        <v>173</v>
      </c>
      <c r="K375" s="5">
        <v>2506185.71</v>
      </c>
    </row>
    <row r="376" spans="1:11" x14ac:dyDescent="0.25">
      <c r="A376" s="4" t="s">
        <v>11</v>
      </c>
      <c r="B376" s="4" t="s">
        <v>442</v>
      </c>
      <c r="C376" s="4" t="s">
        <v>23</v>
      </c>
      <c r="D376" s="4">
        <v>24686805</v>
      </c>
      <c r="E376" s="4" t="s">
        <v>648</v>
      </c>
      <c r="F376" s="4" t="s">
        <v>173</v>
      </c>
      <c r="G376" s="5">
        <v>8624914.7100000009</v>
      </c>
      <c r="H376" s="5">
        <v>8627472</v>
      </c>
      <c r="I376" s="5">
        <v>2508743</v>
      </c>
      <c r="J376" s="5" t="s">
        <v>173</v>
      </c>
      <c r="K376" s="5">
        <v>2506185.71</v>
      </c>
    </row>
    <row r="377" spans="1:11" x14ac:dyDescent="0.25">
      <c r="A377" s="4" t="s">
        <v>11</v>
      </c>
      <c r="B377" s="4" t="s">
        <v>442</v>
      </c>
      <c r="C377" s="4" t="s">
        <v>26</v>
      </c>
      <c r="D377" s="4">
        <v>2468680505</v>
      </c>
      <c r="E377" s="4" t="s">
        <v>650</v>
      </c>
      <c r="F377" s="4" t="s">
        <v>173</v>
      </c>
      <c r="G377" s="5">
        <v>708949.13</v>
      </c>
      <c r="H377" s="5">
        <v>709030</v>
      </c>
      <c r="I377" s="5">
        <v>149779</v>
      </c>
      <c r="J377" s="5" t="s">
        <v>173</v>
      </c>
      <c r="K377" s="5">
        <v>149698.13</v>
      </c>
    </row>
    <row r="378" spans="1:11" x14ac:dyDescent="0.25">
      <c r="A378" s="4" t="s">
        <v>11</v>
      </c>
      <c r="B378" s="4" t="s">
        <v>442</v>
      </c>
      <c r="C378" s="4" t="s">
        <v>26</v>
      </c>
      <c r="D378" s="4">
        <v>2468680510</v>
      </c>
      <c r="E378" s="4" t="s">
        <v>652</v>
      </c>
      <c r="F378" s="4" t="s">
        <v>173</v>
      </c>
      <c r="G378" s="5">
        <v>5886608</v>
      </c>
      <c r="H378" s="5">
        <v>5886608</v>
      </c>
      <c r="I378" s="5">
        <v>1507299</v>
      </c>
      <c r="J378" s="5" t="s">
        <v>173</v>
      </c>
      <c r="K378" s="5">
        <v>1507299</v>
      </c>
    </row>
    <row r="379" spans="1:11" x14ac:dyDescent="0.25">
      <c r="A379" s="4" t="s">
        <v>11</v>
      </c>
      <c r="B379" s="4" t="s">
        <v>442</v>
      </c>
      <c r="C379" s="4" t="s">
        <v>26</v>
      </c>
      <c r="D379" s="4">
        <v>2468680515</v>
      </c>
      <c r="E379" s="4" t="s">
        <v>654</v>
      </c>
      <c r="F379" s="4" t="s">
        <v>173</v>
      </c>
      <c r="G379" s="5">
        <v>2018324.58</v>
      </c>
      <c r="H379" s="5">
        <v>2020801</v>
      </c>
      <c r="I379" s="5">
        <v>851665</v>
      </c>
      <c r="J379" s="5" t="s">
        <v>173</v>
      </c>
      <c r="K379" s="5">
        <v>849188.58</v>
      </c>
    </row>
    <row r="380" spans="1:11" x14ac:dyDescent="0.25">
      <c r="A380" s="4" t="s">
        <v>11</v>
      </c>
      <c r="B380" s="4" t="s">
        <v>442</v>
      </c>
      <c r="C380" s="4" t="s">
        <v>26</v>
      </c>
      <c r="D380" s="4">
        <v>2468680520</v>
      </c>
      <c r="E380" s="4" t="s">
        <v>656</v>
      </c>
      <c r="F380" s="4" t="s">
        <v>173</v>
      </c>
      <c r="G380" s="5">
        <v>11033</v>
      </c>
      <c r="H380" s="5">
        <v>11033</v>
      </c>
      <c r="I380" s="5">
        <v>0</v>
      </c>
      <c r="J380" s="5" t="s">
        <v>173</v>
      </c>
      <c r="K380" s="5">
        <v>0</v>
      </c>
    </row>
    <row r="381" spans="1:11" x14ac:dyDescent="0.25">
      <c r="A381" s="4" t="s">
        <v>11</v>
      </c>
      <c r="B381" s="4" t="s">
        <v>442</v>
      </c>
      <c r="C381" s="4" t="s">
        <v>15</v>
      </c>
      <c r="D381" s="4">
        <v>25</v>
      </c>
      <c r="E381" s="4" t="s">
        <v>658</v>
      </c>
      <c r="F381" s="4" t="s">
        <v>173</v>
      </c>
      <c r="G381" s="5">
        <v>4033319567.1399999</v>
      </c>
      <c r="H381" s="5">
        <v>2237884553</v>
      </c>
      <c r="I381" s="5">
        <v>32608282.43</v>
      </c>
      <c r="J381" s="5" t="s">
        <v>173</v>
      </c>
      <c r="K381" s="5">
        <v>1828043296.5699999</v>
      </c>
    </row>
    <row r="382" spans="1:11" x14ac:dyDescent="0.25">
      <c r="A382" s="4" t="s">
        <v>11</v>
      </c>
      <c r="B382" s="4" t="s">
        <v>442</v>
      </c>
      <c r="C382" s="4" t="s">
        <v>18</v>
      </c>
      <c r="D382" s="4">
        <v>2505</v>
      </c>
      <c r="E382" s="4" t="s">
        <v>660</v>
      </c>
      <c r="F382" s="4" t="s">
        <v>173</v>
      </c>
      <c r="G382" s="5">
        <v>1462366490</v>
      </c>
      <c r="H382" s="5">
        <v>1487906961</v>
      </c>
      <c r="I382" s="5">
        <v>29001483</v>
      </c>
      <c r="J382" s="5" t="s">
        <v>173</v>
      </c>
      <c r="K382" s="5">
        <v>3461012</v>
      </c>
    </row>
    <row r="383" spans="1:11" x14ac:dyDescent="0.25">
      <c r="A383" s="4" t="s">
        <v>11</v>
      </c>
      <c r="B383" s="4" t="s">
        <v>442</v>
      </c>
      <c r="C383" s="4" t="s">
        <v>21</v>
      </c>
      <c r="D383" s="4">
        <v>250505</v>
      </c>
      <c r="E383" s="4" t="s">
        <v>660</v>
      </c>
      <c r="F383" s="4" t="s">
        <v>173</v>
      </c>
      <c r="G383" s="5">
        <v>1462366490</v>
      </c>
      <c r="H383" s="5">
        <v>1487906961</v>
      </c>
      <c r="I383" s="5">
        <v>29001483</v>
      </c>
      <c r="J383" s="5" t="s">
        <v>173</v>
      </c>
      <c r="K383" s="5">
        <v>3461012</v>
      </c>
    </row>
    <row r="384" spans="1:11" x14ac:dyDescent="0.25">
      <c r="A384" s="4" t="s">
        <v>11</v>
      </c>
      <c r="B384" s="4" t="s">
        <v>442</v>
      </c>
      <c r="C384" s="4" t="s">
        <v>23</v>
      </c>
      <c r="D384" s="4">
        <v>25050505</v>
      </c>
      <c r="E384" s="4" t="s">
        <v>660</v>
      </c>
      <c r="F384" s="4" t="s">
        <v>173</v>
      </c>
      <c r="G384" s="5">
        <v>1462366490</v>
      </c>
      <c r="H384" s="5">
        <v>1487906961</v>
      </c>
      <c r="I384" s="5">
        <v>29001483</v>
      </c>
      <c r="J384" s="5" t="s">
        <v>173</v>
      </c>
      <c r="K384" s="5">
        <v>3461012</v>
      </c>
    </row>
    <row r="385" spans="1:11" x14ac:dyDescent="0.25">
      <c r="A385" s="4" t="s">
        <v>11</v>
      </c>
      <c r="B385" s="4" t="s">
        <v>442</v>
      </c>
      <c r="C385" s="4" t="s">
        <v>26</v>
      </c>
      <c r="D385" s="4">
        <v>2505050505</v>
      </c>
      <c r="E385" s="4" t="s">
        <v>660</v>
      </c>
      <c r="F385" s="4" t="s">
        <v>173</v>
      </c>
      <c r="G385" s="5">
        <v>1458905478</v>
      </c>
      <c r="H385" s="5">
        <v>1487906961</v>
      </c>
      <c r="I385" s="5">
        <v>29001483</v>
      </c>
      <c r="J385" s="5" t="s">
        <v>173</v>
      </c>
      <c r="K385" s="5">
        <v>0</v>
      </c>
    </row>
    <row r="386" spans="1:11" x14ac:dyDescent="0.25">
      <c r="A386" s="4" t="s">
        <v>11</v>
      </c>
      <c r="B386" s="4" t="s">
        <v>442</v>
      </c>
      <c r="C386" s="4" t="s">
        <v>26</v>
      </c>
      <c r="D386" s="4">
        <v>2505050510</v>
      </c>
      <c r="E386" s="4" t="s">
        <v>665</v>
      </c>
      <c r="F386" s="4" t="s">
        <v>173</v>
      </c>
      <c r="G386" s="5">
        <v>3461012</v>
      </c>
      <c r="H386" s="5">
        <v>0</v>
      </c>
      <c r="I386" s="5">
        <v>0</v>
      </c>
      <c r="J386" s="5" t="s">
        <v>173</v>
      </c>
      <c r="K386" s="5">
        <v>3461012</v>
      </c>
    </row>
    <row r="387" spans="1:11" x14ac:dyDescent="0.25">
      <c r="A387" s="4" t="s">
        <v>11</v>
      </c>
      <c r="B387" s="4" t="s">
        <v>442</v>
      </c>
      <c r="C387" s="4" t="s">
        <v>18</v>
      </c>
      <c r="D387" s="4">
        <v>2510</v>
      </c>
      <c r="E387" s="4" t="s">
        <v>667</v>
      </c>
      <c r="F387" s="4" t="s">
        <v>173</v>
      </c>
      <c r="G387" s="5">
        <v>1221845005.98</v>
      </c>
      <c r="H387" s="5">
        <v>19994749</v>
      </c>
      <c r="I387" s="5">
        <v>0</v>
      </c>
      <c r="J387" s="5" t="s">
        <v>173</v>
      </c>
      <c r="K387" s="5">
        <v>1201850256.98</v>
      </c>
    </row>
    <row r="388" spans="1:11" x14ac:dyDescent="0.25">
      <c r="A388" s="4" t="s">
        <v>11</v>
      </c>
      <c r="B388" s="4" t="s">
        <v>442</v>
      </c>
      <c r="C388" s="4" t="s">
        <v>21</v>
      </c>
      <c r="D388" s="4">
        <v>251010</v>
      </c>
      <c r="E388" s="4" t="s">
        <v>667</v>
      </c>
      <c r="F388" s="4" t="s">
        <v>173</v>
      </c>
      <c r="G388" s="5">
        <v>1221845005.98</v>
      </c>
      <c r="H388" s="5">
        <v>19994749</v>
      </c>
      <c r="I388" s="5">
        <v>0</v>
      </c>
      <c r="J388" s="5" t="s">
        <v>173</v>
      </c>
      <c r="K388" s="5">
        <v>1201850256.98</v>
      </c>
    </row>
    <row r="389" spans="1:11" x14ac:dyDescent="0.25">
      <c r="A389" s="4" t="s">
        <v>11</v>
      </c>
      <c r="B389" s="4" t="s">
        <v>442</v>
      </c>
      <c r="C389" s="4" t="s">
        <v>23</v>
      </c>
      <c r="D389" s="4">
        <v>25101005</v>
      </c>
      <c r="E389" s="4" t="s">
        <v>667</v>
      </c>
      <c r="F389" s="4" t="s">
        <v>173</v>
      </c>
      <c r="G389" s="5">
        <v>1221845005.98</v>
      </c>
      <c r="H389" s="5">
        <v>19994749</v>
      </c>
      <c r="I389" s="5">
        <v>0</v>
      </c>
      <c r="J389" s="5" t="s">
        <v>173</v>
      </c>
      <c r="K389" s="5">
        <v>1201850256.98</v>
      </c>
    </row>
    <row r="390" spans="1:11" x14ac:dyDescent="0.25">
      <c r="A390" s="4" t="s">
        <v>11</v>
      </c>
      <c r="B390" s="4" t="s">
        <v>442</v>
      </c>
      <c r="C390" s="4" t="s">
        <v>26</v>
      </c>
      <c r="D390" s="4">
        <v>2510100505</v>
      </c>
      <c r="E390" s="4" t="s">
        <v>671</v>
      </c>
      <c r="F390" s="4" t="s">
        <v>173</v>
      </c>
      <c r="G390" s="5">
        <v>793184762.98000002</v>
      </c>
      <c r="H390" s="5">
        <v>12990685</v>
      </c>
      <c r="I390" s="5">
        <v>0</v>
      </c>
      <c r="J390" s="5" t="s">
        <v>173</v>
      </c>
      <c r="K390" s="5">
        <v>780194077.98000002</v>
      </c>
    </row>
    <row r="391" spans="1:11" x14ac:dyDescent="0.25">
      <c r="A391" s="4" t="s">
        <v>11</v>
      </c>
      <c r="B391" s="4" t="s">
        <v>442</v>
      </c>
      <c r="C391" s="4" t="s">
        <v>26</v>
      </c>
      <c r="D391" s="4">
        <v>2510100510</v>
      </c>
      <c r="E391" s="4" t="s">
        <v>673</v>
      </c>
      <c r="F391" s="4" t="s">
        <v>173</v>
      </c>
      <c r="G391" s="5">
        <v>106513956</v>
      </c>
      <c r="H391" s="5">
        <v>1339248</v>
      </c>
      <c r="I391" s="5">
        <v>0</v>
      </c>
      <c r="J391" s="5" t="s">
        <v>173</v>
      </c>
      <c r="K391" s="5">
        <v>105174708</v>
      </c>
    </row>
    <row r="392" spans="1:11" x14ac:dyDescent="0.25">
      <c r="A392" s="4" t="s">
        <v>11</v>
      </c>
      <c r="B392" s="4" t="s">
        <v>442</v>
      </c>
      <c r="C392" s="4" t="s">
        <v>26</v>
      </c>
      <c r="D392" s="4">
        <v>2510100515</v>
      </c>
      <c r="E392" s="4" t="s">
        <v>675</v>
      </c>
      <c r="F392" s="4" t="s">
        <v>173</v>
      </c>
      <c r="G392" s="5">
        <v>322146287</v>
      </c>
      <c r="H392" s="5">
        <v>5664816</v>
      </c>
      <c r="I392" s="5">
        <v>0</v>
      </c>
      <c r="J392" s="5" t="s">
        <v>173</v>
      </c>
      <c r="K392" s="5">
        <v>316481471</v>
      </c>
    </row>
    <row r="393" spans="1:11" x14ac:dyDescent="0.25">
      <c r="A393" s="4" t="s">
        <v>11</v>
      </c>
      <c r="B393" s="4" t="s">
        <v>442</v>
      </c>
      <c r="C393" s="4" t="s">
        <v>18</v>
      </c>
      <c r="D393" s="4">
        <v>2525</v>
      </c>
      <c r="E393" s="4" t="s">
        <v>677</v>
      </c>
      <c r="F393" s="4" t="s">
        <v>173</v>
      </c>
      <c r="G393" s="5">
        <v>509840840.16000003</v>
      </c>
      <c r="H393" s="5">
        <v>5316672</v>
      </c>
      <c r="I393" s="5">
        <v>0</v>
      </c>
      <c r="J393" s="5" t="s">
        <v>173</v>
      </c>
      <c r="K393" s="5">
        <v>504524168.16000003</v>
      </c>
    </row>
    <row r="394" spans="1:11" x14ac:dyDescent="0.25">
      <c r="A394" s="4" t="s">
        <v>11</v>
      </c>
      <c r="B394" s="4" t="s">
        <v>442</v>
      </c>
      <c r="C394" s="4" t="s">
        <v>21</v>
      </c>
      <c r="D394" s="4">
        <v>252525</v>
      </c>
      <c r="E394" s="4" t="s">
        <v>677</v>
      </c>
      <c r="F394" s="4" t="s">
        <v>173</v>
      </c>
      <c r="G394" s="5">
        <v>509840840.16000003</v>
      </c>
      <c r="H394" s="5">
        <v>5316672</v>
      </c>
      <c r="I394" s="5">
        <v>0</v>
      </c>
      <c r="J394" s="5" t="s">
        <v>173</v>
      </c>
      <c r="K394" s="5">
        <v>504524168.16000003</v>
      </c>
    </row>
    <row r="395" spans="1:11" x14ac:dyDescent="0.25">
      <c r="A395" s="4" t="s">
        <v>11</v>
      </c>
      <c r="B395" s="4" t="s">
        <v>442</v>
      </c>
      <c r="C395" s="4" t="s">
        <v>23</v>
      </c>
      <c r="D395" s="4">
        <v>25252505</v>
      </c>
      <c r="E395" s="4" t="s">
        <v>677</v>
      </c>
      <c r="F395" s="4" t="s">
        <v>173</v>
      </c>
      <c r="G395" s="5">
        <v>509840840.16000003</v>
      </c>
      <c r="H395" s="5">
        <v>5316672</v>
      </c>
      <c r="I395" s="5">
        <v>0</v>
      </c>
      <c r="J395" s="5" t="s">
        <v>173</v>
      </c>
      <c r="K395" s="5">
        <v>504524168.16000003</v>
      </c>
    </row>
    <row r="396" spans="1:11" x14ac:dyDescent="0.25">
      <c r="A396" s="4" t="s">
        <v>11</v>
      </c>
      <c r="B396" s="4" t="s">
        <v>442</v>
      </c>
      <c r="C396" s="4" t="s">
        <v>26</v>
      </c>
      <c r="D396" s="4">
        <v>2525250505</v>
      </c>
      <c r="E396" s="4" t="s">
        <v>677</v>
      </c>
      <c r="F396" s="4" t="s">
        <v>173</v>
      </c>
      <c r="G396" s="5">
        <v>509840840.16000003</v>
      </c>
      <c r="H396" s="5">
        <v>5316672</v>
      </c>
      <c r="I396" s="5">
        <v>0</v>
      </c>
      <c r="J396" s="5" t="s">
        <v>173</v>
      </c>
      <c r="K396" s="5">
        <v>504524168.16000003</v>
      </c>
    </row>
    <row r="397" spans="1:11" x14ac:dyDescent="0.25">
      <c r="A397" s="4" t="s">
        <v>11</v>
      </c>
      <c r="B397" s="4" t="s">
        <v>442</v>
      </c>
      <c r="C397" s="4" t="s">
        <v>18</v>
      </c>
      <c r="D397" s="4">
        <v>2570</v>
      </c>
      <c r="E397" s="4" t="s">
        <v>682</v>
      </c>
      <c r="F397" s="4" t="s">
        <v>173</v>
      </c>
      <c r="G397" s="5">
        <v>839267231</v>
      </c>
      <c r="H397" s="5">
        <v>724666171</v>
      </c>
      <c r="I397" s="5">
        <v>3606799.43</v>
      </c>
      <c r="J397" s="5" t="s">
        <v>173</v>
      </c>
      <c r="K397" s="5">
        <v>118207859.43000001</v>
      </c>
    </row>
    <row r="398" spans="1:11" x14ac:dyDescent="0.25">
      <c r="A398" s="4" t="s">
        <v>11</v>
      </c>
      <c r="B398" s="4" t="s">
        <v>442</v>
      </c>
      <c r="C398" s="4" t="s">
        <v>21</v>
      </c>
      <c r="D398" s="4">
        <v>257070</v>
      </c>
      <c r="E398" s="4" t="s">
        <v>682</v>
      </c>
      <c r="F398" s="4" t="s">
        <v>173</v>
      </c>
      <c r="G398" s="5">
        <v>839267231</v>
      </c>
      <c r="H398" s="5">
        <v>724666171</v>
      </c>
      <c r="I398" s="5">
        <v>3606799.43</v>
      </c>
      <c r="J398" s="5" t="s">
        <v>173</v>
      </c>
      <c r="K398" s="5">
        <v>118207859.43000001</v>
      </c>
    </row>
    <row r="399" spans="1:11" x14ac:dyDescent="0.25">
      <c r="A399" s="4" t="s">
        <v>11</v>
      </c>
      <c r="B399" s="4" t="s">
        <v>442</v>
      </c>
      <c r="C399" s="4" t="s">
        <v>23</v>
      </c>
      <c r="D399" s="4">
        <v>25707005</v>
      </c>
      <c r="E399" s="4" t="s">
        <v>685</v>
      </c>
      <c r="F399" s="4" t="s">
        <v>173</v>
      </c>
      <c r="G399" s="5">
        <v>544135900</v>
      </c>
      <c r="H399" s="5">
        <v>544135900</v>
      </c>
      <c r="I399" s="5">
        <v>2433781.4300000002</v>
      </c>
      <c r="J399" s="5" t="s">
        <v>173</v>
      </c>
      <c r="K399" s="5">
        <v>2433781.4300000002</v>
      </c>
    </row>
    <row r="400" spans="1:11" x14ac:dyDescent="0.25">
      <c r="A400" s="4" t="s">
        <v>11</v>
      </c>
      <c r="B400" s="4" t="s">
        <v>442</v>
      </c>
      <c r="C400" s="4" t="s">
        <v>26</v>
      </c>
      <c r="D400" s="4">
        <v>2570700505</v>
      </c>
      <c r="E400" s="4" t="s">
        <v>687</v>
      </c>
      <c r="F400" s="4" t="s">
        <v>173</v>
      </c>
      <c r="G400" s="5">
        <v>172667500</v>
      </c>
      <c r="H400" s="5">
        <v>172667500</v>
      </c>
      <c r="I400" s="5">
        <v>623327</v>
      </c>
      <c r="J400" s="5" t="s">
        <v>173</v>
      </c>
      <c r="K400" s="5">
        <v>623327</v>
      </c>
    </row>
    <row r="401" spans="1:11" x14ac:dyDescent="0.25">
      <c r="A401" s="4" t="s">
        <v>11</v>
      </c>
      <c r="B401" s="4" t="s">
        <v>442</v>
      </c>
      <c r="C401" s="4" t="s">
        <v>26</v>
      </c>
      <c r="D401" s="4">
        <v>2570700510</v>
      </c>
      <c r="E401" s="4" t="s">
        <v>689</v>
      </c>
      <c r="F401" s="4" t="s">
        <v>173</v>
      </c>
      <c r="G401" s="5">
        <v>213654700</v>
      </c>
      <c r="H401" s="5">
        <v>213654700</v>
      </c>
      <c r="I401" s="5">
        <v>797858</v>
      </c>
      <c r="J401" s="5" t="s">
        <v>173</v>
      </c>
      <c r="K401" s="5">
        <v>797858</v>
      </c>
    </row>
    <row r="402" spans="1:11" x14ac:dyDescent="0.25">
      <c r="A402" s="4" t="s">
        <v>11</v>
      </c>
      <c r="B402" s="4" t="s">
        <v>442</v>
      </c>
      <c r="C402" s="4" t="s">
        <v>26</v>
      </c>
      <c r="D402" s="4">
        <v>2570700515</v>
      </c>
      <c r="E402" s="4" t="s">
        <v>123</v>
      </c>
      <c r="F402" s="4" t="s">
        <v>173</v>
      </c>
      <c r="G402" s="5">
        <v>31688700</v>
      </c>
      <c r="H402" s="5">
        <v>31688700</v>
      </c>
      <c r="I402" s="5">
        <v>119363</v>
      </c>
      <c r="J402" s="5" t="s">
        <v>173</v>
      </c>
      <c r="K402" s="5">
        <v>119363</v>
      </c>
    </row>
    <row r="403" spans="1:11" x14ac:dyDescent="0.25">
      <c r="A403" s="4" t="s">
        <v>11</v>
      </c>
      <c r="B403" s="4" t="s">
        <v>442</v>
      </c>
      <c r="C403" s="4" t="s">
        <v>26</v>
      </c>
      <c r="D403" s="4">
        <v>2570700520</v>
      </c>
      <c r="E403" s="4" t="s">
        <v>692</v>
      </c>
      <c r="F403" s="4" t="s">
        <v>173</v>
      </c>
      <c r="G403" s="5">
        <v>4840400</v>
      </c>
      <c r="H403" s="5">
        <v>4840400</v>
      </c>
      <c r="I403" s="5">
        <v>0</v>
      </c>
      <c r="J403" s="5" t="s">
        <v>173</v>
      </c>
      <c r="K403" s="5">
        <v>0</v>
      </c>
    </row>
    <row r="404" spans="1:11" x14ac:dyDescent="0.25">
      <c r="A404" s="4" t="s">
        <v>11</v>
      </c>
      <c r="B404" s="4" t="s">
        <v>442</v>
      </c>
      <c r="C404" s="4" t="s">
        <v>26</v>
      </c>
      <c r="D404" s="4">
        <v>2570700525</v>
      </c>
      <c r="E404" s="4" t="s">
        <v>694</v>
      </c>
      <c r="F404" s="4" t="s">
        <v>173</v>
      </c>
      <c r="G404" s="5">
        <v>53897400</v>
      </c>
      <c r="H404" s="5">
        <v>53897400</v>
      </c>
      <c r="I404" s="5">
        <v>647603.43000000005</v>
      </c>
      <c r="J404" s="5" t="s">
        <v>173</v>
      </c>
      <c r="K404" s="5">
        <v>647603.43000000005</v>
      </c>
    </row>
    <row r="405" spans="1:11" x14ac:dyDescent="0.25">
      <c r="A405" s="4" t="s">
        <v>11</v>
      </c>
      <c r="B405" s="4" t="s">
        <v>442</v>
      </c>
      <c r="C405" s="4" t="s">
        <v>26</v>
      </c>
      <c r="D405" s="4">
        <v>2570700530</v>
      </c>
      <c r="E405" s="4" t="s">
        <v>696</v>
      </c>
      <c r="F405" s="4" t="s">
        <v>173</v>
      </c>
      <c r="G405" s="5">
        <v>40429200</v>
      </c>
      <c r="H405" s="5">
        <v>40429200</v>
      </c>
      <c r="I405" s="5">
        <v>147378</v>
      </c>
      <c r="J405" s="5" t="s">
        <v>173</v>
      </c>
      <c r="K405" s="5">
        <v>147378</v>
      </c>
    </row>
    <row r="406" spans="1:11" x14ac:dyDescent="0.25">
      <c r="A406" s="4" t="s">
        <v>11</v>
      </c>
      <c r="B406" s="4" t="s">
        <v>442</v>
      </c>
      <c r="C406" s="4" t="s">
        <v>26</v>
      </c>
      <c r="D406" s="4">
        <v>2570700535</v>
      </c>
      <c r="E406" s="4" t="s">
        <v>698</v>
      </c>
      <c r="F406" s="4" t="s">
        <v>173</v>
      </c>
      <c r="G406" s="5">
        <v>26958000</v>
      </c>
      <c r="H406" s="5">
        <v>26958000</v>
      </c>
      <c r="I406" s="5">
        <v>98252</v>
      </c>
      <c r="J406" s="5" t="s">
        <v>173</v>
      </c>
      <c r="K406" s="5">
        <v>98252</v>
      </c>
    </row>
    <row r="407" spans="1:11" x14ac:dyDescent="0.25">
      <c r="A407" s="4" t="s">
        <v>11</v>
      </c>
      <c r="B407" s="4" t="s">
        <v>442</v>
      </c>
      <c r="C407" s="4" t="s">
        <v>23</v>
      </c>
      <c r="D407" s="4">
        <v>25707010</v>
      </c>
      <c r="E407" s="4" t="s">
        <v>700</v>
      </c>
      <c r="F407" s="4" t="s">
        <v>173</v>
      </c>
      <c r="G407" s="5">
        <v>295131331</v>
      </c>
      <c r="H407" s="5">
        <v>180530271</v>
      </c>
      <c r="I407" s="5">
        <v>1173018</v>
      </c>
      <c r="J407" s="5" t="s">
        <v>173</v>
      </c>
      <c r="K407" s="5">
        <v>115774078</v>
      </c>
    </row>
    <row r="408" spans="1:11" x14ac:dyDescent="0.25">
      <c r="A408" s="4" t="s">
        <v>11</v>
      </c>
      <c r="B408" s="4" t="s">
        <v>442</v>
      </c>
      <c r="C408" s="4" t="s">
        <v>26</v>
      </c>
      <c r="D408" s="4">
        <v>2570701005</v>
      </c>
      <c r="E408" s="4" t="s">
        <v>702</v>
      </c>
      <c r="F408" s="4" t="s">
        <v>173</v>
      </c>
      <c r="G408" s="5">
        <v>114760</v>
      </c>
      <c r="H408" s="5">
        <v>114760</v>
      </c>
      <c r="I408" s="5">
        <v>0</v>
      </c>
      <c r="J408" s="5" t="s">
        <v>173</v>
      </c>
      <c r="K408" s="5">
        <v>0</v>
      </c>
    </row>
    <row r="409" spans="1:11" x14ac:dyDescent="0.25">
      <c r="A409" s="4" t="s">
        <v>11</v>
      </c>
      <c r="B409" s="4" t="s">
        <v>442</v>
      </c>
      <c r="C409" s="4" t="s">
        <v>26</v>
      </c>
      <c r="D409" s="4">
        <v>2570701010</v>
      </c>
      <c r="E409" s="4" t="s">
        <v>704</v>
      </c>
      <c r="F409" s="4" t="s">
        <v>173</v>
      </c>
      <c r="G409" s="5">
        <v>46341173</v>
      </c>
      <c r="H409" s="5">
        <v>46341173</v>
      </c>
      <c r="I409" s="5">
        <v>0</v>
      </c>
      <c r="J409" s="5" t="s">
        <v>173</v>
      </c>
      <c r="K409" s="5">
        <v>0</v>
      </c>
    </row>
    <row r="410" spans="1:11" x14ac:dyDescent="0.25">
      <c r="A410" s="4" t="s">
        <v>11</v>
      </c>
      <c r="B410" s="4" t="s">
        <v>442</v>
      </c>
      <c r="C410" s="4" t="s">
        <v>26</v>
      </c>
      <c r="D410" s="4">
        <v>2570701015</v>
      </c>
      <c r="E410" s="4" t="s">
        <v>706</v>
      </c>
      <c r="F410" s="4" t="s">
        <v>173</v>
      </c>
      <c r="G410" s="5">
        <v>233820830</v>
      </c>
      <c r="H410" s="5">
        <v>119069342</v>
      </c>
      <c r="I410" s="5">
        <v>1173018</v>
      </c>
      <c r="J410" s="5" t="s">
        <v>173</v>
      </c>
      <c r="K410" s="5">
        <v>115924506</v>
      </c>
    </row>
    <row r="411" spans="1:11" x14ac:dyDescent="0.25">
      <c r="A411" s="4" t="s">
        <v>11</v>
      </c>
      <c r="B411" s="4" t="s">
        <v>442</v>
      </c>
      <c r="C411" s="4" t="s">
        <v>26</v>
      </c>
      <c r="D411" s="4">
        <v>2570701020</v>
      </c>
      <c r="E411" s="4" t="s">
        <v>708</v>
      </c>
      <c r="F411" s="4" t="s">
        <v>173</v>
      </c>
      <c r="G411" s="5">
        <v>14744773</v>
      </c>
      <c r="H411" s="5">
        <v>14744773</v>
      </c>
      <c r="I411" s="5">
        <v>0</v>
      </c>
      <c r="J411" s="5" t="s">
        <v>173</v>
      </c>
      <c r="K411" s="5">
        <v>0</v>
      </c>
    </row>
    <row r="412" spans="1:11" x14ac:dyDescent="0.25">
      <c r="A412" s="4" t="s">
        <v>11</v>
      </c>
      <c r="B412" s="4" t="s">
        <v>442</v>
      </c>
      <c r="C412" s="4" t="s">
        <v>26</v>
      </c>
      <c r="D412" s="4">
        <v>2570701030</v>
      </c>
      <c r="E412" s="4" t="s">
        <v>710</v>
      </c>
      <c r="F412" s="4" t="s">
        <v>173</v>
      </c>
      <c r="G412" s="5">
        <v>109795</v>
      </c>
      <c r="H412" s="5">
        <v>109795</v>
      </c>
      <c r="I412" s="5">
        <v>0</v>
      </c>
      <c r="J412" s="5" t="s">
        <v>173</v>
      </c>
      <c r="K412" s="5">
        <v>0</v>
      </c>
    </row>
    <row r="413" spans="1:11" x14ac:dyDescent="0.25">
      <c r="A413" s="4" t="s">
        <v>11</v>
      </c>
      <c r="B413" s="4" t="s">
        <v>442</v>
      </c>
      <c r="C413" s="4" t="s">
        <v>26</v>
      </c>
      <c r="D413" s="4">
        <v>2570701035</v>
      </c>
      <c r="E413" s="4" t="s">
        <v>712</v>
      </c>
      <c r="F413" s="4" t="s">
        <v>173</v>
      </c>
      <c r="G413" s="5">
        <v>0</v>
      </c>
      <c r="H413" s="5">
        <v>150428</v>
      </c>
      <c r="I413" s="5">
        <v>0</v>
      </c>
      <c r="J413" s="5" t="s">
        <v>14</v>
      </c>
      <c r="K413" s="5">
        <v>-150428</v>
      </c>
    </row>
    <row r="414" spans="1:11" x14ac:dyDescent="0.25">
      <c r="A414" s="4" t="s">
        <v>11</v>
      </c>
      <c r="B414" s="4" t="s">
        <v>442</v>
      </c>
      <c r="C414" s="4" t="s">
        <v>15</v>
      </c>
      <c r="D414" s="4">
        <v>26</v>
      </c>
      <c r="E414" s="4" t="s">
        <v>714</v>
      </c>
      <c r="F414" s="4" t="s">
        <v>173</v>
      </c>
      <c r="G414" s="5">
        <v>1291115427.77</v>
      </c>
      <c r="H414" s="5">
        <v>0</v>
      </c>
      <c r="I414" s="5">
        <v>46699939</v>
      </c>
      <c r="J414" s="5" t="s">
        <v>173</v>
      </c>
      <c r="K414" s="5">
        <v>1337815366.77</v>
      </c>
    </row>
    <row r="415" spans="1:11" x14ac:dyDescent="0.25">
      <c r="A415" s="4" t="s">
        <v>11</v>
      </c>
      <c r="B415" s="4" t="s">
        <v>442</v>
      </c>
      <c r="C415" s="4" t="s">
        <v>18</v>
      </c>
      <c r="D415" s="4">
        <v>2635</v>
      </c>
      <c r="E415" s="4" t="s">
        <v>716</v>
      </c>
      <c r="F415" s="4" t="s">
        <v>173</v>
      </c>
      <c r="G415" s="5">
        <v>1291115427.77</v>
      </c>
      <c r="H415" s="5">
        <v>0</v>
      </c>
      <c r="I415" s="5">
        <v>46699939</v>
      </c>
      <c r="J415" s="5" t="s">
        <v>173</v>
      </c>
      <c r="K415" s="5">
        <v>1337815366.77</v>
      </c>
    </row>
    <row r="416" spans="1:11" x14ac:dyDescent="0.25">
      <c r="A416" s="4" t="s">
        <v>11</v>
      </c>
      <c r="B416" s="4" t="s">
        <v>442</v>
      </c>
      <c r="C416" s="4" t="s">
        <v>21</v>
      </c>
      <c r="D416" s="4">
        <v>263535</v>
      </c>
      <c r="E416" s="4" t="s">
        <v>716</v>
      </c>
      <c r="F416" s="4" t="s">
        <v>173</v>
      </c>
      <c r="G416" s="5">
        <v>1291115427.77</v>
      </c>
      <c r="H416" s="5">
        <v>0</v>
      </c>
      <c r="I416" s="5">
        <v>46699939</v>
      </c>
      <c r="J416" s="5" t="s">
        <v>173</v>
      </c>
      <c r="K416" s="5">
        <v>1337815366.77</v>
      </c>
    </row>
    <row r="417" spans="1:11" x14ac:dyDescent="0.25">
      <c r="A417" s="4" t="s">
        <v>11</v>
      </c>
      <c r="B417" s="4" t="s">
        <v>442</v>
      </c>
      <c r="C417" s="4" t="s">
        <v>23</v>
      </c>
      <c r="D417" s="4">
        <v>26353525</v>
      </c>
      <c r="E417" s="4" t="s">
        <v>719</v>
      </c>
      <c r="F417" s="4" t="s">
        <v>173</v>
      </c>
      <c r="G417" s="5">
        <v>1291115427.77</v>
      </c>
      <c r="H417" s="5">
        <v>0</v>
      </c>
      <c r="I417" s="5">
        <v>46699939</v>
      </c>
      <c r="J417" s="5" t="s">
        <v>173</v>
      </c>
      <c r="K417" s="5">
        <v>1337815366.77</v>
      </c>
    </row>
    <row r="418" spans="1:11" x14ac:dyDescent="0.25">
      <c r="A418" s="4" t="s">
        <v>11</v>
      </c>
      <c r="B418" s="4" t="s">
        <v>442</v>
      </c>
      <c r="C418" s="4" t="s">
        <v>26</v>
      </c>
      <c r="D418" s="4">
        <v>2635352505</v>
      </c>
      <c r="E418" s="4" t="s">
        <v>721</v>
      </c>
      <c r="F418" s="4" t="s">
        <v>173</v>
      </c>
      <c r="G418" s="5">
        <v>164471976</v>
      </c>
      <c r="H418" s="5">
        <v>0</v>
      </c>
      <c r="I418" s="5">
        <v>14421865</v>
      </c>
      <c r="J418" s="5" t="s">
        <v>173</v>
      </c>
      <c r="K418" s="5">
        <v>178893841</v>
      </c>
    </row>
    <row r="419" spans="1:11" x14ac:dyDescent="0.25">
      <c r="A419" s="4" t="s">
        <v>11</v>
      </c>
      <c r="B419" s="4" t="s">
        <v>442</v>
      </c>
      <c r="C419" s="4" t="s">
        <v>26</v>
      </c>
      <c r="D419" s="4">
        <v>2635352510</v>
      </c>
      <c r="E419" s="4" t="s">
        <v>723</v>
      </c>
      <c r="F419" s="4" t="s">
        <v>173</v>
      </c>
      <c r="G419" s="5">
        <v>1124998011.77</v>
      </c>
      <c r="H419" s="5">
        <v>0</v>
      </c>
      <c r="I419" s="5">
        <v>32113530</v>
      </c>
      <c r="J419" s="5" t="s">
        <v>173</v>
      </c>
      <c r="K419" s="5">
        <v>1157111541.77</v>
      </c>
    </row>
    <row r="420" spans="1:11" x14ac:dyDescent="0.25">
      <c r="A420" s="4" t="s">
        <v>11</v>
      </c>
      <c r="B420" s="4" t="s">
        <v>442</v>
      </c>
      <c r="C420" s="4" t="s">
        <v>26</v>
      </c>
      <c r="D420" s="4">
        <v>2635352520</v>
      </c>
      <c r="E420" s="4" t="s">
        <v>725</v>
      </c>
      <c r="F420" s="4" t="s">
        <v>173</v>
      </c>
      <c r="G420" s="5">
        <v>1645440</v>
      </c>
      <c r="H420" s="5">
        <v>0</v>
      </c>
      <c r="I420" s="5">
        <v>164544</v>
      </c>
      <c r="J420" s="5" t="s">
        <v>173</v>
      </c>
      <c r="K420" s="5">
        <v>1809984</v>
      </c>
    </row>
    <row r="421" spans="1:11" x14ac:dyDescent="0.25">
      <c r="A421" s="4" t="s">
        <v>11</v>
      </c>
      <c r="B421" s="4" t="s">
        <v>442</v>
      </c>
      <c r="C421" s="4" t="s">
        <v>15</v>
      </c>
      <c r="D421" s="4">
        <v>28</v>
      </c>
      <c r="E421" s="4" t="s">
        <v>727</v>
      </c>
      <c r="F421" s="4" t="s">
        <v>173</v>
      </c>
      <c r="G421" s="5">
        <v>2973462312.6799998</v>
      </c>
      <c r="H421" s="5">
        <v>3657057871.71</v>
      </c>
      <c r="I421" s="5">
        <v>3883792339.8000002</v>
      </c>
      <c r="J421" s="5" t="s">
        <v>173</v>
      </c>
      <c r="K421" s="5">
        <v>3200196780.77</v>
      </c>
    </row>
    <row r="422" spans="1:11" x14ac:dyDescent="0.25">
      <c r="A422" s="4" t="s">
        <v>11</v>
      </c>
      <c r="B422" s="4" t="s">
        <v>442</v>
      </c>
      <c r="C422" s="4" t="s">
        <v>18</v>
      </c>
      <c r="D422" s="4">
        <v>2805</v>
      </c>
      <c r="E422" s="4" t="s">
        <v>729</v>
      </c>
      <c r="F422" s="4" t="s">
        <v>173</v>
      </c>
      <c r="G422" s="5">
        <v>2909327312.6799998</v>
      </c>
      <c r="H422" s="5">
        <v>3657057871.71</v>
      </c>
      <c r="I422" s="5">
        <v>3883142339.8000002</v>
      </c>
      <c r="J422" s="5" t="s">
        <v>173</v>
      </c>
      <c r="K422" s="5">
        <v>3135411780.77</v>
      </c>
    </row>
    <row r="423" spans="1:11" x14ac:dyDescent="0.25">
      <c r="A423" s="4" t="s">
        <v>11</v>
      </c>
      <c r="B423" s="4" t="s">
        <v>442</v>
      </c>
      <c r="C423" s="4" t="s">
        <v>21</v>
      </c>
      <c r="D423" s="4">
        <v>280505</v>
      </c>
      <c r="E423" s="4" t="s">
        <v>729</v>
      </c>
      <c r="F423" s="4" t="s">
        <v>173</v>
      </c>
      <c r="G423" s="5">
        <v>2909327312.6799998</v>
      </c>
      <c r="H423" s="5">
        <v>3657057871.71</v>
      </c>
      <c r="I423" s="5">
        <v>3883142339.8000002</v>
      </c>
      <c r="J423" s="5" t="s">
        <v>173</v>
      </c>
      <c r="K423" s="5">
        <v>3135411780.77</v>
      </c>
    </row>
    <row r="424" spans="1:11" x14ac:dyDescent="0.25">
      <c r="A424" s="4" t="s">
        <v>11</v>
      </c>
      <c r="B424" s="4" t="s">
        <v>442</v>
      </c>
      <c r="C424" s="4" t="s">
        <v>23</v>
      </c>
      <c r="D424" s="4">
        <v>28050505</v>
      </c>
      <c r="E424" s="4" t="s">
        <v>732</v>
      </c>
      <c r="F424" s="4" t="s">
        <v>173</v>
      </c>
      <c r="G424" s="5">
        <v>2909327312.6799998</v>
      </c>
      <c r="H424" s="5">
        <v>3657057871.71</v>
      </c>
      <c r="I424" s="5">
        <v>3883142339.8000002</v>
      </c>
      <c r="J424" s="5" t="s">
        <v>173</v>
      </c>
      <c r="K424" s="5">
        <v>3135411780.77</v>
      </c>
    </row>
    <row r="425" spans="1:11" x14ac:dyDescent="0.25">
      <c r="A425" s="4" t="s">
        <v>11</v>
      </c>
      <c r="B425" s="4" t="s">
        <v>442</v>
      </c>
      <c r="C425" s="4" t="s">
        <v>26</v>
      </c>
      <c r="D425" s="4">
        <v>2805050505</v>
      </c>
      <c r="E425" s="4" t="s">
        <v>734</v>
      </c>
      <c r="F425" s="4" t="s">
        <v>173</v>
      </c>
      <c r="G425" s="5">
        <v>16373134.34</v>
      </c>
      <c r="H425" s="5">
        <v>58687804</v>
      </c>
      <c r="I425" s="5">
        <v>49570129</v>
      </c>
      <c r="J425" s="5" t="s">
        <v>173</v>
      </c>
      <c r="K425" s="5">
        <v>7255459.3399999999</v>
      </c>
    </row>
    <row r="426" spans="1:11" x14ac:dyDescent="0.25">
      <c r="A426" s="4" t="s">
        <v>11</v>
      </c>
      <c r="B426" s="4" t="s">
        <v>442</v>
      </c>
      <c r="C426" s="4" t="s">
        <v>26</v>
      </c>
      <c r="D426" s="4">
        <v>2805050510</v>
      </c>
      <c r="E426" s="4" t="s">
        <v>736</v>
      </c>
      <c r="F426" s="4" t="s">
        <v>173</v>
      </c>
      <c r="G426" s="5">
        <v>23656886</v>
      </c>
      <c r="H426" s="5">
        <v>28891637</v>
      </c>
      <c r="I426" s="5">
        <v>31939034</v>
      </c>
      <c r="J426" s="5" t="s">
        <v>173</v>
      </c>
      <c r="K426" s="5">
        <v>26704283</v>
      </c>
    </row>
    <row r="427" spans="1:11" x14ac:dyDescent="0.25">
      <c r="A427" s="4" t="s">
        <v>11</v>
      </c>
      <c r="B427" s="4" t="s">
        <v>442</v>
      </c>
      <c r="C427" s="4" t="s">
        <v>26</v>
      </c>
      <c r="D427" s="4">
        <v>2805050515</v>
      </c>
      <c r="E427" s="4" t="s">
        <v>738</v>
      </c>
      <c r="F427" s="4" t="s">
        <v>173</v>
      </c>
      <c r="G427" s="5">
        <v>3611386</v>
      </c>
      <c r="H427" s="5">
        <v>8207030</v>
      </c>
      <c r="I427" s="5">
        <v>8043706</v>
      </c>
      <c r="J427" s="5" t="s">
        <v>173</v>
      </c>
      <c r="K427" s="5">
        <v>3448062</v>
      </c>
    </row>
    <row r="428" spans="1:11" x14ac:dyDescent="0.25">
      <c r="A428" s="4" t="s">
        <v>11</v>
      </c>
      <c r="B428" s="4" t="s">
        <v>442</v>
      </c>
      <c r="C428" s="4" t="s">
        <v>26</v>
      </c>
      <c r="D428" s="4">
        <v>2805050520</v>
      </c>
      <c r="E428" s="4" t="s">
        <v>740</v>
      </c>
      <c r="F428" s="4" t="s">
        <v>173</v>
      </c>
      <c r="G428" s="5">
        <v>2859471794.3400002</v>
      </c>
      <c r="H428" s="5">
        <v>3555908022.71</v>
      </c>
      <c r="I428" s="5">
        <v>3780140764.8000002</v>
      </c>
      <c r="J428" s="5" t="s">
        <v>173</v>
      </c>
      <c r="K428" s="5">
        <v>3083704536.4299998</v>
      </c>
    </row>
    <row r="429" spans="1:11" x14ac:dyDescent="0.25">
      <c r="A429" s="4" t="s">
        <v>11</v>
      </c>
      <c r="B429" s="4" t="s">
        <v>442</v>
      </c>
      <c r="C429" s="4" t="s">
        <v>26</v>
      </c>
      <c r="D429" s="4">
        <v>2805050525</v>
      </c>
      <c r="E429" s="4" t="s">
        <v>742</v>
      </c>
      <c r="F429" s="4" t="s">
        <v>173</v>
      </c>
      <c r="G429" s="5">
        <v>6214112</v>
      </c>
      <c r="H429" s="5">
        <v>5363378</v>
      </c>
      <c r="I429" s="5">
        <v>5363378</v>
      </c>
      <c r="J429" s="5" t="s">
        <v>173</v>
      </c>
      <c r="K429" s="5">
        <v>6214112</v>
      </c>
    </row>
    <row r="430" spans="1:11" x14ac:dyDescent="0.25">
      <c r="A430" s="4" t="s">
        <v>11</v>
      </c>
      <c r="B430" s="4" t="s">
        <v>442</v>
      </c>
      <c r="C430" s="4" t="s">
        <v>26</v>
      </c>
      <c r="D430" s="4">
        <v>2805050530</v>
      </c>
      <c r="E430" s="4" t="s">
        <v>744</v>
      </c>
      <c r="F430" s="4" t="s">
        <v>173</v>
      </c>
      <c r="G430" s="5">
        <v>0</v>
      </c>
      <c r="H430" s="5">
        <v>0</v>
      </c>
      <c r="I430" s="5">
        <v>8085328</v>
      </c>
      <c r="J430" s="5" t="s">
        <v>173</v>
      </c>
      <c r="K430" s="5">
        <v>8085328</v>
      </c>
    </row>
    <row r="431" spans="1:11" x14ac:dyDescent="0.25">
      <c r="A431" s="4" t="s">
        <v>11</v>
      </c>
      <c r="B431" s="4" t="s">
        <v>442</v>
      </c>
      <c r="C431" s="4" t="s">
        <v>18</v>
      </c>
      <c r="D431" s="4">
        <v>2810</v>
      </c>
      <c r="E431" s="4" t="s">
        <v>746</v>
      </c>
      <c r="F431" s="4" t="s">
        <v>173</v>
      </c>
      <c r="G431" s="5">
        <v>64135000</v>
      </c>
      <c r="H431" s="5">
        <v>0</v>
      </c>
      <c r="I431" s="5">
        <v>650000</v>
      </c>
      <c r="J431" s="5" t="s">
        <v>173</v>
      </c>
      <c r="K431" s="5">
        <v>64785000</v>
      </c>
    </row>
    <row r="432" spans="1:11" x14ac:dyDescent="0.25">
      <c r="A432" s="4" t="s">
        <v>11</v>
      </c>
      <c r="B432" s="4" t="s">
        <v>442</v>
      </c>
      <c r="C432" s="4" t="s">
        <v>21</v>
      </c>
      <c r="D432" s="4">
        <v>281095</v>
      </c>
      <c r="E432" s="4" t="s">
        <v>748</v>
      </c>
      <c r="F432" s="4" t="s">
        <v>173</v>
      </c>
      <c r="G432" s="5">
        <v>64135000</v>
      </c>
      <c r="H432" s="5">
        <v>0</v>
      </c>
      <c r="I432" s="5">
        <v>650000</v>
      </c>
      <c r="J432" s="5" t="s">
        <v>173</v>
      </c>
      <c r="K432" s="5">
        <v>64785000</v>
      </c>
    </row>
    <row r="433" spans="1:11" x14ac:dyDescent="0.25">
      <c r="A433" s="4" t="s">
        <v>11</v>
      </c>
      <c r="B433" s="4" t="s">
        <v>442</v>
      </c>
      <c r="C433" s="4" t="s">
        <v>23</v>
      </c>
      <c r="D433" s="4">
        <v>28109505</v>
      </c>
      <c r="E433" s="4" t="s">
        <v>748</v>
      </c>
      <c r="F433" s="4" t="s">
        <v>173</v>
      </c>
      <c r="G433" s="5">
        <v>64135000</v>
      </c>
      <c r="H433" s="5">
        <v>0</v>
      </c>
      <c r="I433" s="5">
        <v>650000</v>
      </c>
      <c r="J433" s="5" t="s">
        <v>173</v>
      </c>
      <c r="K433" s="5">
        <v>64785000</v>
      </c>
    </row>
    <row r="434" spans="1:11" x14ac:dyDescent="0.25">
      <c r="A434" s="4" t="s">
        <v>11</v>
      </c>
      <c r="B434" s="4" t="s">
        <v>442</v>
      </c>
      <c r="C434" s="4" t="s">
        <v>26</v>
      </c>
      <c r="D434" s="4">
        <v>2810950505</v>
      </c>
      <c r="E434" s="4" t="s">
        <v>751</v>
      </c>
      <c r="F434" s="4" t="s">
        <v>173</v>
      </c>
      <c r="G434" s="5">
        <v>64135000</v>
      </c>
      <c r="H434" s="5">
        <v>0</v>
      </c>
      <c r="I434" s="5">
        <v>650000</v>
      </c>
      <c r="J434" s="5" t="s">
        <v>173</v>
      </c>
      <c r="K434" s="5">
        <v>64785000</v>
      </c>
    </row>
    <row r="435" spans="1:11" x14ac:dyDescent="0.25">
      <c r="A435" s="4" t="s">
        <v>11</v>
      </c>
      <c r="B435" s="4" t="s">
        <v>752</v>
      </c>
      <c r="C435" s="4" t="s">
        <v>13</v>
      </c>
      <c r="D435" s="4">
        <v>3</v>
      </c>
      <c r="E435" s="4" t="s">
        <v>752</v>
      </c>
      <c r="F435" s="4" t="s">
        <v>173</v>
      </c>
      <c r="G435" s="5">
        <v>13295652595.190001</v>
      </c>
      <c r="H435" s="5">
        <v>0</v>
      </c>
      <c r="I435" s="5">
        <v>0</v>
      </c>
      <c r="J435" s="5" t="s">
        <v>173</v>
      </c>
      <c r="K435" s="5">
        <v>13295652595.190001</v>
      </c>
    </row>
    <row r="436" spans="1:11" x14ac:dyDescent="0.25">
      <c r="A436" s="4" t="s">
        <v>11</v>
      </c>
      <c r="B436" s="4" t="s">
        <v>752</v>
      </c>
      <c r="C436" s="4" t="s">
        <v>15</v>
      </c>
      <c r="D436" s="4">
        <v>31</v>
      </c>
      <c r="E436" s="4" t="s">
        <v>754</v>
      </c>
      <c r="F436" s="4" t="s">
        <v>173</v>
      </c>
      <c r="G436" s="5">
        <v>6060896686.6499996</v>
      </c>
      <c r="H436" s="5">
        <v>0</v>
      </c>
      <c r="I436" s="5">
        <v>0</v>
      </c>
      <c r="J436" s="5" t="s">
        <v>173</v>
      </c>
      <c r="K436" s="5">
        <v>6060896686.6499996</v>
      </c>
    </row>
    <row r="437" spans="1:11" x14ac:dyDescent="0.25">
      <c r="A437" s="4" t="s">
        <v>11</v>
      </c>
      <c r="B437" s="4" t="s">
        <v>752</v>
      </c>
      <c r="C437" s="4" t="s">
        <v>18</v>
      </c>
      <c r="D437" s="4">
        <v>3140</v>
      </c>
      <c r="E437" s="4" t="s">
        <v>756</v>
      </c>
      <c r="F437" s="4" t="s">
        <v>173</v>
      </c>
      <c r="G437" s="5">
        <v>6060896686.6499996</v>
      </c>
      <c r="H437" s="5">
        <v>0</v>
      </c>
      <c r="I437" s="5">
        <v>0</v>
      </c>
      <c r="J437" s="5" t="s">
        <v>173</v>
      </c>
      <c r="K437" s="5">
        <v>6060896686.6499996</v>
      </c>
    </row>
    <row r="438" spans="1:11" x14ac:dyDescent="0.25">
      <c r="A438" s="4" t="s">
        <v>11</v>
      </c>
      <c r="B438" s="4" t="s">
        <v>752</v>
      </c>
      <c r="C438" s="4" t="s">
        <v>21</v>
      </c>
      <c r="D438" s="4">
        <v>314040</v>
      </c>
      <c r="E438" s="4" t="s">
        <v>756</v>
      </c>
      <c r="F438" s="4" t="s">
        <v>173</v>
      </c>
      <c r="G438" s="5">
        <v>6060896686.6499996</v>
      </c>
      <c r="H438" s="5">
        <v>0</v>
      </c>
      <c r="I438" s="5">
        <v>0</v>
      </c>
      <c r="J438" s="5" t="s">
        <v>173</v>
      </c>
      <c r="K438" s="5">
        <v>6060896686.6499996</v>
      </c>
    </row>
    <row r="439" spans="1:11" x14ac:dyDescent="0.25">
      <c r="A439" s="4" t="s">
        <v>11</v>
      </c>
      <c r="B439" s="4" t="s">
        <v>752</v>
      </c>
      <c r="C439" s="4" t="s">
        <v>23</v>
      </c>
      <c r="D439" s="4">
        <v>31404005</v>
      </c>
      <c r="E439" s="4" t="s">
        <v>756</v>
      </c>
      <c r="F439" s="4" t="s">
        <v>173</v>
      </c>
      <c r="G439" s="5">
        <v>6060896686.6499996</v>
      </c>
      <c r="H439" s="5">
        <v>0</v>
      </c>
      <c r="I439" s="5">
        <v>0</v>
      </c>
      <c r="J439" s="5" t="s">
        <v>173</v>
      </c>
      <c r="K439" s="5">
        <v>6060896686.6499996</v>
      </c>
    </row>
    <row r="440" spans="1:11" x14ac:dyDescent="0.25">
      <c r="A440" s="4" t="s">
        <v>11</v>
      </c>
      <c r="B440" s="4" t="s">
        <v>752</v>
      </c>
      <c r="C440" s="4" t="s">
        <v>26</v>
      </c>
      <c r="D440" s="4">
        <v>3140400505</v>
      </c>
      <c r="E440" s="4" t="s">
        <v>756</v>
      </c>
      <c r="F440" s="4" t="s">
        <v>173</v>
      </c>
      <c r="G440" s="5">
        <v>6060896686.6499996</v>
      </c>
      <c r="H440" s="5">
        <v>0</v>
      </c>
      <c r="I440" s="5">
        <v>0</v>
      </c>
      <c r="J440" s="5" t="s">
        <v>173</v>
      </c>
      <c r="K440" s="5">
        <v>6060896686.6499996</v>
      </c>
    </row>
    <row r="441" spans="1:11" x14ac:dyDescent="0.25">
      <c r="A441" s="4" t="s">
        <v>11</v>
      </c>
      <c r="B441" s="4" t="s">
        <v>752</v>
      </c>
      <c r="C441" s="4" t="s">
        <v>15</v>
      </c>
      <c r="D441" s="4">
        <v>37</v>
      </c>
      <c r="E441" s="4" t="s">
        <v>761</v>
      </c>
      <c r="F441" s="4" t="s">
        <v>173</v>
      </c>
      <c r="G441" s="5">
        <v>7234755908.54</v>
      </c>
      <c r="H441" s="5">
        <v>0</v>
      </c>
      <c r="I441" s="5">
        <v>0</v>
      </c>
      <c r="J441" s="5" t="s">
        <v>173</v>
      </c>
      <c r="K441" s="5">
        <v>7234755908.54</v>
      </c>
    </row>
    <row r="442" spans="1:11" x14ac:dyDescent="0.25">
      <c r="A442" s="4" t="s">
        <v>11</v>
      </c>
      <c r="B442" s="4" t="s">
        <v>752</v>
      </c>
      <c r="C442" s="4" t="s">
        <v>18</v>
      </c>
      <c r="D442" s="4">
        <v>3710</v>
      </c>
      <c r="E442" s="4" t="s">
        <v>763</v>
      </c>
      <c r="F442" s="4" t="s">
        <v>14</v>
      </c>
      <c r="G442" s="5">
        <v>6172504960.8299999</v>
      </c>
      <c r="H442" s="5">
        <v>0</v>
      </c>
      <c r="I442" s="5">
        <v>0</v>
      </c>
      <c r="J442" s="5" t="s">
        <v>14</v>
      </c>
      <c r="K442" s="5">
        <v>6172504960.8299999</v>
      </c>
    </row>
    <row r="443" spans="1:11" x14ac:dyDescent="0.25">
      <c r="A443" s="4" t="s">
        <v>11</v>
      </c>
      <c r="B443" s="4" t="s">
        <v>752</v>
      </c>
      <c r="C443" s="4" t="s">
        <v>21</v>
      </c>
      <c r="D443" s="4">
        <v>371010</v>
      </c>
      <c r="E443" s="4" t="s">
        <v>763</v>
      </c>
      <c r="F443" s="4" t="s">
        <v>14</v>
      </c>
      <c r="G443" s="5">
        <v>6172504960.8299999</v>
      </c>
      <c r="H443" s="5">
        <v>0</v>
      </c>
      <c r="I443" s="5">
        <v>0</v>
      </c>
      <c r="J443" s="5" t="s">
        <v>14</v>
      </c>
      <c r="K443" s="5">
        <v>6172504960.8299999</v>
      </c>
    </row>
    <row r="444" spans="1:11" x14ac:dyDescent="0.25">
      <c r="A444" s="4" t="s">
        <v>11</v>
      </c>
      <c r="B444" s="4" t="s">
        <v>752</v>
      </c>
      <c r="C444" s="4" t="s">
        <v>23</v>
      </c>
      <c r="D444" s="4">
        <v>37101005</v>
      </c>
      <c r="E444" s="4" t="s">
        <v>763</v>
      </c>
      <c r="F444" s="4" t="s">
        <v>14</v>
      </c>
      <c r="G444" s="5">
        <v>6172504960.8299999</v>
      </c>
      <c r="H444" s="5">
        <v>0</v>
      </c>
      <c r="I444" s="5">
        <v>0</v>
      </c>
      <c r="J444" s="5" t="s">
        <v>14</v>
      </c>
      <c r="K444" s="5">
        <v>6172504960.8299999</v>
      </c>
    </row>
    <row r="445" spans="1:11" x14ac:dyDescent="0.25">
      <c r="A445" s="4" t="s">
        <v>11</v>
      </c>
      <c r="B445" s="4" t="s">
        <v>752</v>
      </c>
      <c r="C445" s="4" t="s">
        <v>26</v>
      </c>
      <c r="D445" s="4">
        <v>3710100505</v>
      </c>
      <c r="E445" s="4" t="s">
        <v>763</v>
      </c>
      <c r="F445" s="4" t="s">
        <v>14</v>
      </c>
      <c r="G445" s="5">
        <v>6172504960.8299999</v>
      </c>
      <c r="H445" s="5">
        <v>0</v>
      </c>
      <c r="I445" s="5">
        <v>0</v>
      </c>
      <c r="J445" s="5" t="s">
        <v>14</v>
      </c>
      <c r="K445" s="5">
        <v>6172504960.8299999</v>
      </c>
    </row>
    <row r="446" spans="1:11" x14ac:dyDescent="0.25">
      <c r="A446" s="4" t="s">
        <v>11</v>
      </c>
      <c r="B446" s="4" t="s">
        <v>752</v>
      </c>
      <c r="C446" s="4" t="s">
        <v>18</v>
      </c>
      <c r="D446" s="4">
        <v>3715</v>
      </c>
      <c r="E446" s="4" t="s">
        <v>768</v>
      </c>
      <c r="F446" s="4" t="s">
        <v>173</v>
      </c>
      <c r="G446" s="5">
        <v>13407260869.370001</v>
      </c>
      <c r="H446" s="5">
        <v>0</v>
      </c>
      <c r="I446" s="5">
        <v>0</v>
      </c>
      <c r="J446" s="5" t="s">
        <v>173</v>
      </c>
      <c r="K446" s="5">
        <v>13407260869.370001</v>
      </c>
    </row>
    <row r="447" spans="1:11" x14ac:dyDescent="0.25">
      <c r="A447" s="4" t="s">
        <v>11</v>
      </c>
      <c r="B447" s="4" t="s">
        <v>752</v>
      </c>
      <c r="C447" s="4" t="s">
        <v>21</v>
      </c>
      <c r="D447" s="4">
        <v>371505</v>
      </c>
      <c r="E447" s="4" t="s">
        <v>770</v>
      </c>
      <c r="F447" s="4" t="s">
        <v>173</v>
      </c>
      <c r="G447" s="5">
        <v>13407260869.370001</v>
      </c>
      <c r="H447" s="5">
        <v>0</v>
      </c>
      <c r="I447" s="5">
        <v>0</v>
      </c>
      <c r="J447" s="5" t="s">
        <v>173</v>
      </c>
      <c r="K447" s="5">
        <v>13407260869.370001</v>
      </c>
    </row>
    <row r="448" spans="1:11" x14ac:dyDescent="0.25">
      <c r="A448" s="4" t="s">
        <v>11</v>
      </c>
      <c r="B448" s="4" t="s">
        <v>752</v>
      </c>
      <c r="C448" s="4" t="s">
        <v>23</v>
      </c>
      <c r="D448" s="4">
        <v>37150505</v>
      </c>
      <c r="E448" s="4" t="s">
        <v>770</v>
      </c>
      <c r="F448" s="4" t="s">
        <v>173</v>
      </c>
      <c r="G448" s="5">
        <v>13407260869.370001</v>
      </c>
      <c r="H448" s="5">
        <v>0</v>
      </c>
      <c r="I448" s="5">
        <v>0</v>
      </c>
      <c r="J448" s="5" t="s">
        <v>173</v>
      </c>
      <c r="K448" s="5">
        <v>13407260869.370001</v>
      </c>
    </row>
    <row r="449" spans="1:11" x14ac:dyDescent="0.25">
      <c r="A449" s="4" t="s">
        <v>11</v>
      </c>
      <c r="B449" s="4" t="s">
        <v>752</v>
      </c>
      <c r="C449" s="4" t="s">
        <v>26</v>
      </c>
      <c r="D449" s="4">
        <v>3715050505</v>
      </c>
      <c r="E449" s="4" t="s">
        <v>770</v>
      </c>
      <c r="F449" s="4" t="s">
        <v>173</v>
      </c>
      <c r="G449" s="5">
        <v>13407260869.370001</v>
      </c>
      <c r="H449" s="5">
        <v>0</v>
      </c>
      <c r="I449" s="5">
        <v>0</v>
      </c>
      <c r="J449" s="5" t="s">
        <v>173</v>
      </c>
      <c r="K449" s="5">
        <v>13407260869.370001</v>
      </c>
    </row>
    <row r="450" spans="1:11" x14ac:dyDescent="0.25">
      <c r="A450" s="4" t="s">
        <v>11</v>
      </c>
      <c r="B450" s="4" t="s">
        <v>773</v>
      </c>
      <c r="C450" s="4" t="s">
        <v>13</v>
      </c>
      <c r="D450" s="4">
        <v>4</v>
      </c>
      <c r="E450" s="4" t="s">
        <v>773</v>
      </c>
      <c r="F450" s="4" t="s">
        <v>173</v>
      </c>
      <c r="G450" s="5">
        <v>47434714753.239998</v>
      </c>
      <c r="H450" s="5">
        <v>4035753603</v>
      </c>
      <c r="I450" s="5">
        <v>3661648170</v>
      </c>
      <c r="J450" s="5" t="s">
        <v>173</v>
      </c>
      <c r="K450" s="5">
        <v>47060609320.239998</v>
      </c>
    </row>
    <row r="451" spans="1:11" x14ac:dyDescent="0.25">
      <c r="A451" s="4" t="s">
        <v>11</v>
      </c>
      <c r="B451" s="4" t="s">
        <v>773</v>
      </c>
      <c r="C451" s="4" t="s">
        <v>15</v>
      </c>
      <c r="D451" s="4">
        <v>41</v>
      </c>
      <c r="E451" s="4" t="s">
        <v>775</v>
      </c>
      <c r="F451" s="4" t="s">
        <v>173</v>
      </c>
      <c r="G451" s="5">
        <v>46877026733.559998</v>
      </c>
      <c r="H451" s="5">
        <v>4035753603</v>
      </c>
      <c r="I451" s="5">
        <v>3656383140</v>
      </c>
      <c r="J451" s="5" t="s">
        <v>173</v>
      </c>
      <c r="K451" s="5">
        <v>46497656270.559998</v>
      </c>
    </row>
    <row r="452" spans="1:11" x14ac:dyDescent="0.25">
      <c r="A452" s="4" t="s">
        <v>11</v>
      </c>
      <c r="B452" s="4" t="s">
        <v>773</v>
      </c>
      <c r="C452" s="4" t="s">
        <v>18</v>
      </c>
      <c r="D452" s="4">
        <v>4105</v>
      </c>
      <c r="E452" s="4" t="s">
        <v>777</v>
      </c>
      <c r="F452" s="4" t="s">
        <v>173</v>
      </c>
      <c r="G452" s="5">
        <v>4434132647</v>
      </c>
      <c r="H452" s="5">
        <v>86336061</v>
      </c>
      <c r="I452" s="5">
        <v>318664372</v>
      </c>
      <c r="J452" s="5" t="s">
        <v>173</v>
      </c>
      <c r="K452" s="5">
        <v>4666460958</v>
      </c>
    </row>
    <row r="453" spans="1:11" x14ac:dyDescent="0.25">
      <c r="A453" s="4" t="s">
        <v>11</v>
      </c>
      <c r="B453" s="4" t="s">
        <v>773</v>
      </c>
      <c r="C453" s="4" t="s">
        <v>21</v>
      </c>
      <c r="D453" s="4">
        <v>410505</v>
      </c>
      <c r="E453" s="4" t="s">
        <v>777</v>
      </c>
      <c r="F453" s="4" t="s">
        <v>173</v>
      </c>
      <c r="G453" s="5">
        <v>4434132647</v>
      </c>
      <c r="H453" s="5">
        <v>86336061</v>
      </c>
      <c r="I453" s="5">
        <v>318664372</v>
      </c>
      <c r="J453" s="5" t="s">
        <v>173</v>
      </c>
      <c r="K453" s="5">
        <v>4666460958</v>
      </c>
    </row>
    <row r="454" spans="1:11" x14ac:dyDescent="0.25">
      <c r="A454" s="4" t="s">
        <v>11</v>
      </c>
      <c r="B454" s="4" t="s">
        <v>773</v>
      </c>
      <c r="C454" s="4" t="s">
        <v>23</v>
      </c>
      <c r="D454" s="4">
        <v>41050501</v>
      </c>
      <c r="E454" s="4" t="s">
        <v>237</v>
      </c>
      <c r="F454" s="4" t="s">
        <v>173</v>
      </c>
      <c r="G454" s="5">
        <v>1379828357</v>
      </c>
      <c r="H454" s="5">
        <v>2962268</v>
      </c>
      <c r="I454" s="5">
        <v>71231376</v>
      </c>
      <c r="J454" s="5" t="s">
        <v>173</v>
      </c>
      <c r="K454" s="5">
        <v>1448097465</v>
      </c>
    </row>
    <row r="455" spans="1:11" x14ac:dyDescent="0.25">
      <c r="A455" s="4" t="s">
        <v>11</v>
      </c>
      <c r="B455" s="4" t="s">
        <v>773</v>
      </c>
      <c r="C455" s="4" t="s">
        <v>26</v>
      </c>
      <c r="D455" s="4">
        <v>4105050105</v>
      </c>
      <c r="E455" s="4" t="s">
        <v>237</v>
      </c>
      <c r="F455" s="4" t="s">
        <v>173</v>
      </c>
      <c r="G455" s="5">
        <v>1379828357</v>
      </c>
      <c r="H455" s="5">
        <v>2962268</v>
      </c>
      <c r="I455" s="5">
        <v>71231376</v>
      </c>
      <c r="J455" s="5" t="s">
        <v>173</v>
      </c>
      <c r="K455" s="5">
        <v>1448097465</v>
      </c>
    </row>
    <row r="456" spans="1:11" x14ac:dyDescent="0.25">
      <c r="A456" s="4" t="s">
        <v>11</v>
      </c>
      <c r="B456" s="4" t="s">
        <v>773</v>
      </c>
      <c r="C456" s="4" t="s">
        <v>23</v>
      </c>
      <c r="D456" s="4">
        <v>41050502</v>
      </c>
      <c r="E456" s="4" t="s">
        <v>782</v>
      </c>
      <c r="F456" s="4" t="s">
        <v>173</v>
      </c>
      <c r="G456" s="5">
        <v>715074099</v>
      </c>
      <c r="H456" s="5">
        <v>2650878</v>
      </c>
      <c r="I456" s="5">
        <v>49880257</v>
      </c>
      <c r="J456" s="5" t="s">
        <v>173</v>
      </c>
      <c r="K456" s="5">
        <v>762303478</v>
      </c>
    </row>
    <row r="457" spans="1:11" x14ac:dyDescent="0.25">
      <c r="A457" s="4" t="s">
        <v>11</v>
      </c>
      <c r="B457" s="4" t="s">
        <v>773</v>
      </c>
      <c r="C457" s="4" t="s">
        <v>26</v>
      </c>
      <c r="D457" s="4">
        <v>4105050205</v>
      </c>
      <c r="E457" s="4" t="s">
        <v>784</v>
      </c>
      <c r="F457" s="4" t="s">
        <v>173</v>
      </c>
      <c r="G457" s="5">
        <v>715074099</v>
      </c>
      <c r="H457" s="5">
        <v>2650878</v>
      </c>
      <c r="I457" s="5">
        <v>49880257</v>
      </c>
      <c r="J457" s="5" t="s">
        <v>173</v>
      </c>
      <c r="K457" s="5">
        <v>762303478</v>
      </c>
    </row>
    <row r="458" spans="1:11" x14ac:dyDescent="0.25">
      <c r="A458" s="4" t="s">
        <v>11</v>
      </c>
      <c r="B458" s="4" t="s">
        <v>773</v>
      </c>
      <c r="C458" s="4" t="s">
        <v>23</v>
      </c>
      <c r="D458" s="4">
        <v>41050510</v>
      </c>
      <c r="E458" s="4" t="s">
        <v>554</v>
      </c>
      <c r="F458" s="4" t="s">
        <v>173</v>
      </c>
      <c r="G458" s="5">
        <v>400692702</v>
      </c>
      <c r="H458" s="5">
        <v>2290420</v>
      </c>
      <c r="I458" s="5">
        <v>26166195</v>
      </c>
      <c r="J458" s="5" t="s">
        <v>173</v>
      </c>
      <c r="K458" s="5">
        <v>424568477</v>
      </c>
    </row>
    <row r="459" spans="1:11" x14ac:dyDescent="0.25">
      <c r="A459" s="4" t="s">
        <v>11</v>
      </c>
      <c r="B459" s="4" t="s">
        <v>773</v>
      </c>
      <c r="C459" s="4" t="s">
        <v>26</v>
      </c>
      <c r="D459" s="4">
        <v>4105051005</v>
      </c>
      <c r="E459" s="4" t="s">
        <v>787</v>
      </c>
      <c r="F459" s="4" t="s">
        <v>173</v>
      </c>
      <c r="G459" s="5">
        <v>15175667</v>
      </c>
      <c r="H459" s="5">
        <v>363124</v>
      </c>
      <c r="I459" s="5">
        <v>809691</v>
      </c>
      <c r="J459" s="5" t="s">
        <v>173</v>
      </c>
      <c r="K459" s="5">
        <v>15622234</v>
      </c>
    </row>
    <row r="460" spans="1:11" x14ac:dyDescent="0.25">
      <c r="A460" s="4" t="s">
        <v>11</v>
      </c>
      <c r="B460" s="4" t="s">
        <v>773</v>
      </c>
      <c r="C460" s="4" t="s">
        <v>26</v>
      </c>
      <c r="D460" s="4">
        <v>4105051010</v>
      </c>
      <c r="E460" s="4" t="s">
        <v>789</v>
      </c>
      <c r="F460" s="4" t="s">
        <v>173</v>
      </c>
      <c r="G460" s="5">
        <v>7164170</v>
      </c>
      <c r="H460" s="5">
        <v>372300</v>
      </c>
      <c r="I460" s="5">
        <v>254600</v>
      </c>
      <c r="J460" s="5" t="s">
        <v>173</v>
      </c>
      <c r="K460" s="5">
        <v>7046470</v>
      </c>
    </row>
    <row r="461" spans="1:11" x14ac:dyDescent="0.25">
      <c r="A461" s="4" t="s">
        <v>11</v>
      </c>
      <c r="B461" s="4" t="s">
        <v>773</v>
      </c>
      <c r="C461" s="4" t="s">
        <v>26</v>
      </c>
      <c r="D461" s="4">
        <v>4105051015</v>
      </c>
      <c r="E461" s="4" t="s">
        <v>791</v>
      </c>
      <c r="F461" s="4" t="s">
        <v>173</v>
      </c>
      <c r="G461" s="5">
        <v>375933392</v>
      </c>
      <c r="H461" s="5">
        <v>1350996</v>
      </c>
      <c r="I461" s="5">
        <v>24187410</v>
      </c>
      <c r="J461" s="5" t="s">
        <v>173</v>
      </c>
      <c r="K461" s="5">
        <v>398769806</v>
      </c>
    </row>
    <row r="462" spans="1:11" x14ac:dyDescent="0.25">
      <c r="A462" s="4" t="s">
        <v>11</v>
      </c>
      <c r="B462" s="4" t="s">
        <v>773</v>
      </c>
      <c r="C462" s="4" t="s">
        <v>26</v>
      </c>
      <c r="D462" s="4">
        <v>4105051020</v>
      </c>
      <c r="E462" s="4" t="s">
        <v>793</v>
      </c>
      <c r="F462" s="4" t="s">
        <v>173</v>
      </c>
      <c r="G462" s="5">
        <v>2419473</v>
      </c>
      <c r="H462" s="5">
        <v>204000</v>
      </c>
      <c r="I462" s="5">
        <v>914494</v>
      </c>
      <c r="J462" s="5" t="s">
        <v>173</v>
      </c>
      <c r="K462" s="5">
        <v>3129967</v>
      </c>
    </row>
    <row r="463" spans="1:11" x14ac:dyDescent="0.25">
      <c r="A463" s="4" t="s">
        <v>11</v>
      </c>
      <c r="B463" s="4" t="s">
        <v>773</v>
      </c>
      <c r="C463" s="4" t="s">
        <v>23</v>
      </c>
      <c r="D463" s="4">
        <v>41050515</v>
      </c>
      <c r="E463" s="4" t="s">
        <v>795</v>
      </c>
      <c r="F463" s="4" t="s">
        <v>173</v>
      </c>
      <c r="G463" s="5">
        <v>897767181</v>
      </c>
      <c r="H463" s="5">
        <v>2187282</v>
      </c>
      <c r="I463" s="5">
        <v>62943851</v>
      </c>
      <c r="J463" s="5" t="s">
        <v>173</v>
      </c>
      <c r="K463" s="5">
        <v>958523750</v>
      </c>
    </row>
    <row r="464" spans="1:11" x14ac:dyDescent="0.25">
      <c r="A464" s="4" t="s">
        <v>11</v>
      </c>
      <c r="B464" s="4" t="s">
        <v>773</v>
      </c>
      <c r="C464" s="4" t="s">
        <v>26</v>
      </c>
      <c r="D464" s="4">
        <v>4105051505</v>
      </c>
      <c r="E464" s="4" t="s">
        <v>797</v>
      </c>
      <c r="F464" s="4" t="s">
        <v>173</v>
      </c>
      <c r="G464" s="5">
        <v>828139354</v>
      </c>
      <c r="H464" s="5">
        <v>848103</v>
      </c>
      <c r="I464" s="5">
        <v>56861219</v>
      </c>
      <c r="J464" s="5" t="s">
        <v>173</v>
      </c>
      <c r="K464" s="5">
        <v>884152470</v>
      </c>
    </row>
    <row r="465" spans="1:11" x14ac:dyDescent="0.25">
      <c r="A465" s="4" t="s">
        <v>11</v>
      </c>
      <c r="B465" s="4" t="s">
        <v>773</v>
      </c>
      <c r="C465" s="4" t="s">
        <v>26</v>
      </c>
      <c r="D465" s="4">
        <v>4105051510</v>
      </c>
      <c r="E465" s="4" t="s">
        <v>799</v>
      </c>
      <c r="F465" s="4" t="s">
        <v>173</v>
      </c>
      <c r="G465" s="5">
        <v>33312082</v>
      </c>
      <c r="H465" s="5">
        <v>179979</v>
      </c>
      <c r="I465" s="5">
        <v>3916734</v>
      </c>
      <c r="J465" s="5" t="s">
        <v>173</v>
      </c>
      <c r="K465" s="5">
        <v>37048837</v>
      </c>
    </row>
    <row r="466" spans="1:11" x14ac:dyDescent="0.25">
      <c r="A466" s="4" t="s">
        <v>11</v>
      </c>
      <c r="B466" s="4" t="s">
        <v>773</v>
      </c>
      <c r="C466" s="4" t="s">
        <v>26</v>
      </c>
      <c r="D466" s="4">
        <v>4105051515</v>
      </c>
      <c r="E466" s="4" t="s">
        <v>801</v>
      </c>
      <c r="F466" s="4" t="s">
        <v>173</v>
      </c>
      <c r="G466" s="5">
        <v>6118462</v>
      </c>
      <c r="H466" s="5">
        <v>0</v>
      </c>
      <c r="I466" s="5">
        <v>159000</v>
      </c>
      <c r="J466" s="5" t="s">
        <v>173</v>
      </c>
      <c r="K466" s="5">
        <v>6277462</v>
      </c>
    </row>
    <row r="467" spans="1:11" x14ac:dyDescent="0.25">
      <c r="A467" s="4" t="s">
        <v>11</v>
      </c>
      <c r="B467" s="4" t="s">
        <v>773</v>
      </c>
      <c r="C467" s="4" t="s">
        <v>26</v>
      </c>
      <c r="D467" s="4">
        <v>4105051520</v>
      </c>
      <c r="E467" s="4" t="s">
        <v>803</v>
      </c>
      <c r="F467" s="4" t="s">
        <v>173</v>
      </c>
      <c r="G467" s="5">
        <v>30197283</v>
      </c>
      <c r="H467" s="5">
        <v>1159200</v>
      </c>
      <c r="I467" s="5">
        <v>2006898</v>
      </c>
      <c r="J467" s="5" t="s">
        <v>173</v>
      </c>
      <c r="K467" s="5">
        <v>31044981</v>
      </c>
    </row>
    <row r="468" spans="1:11" x14ac:dyDescent="0.25">
      <c r="A468" s="4" t="s">
        <v>11</v>
      </c>
      <c r="B468" s="4" t="s">
        <v>773</v>
      </c>
      <c r="C468" s="4" t="s">
        <v>23</v>
      </c>
      <c r="D468" s="4">
        <v>41050516</v>
      </c>
      <c r="E468" s="4" t="s">
        <v>805</v>
      </c>
      <c r="F468" s="4" t="s">
        <v>173</v>
      </c>
      <c r="G468" s="5">
        <v>405538814</v>
      </c>
      <c r="H468" s="5">
        <v>738598</v>
      </c>
      <c r="I468" s="5">
        <v>15414927</v>
      </c>
      <c r="J468" s="5" t="s">
        <v>173</v>
      </c>
      <c r="K468" s="5">
        <v>420215143</v>
      </c>
    </row>
    <row r="469" spans="1:11" x14ac:dyDescent="0.25">
      <c r="A469" s="4" t="s">
        <v>11</v>
      </c>
      <c r="B469" s="4" t="s">
        <v>773</v>
      </c>
      <c r="C469" s="4" t="s">
        <v>26</v>
      </c>
      <c r="D469" s="4">
        <v>4105051605</v>
      </c>
      <c r="E469" s="4" t="s">
        <v>807</v>
      </c>
      <c r="F469" s="4" t="s">
        <v>173</v>
      </c>
      <c r="G469" s="5">
        <v>405538814</v>
      </c>
      <c r="H469" s="5">
        <v>738598</v>
      </c>
      <c r="I469" s="5">
        <v>15414927</v>
      </c>
      <c r="J469" s="5" t="s">
        <v>173</v>
      </c>
      <c r="K469" s="5">
        <v>420215143</v>
      </c>
    </row>
    <row r="470" spans="1:11" x14ac:dyDescent="0.25">
      <c r="A470" s="4" t="s">
        <v>11</v>
      </c>
      <c r="B470" s="4" t="s">
        <v>773</v>
      </c>
      <c r="C470" s="4" t="s">
        <v>23</v>
      </c>
      <c r="D470" s="4">
        <v>41050520</v>
      </c>
      <c r="E470" s="4" t="s">
        <v>809</v>
      </c>
      <c r="F470" s="4" t="s">
        <v>173</v>
      </c>
      <c r="G470" s="5">
        <v>657114920</v>
      </c>
      <c r="H470" s="5">
        <v>1423938</v>
      </c>
      <c r="I470" s="5">
        <v>71079021</v>
      </c>
      <c r="J470" s="5" t="s">
        <v>173</v>
      </c>
      <c r="K470" s="5">
        <v>726770003</v>
      </c>
    </row>
    <row r="471" spans="1:11" x14ac:dyDescent="0.25">
      <c r="A471" s="4" t="s">
        <v>11</v>
      </c>
      <c r="B471" s="4" t="s">
        <v>773</v>
      </c>
      <c r="C471" s="4" t="s">
        <v>26</v>
      </c>
      <c r="D471" s="4">
        <v>4105052005</v>
      </c>
      <c r="E471" s="4" t="s">
        <v>811</v>
      </c>
      <c r="F471" s="4" t="s">
        <v>173</v>
      </c>
      <c r="G471" s="5">
        <v>540272291</v>
      </c>
      <c r="H471" s="5">
        <v>1268208</v>
      </c>
      <c r="I471" s="5">
        <v>63542382</v>
      </c>
      <c r="J471" s="5" t="s">
        <v>173</v>
      </c>
      <c r="K471" s="5">
        <v>602546465</v>
      </c>
    </row>
    <row r="472" spans="1:11" x14ac:dyDescent="0.25">
      <c r="A472" s="4" t="s">
        <v>11</v>
      </c>
      <c r="B472" s="4" t="s">
        <v>773</v>
      </c>
      <c r="C472" s="4" t="s">
        <v>26</v>
      </c>
      <c r="D472" s="4">
        <v>4105052015</v>
      </c>
      <c r="E472" s="4" t="s">
        <v>813</v>
      </c>
      <c r="F472" s="4" t="s">
        <v>173</v>
      </c>
      <c r="G472" s="5">
        <v>81528348</v>
      </c>
      <c r="H472" s="5">
        <v>0</v>
      </c>
      <c r="I472" s="5">
        <v>2382017</v>
      </c>
      <c r="J472" s="5" t="s">
        <v>173</v>
      </c>
      <c r="K472" s="5">
        <v>83910365</v>
      </c>
    </row>
    <row r="473" spans="1:11" x14ac:dyDescent="0.25">
      <c r="A473" s="4" t="s">
        <v>11</v>
      </c>
      <c r="B473" s="4" t="s">
        <v>773</v>
      </c>
      <c r="C473" s="4" t="s">
        <v>26</v>
      </c>
      <c r="D473" s="4">
        <v>4105052030</v>
      </c>
      <c r="E473" s="4" t="s">
        <v>815</v>
      </c>
      <c r="F473" s="4" t="s">
        <v>173</v>
      </c>
      <c r="G473" s="5">
        <v>2881359</v>
      </c>
      <c r="H473" s="5">
        <v>0</v>
      </c>
      <c r="I473" s="5">
        <v>0</v>
      </c>
      <c r="J473" s="5" t="s">
        <v>173</v>
      </c>
      <c r="K473" s="5">
        <v>2881359</v>
      </c>
    </row>
    <row r="474" spans="1:11" x14ac:dyDescent="0.25">
      <c r="A474" s="4" t="s">
        <v>11</v>
      </c>
      <c r="B474" s="4" t="s">
        <v>773</v>
      </c>
      <c r="C474" s="4" t="s">
        <v>26</v>
      </c>
      <c r="D474" s="4">
        <v>4105052035</v>
      </c>
      <c r="E474" s="4" t="s">
        <v>817</v>
      </c>
      <c r="F474" s="4" t="s">
        <v>173</v>
      </c>
      <c r="G474" s="5">
        <v>32432922</v>
      </c>
      <c r="H474" s="5">
        <v>155730</v>
      </c>
      <c r="I474" s="5">
        <v>5154622</v>
      </c>
      <c r="J474" s="5" t="s">
        <v>173</v>
      </c>
      <c r="K474" s="5">
        <v>37431814</v>
      </c>
    </row>
    <row r="475" spans="1:11" x14ac:dyDescent="0.25">
      <c r="A475" s="4" t="s">
        <v>11</v>
      </c>
      <c r="B475" s="4" t="s">
        <v>773</v>
      </c>
      <c r="C475" s="4" t="s">
        <v>23</v>
      </c>
      <c r="D475" s="4">
        <v>41050525</v>
      </c>
      <c r="E475" s="4" t="s">
        <v>819</v>
      </c>
      <c r="F475" s="4" t="s">
        <v>173</v>
      </c>
      <c r="G475" s="5">
        <v>304585169</v>
      </c>
      <c r="H475" s="5">
        <v>1822012</v>
      </c>
      <c r="I475" s="5">
        <v>20159638</v>
      </c>
      <c r="J475" s="5" t="s">
        <v>173</v>
      </c>
      <c r="K475" s="5">
        <v>322922795</v>
      </c>
    </row>
    <row r="476" spans="1:11" x14ac:dyDescent="0.25">
      <c r="A476" s="4" t="s">
        <v>11</v>
      </c>
      <c r="B476" s="4" t="s">
        <v>773</v>
      </c>
      <c r="C476" s="4" t="s">
        <v>26</v>
      </c>
      <c r="D476" s="4">
        <v>4105052510</v>
      </c>
      <c r="E476" s="4" t="s">
        <v>821</v>
      </c>
      <c r="F476" s="4" t="s">
        <v>173</v>
      </c>
      <c r="G476" s="5">
        <v>214541940</v>
      </c>
      <c r="H476" s="5">
        <v>1822012</v>
      </c>
      <c r="I476" s="5">
        <v>18901318</v>
      </c>
      <c r="J476" s="5" t="s">
        <v>173</v>
      </c>
      <c r="K476" s="5">
        <v>231621246</v>
      </c>
    </row>
    <row r="477" spans="1:11" x14ac:dyDescent="0.25">
      <c r="A477" s="4" t="s">
        <v>11</v>
      </c>
      <c r="B477" s="4" t="s">
        <v>773</v>
      </c>
      <c r="C477" s="4" t="s">
        <v>26</v>
      </c>
      <c r="D477" s="4">
        <v>4105052515</v>
      </c>
      <c r="E477" s="4" t="s">
        <v>823</v>
      </c>
      <c r="F477" s="4" t="s">
        <v>173</v>
      </c>
      <c r="G477" s="5">
        <v>90043229</v>
      </c>
      <c r="H477" s="5">
        <v>0</v>
      </c>
      <c r="I477" s="5">
        <v>1258320</v>
      </c>
      <c r="J477" s="5" t="s">
        <v>173</v>
      </c>
      <c r="K477" s="5">
        <v>91301549</v>
      </c>
    </row>
    <row r="478" spans="1:11" x14ac:dyDescent="0.25">
      <c r="A478" s="4" t="s">
        <v>11</v>
      </c>
      <c r="B478" s="4" t="s">
        <v>773</v>
      </c>
      <c r="C478" s="4" t="s">
        <v>23</v>
      </c>
      <c r="D478" s="4">
        <v>41050530</v>
      </c>
      <c r="E478" s="4" t="s">
        <v>825</v>
      </c>
      <c r="F478" s="4" t="s">
        <v>173</v>
      </c>
      <c r="G478" s="5">
        <v>32549431</v>
      </c>
      <c r="H478" s="5">
        <v>88050</v>
      </c>
      <c r="I478" s="5">
        <v>1789107</v>
      </c>
      <c r="J478" s="5" t="s">
        <v>173</v>
      </c>
      <c r="K478" s="5">
        <v>34250488</v>
      </c>
    </row>
    <row r="479" spans="1:11" x14ac:dyDescent="0.25">
      <c r="A479" s="4" t="s">
        <v>11</v>
      </c>
      <c r="B479" s="4" t="s">
        <v>773</v>
      </c>
      <c r="C479" s="4" t="s">
        <v>26</v>
      </c>
      <c r="D479" s="4">
        <v>4105053005</v>
      </c>
      <c r="E479" s="4" t="s">
        <v>827</v>
      </c>
      <c r="F479" s="4" t="s">
        <v>173</v>
      </c>
      <c r="G479" s="5">
        <v>1278835</v>
      </c>
      <c r="H479" s="5">
        <v>0</v>
      </c>
      <c r="I479" s="5">
        <v>31800</v>
      </c>
      <c r="J479" s="5" t="s">
        <v>173</v>
      </c>
      <c r="K479" s="5">
        <v>1310635</v>
      </c>
    </row>
    <row r="480" spans="1:11" x14ac:dyDescent="0.25">
      <c r="A480" s="4" t="s">
        <v>11</v>
      </c>
      <c r="B480" s="4" t="s">
        <v>773</v>
      </c>
      <c r="C480" s="4" t="s">
        <v>26</v>
      </c>
      <c r="D480" s="4">
        <v>4105053010</v>
      </c>
      <c r="E480" s="4" t="s">
        <v>829</v>
      </c>
      <c r="F480" s="4" t="s">
        <v>173</v>
      </c>
      <c r="G480" s="5">
        <v>620381</v>
      </c>
      <c r="H480" s="5">
        <v>0</v>
      </c>
      <c r="I480" s="5">
        <v>10817</v>
      </c>
      <c r="J480" s="5" t="s">
        <v>173</v>
      </c>
      <c r="K480" s="5">
        <v>631198</v>
      </c>
    </row>
    <row r="481" spans="1:11" x14ac:dyDescent="0.25">
      <c r="A481" s="4" t="s">
        <v>11</v>
      </c>
      <c r="B481" s="4" t="s">
        <v>773</v>
      </c>
      <c r="C481" s="4" t="s">
        <v>26</v>
      </c>
      <c r="D481" s="4">
        <v>4105053015</v>
      </c>
      <c r="E481" s="4" t="s">
        <v>831</v>
      </c>
      <c r="F481" s="4" t="s">
        <v>173</v>
      </c>
      <c r="G481" s="5">
        <v>334443</v>
      </c>
      <c r="H481" s="5">
        <v>0</v>
      </c>
      <c r="I481" s="5">
        <v>9868</v>
      </c>
      <c r="J481" s="5" t="s">
        <v>173</v>
      </c>
      <c r="K481" s="5">
        <v>344311</v>
      </c>
    </row>
    <row r="482" spans="1:11" x14ac:dyDescent="0.25">
      <c r="A482" s="4" t="s">
        <v>11</v>
      </c>
      <c r="B482" s="4" t="s">
        <v>773</v>
      </c>
      <c r="C482" s="4" t="s">
        <v>26</v>
      </c>
      <c r="D482" s="4">
        <v>4105053020</v>
      </c>
      <c r="E482" s="4" t="s">
        <v>833</v>
      </c>
      <c r="F482" s="4" t="s">
        <v>173</v>
      </c>
      <c r="G482" s="5">
        <v>30315772</v>
      </c>
      <c r="H482" s="5">
        <v>88050</v>
      </c>
      <c r="I482" s="5">
        <v>1736622</v>
      </c>
      <c r="J482" s="5" t="s">
        <v>173</v>
      </c>
      <c r="K482" s="5">
        <v>31964344</v>
      </c>
    </row>
    <row r="483" spans="1:11" x14ac:dyDescent="0.25">
      <c r="A483" s="4" t="s">
        <v>11</v>
      </c>
      <c r="B483" s="4" t="s">
        <v>773</v>
      </c>
      <c r="C483" s="4" t="s">
        <v>23</v>
      </c>
      <c r="D483" s="4">
        <v>41050532</v>
      </c>
      <c r="E483" s="4" t="s">
        <v>131</v>
      </c>
      <c r="F483" s="4" t="s">
        <v>14</v>
      </c>
      <c r="G483" s="5">
        <v>-359018026</v>
      </c>
      <c r="H483" s="5">
        <v>72172615</v>
      </c>
      <c r="I483" s="5">
        <v>0</v>
      </c>
      <c r="J483" s="5" t="s">
        <v>14</v>
      </c>
      <c r="K483" s="5">
        <v>-431190641</v>
      </c>
    </row>
    <row r="484" spans="1:11" x14ac:dyDescent="0.25">
      <c r="A484" s="4" t="s">
        <v>11</v>
      </c>
      <c r="B484" s="4" t="s">
        <v>773</v>
      </c>
      <c r="C484" s="4" t="s">
        <v>26</v>
      </c>
      <c r="D484" s="4">
        <v>4105053210</v>
      </c>
      <c r="E484" s="4" t="s">
        <v>836</v>
      </c>
      <c r="F484" s="4" t="s">
        <v>14</v>
      </c>
      <c r="G484" s="5">
        <v>-100361054</v>
      </c>
      <c r="H484" s="5">
        <v>29481030</v>
      </c>
      <c r="I484" s="5">
        <v>0</v>
      </c>
      <c r="J484" s="5" t="s">
        <v>14</v>
      </c>
      <c r="K484" s="5">
        <v>-129842084</v>
      </c>
    </row>
    <row r="485" spans="1:11" x14ac:dyDescent="0.25">
      <c r="A485" s="4" t="s">
        <v>11</v>
      </c>
      <c r="B485" s="4" t="s">
        <v>773</v>
      </c>
      <c r="C485" s="4" t="s">
        <v>26</v>
      </c>
      <c r="D485" s="4">
        <v>4105053215</v>
      </c>
      <c r="E485" s="4" t="s">
        <v>838</v>
      </c>
      <c r="F485" s="4" t="s">
        <v>14</v>
      </c>
      <c r="G485" s="5">
        <v>-258656972</v>
      </c>
      <c r="H485" s="5">
        <v>42691585</v>
      </c>
      <c r="I485" s="5">
        <v>0</v>
      </c>
      <c r="J485" s="5" t="s">
        <v>14</v>
      </c>
      <c r="K485" s="5">
        <v>-301348557</v>
      </c>
    </row>
    <row r="486" spans="1:11" x14ac:dyDescent="0.25">
      <c r="A486" s="4" t="s">
        <v>11</v>
      </c>
      <c r="B486" s="4" t="s">
        <v>773</v>
      </c>
      <c r="C486" s="4" t="s">
        <v>18</v>
      </c>
      <c r="D486" s="4">
        <v>4110</v>
      </c>
      <c r="E486" s="4" t="s">
        <v>840</v>
      </c>
      <c r="F486" s="4" t="s">
        <v>173</v>
      </c>
      <c r="G486" s="5">
        <v>739237152</v>
      </c>
      <c r="H486" s="5">
        <v>10459656</v>
      </c>
      <c r="I486" s="5">
        <v>43021856</v>
      </c>
      <c r="J486" s="5" t="s">
        <v>173</v>
      </c>
      <c r="K486" s="5">
        <v>771799352</v>
      </c>
    </row>
    <row r="487" spans="1:11" x14ac:dyDescent="0.25">
      <c r="A487" s="4" t="s">
        <v>11</v>
      </c>
      <c r="B487" s="4" t="s">
        <v>773</v>
      </c>
      <c r="C487" s="4" t="s">
        <v>21</v>
      </c>
      <c r="D487" s="4">
        <v>411010</v>
      </c>
      <c r="E487" s="4" t="s">
        <v>840</v>
      </c>
      <c r="F487" s="4" t="s">
        <v>173</v>
      </c>
      <c r="G487" s="5">
        <v>739237152</v>
      </c>
      <c r="H487" s="5">
        <v>10459656</v>
      </c>
      <c r="I487" s="5">
        <v>43021856</v>
      </c>
      <c r="J487" s="5" t="s">
        <v>173</v>
      </c>
      <c r="K487" s="5">
        <v>771799352</v>
      </c>
    </row>
    <row r="488" spans="1:11" x14ac:dyDescent="0.25">
      <c r="A488" s="4" t="s">
        <v>11</v>
      </c>
      <c r="B488" s="4" t="s">
        <v>773</v>
      </c>
      <c r="C488" s="4" t="s">
        <v>23</v>
      </c>
      <c r="D488" s="4">
        <v>41101001</v>
      </c>
      <c r="E488" s="4" t="s">
        <v>237</v>
      </c>
      <c r="F488" s="4" t="s">
        <v>173</v>
      </c>
      <c r="G488" s="5">
        <v>19086035</v>
      </c>
      <c r="H488" s="5">
        <v>40385</v>
      </c>
      <c r="I488" s="5">
        <v>1446263</v>
      </c>
      <c r="J488" s="5" t="s">
        <v>173</v>
      </c>
      <c r="K488" s="5">
        <v>20491913</v>
      </c>
    </row>
    <row r="489" spans="1:11" x14ac:dyDescent="0.25">
      <c r="A489" s="4" t="s">
        <v>11</v>
      </c>
      <c r="B489" s="4" t="s">
        <v>773</v>
      </c>
      <c r="C489" s="4" t="s">
        <v>26</v>
      </c>
      <c r="D489" s="4">
        <v>4110100105</v>
      </c>
      <c r="E489" s="4" t="s">
        <v>237</v>
      </c>
      <c r="F489" s="4" t="s">
        <v>173</v>
      </c>
      <c r="G489" s="5">
        <v>19086035</v>
      </c>
      <c r="H489" s="5">
        <v>40385</v>
      </c>
      <c r="I489" s="5">
        <v>1446263</v>
      </c>
      <c r="J489" s="5" t="s">
        <v>173</v>
      </c>
      <c r="K489" s="5">
        <v>20491913</v>
      </c>
    </row>
    <row r="490" spans="1:11" x14ac:dyDescent="0.25">
      <c r="A490" s="4" t="s">
        <v>11</v>
      </c>
      <c r="B490" s="4" t="s">
        <v>773</v>
      </c>
      <c r="C490" s="4" t="s">
        <v>23</v>
      </c>
      <c r="D490" s="4">
        <v>41101002</v>
      </c>
      <c r="E490" s="4" t="s">
        <v>782</v>
      </c>
      <c r="F490" s="4" t="s">
        <v>173</v>
      </c>
      <c r="G490" s="5">
        <v>30047324</v>
      </c>
      <c r="H490" s="5">
        <v>0</v>
      </c>
      <c r="I490" s="5">
        <v>1564148</v>
      </c>
      <c r="J490" s="5" t="s">
        <v>173</v>
      </c>
      <c r="K490" s="5">
        <v>31611472</v>
      </c>
    </row>
    <row r="491" spans="1:11" x14ac:dyDescent="0.25">
      <c r="A491" s="4" t="s">
        <v>11</v>
      </c>
      <c r="B491" s="4" t="s">
        <v>773</v>
      </c>
      <c r="C491" s="4" t="s">
        <v>26</v>
      </c>
      <c r="D491" s="4">
        <v>4110100205</v>
      </c>
      <c r="E491" s="4" t="s">
        <v>784</v>
      </c>
      <c r="F491" s="4" t="s">
        <v>173</v>
      </c>
      <c r="G491" s="5">
        <v>30047324</v>
      </c>
      <c r="H491" s="5">
        <v>0</v>
      </c>
      <c r="I491" s="5">
        <v>1564148</v>
      </c>
      <c r="J491" s="5" t="s">
        <v>173</v>
      </c>
      <c r="K491" s="5">
        <v>31611472</v>
      </c>
    </row>
    <row r="492" spans="1:11" x14ac:dyDescent="0.25">
      <c r="A492" s="4" t="s">
        <v>11</v>
      </c>
      <c r="B492" s="4" t="s">
        <v>773</v>
      </c>
      <c r="C492" s="4" t="s">
        <v>23</v>
      </c>
      <c r="D492" s="4">
        <v>41101010</v>
      </c>
      <c r="E492" s="4" t="s">
        <v>554</v>
      </c>
      <c r="F492" s="4" t="s">
        <v>173</v>
      </c>
      <c r="G492" s="5">
        <v>640738924</v>
      </c>
      <c r="H492" s="5">
        <v>246993</v>
      </c>
      <c r="I492" s="5">
        <v>29188761</v>
      </c>
      <c r="J492" s="5" t="s">
        <v>173</v>
      </c>
      <c r="K492" s="5">
        <v>669680692</v>
      </c>
    </row>
    <row r="493" spans="1:11" x14ac:dyDescent="0.25">
      <c r="A493" s="4" t="s">
        <v>11</v>
      </c>
      <c r="B493" s="4" t="s">
        <v>773</v>
      </c>
      <c r="C493" s="4" t="s">
        <v>26</v>
      </c>
      <c r="D493" s="4">
        <v>4110101005</v>
      </c>
      <c r="E493" s="4" t="s">
        <v>787</v>
      </c>
      <c r="F493" s="4" t="s">
        <v>173</v>
      </c>
      <c r="G493" s="5">
        <v>1165734</v>
      </c>
      <c r="H493" s="5">
        <v>0</v>
      </c>
      <c r="I493" s="5">
        <v>0</v>
      </c>
      <c r="J493" s="5" t="s">
        <v>173</v>
      </c>
      <c r="K493" s="5">
        <v>1165734</v>
      </c>
    </row>
    <row r="494" spans="1:11" x14ac:dyDescent="0.25">
      <c r="A494" s="4" t="s">
        <v>11</v>
      </c>
      <c r="B494" s="4" t="s">
        <v>773</v>
      </c>
      <c r="C494" s="4" t="s">
        <v>26</v>
      </c>
      <c r="D494" s="4">
        <v>4110101010</v>
      </c>
      <c r="E494" s="4" t="s">
        <v>789</v>
      </c>
      <c r="F494" s="4" t="s">
        <v>173</v>
      </c>
      <c r="G494" s="5">
        <v>9054893</v>
      </c>
      <c r="H494" s="5">
        <v>0</v>
      </c>
      <c r="I494" s="5">
        <v>0</v>
      </c>
      <c r="J494" s="5" t="s">
        <v>173</v>
      </c>
      <c r="K494" s="5">
        <v>9054893</v>
      </c>
    </row>
    <row r="495" spans="1:11" x14ac:dyDescent="0.25">
      <c r="A495" s="4" t="s">
        <v>11</v>
      </c>
      <c r="B495" s="4" t="s">
        <v>773</v>
      </c>
      <c r="C495" s="4" t="s">
        <v>26</v>
      </c>
      <c r="D495" s="4">
        <v>4110101015</v>
      </c>
      <c r="E495" s="4" t="s">
        <v>791</v>
      </c>
      <c r="F495" s="4" t="s">
        <v>173</v>
      </c>
      <c r="G495" s="5">
        <v>630294536</v>
      </c>
      <c r="H495" s="5">
        <v>246993</v>
      </c>
      <c r="I495" s="5">
        <v>29188761</v>
      </c>
      <c r="J495" s="5" t="s">
        <v>173</v>
      </c>
      <c r="K495" s="5">
        <v>659236304</v>
      </c>
    </row>
    <row r="496" spans="1:11" x14ac:dyDescent="0.25">
      <c r="A496" s="4" t="s">
        <v>11</v>
      </c>
      <c r="B496" s="4" t="s">
        <v>773</v>
      </c>
      <c r="C496" s="4" t="s">
        <v>26</v>
      </c>
      <c r="D496" s="4">
        <v>4110101020</v>
      </c>
      <c r="E496" s="4" t="s">
        <v>793</v>
      </c>
      <c r="F496" s="4" t="s">
        <v>173</v>
      </c>
      <c r="G496" s="5">
        <v>223761</v>
      </c>
      <c r="H496" s="5">
        <v>0</v>
      </c>
      <c r="I496" s="5">
        <v>0</v>
      </c>
      <c r="J496" s="5" t="s">
        <v>173</v>
      </c>
      <c r="K496" s="5">
        <v>223761</v>
      </c>
    </row>
    <row r="497" spans="1:11" x14ac:dyDescent="0.25">
      <c r="A497" s="4" t="s">
        <v>11</v>
      </c>
      <c r="B497" s="4" t="s">
        <v>773</v>
      </c>
      <c r="C497" s="4" t="s">
        <v>23</v>
      </c>
      <c r="D497" s="4">
        <v>41101016</v>
      </c>
      <c r="E497" s="4" t="s">
        <v>805</v>
      </c>
      <c r="F497" s="4" t="s">
        <v>173</v>
      </c>
      <c r="G497" s="5">
        <v>1747879</v>
      </c>
      <c r="H497" s="5">
        <v>0</v>
      </c>
      <c r="I497" s="5">
        <v>0</v>
      </c>
      <c r="J497" s="5" t="s">
        <v>173</v>
      </c>
      <c r="K497" s="5">
        <v>1747879</v>
      </c>
    </row>
    <row r="498" spans="1:11" x14ac:dyDescent="0.25">
      <c r="A498" s="4" t="s">
        <v>11</v>
      </c>
      <c r="B498" s="4" t="s">
        <v>773</v>
      </c>
      <c r="C498" s="4" t="s">
        <v>26</v>
      </c>
      <c r="D498" s="4">
        <v>4110101605</v>
      </c>
      <c r="E498" s="4" t="s">
        <v>807</v>
      </c>
      <c r="F498" s="4" t="s">
        <v>173</v>
      </c>
      <c r="G498" s="5">
        <v>1747879</v>
      </c>
      <c r="H498" s="5">
        <v>0</v>
      </c>
      <c r="I498" s="5">
        <v>0</v>
      </c>
      <c r="J498" s="5" t="s">
        <v>173</v>
      </c>
      <c r="K498" s="5">
        <v>1747879</v>
      </c>
    </row>
    <row r="499" spans="1:11" x14ac:dyDescent="0.25">
      <c r="A499" s="4" t="s">
        <v>11</v>
      </c>
      <c r="B499" s="4" t="s">
        <v>773</v>
      </c>
      <c r="C499" s="4" t="s">
        <v>23</v>
      </c>
      <c r="D499" s="4">
        <v>41101020</v>
      </c>
      <c r="E499" s="4" t="s">
        <v>809</v>
      </c>
      <c r="F499" s="4" t="s">
        <v>173</v>
      </c>
      <c r="G499" s="5">
        <v>143568078</v>
      </c>
      <c r="H499" s="5">
        <v>214662</v>
      </c>
      <c r="I499" s="5">
        <v>5697144</v>
      </c>
      <c r="J499" s="5" t="s">
        <v>173</v>
      </c>
      <c r="K499" s="5">
        <v>149050560</v>
      </c>
    </row>
    <row r="500" spans="1:11" x14ac:dyDescent="0.25">
      <c r="A500" s="4" t="s">
        <v>11</v>
      </c>
      <c r="B500" s="4" t="s">
        <v>773</v>
      </c>
      <c r="C500" s="4" t="s">
        <v>26</v>
      </c>
      <c r="D500" s="4">
        <v>4110102015</v>
      </c>
      <c r="E500" s="4" t="s">
        <v>813</v>
      </c>
      <c r="F500" s="4" t="s">
        <v>173</v>
      </c>
      <c r="G500" s="5">
        <v>143568078</v>
      </c>
      <c r="H500" s="5">
        <v>214662</v>
      </c>
      <c r="I500" s="5">
        <v>5697144</v>
      </c>
      <c r="J500" s="5" t="s">
        <v>173</v>
      </c>
      <c r="K500" s="5">
        <v>149050560</v>
      </c>
    </row>
    <row r="501" spans="1:11" x14ac:dyDescent="0.25">
      <c r="A501" s="4" t="s">
        <v>11</v>
      </c>
      <c r="B501" s="4" t="s">
        <v>773</v>
      </c>
      <c r="C501" s="4" t="s">
        <v>23</v>
      </c>
      <c r="D501" s="4">
        <v>41101025</v>
      </c>
      <c r="E501" s="4" t="s">
        <v>819</v>
      </c>
      <c r="F501" s="4" t="s">
        <v>173</v>
      </c>
      <c r="G501" s="5">
        <v>2353847</v>
      </c>
      <c r="H501" s="5">
        <v>0</v>
      </c>
      <c r="I501" s="5">
        <v>5125540</v>
      </c>
      <c r="J501" s="5" t="s">
        <v>173</v>
      </c>
      <c r="K501" s="5">
        <v>7479387</v>
      </c>
    </row>
    <row r="502" spans="1:11" x14ac:dyDescent="0.25">
      <c r="A502" s="4" t="s">
        <v>11</v>
      </c>
      <c r="B502" s="4" t="s">
        <v>773</v>
      </c>
      <c r="C502" s="4" t="s">
        <v>26</v>
      </c>
      <c r="D502" s="4">
        <v>4110102505</v>
      </c>
      <c r="E502" s="4" t="s">
        <v>857</v>
      </c>
      <c r="F502" s="4" t="s">
        <v>173</v>
      </c>
      <c r="G502" s="5">
        <v>2353847</v>
      </c>
      <c r="H502" s="5">
        <v>0</v>
      </c>
      <c r="I502" s="5">
        <v>5125540</v>
      </c>
      <c r="J502" s="5" t="s">
        <v>173</v>
      </c>
      <c r="K502" s="5">
        <v>7479387</v>
      </c>
    </row>
    <row r="503" spans="1:11" x14ac:dyDescent="0.25">
      <c r="A503" s="4" t="s">
        <v>11</v>
      </c>
      <c r="B503" s="4" t="s">
        <v>773</v>
      </c>
      <c r="C503" s="4" t="s">
        <v>23</v>
      </c>
      <c r="D503" s="4">
        <v>41101032</v>
      </c>
      <c r="E503" s="4" t="s">
        <v>131</v>
      </c>
      <c r="F503" s="4" t="s">
        <v>14</v>
      </c>
      <c r="G503" s="5">
        <v>-98304935</v>
      </c>
      <c r="H503" s="5">
        <v>9957616</v>
      </c>
      <c r="I503" s="5">
        <v>0</v>
      </c>
      <c r="J503" s="5" t="s">
        <v>14</v>
      </c>
      <c r="K503" s="5">
        <v>-108262551</v>
      </c>
    </row>
    <row r="504" spans="1:11" x14ac:dyDescent="0.25">
      <c r="A504" s="4" t="s">
        <v>11</v>
      </c>
      <c r="B504" s="4" t="s">
        <v>773</v>
      </c>
      <c r="C504" s="4" t="s">
        <v>26</v>
      </c>
      <c r="D504" s="4">
        <v>4110103210</v>
      </c>
      <c r="E504" s="4" t="s">
        <v>836</v>
      </c>
      <c r="F504" s="4" t="s">
        <v>14</v>
      </c>
      <c r="G504" s="5">
        <v>-14273816</v>
      </c>
      <c r="H504" s="5">
        <v>1475490</v>
      </c>
      <c r="I504" s="5">
        <v>0</v>
      </c>
      <c r="J504" s="5" t="s">
        <v>14</v>
      </c>
      <c r="K504" s="5">
        <v>-15749306</v>
      </c>
    </row>
    <row r="505" spans="1:11" x14ac:dyDescent="0.25">
      <c r="A505" s="4" t="s">
        <v>11</v>
      </c>
      <c r="B505" s="4" t="s">
        <v>773</v>
      </c>
      <c r="C505" s="4" t="s">
        <v>26</v>
      </c>
      <c r="D505" s="4">
        <v>4110103215</v>
      </c>
      <c r="E505" s="4" t="s">
        <v>838</v>
      </c>
      <c r="F505" s="4" t="s">
        <v>14</v>
      </c>
      <c r="G505" s="5">
        <v>-84031119</v>
      </c>
      <c r="H505" s="5">
        <v>8482126</v>
      </c>
      <c r="I505" s="5">
        <v>0</v>
      </c>
      <c r="J505" s="5" t="s">
        <v>14</v>
      </c>
      <c r="K505" s="5">
        <v>-92513245</v>
      </c>
    </row>
    <row r="506" spans="1:11" x14ac:dyDescent="0.25">
      <c r="A506" s="4" t="s">
        <v>11</v>
      </c>
      <c r="B506" s="4" t="s">
        <v>773</v>
      </c>
      <c r="C506" s="4" t="s">
        <v>18</v>
      </c>
      <c r="D506" s="4">
        <v>4115</v>
      </c>
      <c r="E506" s="4" t="s">
        <v>862</v>
      </c>
      <c r="F506" s="4" t="s">
        <v>173</v>
      </c>
      <c r="G506" s="5">
        <v>17381714401</v>
      </c>
      <c r="H506" s="5">
        <v>1211520868</v>
      </c>
      <c r="I506" s="5">
        <v>1518092363</v>
      </c>
      <c r="J506" s="5" t="s">
        <v>173</v>
      </c>
      <c r="K506" s="5">
        <v>17688285896</v>
      </c>
    </row>
    <row r="507" spans="1:11" x14ac:dyDescent="0.25">
      <c r="A507" s="4" t="s">
        <v>11</v>
      </c>
      <c r="B507" s="4" t="s">
        <v>773</v>
      </c>
      <c r="C507" s="4" t="s">
        <v>21</v>
      </c>
      <c r="D507" s="4">
        <v>411515</v>
      </c>
      <c r="E507" s="4" t="s">
        <v>862</v>
      </c>
      <c r="F507" s="4" t="s">
        <v>173</v>
      </c>
      <c r="G507" s="5">
        <v>17381714401</v>
      </c>
      <c r="H507" s="5">
        <v>1211520868</v>
      </c>
      <c r="I507" s="5">
        <v>1518092363</v>
      </c>
      <c r="J507" s="5" t="s">
        <v>173</v>
      </c>
      <c r="K507" s="5">
        <v>17688285896</v>
      </c>
    </row>
    <row r="508" spans="1:11" x14ac:dyDescent="0.25">
      <c r="A508" s="4" t="s">
        <v>11</v>
      </c>
      <c r="B508" s="4" t="s">
        <v>773</v>
      </c>
      <c r="C508" s="4" t="s">
        <v>23</v>
      </c>
      <c r="D508" s="4">
        <v>41151501</v>
      </c>
      <c r="E508" s="4" t="s">
        <v>237</v>
      </c>
      <c r="F508" s="4" t="s">
        <v>173</v>
      </c>
      <c r="G508" s="5">
        <v>7367585124</v>
      </c>
      <c r="H508" s="5">
        <v>30511391</v>
      </c>
      <c r="I508" s="5">
        <v>501709367</v>
      </c>
      <c r="J508" s="5" t="s">
        <v>173</v>
      </c>
      <c r="K508" s="5">
        <v>7838783100</v>
      </c>
    </row>
    <row r="509" spans="1:11" x14ac:dyDescent="0.25">
      <c r="A509" s="4" t="s">
        <v>11</v>
      </c>
      <c r="B509" s="4" t="s">
        <v>773</v>
      </c>
      <c r="C509" s="4" t="s">
        <v>26</v>
      </c>
      <c r="D509" s="4">
        <v>4115150105</v>
      </c>
      <c r="E509" s="4" t="s">
        <v>237</v>
      </c>
      <c r="F509" s="4" t="s">
        <v>173</v>
      </c>
      <c r="G509" s="5">
        <v>7367585124</v>
      </c>
      <c r="H509" s="5">
        <v>30511391</v>
      </c>
      <c r="I509" s="5">
        <v>501709367</v>
      </c>
      <c r="J509" s="5" t="s">
        <v>173</v>
      </c>
      <c r="K509" s="5">
        <v>7838783100</v>
      </c>
    </row>
    <row r="510" spans="1:11" x14ac:dyDescent="0.25">
      <c r="A510" s="4" t="s">
        <v>11</v>
      </c>
      <c r="B510" s="4" t="s">
        <v>773</v>
      </c>
      <c r="C510" s="4" t="s">
        <v>23</v>
      </c>
      <c r="D510" s="4">
        <v>41151502</v>
      </c>
      <c r="E510" s="4" t="s">
        <v>782</v>
      </c>
      <c r="F510" s="4" t="s">
        <v>173</v>
      </c>
      <c r="G510" s="5">
        <v>2123805946</v>
      </c>
      <c r="H510" s="5">
        <v>5620216</v>
      </c>
      <c r="I510" s="5">
        <v>178667977</v>
      </c>
      <c r="J510" s="5" t="s">
        <v>173</v>
      </c>
      <c r="K510" s="5">
        <v>2296853707</v>
      </c>
    </row>
    <row r="511" spans="1:11" x14ac:dyDescent="0.25">
      <c r="A511" s="4" t="s">
        <v>11</v>
      </c>
      <c r="B511" s="4" t="s">
        <v>773</v>
      </c>
      <c r="C511" s="4" t="s">
        <v>26</v>
      </c>
      <c r="D511" s="4">
        <v>4115150205</v>
      </c>
      <c r="E511" s="4" t="s">
        <v>784</v>
      </c>
      <c r="F511" s="4" t="s">
        <v>173</v>
      </c>
      <c r="G511" s="5">
        <v>2123805946</v>
      </c>
      <c r="H511" s="5">
        <v>5620216</v>
      </c>
      <c r="I511" s="5">
        <v>178667977</v>
      </c>
      <c r="J511" s="5" t="s">
        <v>173</v>
      </c>
      <c r="K511" s="5">
        <v>2296853707</v>
      </c>
    </row>
    <row r="512" spans="1:11" x14ac:dyDescent="0.25">
      <c r="A512" s="4" t="s">
        <v>11</v>
      </c>
      <c r="B512" s="4" t="s">
        <v>773</v>
      </c>
      <c r="C512" s="4" t="s">
        <v>23</v>
      </c>
      <c r="D512" s="4">
        <v>41151510</v>
      </c>
      <c r="E512" s="4" t="s">
        <v>554</v>
      </c>
      <c r="F512" s="4" t="s">
        <v>173</v>
      </c>
      <c r="G512" s="5">
        <v>628098957</v>
      </c>
      <c r="H512" s="5">
        <v>2044665</v>
      </c>
      <c r="I512" s="5">
        <v>56371886</v>
      </c>
      <c r="J512" s="5" t="s">
        <v>173</v>
      </c>
      <c r="K512" s="5">
        <v>682426178</v>
      </c>
    </row>
    <row r="513" spans="1:11" x14ac:dyDescent="0.25">
      <c r="A513" s="4" t="s">
        <v>11</v>
      </c>
      <c r="B513" s="4" t="s">
        <v>773</v>
      </c>
      <c r="C513" s="4" t="s">
        <v>26</v>
      </c>
      <c r="D513" s="4">
        <v>4115151005</v>
      </c>
      <c r="E513" s="4" t="s">
        <v>787</v>
      </c>
      <c r="F513" s="4" t="s">
        <v>173</v>
      </c>
      <c r="G513" s="5">
        <v>8917757</v>
      </c>
      <c r="H513" s="5">
        <v>0</v>
      </c>
      <c r="I513" s="5">
        <v>607100</v>
      </c>
      <c r="J513" s="5" t="s">
        <v>173</v>
      </c>
      <c r="K513" s="5">
        <v>9524857</v>
      </c>
    </row>
    <row r="514" spans="1:11" x14ac:dyDescent="0.25">
      <c r="A514" s="4" t="s">
        <v>11</v>
      </c>
      <c r="B514" s="4" t="s">
        <v>773</v>
      </c>
      <c r="C514" s="4" t="s">
        <v>26</v>
      </c>
      <c r="D514" s="4">
        <v>4115151010</v>
      </c>
      <c r="E514" s="4" t="s">
        <v>789</v>
      </c>
      <c r="F514" s="4" t="s">
        <v>173</v>
      </c>
      <c r="G514" s="5">
        <v>25500742</v>
      </c>
      <c r="H514" s="5">
        <v>157075</v>
      </c>
      <c r="I514" s="5">
        <v>2458820</v>
      </c>
      <c r="J514" s="5" t="s">
        <v>173</v>
      </c>
      <c r="K514" s="5">
        <v>27802487</v>
      </c>
    </row>
    <row r="515" spans="1:11" x14ac:dyDescent="0.25">
      <c r="A515" s="4" t="s">
        <v>11</v>
      </c>
      <c r="B515" s="4" t="s">
        <v>773</v>
      </c>
      <c r="C515" s="4" t="s">
        <v>26</v>
      </c>
      <c r="D515" s="4">
        <v>4115151015</v>
      </c>
      <c r="E515" s="4" t="s">
        <v>791</v>
      </c>
      <c r="F515" s="4" t="s">
        <v>173</v>
      </c>
      <c r="G515" s="5">
        <v>548144863</v>
      </c>
      <c r="H515" s="5">
        <v>1867402</v>
      </c>
      <c r="I515" s="5">
        <v>48202322</v>
      </c>
      <c r="J515" s="5" t="s">
        <v>173</v>
      </c>
      <c r="K515" s="5">
        <v>594479783</v>
      </c>
    </row>
    <row r="516" spans="1:11" x14ac:dyDescent="0.25">
      <c r="A516" s="4" t="s">
        <v>11</v>
      </c>
      <c r="B516" s="4" t="s">
        <v>773</v>
      </c>
      <c r="C516" s="4" t="s">
        <v>26</v>
      </c>
      <c r="D516" s="4">
        <v>4115151020</v>
      </c>
      <c r="E516" s="4" t="s">
        <v>793</v>
      </c>
      <c r="F516" s="4" t="s">
        <v>173</v>
      </c>
      <c r="G516" s="5">
        <v>45535595</v>
      </c>
      <c r="H516" s="5">
        <v>20188</v>
      </c>
      <c r="I516" s="5">
        <v>5103644</v>
      </c>
      <c r="J516" s="5" t="s">
        <v>173</v>
      </c>
      <c r="K516" s="5">
        <v>50619051</v>
      </c>
    </row>
    <row r="517" spans="1:11" x14ac:dyDescent="0.25">
      <c r="A517" s="4" t="s">
        <v>11</v>
      </c>
      <c r="B517" s="4" t="s">
        <v>773</v>
      </c>
      <c r="C517" s="4" t="s">
        <v>23</v>
      </c>
      <c r="D517" s="4">
        <v>41151515</v>
      </c>
      <c r="E517" s="4" t="s">
        <v>795</v>
      </c>
      <c r="F517" s="4" t="s">
        <v>173</v>
      </c>
      <c r="G517" s="5">
        <v>52810377</v>
      </c>
      <c r="H517" s="5">
        <v>94291</v>
      </c>
      <c r="I517" s="5">
        <v>7037897</v>
      </c>
      <c r="J517" s="5" t="s">
        <v>173</v>
      </c>
      <c r="K517" s="5">
        <v>59753983</v>
      </c>
    </row>
    <row r="518" spans="1:11" x14ac:dyDescent="0.25">
      <c r="A518" s="4" t="s">
        <v>11</v>
      </c>
      <c r="B518" s="4" t="s">
        <v>773</v>
      </c>
      <c r="C518" s="4" t="s">
        <v>26</v>
      </c>
      <c r="D518" s="4">
        <v>4115151510</v>
      </c>
      <c r="E518" s="4" t="s">
        <v>799</v>
      </c>
      <c r="F518" s="4" t="s">
        <v>173</v>
      </c>
      <c r="G518" s="5">
        <v>2272590</v>
      </c>
      <c r="H518" s="5">
        <v>0</v>
      </c>
      <c r="I518" s="5">
        <v>337608</v>
      </c>
      <c r="J518" s="5" t="s">
        <v>173</v>
      </c>
      <c r="K518" s="5">
        <v>2610198</v>
      </c>
    </row>
    <row r="519" spans="1:11" x14ac:dyDescent="0.25">
      <c r="A519" s="4" t="s">
        <v>11</v>
      </c>
      <c r="B519" s="4" t="s">
        <v>773</v>
      </c>
      <c r="C519" s="4" t="s">
        <v>26</v>
      </c>
      <c r="D519" s="4">
        <v>4115151515</v>
      </c>
      <c r="E519" s="4" t="s">
        <v>801</v>
      </c>
      <c r="F519" s="4" t="s">
        <v>173</v>
      </c>
      <c r="G519" s="5">
        <v>6993305</v>
      </c>
      <c r="H519" s="5">
        <v>94291</v>
      </c>
      <c r="I519" s="5">
        <v>283866</v>
      </c>
      <c r="J519" s="5" t="s">
        <v>173</v>
      </c>
      <c r="K519" s="5">
        <v>7182880</v>
      </c>
    </row>
    <row r="520" spans="1:11" x14ac:dyDescent="0.25">
      <c r="A520" s="4" t="s">
        <v>11</v>
      </c>
      <c r="B520" s="4" t="s">
        <v>773</v>
      </c>
      <c r="C520" s="4" t="s">
        <v>26</v>
      </c>
      <c r="D520" s="4">
        <v>4115151520</v>
      </c>
      <c r="E520" s="4" t="s">
        <v>803</v>
      </c>
      <c r="F520" s="4" t="s">
        <v>173</v>
      </c>
      <c r="G520" s="5">
        <v>43544482</v>
      </c>
      <c r="H520" s="5">
        <v>0</v>
      </c>
      <c r="I520" s="5">
        <v>6416423</v>
      </c>
      <c r="J520" s="5" t="s">
        <v>173</v>
      </c>
      <c r="K520" s="5">
        <v>49960905</v>
      </c>
    </row>
    <row r="521" spans="1:11" x14ac:dyDescent="0.25">
      <c r="A521" s="4" t="s">
        <v>11</v>
      </c>
      <c r="B521" s="4" t="s">
        <v>773</v>
      </c>
      <c r="C521" s="4" t="s">
        <v>23</v>
      </c>
      <c r="D521" s="4">
        <v>41151516</v>
      </c>
      <c r="E521" s="4" t="s">
        <v>805</v>
      </c>
      <c r="F521" s="4" t="s">
        <v>173</v>
      </c>
      <c r="G521" s="5">
        <v>7049845290</v>
      </c>
      <c r="H521" s="5">
        <v>17126895</v>
      </c>
      <c r="I521" s="5">
        <v>653263240</v>
      </c>
      <c r="J521" s="5" t="s">
        <v>173</v>
      </c>
      <c r="K521" s="5">
        <v>7685981635</v>
      </c>
    </row>
    <row r="522" spans="1:11" x14ac:dyDescent="0.25">
      <c r="A522" s="4" t="s">
        <v>11</v>
      </c>
      <c r="B522" s="4" t="s">
        <v>773</v>
      </c>
      <c r="C522" s="4" t="s">
        <v>26</v>
      </c>
      <c r="D522" s="4">
        <v>4115151605</v>
      </c>
      <c r="E522" s="4" t="s">
        <v>807</v>
      </c>
      <c r="F522" s="4" t="s">
        <v>173</v>
      </c>
      <c r="G522" s="5">
        <v>3459702227</v>
      </c>
      <c r="H522" s="5">
        <v>6461719</v>
      </c>
      <c r="I522" s="5">
        <v>306306984</v>
      </c>
      <c r="J522" s="5" t="s">
        <v>173</v>
      </c>
      <c r="K522" s="5">
        <v>3759547492</v>
      </c>
    </row>
    <row r="523" spans="1:11" x14ac:dyDescent="0.25">
      <c r="A523" s="4" t="s">
        <v>11</v>
      </c>
      <c r="B523" s="4" t="s">
        <v>773</v>
      </c>
      <c r="C523" s="4" t="s">
        <v>26</v>
      </c>
      <c r="D523" s="4">
        <v>4115151610</v>
      </c>
      <c r="E523" s="4" t="s">
        <v>880</v>
      </c>
      <c r="F523" s="4" t="s">
        <v>173</v>
      </c>
      <c r="G523" s="5">
        <v>1110350246</v>
      </c>
      <c r="H523" s="5">
        <v>3712476</v>
      </c>
      <c r="I523" s="5">
        <v>70692642</v>
      </c>
      <c r="J523" s="5" t="s">
        <v>173</v>
      </c>
      <c r="K523" s="5">
        <v>1177330412</v>
      </c>
    </row>
    <row r="524" spans="1:11" x14ac:dyDescent="0.25">
      <c r="A524" s="4" t="s">
        <v>11</v>
      </c>
      <c r="B524" s="4" t="s">
        <v>773</v>
      </c>
      <c r="C524" s="4" t="s">
        <v>26</v>
      </c>
      <c r="D524" s="4">
        <v>4115151615</v>
      </c>
      <c r="E524" s="4" t="s">
        <v>882</v>
      </c>
      <c r="F524" s="4" t="s">
        <v>173</v>
      </c>
      <c r="G524" s="5">
        <v>2479792817</v>
      </c>
      <c r="H524" s="5">
        <v>6952700</v>
      </c>
      <c r="I524" s="5">
        <v>276263614</v>
      </c>
      <c r="J524" s="5" t="s">
        <v>173</v>
      </c>
      <c r="K524" s="5">
        <v>2749103731</v>
      </c>
    </row>
    <row r="525" spans="1:11" x14ac:dyDescent="0.25">
      <c r="A525" s="4" t="s">
        <v>11</v>
      </c>
      <c r="B525" s="4" t="s">
        <v>773</v>
      </c>
      <c r="C525" s="4" t="s">
        <v>23</v>
      </c>
      <c r="D525" s="4">
        <v>41151520</v>
      </c>
      <c r="E525" s="4" t="s">
        <v>809</v>
      </c>
      <c r="F525" s="4" t="s">
        <v>173</v>
      </c>
      <c r="G525" s="5">
        <v>323288481</v>
      </c>
      <c r="H525" s="5">
        <v>544361</v>
      </c>
      <c r="I525" s="5">
        <v>28822983</v>
      </c>
      <c r="J525" s="5" t="s">
        <v>173</v>
      </c>
      <c r="K525" s="5">
        <v>351567103</v>
      </c>
    </row>
    <row r="526" spans="1:11" x14ac:dyDescent="0.25">
      <c r="A526" s="4" t="s">
        <v>11</v>
      </c>
      <c r="B526" s="4" t="s">
        <v>773</v>
      </c>
      <c r="C526" s="4" t="s">
        <v>26</v>
      </c>
      <c r="D526" s="4">
        <v>4115152015</v>
      </c>
      <c r="E526" s="4" t="s">
        <v>813</v>
      </c>
      <c r="F526" s="4" t="s">
        <v>173</v>
      </c>
      <c r="G526" s="5">
        <v>278744666</v>
      </c>
      <c r="H526" s="5">
        <v>227186</v>
      </c>
      <c r="I526" s="5">
        <v>26901243</v>
      </c>
      <c r="J526" s="5" t="s">
        <v>173</v>
      </c>
      <c r="K526" s="5">
        <v>305418723</v>
      </c>
    </row>
    <row r="527" spans="1:11" x14ac:dyDescent="0.25">
      <c r="A527" s="4" t="s">
        <v>11</v>
      </c>
      <c r="B527" s="4" t="s">
        <v>773</v>
      </c>
      <c r="C527" s="4" t="s">
        <v>26</v>
      </c>
      <c r="D527" s="4">
        <v>4115152025</v>
      </c>
      <c r="E527" s="4" t="s">
        <v>886</v>
      </c>
      <c r="F527" s="4" t="s">
        <v>173</v>
      </c>
      <c r="G527" s="5">
        <v>615172</v>
      </c>
      <c r="H527" s="5">
        <v>0</v>
      </c>
      <c r="I527" s="5">
        <v>0</v>
      </c>
      <c r="J527" s="5" t="s">
        <v>173</v>
      </c>
      <c r="K527" s="5">
        <v>615172</v>
      </c>
    </row>
    <row r="528" spans="1:11" x14ac:dyDescent="0.25">
      <c r="A528" s="4" t="s">
        <v>11</v>
      </c>
      <c r="B528" s="4" t="s">
        <v>773</v>
      </c>
      <c r="C528" s="4" t="s">
        <v>26</v>
      </c>
      <c r="D528" s="4">
        <v>4115152030</v>
      </c>
      <c r="E528" s="4" t="s">
        <v>815</v>
      </c>
      <c r="F528" s="4" t="s">
        <v>173</v>
      </c>
      <c r="G528" s="5">
        <v>5859119</v>
      </c>
      <c r="H528" s="5">
        <v>0</v>
      </c>
      <c r="I528" s="5">
        <v>105423</v>
      </c>
      <c r="J528" s="5" t="s">
        <v>173</v>
      </c>
      <c r="K528" s="5">
        <v>5964542</v>
      </c>
    </row>
    <row r="529" spans="1:11" x14ac:dyDescent="0.25">
      <c r="A529" s="4" t="s">
        <v>11</v>
      </c>
      <c r="B529" s="4" t="s">
        <v>773</v>
      </c>
      <c r="C529" s="4" t="s">
        <v>26</v>
      </c>
      <c r="D529" s="4">
        <v>4115152035</v>
      </c>
      <c r="E529" s="4" t="s">
        <v>817</v>
      </c>
      <c r="F529" s="4" t="s">
        <v>173</v>
      </c>
      <c r="G529" s="5">
        <v>38069524</v>
      </c>
      <c r="H529" s="5">
        <v>317175</v>
      </c>
      <c r="I529" s="5">
        <v>1816317</v>
      </c>
      <c r="J529" s="5" t="s">
        <v>173</v>
      </c>
      <c r="K529" s="5">
        <v>39568666</v>
      </c>
    </row>
    <row r="530" spans="1:11" x14ac:dyDescent="0.25">
      <c r="A530" s="4" t="s">
        <v>11</v>
      </c>
      <c r="B530" s="4" t="s">
        <v>773</v>
      </c>
      <c r="C530" s="4" t="s">
        <v>23</v>
      </c>
      <c r="D530" s="4">
        <v>41151525</v>
      </c>
      <c r="E530" s="4" t="s">
        <v>819</v>
      </c>
      <c r="F530" s="4" t="s">
        <v>173</v>
      </c>
      <c r="G530" s="5">
        <v>423595187</v>
      </c>
      <c r="H530" s="5">
        <v>1056987</v>
      </c>
      <c r="I530" s="5">
        <v>25658200</v>
      </c>
      <c r="J530" s="5" t="s">
        <v>173</v>
      </c>
      <c r="K530" s="5">
        <v>448196400</v>
      </c>
    </row>
    <row r="531" spans="1:11" x14ac:dyDescent="0.25">
      <c r="A531" s="4" t="s">
        <v>11</v>
      </c>
      <c r="B531" s="4" t="s">
        <v>773</v>
      </c>
      <c r="C531" s="4" t="s">
        <v>26</v>
      </c>
      <c r="D531" s="4">
        <v>4115152505</v>
      </c>
      <c r="E531" s="4" t="s">
        <v>857</v>
      </c>
      <c r="F531" s="4" t="s">
        <v>173</v>
      </c>
      <c r="G531" s="5">
        <v>476535</v>
      </c>
      <c r="H531" s="5">
        <v>0</v>
      </c>
      <c r="I531" s="5">
        <v>0</v>
      </c>
      <c r="J531" s="5" t="s">
        <v>173</v>
      </c>
      <c r="K531" s="5">
        <v>476535</v>
      </c>
    </row>
    <row r="532" spans="1:11" x14ac:dyDescent="0.25">
      <c r="A532" s="4" t="s">
        <v>11</v>
      </c>
      <c r="B532" s="4" t="s">
        <v>773</v>
      </c>
      <c r="C532" s="4" t="s">
        <v>26</v>
      </c>
      <c r="D532" s="4">
        <v>4115152510</v>
      </c>
      <c r="E532" s="4" t="s">
        <v>821</v>
      </c>
      <c r="F532" s="4" t="s">
        <v>173</v>
      </c>
      <c r="G532" s="5">
        <v>256864837</v>
      </c>
      <c r="H532" s="5">
        <v>1056987</v>
      </c>
      <c r="I532" s="5">
        <v>13814582</v>
      </c>
      <c r="J532" s="5" t="s">
        <v>173</v>
      </c>
      <c r="K532" s="5">
        <v>269622432</v>
      </c>
    </row>
    <row r="533" spans="1:11" x14ac:dyDescent="0.25">
      <c r="A533" s="4" t="s">
        <v>11</v>
      </c>
      <c r="B533" s="4" t="s">
        <v>773</v>
      </c>
      <c r="C533" s="4" t="s">
        <v>26</v>
      </c>
      <c r="D533" s="4">
        <v>4115152515</v>
      </c>
      <c r="E533" s="4" t="s">
        <v>823</v>
      </c>
      <c r="F533" s="4" t="s">
        <v>173</v>
      </c>
      <c r="G533" s="5">
        <v>166122848</v>
      </c>
      <c r="H533" s="5">
        <v>0</v>
      </c>
      <c r="I533" s="5">
        <v>11843618</v>
      </c>
      <c r="J533" s="5" t="s">
        <v>173</v>
      </c>
      <c r="K533" s="5">
        <v>177966466</v>
      </c>
    </row>
    <row r="534" spans="1:11" x14ac:dyDescent="0.25">
      <c r="A534" s="4" t="s">
        <v>11</v>
      </c>
      <c r="B534" s="4" t="s">
        <v>773</v>
      </c>
      <c r="C534" s="4" t="s">
        <v>26</v>
      </c>
      <c r="D534" s="4">
        <v>4115152520</v>
      </c>
      <c r="E534" s="4" t="s">
        <v>894</v>
      </c>
      <c r="F534" s="4" t="s">
        <v>173</v>
      </c>
      <c r="G534" s="5">
        <v>130967</v>
      </c>
      <c r="H534" s="5">
        <v>0</v>
      </c>
      <c r="I534" s="5">
        <v>0</v>
      </c>
      <c r="J534" s="5" t="s">
        <v>173</v>
      </c>
      <c r="K534" s="5">
        <v>130967</v>
      </c>
    </row>
    <row r="535" spans="1:11" x14ac:dyDescent="0.25">
      <c r="A535" s="4" t="s">
        <v>11</v>
      </c>
      <c r="B535" s="4" t="s">
        <v>773</v>
      </c>
      <c r="C535" s="4" t="s">
        <v>23</v>
      </c>
      <c r="D535" s="4">
        <v>41151530</v>
      </c>
      <c r="E535" s="4" t="s">
        <v>825</v>
      </c>
      <c r="F535" s="4" t="s">
        <v>173</v>
      </c>
      <c r="G535" s="5">
        <v>619444322</v>
      </c>
      <c r="H535" s="5">
        <v>2669092</v>
      </c>
      <c r="I535" s="5">
        <v>66560813</v>
      </c>
      <c r="J535" s="5" t="s">
        <v>173</v>
      </c>
      <c r="K535" s="5">
        <v>683336043</v>
      </c>
    </row>
    <row r="536" spans="1:11" x14ac:dyDescent="0.25">
      <c r="A536" s="4" t="s">
        <v>11</v>
      </c>
      <c r="B536" s="4" t="s">
        <v>773</v>
      </c>
      <c r="C536" s="4" t="s">
        <v>26</v>
      </c>
      <c r="D536" s="4">
        <v>4115153005</v>
      </c>
      <c r="E536" s="4" t="s">
        <v>827</v>
      </c>
      <c r="F536" s="4" t="s">
        <v>173</v>
      </c>
      <c r="G536" s="5">
        <v>171249531</v>
      </c>
      <c r="H536" s="5">
        <v>506720</v>
      </c>
      <c r="I536" s="5">
        <v>15751688</v>
      </c>
      <c r="J536" s="5" t="s">
        <v>173</v>
      </c>
      <c r="K536" s="5">
        <v>186494499</v>
      </c>
    </row>
    <row r="537" spans="1:11" x14ac:dyDescent="0.25">
      <c r="A537" s="4" t="s">
        <v>11</v>
      </c>
      <c r="B537" s="4" t="s">
        <v>773</v>
      </c>
      <c r="C537" s="4" t="s">
        <v>26</v>
      </c>
      <c r="D537" s="4">
        <v>4115153010</v>
      </c>
      <c r="E537" s="4" t="s">
        <v>829</v>
      </c>
      <c r="F537" s="4" t="s">
        <v>173</v>
      </c>
      <c r="G537" s="5">
        <v>20687779</v>
      </c>
      <c r="H537" s="5">
        <v>32236</v>
      </c>
      <c r="I537" s="5">
        <v>2163187</v>
      </c>
      <c r="J537" s="5" t="s">
        <v>173</v>
      </c>
      <c r="K537" s="5">
        <v>22818730</v>
      </c>
    </row>
    <row r="538" spans="1:11" x14ac:dyDescent="0.25">
      <c r="A538" s="4" t="s">
        <v>11</v>
      </c>
      <c r="B538" s="4" t="s">
        <v>773</v>
      </c>
      <c r="C538" s="4" t="s">
        <v>26</v>
      </c>
      <c r="D538" s="4">
        <v>4115153015</v>
      </c>
      <c r="E538" s="4" t="s">
        <v>831</v>
      </c>
      <c r="F538" s="4" t="s">
        <v>173</v>
      </c>
      <c r="G538" s="5">
        <v>39950875</v>
      </c>
      <c r="H538" s="5">
        <v>111536</v>
      </c>
      <c r="I538" s="5">
        <v>3764870</v>
      </c>
      <c r="J538" s="5" t="s">
        <v>173</v>
      </c>
      <c r="K538" s="5">
        <v>43604209</v>
      </c>
    </row>
    <row r="539" spans="1:11" x14ac:dyDescent="0.25">
      <c r="A539" s="4" t="s">
        <v>11</v>
      </c>
      <c r="B539" s="4" t="s">
        <v>773</v>
      </c>
      <c r="C539" s="4" t="s">
        <v>26</v>
      </c>
      <c r="D539" s="4">
        <v>4115153020</v>
      </c>
      <c r="E539" s="4" t="s">
        <v>833</v>
      </c>
      <c r="F539" s="4" t="s">
        <v>173</v>
      </c>
      <c r="G539" s="5">
        <v>387556137</v>
      </c>
      <c r="H539" s="5">
        <v>2018600</v>
      </c>
      <c r="I539" s="5">
        <v>44881068</v>
      </c>
      <c r="J539" s="5" t="s">
        <v>173</v>
      </c>
      <c r="K539" s="5">
        <v>430418605</v>
      </c>
    </row>
    <row r="540" spans="1:11" x14ac:dyDescent="0.25">
      <c r="A540" s="4" t="s">
        <v>11</v>
      </c>
      <c r="B540" s="4" t="s">
        <v>773</v>
      </c>
      <c r="C540" s="4" t="s">
        <v>23</v>
      </c>
      <c r="D540" s="4">
        <v>41151532</v>
      </c>
      <c r="E540" s="4" t="s">
        <v>131</v>
      </c>
      <c r="F540" s="4" t="s">
        <v>14</v>
      </c>
      <c r="G540" s="5">
        <v>-1206759283</v>
      </c>
      <c r="H540" s="5">
        <v>1151852970</v>
      </c>
      <c r="I540" s="5">
        <v>0</v>
      </c>
      <c r="J540" s="5" t="s">
        <v>14</v>
      </c>
      <c r="K540" s="5">
        <v>-2358612253</v>
      </c>
    </row>
    <row r="541" spans="1:11" x14ac:dyDescent="0.25">
      <c r="A541" s="4" t="s">
        <v>11</v>
      </c>
      <c r="B541" s="4" t="s">
        <v>773</v>
      </c>
      <c r="C541" s="4" t="s">
        <v>26</v>
      </c>
      <c r="D541" s="4">
        <v>4115153210</v>
      </c>
      <c r="E541" s="4" t="s">
        <v>836</v>
      </c>
      <c r="F541" s="4" t="s">
        <v>14</v>
      </c>
      <c r="G541" s="5">
        <v>-497627831</v>
      </c>
      <c r="H541" s="5">
        <v>496211118</v>
      </c>
      <c r="I541" s="5">
        <v>0</v>
      </c>
      <c r="J541" s="5" t="s">
        <v>14</v>
      </c>
      <c r="K541" s="5">
        <v>-993838949</v>
      </c>
    </row>
    <row r="542" spans="1:11" x14ac:dyDescent="0.25">
      <c r="A542" s="4" t="s">
        <v>11</v>
      </c>
      <c r="B542" s="4" t="s">
        <v>773</v>
      </c>
      <c r="C542" s="4" t="s">
        <v>26</v>
      </c>
      <c r="D542" s="4">
        <v>4115153215</v>
      </c>
      <c r="E542" s="4" t="s">
        <v>838</v>
      </c>
      <c r="F542" s="4" t="s">
        <v>14</v>
      </c>
      <c r="G542" s="5">
        <v>-709131452</v>
      </c>
      <c r="H542" s="5">
        <v>655641852</v>
      </c>
      <c r="I542" s="5">
        <v>0</v>
      </c>
      <c r="J542" s="5" t="s">
        <v>14</v>
      </c>
      <c r="K542" s="5">
        <v>-1364773304</v>
      </c>
    </row>
    <row r="543" spans="1:11" x14ac:dyDescent="0.25">
      <c r="A543" s="4" t="s">
        <v>11</v>
      </c>
      <c r="B543" s="4" t="s">
        <v>773</v>
      </c>
      <c r="C543" s="4" t="s">
        <v>18</v>
      </c>
      <c r="D543" s="4">
        <v>4120</v>
      </c>
      <c r="E543" s="4" t="s">
        <v>904</v>
      </c>
      <c r="F543" s="4" t="s">
        <v>173</v>
      </c>
      <c r="G543" s="5">
        <v>13473888949</v>
      </c>
      <c r="H543" s="5">
        <v>882878809</v>
      </c>
      <c r="I543" s="5">
        <v>873625366</v>
      </c>
      <c r="J543" s="5" t="s">
        <v>173</v>
      </c>
      <c r="K543" s="5">
        <v>13464635506</v>
      </c>
    </row>
    <row r="544" spans="1:11" x14ac:dyDescent="0.25">
      <c r="A544" s="4" t="s">
        <v>11</v>
      </c>
      <c r="B544" s="4" t="s">
        <v>773</v>
      </c>
      <c r="C544" s="4" t="s">
        <v>21</v>
      </c>
      <c r="D544" s="4">
        <v>412020</v>
      </c>
      <c r="E544" s="4" t="s">
        <v>904</v>
      </c>
      <c r="F544" s="4" t="s">
        <v>173</v>
      </c>
      <c r="G544" s="5">
        <v>13473888949</v>
      </c>
      <c r="H544" s="5">
        <v>882878809</v>
      </c>
      <c r="I544" s="5">
        <v>873625366</v>
      </c>
      <c r="J544" s="5" t="s">
        <v>173</v>
      </c>
      <c r="K544" s="5">
        <v>13464635506</v>
      </c>
    </row>
    <row r="545" spans="1:11" x14ac:dyDescent="0.25">
      <c r="A545" s="4" t="s">
        <v>11</v>
      </c>
      <c r="B545" s="4" t="s">
        <v>773</v>
      </c>
      <c r="C545" s="4" t="s">
        <v>23</v>
      </c>
      <c r="D545" s="4">
        <v>41202001</v>
      </c>
      <c r="E545" s="4" t="s">
        <v>237</v>
      </c>
      <c r="F545" s="4" t="s">
        <v>173</v>
      </c>
      <c r="G545" s="5">
        <v>406764119</v>
      </c>
      <c r="H545" s="5">
        <v>3206169</v>
      </c>
      <c r="I545" s="5">
        <v>23110333</v>
      </c>
      <c r="J545" s="5" t="s">
        <v>173</v>
      </c>
      <c r="K545" s="5">
        <v>426668283</v>
      </c>
    </row>
    <row r="546" spans="1:11" x14ac:dyDescent="0.25">
      <c r="A546" s="4" t="s">
        <v>11</v>
      </c>
      <c r="B546" s="4" t="s">
        <v>773</v>
      </c>
      <c r="C546" s="4" t="s">
        <v>26</v>
      </c>
      <c r="D546" s="4">
        <v>4120200105</v>
      </c>
      <c r="E546" s="4" t="s">
        <v>237</v>
      </c>
      <c r="F546" s="4" t="s">
        <v>173</v>
      </c>
      <c r="G546" s="5">
        <v>406764119</v>
      </c>
      <c r="H546" s="5">
        <v>3206169</v>
      </c>
      <c r="I546" s="5">
        <v>23110333</v>
      </c>
      <c r="J546" s="5" t="s">
        <v>173</v>
      </c>
      <c r="K546" s="5">
        <v>426668283</v>
      </c>
    </row>
    <row r="547" spans="1:11" x14ac:dyDescent="0.25">
      <c r="A547" s="4" t="s">
        <v>11</v>
      </c>
      <c r="B547" s="4" t="s">
        <v>773</v>
      </c>
      <c r="C547" s="4" t="s">
        <v>23</v>
      </c>
      <c r="D547" s="4">
        <v>41202002</v>
      </c>
      <c r="E547" s="4" t="s">
        <v>782</v>
      </c>
      <c r="F547" s="4" t="s">
        <v>173</v>
      </c>
      <c r="G547" s="5">
        <v>6508666791</v>
      </c>
      <c r="H547" s="5">
        <v>10568733</v>
      </c>
      <c r="I547" s="5">
        <v>352336201</v>
      </c>
      <c r="J547" s="5" t="s">
        <v>173</v>
      </c>
      <c r="K547" s="5">
        <v>6850434259</v>
      </c>
    </row>
    <row r="548" spans="1:11" x14ac:dyDescent="0.25">
      <c r="A548" s="4" t="s">
        <v>11</v>
      </c>
      <c r="B548" s="4" t="s">
        <v>773</v>
      </c>
      <c r="C548" s="4" t="s">
        <v>26</v>
      </c>
      <c r="D548" s="4">
        <v>4120200205</v>
      </c>
      <c r="E548" s="4" t="s">
        <v>784</v>
      </c>
      <c r="F548" s="4" t="s">
        <v>173</v>
      </c>
      <c r="G548" s="5">
        <v>2701832575</v>
      </c>
      <c r="H548" s="5">
        <v>7180069</v>
      </c>
      <c r="I548" s="5">
        <v>206253932</v>
      </c>
      <c r="J548" s="5" t="s">
        <v>173</v>
      </c>
      <c r="K548" s="5">
        <v>2900906438</v>
      </c>
    </row>
    <row r="549" spans="1:11" x14ac:dyDescent="0.25">
      <c r="A549" s="4" t="s">
        <v>11</v>
      </c>
      <c r="B549" s="4" t="s">
        <v>773</v>
      </c>
      <c r="C549" s="4" t="s">
        <v>26</v>
      </c>
      <c r="D549" s="4">
        <v>4120200210</v>
      </c>
      <c r="E549" s="4" t="s">
        <v>248</v>
      </c>
      <c r="F549" s="4" t="s">
        <v>173</v>
      </c>
      <c r="G549" s="5">
        <v>3806834216</v>
      </c>
      <c r="H549" s="5">
        <v>3388664</v>
      </c>
      <c r="I549" s="5">
        <v>146082269</v>
      </c>
      <c r="J549" s="5" t="s">
        <v>173</v>
      </c>
      <c r="K549" s="5">
        <v>3949527821</v>
      </c>
    </row>
    <row r="550" spans="1:11" x14ac:dyDescent="0.25">
      <c r="A550" s="4" t="s">
        <v>11</v>
      </c>
      <c r="B550" s="4" t="s">
        <v>773</v>
      </c>
      <c r="C550" s="4" t="s">
        <v>23</v>
      </c>
      <c r="D550" s="4">
        <v>41202010</v>
      </c>
      <c r="E550" s="4" t="s">
        <v>554</v>
      </c>
      <c r="F550" s="4" t="s">
        <v>173</v>
      </c>
      <c r="G550" s="5">
        <v>3018321417</v>
      </c>
      <c r="H550" s="5">
        <v>7597436</v>
      </c>
      <c r="I550" s="5">
        <v>227902286</v>
      </c>
      <c r="J550" s="5" t="s">
        <v>173</v>
      </c>
      <c r="K550" s="5">
        <v>3238626267</v>
      </c>
    </row>
    <row r="551" spans="1:11" x14ac:dyDescent="0.25">
      <c r="A551" s="4" t="s">
        <v>11</v>
      </c>
      <c r="B551" s="4" t="s">
        <v>773</v>
      </c>
      <c r="C551" s="4" t="s">
        <v>26</v>
      </c>
      <c r="D551" s="4">
        <v>4120201005</v>
      </c>
      <c r="E551" s="4" t="s">
        <v>787</v>
      </c>
      <c r="F551" s="4" t="s">
        <v>173</v>
      </c>
      <c r="G551" s="5">
        <v>329692046</v>
      </c>
      <c r="H551" s="5">
        <v>878432</v>
      </c>
      <c r="I551" s="5">
        <v>26660324</v>
      </c>
      <c r="J551" s="5" t="s">
        <v>173</v>
      </c>
      <c r="K551" s="5">
        <v>355473938</v>
      </c>
    </row>
    <row r="552" spans="1:11" x14ac:dyDescent="0.25">
      <c r="A552" s="4" t="s">
        <v>11</v>
      </c>
      <c r="B552" s="4" t="s">
        <v>773</v>
      </c>
      <c r="C552" s="4" t="s">
        <v>26</v>
      </c>
      <c r="D552" s="4">
        <v>4120201010</v>
      </c>
      <c r="E552" s="4" t="s">
        <v>789</v>
      </c>
      <c r="F552" s="4" t="s">
        <v>173</v>
      </c>
      <c r="G552" s="5">
        <v>908561712</v>
      </c>
      <c r="H552" s="5">
        <v>2859508</v>
      </c>
      <c r="I552" s="5">
        <v>70561081</v>
      </c>
      <c r="J552" s="5" t="s">
        <v>173</v>
      </c>
      <c r="K552" s="5">
        <v>976263285</v>
      </c>
    </row>
    <row r="553" spans="1:11" x14ac:dyDescent="0.25">
      <c r="A553" s="4" t="s">
        <v>11</v>
      </c>
      <c r="B553" s="4" t="s">
        <v>773</v>
      </c>
      <c r="C553" s="4" t="s">
        <v>26</v>
      </c>
      <c r="D553" s="4">
        <v>4120201015</v>
      </c>
      <c r="E553" s="4" t="s">
        <v>791</v>
      </c>
      <c r="F553" s="4" t="s">
        <v>173</v>
      </c>
      <c r="G553" s="5">
        <v>1779747033</v>
      </c>
      <c r="H553" s="5">
        <v>3859496</v>
      </c>
      <c r="I553" s="5">
        <v>130680881</v>
      </c>
      <c r="J553" s="5" t="s">
        <v>173</v>
      </c>
      <c r="K553" s="5">
        <v>1906568418</v>
      </c>
    </row>
    <row r="554" spans="1:11" x14ac:dyDescent="0.25">
      <c r="A554" s="4" t="s">
        <v>11</v>
      </c>
      <c r="B554" s="4" t="s">
        <v>773</v>
      </c>
      <c r="C554" s="4" t="s">
        <v>26</v>
      </c>
      <c r="D554" s="4">
        <v>4120201020</v>
      </c>
      <c r="E554" s="4" t="s">
        <v>793</v>
      </c>
      <c r="F554" s="4" t="s">
        <v>173</v>
      </c>
      <c r="G554" s="5">
        <v>320626</v>
      </c>
      <c r="H554" s="5">
        <v>0</v>
      </c>
      <c r="I554" s="5">
        <v>0</v>
      </c>
      <c r="J554" s="5" t="s">
        <v>173</v>
      </c>
      <c r="K554" s="5">
        <v>320626</v>
      </c>
    </row>
    <row r="555" spans="1:11" x14ac:dyDescent="0.25">
      <c r="A555" s="4" t="s">
        <v>11</v>
      </c>
      <c r="B555" s="4" t="s">
        <v>773</v>
      </c>
      <c r="C555" s="4" t="s">
        <v>23</v>
      </c>
      <c r="D555" s="4">
        <v>41202015</v>
      </c>
      <c r="E555" s="4" t="s">
        <v>795</v>
      </c>
      <c r="F555" s="4" t="s">
        <v>173</v>
      </c>
      <c r="G555" s="5">
        <v>1665407210</v>
      </c>
      <c r="H555" s="5">
        <v>4758463</v>
      </c>
      <c r="I555" s="5">
        <v>150228827</v>
      </c>
      <c r="J555" s="5" t="s">
        <v>173</v>
      </c>
      <c r="K555" s="5">
        <v>1810877574</v>
      </c>
    </row>
    <row r="556" spans="1:11" x14ac:dyDescent="0.25">
      <c r="A556" s="4" t="s">
        <v>11</v>
      </c>
      <c r="B556" s="4" t="s">
        <v>773</v>
      </c>
      <c r="C556" s="4" t="s">
        <v>26</v>
      </c>
      <c r="D556" s="4">
        <v>4120201510</v>
      </c>
      <c r="E556" s="4" t="s">
        <v>799</v>
      </c>
      <c r="F556" s="4" t="s">
        <v>173</v>
      </c>
      <c r="G556" s="5">
        <v>10391221</v>
      </c>
      <c r="H556" s="5">
        <v>0</v>
      </c>
      <c r="I556" s="5">
        <v>44476</v>
      </c>
      <c r="J556" s="5" t="s">
        <v>173</v>
      </c>
      <c r="K556" s="5">
        <v>10435697</v>
      </c>
    </row>
    <row r="557" spans="1:11" x14ac:dyDescent="0.25">
      <c r="A557" s="4" t="s">
        <v>11</v>
      </c>
      <c r="B557" s="4" t="s">
        <v>773</v>
      </c>
      <c r="C557" s="4" t="s">
        <v>26</v>
      </c>
      <c r="D557" s="4">
        <v>4120201515</v>
      </c>
      <c r="E557" s="4" t="s">
        <v>801</v>
      </c>
      <c r="F557" s="4" t="s">
        <v>173</v>
      </c>
      <c r="G557" s="5">
        <v>107887061</v>
      </c>
      <c r="H557" s="5">
        <v>722271</v>
      </c>
      <c r="I557" s="5">
        <v>4584547</v>
      </c>
      <c r="J557" s="5" t="s">
        <v>173</v>
      </c>
      <c r="K557" s="5">
        <v>111749337</v>
      </c>
    </row>
    <row r="558" spans="1:11" x14ac:dyDescent="0.25">
      <c r="A558" s="4" t="s">
        <v>11</v>
      </c>
      <c r="B558" s="4" t="s">
        <v>773</v>
      </c>
      <c r="C558" s="4" t="s">
        <v>26</v>
      </c>
      <c r="D558" s="4">
        <v>4120201520</v>
      </c>
      <c r="E558" s="4" t="s">
        <v>803</v>
      </c>
      <c r="F558" s="4" t="s">
        <v>173</v>
      </c>
      <c r="G558" s="5">
        <v>1547128928</v>
      </c>
      <c r="H558" s="5">
        <v>4036192</v>
      </c>
      <c r="I558" s="5">
        <v>145599804</v>
      </c>
      <c r="J558" s="5" t="s">
        <v>173</v>
      </c>
      <c r="K558" s="5">
        <v>1688692540</v>
      </c>
    </row>
    <row r="559" spans="1:11" x14ac:dyDescent="0.25">
      <c r="A559" s="4" t="s">
        <v>11</v>
      </c>
      <c r="B559" s="4" t="s">
        <v>773</v>
      </c>
      <c r="C559" s="4" t="s">
        <v>23</v>
      </c>
      <c r="D559" s="4">
        <v>41202016</v>
      </c>
      <c r="E559" s="4" t="s">
        <v>805</v>
      </c>
      <c r="F559" s="4" t="s">
        <v>173</v>
      </c>
      <c r="G559" s="5">
        <v>15945726</v>
      </c>
      <c r="H559" s="5">
        <v>28379</v>
      </c>
      <c r="I559" s="5">
        <v>2154321</v>
      </c>
      <c r="J559" s="5" t="s">
        <v>173</v>
      </c>
      <c r="K559" s="5">
        <v>18071668</v>
      </c>
    </row>
    <row r="560" spans="1:11" x14ac:dyDescent="0.25">
      <c r="A560" s="4" t="s">
        <v>11</v>
      </c>
      <c r="B560" s="4" t="s">
        <v>773</v>
      </c>
      <c r="C560" s="4" t="s">
        <v>26</v>
      </c>
      <c r="D560" s="4">
        <v>4120201605</v>
      </c>
      <c r="E560" s="4" t="s">
        <v>807</v>
      </c>
      <c r="F560" s="4" t="s">
        <v>173</v>
      </c>
      <c r="G560" s="5">
        <v>15945726</v>
      </c>
      <c r="H560" s="5">
        <v>28379</v>
      </c>
      <c r="I560" s="5">
        <v>2154321</v>
      </c>
      <c r="J560" s="5" t="s">
        <v>173</v>
      </c>
      <c r="K560" s="5">
        <v>18071668</v>
      </c>
    </row>
    <row r="561" spans="1:11" x14ac:dyDescent="0.25">
      <c r="A561" s="4" t="s">
        <v>11</v>
      </c>
      <c r="B561" s="4" t="s">
        <v>773</v>
      </c>
      <c r="C561" s="4" t="s">
        <v>23</v>
      </c>
      <c r="D561" s="4">
        <v>41202020</v>
      </c>
      <c r="E561" s="4" t="s">
        <v>809</v>
      </c>
      <c r="F561" s="4" t="s">
        <v>173</v>
      </c>
      <c r="G561" s="5">
        <v>2359715352</v>
      </c>
      <c r="H561" s="5">
        <v>5209600</v>
      </c>
      <c r="I561" s="5">
        <v>77365058</v>
      </c>
      <c r="J561" s="5" t="s">
        <v>173</v>
      </c>
      <c r="K561" s="5">
        <v>2431870810</v>
      </c>
    </row>
    <row r="562" spans="1:11" x14ac:dyDescent="0.25">
      <c r="A562" s="4" t="s">
        <v>11</v>
      </c>
      <c r="B562" s="4" t="s">
        <v>773</v>
      </c>
      <c r="C562" s="4" t="s">
        <v>26</v>
      </c>
      <c r="D562" s="4">
        <v>4120202015</v>
      </c>
      <c r="E562" s="4" t="s">
        <v>813</v>
      </c>
      <c r="F562" s="4" t="s">
        <v>173</v>
      </c>
      <c r="G562" s="5">
        <v>1632561922</v>
      </c>
      <c r="H562" s="5">
        <v>5209600</v>
      </c>
      <c r="I562" s="5">
        <v>63266874</v>
      </c>
      <c r="J562" s="5" t="s">
        <v>173</v>
      </c>
      <c r="K562" s="5">
        <v>1690619196</v>
      </c>
    </row>
    <row r="563" spans="1:11" x14ac:dyDescent="0.25">
      <c r="A563" s="4" t="s">
        <v>11</v>
      </c>
      <c r="B563" s="4" t="s">
        <v>773</v>
      </c>
      <c r="C563" s="4" t="s">
        <v>26</v>
      </c>
      <c r="D563" s="4">
        <v>4120202025</v>
      </c>
      <c r="E563" s="4" t="s">
        <v>886</v>
      </c>
      <c r="F563" s="4" t="s">
        <v>173</v>
      </c>
      <c r="G563" s="5">
        <v>1127565</v>
      </c>
      <c r="H563" s="5">
        <v>0</v>
      </c>
      <c r="I563" s="5">
        <v>0</v>
      </c>
      <c r="J563" s="5" t="s">
        <v>173</v>
      </c>
      <c r="K563" s="5">
        <v>1127565</v>
      </c>
    </row>
    <row r="564" spans="1:11" x14ac:dyDescent="0.25">
      <c r="A564" s="4" t="s">
        <v>11</v>
      </c>
      <c r="B564" s="4" t="s">
        <v>773</v>
      </c>
      <c r="C564" s="4" t="s">
        <v>26</v>
      </c>
      <c r="D564" s="4">
        <v>4120202030</v>
      </c>
      <c r="E564" s="4" t="s">
        <v>815</v>
      </c>
      <c r="F564" s="4" t="s">
        <v>173</v>
      </c>
      <c r="G564" s="5">
        <v>740977</v>
      </c>
      <c r="H564" s="5">
        <v>0</v>
      </c>
      <c r="I564" s="5">
        <v>0</v>
      </c>
      <c r="J564" s="5" t="s">
        <v>173</v>
      </c>
      <c r="K564" s="5">
        <v>740977</v>
      </c>
    </row>
    <row r="565" spans="1:11" x14ac:dyDescent="0.25">
      <c r="A565" s="4" t="s">
        <v>11</v>
      </c>
      <c r="B565" s="4" t="s">
        <v>773</v>
      </c>
      <c r="C565" s="4" t="s">
        <v>26</v>
      </c>
      <c r="D565" s="4">
        <v>4120202035</v>
      </c>
      <c r="E565" s="4" t="s">
        <v>817</v>
      </c>
      <c r="F565" s="4" t="s">
        <v>173</v>
      </c>
      <c r="G565" s="5">
        <v>725284888</v>
      </c>
      <c r="H565" s="5">
        <v>0</v>
      </c>
      <c r="I565" s="5">
        <v>14098184</v>
      </c>
      <c r="J565" s="5" t="s">
        <v>173</v>
      </c>
      <c r="K565" s="5">
        <v>739383072</v>
      </c>
    </row>
    <row r="566" spans="1:11" x14ac:dyDescent="0.25">
      <c r="A566" s="4" t="s">
        <v>11</v>
      </c>
      <c r="B566" s="4" t="s">
        <v>773</v>
      </c>
      <c r="C566" s="4" t="s">
        <v>23</v>
      </c>
      <c r="D566" s="4">
        <v>41202025</v>
      </c>
      <c r="E566" s="4" t="s">
        <v>819</v>
      </c>
      <c r="F566" s="4" t="s">
        <v>173</v>
      </c>
      <c r="G566" s="5">
        <v>5467339</v>
      </c>
      <c r="H566" s="5">
        <v>0</v>
      </c>
      <c r="I566" s="5">
        <v>33000000</v>
      </c>
      <c r="J566" s="5" t="s">
        <v>173</v>
      </c>
      <c r="K566" s="5">
        <v>38467339</v>
      </c>
    </row>
    <row r="567" spans="1:11" x14ac:dyDescent="0.25">
      <c r="A567" s="4" t="s">
        <v>11</v>
      </c>
      <c r="B567" s="4" t="s">
        <v>773</v>
      </c>
      <c r="C567" s="4" t="s">
        <v>26</v>
      </c>
      <c r="D567" s="4">
        <v>4120202510</v>
      </c>
      <c r="E567" s="4" t="s">
        <v>821</v>
      </c>
      <c r="F567" s="4" t="s">
        <v>173</v>
      </c>
      <c r="G567" s="5">
        <v>2050875</v>
      </c>
      <c r="H567" s="5">
        <v>0</v>
      </c>
      <c r="I567" s="5">
        <v>0</v>
      </c>
      <c r="J567" s="5" t="s">
        <v>173</v>
      </c>
      <c r="K567" s="5">
        <v>2050875</v>
      </c>
    </row>
    <row r="568" spans="1:11" x14ac:dyDescent="0.25">
      <c r="A568" s="4" t="s">
        <v>11</v>
      </c>
      <c r="B568" s="4" t="s">
        <v>773</v>
      </c>
      <c r="C568" s="4" t="s">
        <v>26</v>
      </c>
      <c r="D568" s="4">
        <v>4120202520</v>
      </c>
      <c r="E568" s="4" t="s">
        <v>894</v>
      </c>
      <c r="F568" s="4" t="s">
        <v>173</v>
      </c>
      <c r="G568" s="5">
        <v>3416464</v>
      </c>
      <c r="H568" s="5">
        <v>0</v>
      </c>
      <c r="I568" s="5">
        <v>33000000</v>
      </c>
      <c r="J568" s="5" t="s">
        <v>173</v>
      </c>
      <c r="K568" s="5">
        <v>36416464</v>
      </c>
    </row>
    <row r="569" spans="1:11" x14ac:dyDescent="0.25">
      <c r="A569" s="4" t="s">
        <v>11</v>
      </c>
      <c r="B569" s="4" t="s">
        <v>773</v>
      </c>
      <c r="C569" s="4" t="s">
        <v>23</v>
      </c>
      <c r="D569" s="4">
        <v>41202030</v>
      </c>
      <c r="E569" s="4" t="s">
        <v>825</v>
      </c>
      <c r="F569" s="4" t="s">
        <v>173</v>
      </c>
      <c r="G569" s="5">
        <v>1112412</v>
      </c>
      <c r="H569" s="5">
        <v>0</v>
      </c>
      <c r="I569" s="5">
        <v>88862</v>
      </c>
      <c r="J569" s="5" t="s">
        <v>173</v>
      </c>
      <c r="K569" s="5">
        <v>1201274</v>
      </c>
    </row>
    <row r="570" spans="1:11" x14ac:dyDescent="0.25">
      <c r="A570" s="4" t="s">
        <v>11</v>
      </c>
      <c r="B570" s="4" t="s">
        <v>773</v>
      </c>
      <c r="C570" s="4" t="s">
        <v>26</v>
      </c>
      <c r="D570" s="4">
        <v>4120203005</v>
      </c>
      <c r="E570" s="4" t="s">
        <v>827</v>
      </c>
      <c r="F570" s="4" t="s">
        <v>173</v>
      </c>
      <c r="G570" s="5">
        <v>521342</v>
      </c>
      <c r="H570" s="5">
        <v>0</v>
      </c>
      <c r="I570" s="5">
        <v>27983</v>
      </c>
      <c r="J570" s="5" t="s">
        <v>173</v>
      </c>
      <c r="K570" s="5">
        <v>549325</v>
      </c>
    </row>
    <row r="571" spans="1:11" x14ac:dyDescent="0.25">
      <c r="A571" s="4" t="s">
        <v>11</v>
      </c>
      <c r="B571" s="4" t="s">
        <v>773</v>
      </c>
      <c r="C571" s="4" t="s">
        <v>26</v>
      </c>
      <c r="D571" s="4">
        <v>4120203010</v>
      </c>
      <c r="E571" s="4" t="s">
        <v>829</v>
      </c>
      <c r="F571" s="4" t="s">
        <v>173</v>
      </c>
      <c r="G571" s="5">
        <v>38375</v>
      </c>
      <c r="H571" s="5">
        <v>0</v>
      </c>
      <c r="I571" s="5">
        <v>0</v>
      </c>
      <c r="J571" s="5" t="s">
        <v>173</v>
      </c>
      <c r="K571" s="5">
        <v>38375</v>
      </c>
    </row>
    <row r="572" spans="1:11" x14ac:dyDescent="0.25">
      <c r="A572" s="4" t="s">
        <v>11</v>
      </c>
      <c r="B572" s="4" t="s">
        <v>773</v>
      </c>
      <c r="C572" s="4" t="s">
        <v>26</v>
      </c>
      <c r="D572" s="4">
        <v>4120203015</v>
      </c>
      <c r="E572" s="4" t="s">
        <v>831</v>
      </c>
      <c r="F572" s="4" t="s">
        <v>173</v>
      </c>
      <c r="G572" s="5">
        <v>108544</v>
      </c>
      <c r="H572" s="5">
        <v>0</v>
      </c>
      <c r="I572" s="5">
        <v>0</v>
      </c>
      <c r="J572" s="5" t="s">
        <v>173</v>
      </c>
      <c r="K572" s="5">
        <v>108544</v>
      </c>
    </row>
    <row r="573" spans="1:11" x14ac:dyDescent="0.25">
      <c r="A573" s="4" t="s">
        <v>11</v>
      </c>
      <c r="B573" s="4" t="s">
        <v>773</v>
      </c>
      <c r="C573" s="4" t="s">
        <v>26</v>
      </c>
      <c r="D573" s="4">
        <v>4120203020</v>
      </c>
      <c r="E573" s="4" t="s">
        <v>833</v>
      </c>
      <c r="F573" s="4" t="s">
        <v>173</v>
      </c>
      <c r="G573" s="5">
        <v>444151</v>
      </c>
      <c r="H573" s="5">
        <v>0</v>
      </c>
      <c r="I573" s="5">
        <v>60879</v>
      </c>
      <c r="J573" s="5" t="s">
        <v>173</v>
      </c>
      <c r="K573" s="5">
        <v>505030</v>
      </c>
    </row>
    <row r="574" spans="1:11" x14ac:dyDescent="0.25">
      <c r="A574" s="4" t="s">
        <v>11</v>
      </c>
      <c r="B574" s="4" t="s">
        <v>773</v>
      </c>
      <c r="C574" s="4" t="s">
        <v>23</v>
      </c>
      <c r="D574" s="4">
        <v>41202031</v>
      </c>
      <c r="E574" s="4" t="s">
        <v>572</v>
      </c>
      <c r="F574" s="4" t="s">
        <v>173</v>
      </c>
      <c r="G574" s="5">
        <v>167657434</v>
      </c>
      <c r="H574" s="5">
        <v>403551</v>
      </c>
      <c r="I574" s="5">
        <v>7439478</v>
      </c>
      <c r="J574" s="5" t="s">
        <v>173</v>
      </c>
      <c r="K574" s="5">
        <v>174693361</v>
      </c>
    </row>
    <row r="575" spans="1:11" x14ac:dyDescent="0.25">
      <c r="A575" s="4" t="s">
        <v>11</v>
      </c>
      <c r="B575" s="4" t="s">
        <v>773</v>
      </c>
      <c r="C575" s="4" t="s">
        <v>26</v>
      </c>
      <c r="D575" s="4">
        <v>4120203110</v>
      </c>
      <c r="E575" s="4" t="s">
        <v>937</v>
      </c>
      <c r="F575" s="4" t="s">
        <v>173</v>
      </c>
      <c r="G575" s="5">
        <v>167657434</v>
      </c>
      <c r="H575" s="5">
        <v>403551</v>
      </c>
      <c r="I575" s="5">
        <v>7439478</v>
      </c>
      <c r="J575" s="5" t="s">
        <v>173</v>
      </c>
      <c r="K575" s="5">
        <v>174693361</v>
      </c>
    </row>
    <row r="576" spans="1:11" x14ac:dyDescent="0.25">
      <c r="A576" s="4" t="s">
        <v>11</v>
      </c>
      <c r="B576" s="4" t="s">
        <v>773</v>
      </c>
      <c r="C576" s="4" t="s">
        <v>23</v>
      </c>
      <c r="D576" s="4">
        <v>41202032</v>
      </c>
      <c r="E576" s="4" t="s">
        <v>131</v>
      </c>
      <c r="F576" s="4" t="s">
        <v>14</v>
      </c>
      <c r="G576" s="5">
        <v>-675168851</v>
      </c>
      <c r="H576" s="5">
        <v>851106478</v>
      </c>
      <c r="I576" s="5">
        <v>0</v>
      </c>
      <c r="J576" s="5" t="s">
        <v>14</v>
      </c>
      <c r="K576" s="5">
        <v>-1526275329</v>
      </c>
    </row>
    <row r="577" spans="1:11" x14ac:dyDescent="0.25">
      <c r="A577" s="4" t="s">
        <v>11</v>
      </c>
      <c r="B577" s="4" t="s">
        <v>773</v>
      </c>
      <c r="C577" s="4" t="s">
        <v>26</v>
      </c>
      <c r="D577" s="4">
        <v>4120203210</v>
      </c>
      <c r="E577" s="4" t="s">
        <v>836</v>
      </c>
      <c r="F577" s="4" t="s">
        <v>14</v>
      </c>
      <c r="G577" s="5">
        <v>-185650659</v>
      </c>
      <c r="H577" s="5">
        <v>441930212</v>
      </c>
      <c r="I577" s="5">
        <v>0</v>
      </c>
      <c r="J577" s="5" t="s">
        <v>14</v>
      </c>
      <c r="K577" s="5">
        <v>-627580871</v>
      </c>
    </row>
    <row r="578" spans="1:11" x14ac:dyDescent="0.25">
      <c r="A578" s="4" t="s">
        <v>11</v>
      </c>
      <c r="B578" s="4" t="s">
        <v>773</v>
      </c>
      <c r="C578" s="4" t="s">
        <v>26</v>
      </c>
      <c r="D578" s="4">
        <v>4120203215</v>
      </c>
      <c r="E578" s="4" t="s">
        <v>838</v>
      </c>
      <c r="F578" s="4" t="s">
        <v>14</v>
      </c>
      <c r="G578" s="5">
        <v>-489518192</v>
      </c>
      <c r="H578" s="5">
        <v>409176266</v>
      </c>
      <c r="I578" s="5">
        <v>0</v>
      </c>
      <c r="J578" s="5" t="s">
        <v>14</v>
      </c>
      <c r="K578" s="5">
        <v>-898694458</v>
      </c>
    </row>
    <row r="579" spans="1:11" x14ac:dyDescent="0.25">
      <c r="A579" s="4" t="s">
        <v>11</v>
      </c>
      <c r="B579" s="4" t="s">
        <v>773</v>
      </c>
      <c r="C579" s="4" t="s">
        <v>18</v>
      </c>
      <c r="D579" s="4">
        <v>4125</v>
      </c>
      <c r="E579" s="4" t="s">
        <v>819</v>
      </c>
      <c r="F579" s="4" t="s">
        <v>173</v>
      </c>
      <c r="G579" s="5">
        <v>11603367785</v>
      </c>
      <c r="H579" s="5">
        <v>471255314</v>
      </c>
      <c r="I579" s="5">
        <v>894442224</v>
      </c>
      <c r="J579" s="5" t="s">
        <v>173</v>
      </c>
      <c r="K579" s="5">
        <v>12026554695</v>
      </c>
    </row>
    <row r="580" spans="1:11" x14ac:dyDescent="0.25">
      <c r="A580" s="4" t="s">
        <v>11</v>
      </c>
      <c r="B580" s="4" t="s">
        <v>773</v>
      </c>
      <c r="C580" s="4" t="s">
        <v>21</v>
      </c>
      <c r="D580" s="4">
        <v>412525</v>
      </c>
      <c r="E580" s="4" t="s">
        <v>819</v>
      </c>
      <c r="F580" s="4" t="s">
        <v>173</v>
      </c>
      <c r="G580" s="5">
        <v>11603367785</v>
      </c>
      <c r="H580" s="5">
        <v>471255314</v>
      </c>
      <c r="I580" s="5">
        <v>894442224</v>
      </c>
      <c r="J580" s="5" t="s">
        <v>173</v>
      </c>
      <c r="K580" s="5">
        <v>12026554695</v>
      </c>
    </row>
    <row r="581" spans="1:11" x14ac:dyDescent="0.25">
      <c r="A581" s="4" t="s">
        <v>11</v>
      </c>
      <c r="B581" s="4" t="s">
        <v>773</v>
      </c>
      <c r="C581" s="4" t="s">
        <v>23</v>
      </c>
      <c r="D581" s="4">
        <v>41252501</v>
      </c>
      <c r="E581" s="4" t="s">
        <v>237</v>
      </c>
      <c r="F581" s="4" t="s">
        <v>173</v>
      </c>
      <c r="G581" s="5">
        <v>124498273</v>
      </c>
      <c r="H581" s="5">
        <v>247792</v>
      </c>
      <c r="I581" s="5">
        <v>6668852</v>
      </c>
      <c r="J581" s="5" t="s">
        <v>173</v>
      </c>
      <c r="K581" s="5">
        <v>130919333</v>
      </c>
    </row>
    <row r="582" spans="1:11" x14ac:dyDescent="0.25">
      <c r="A582" s="4" t="s">
        <v>11</v>
      </c>
      <c r="B582" s="4" t="s">
        <v>773</v>
      </c>
      <c r="C582" s="4" t="s">
        <v>26</v>
      </c>
      <c r="D582" s="4">
        <v>4125250105</v>
      </c>
      <c r="E582" s="4" t="s">
        <v>237</v>
      </c>
      <c r="F582" s="4" t="s">
        <v>173</v>
      </c>
      <c r="G582" s="5">
        <v>124498273</v>
      </c>
      <c r="H582" s="5">
        <v>247792</v>
      </c>
      <c r="I582" s="5">
        <v>6668852</v>
      </c>
      <c r="J582" s="5" t="s">
        <v>173</v>
      </c>
      <c r="K582" s="5">
        <v>130919333</v>
      </c>
    </row>
    <row r="583" spans="1:11" x14ac:dyDescent="0.25">
      <c r="A583" s="4" t="s">
        <v>11</v>
      </c>
      <c r="B583" s="4" t="s">
        <v>773</v>
      </c>
      <c r="C583" s="4" t="s">
        <v>23</v>
      </c>
      <c r="D583" s="4">
        <v>41252502</v>
      </c>
      <c r="E583" s="4" t="s">
        <v>782</v>
      </c>
      <c r="F583" s="4" t="s">
        <v>173</v>
      </c>
      <c r="G583" s="5">
        <v>1920445470</v>
      </c>
      <c r="H583" s="5">
        <v>1534397</v>
      </c>
      <c r="I583" s="5">
        <v>119605556</v>
      </c>
      <c r="J583" s="5" t="s">
        <v>173</v>
      </c>
      <c r="K583" s="5">
        <v>2038516629</v>
      </c>
    </row>
    <row r="584" spans="1:11" x14ac:dyDescent="0.25">
      <c r="A584" s="4" t="s">
        <v>11</v>
      </c>
      <c r="B584" s="4" t="s">
        <v>773</v>
      </c>
      <c r="C584" s="4" t="s">
        <v>26</v>
      </c>
      <c r="D584" s="4">
        <v>4125250205</v>
      </c>
      <c r="E584" s="4" t="s">
        <v>784</v>
      </c>
      <c r="F584" s="4" t="s">
        <v>173</v>
      </c>
      <c r="G584" s="5">
        <v>1409134160</v>
      </c>
      <c r="H584" s="5">
        <v>614456</v>
      </c>
      <c r="I584" s="5">
        <v>81172893</v>
      </c>
      <c r="J584" s="5" t="s">
        <v>173</v>
      </c>
      <c r="K584" s="5">
        <v>1489692597</v>
      </c>
    </row>
    <row r="585" spans="1:11" x14ac:dyDescent="0.25">
      <c r="A585" s="4" t="s">
        <v>11</v>
      </c>
      <c r="B585" s="4" t="s">
        <v>773</v>
      </c>
      <c r="C585" s="4" t="s">
        <v>26</v>
      </c>
      <c r="D585" s="4">
        <v>4125250215</v>
      </c>
      <c r="E585" s="4" t="s">
        <v>948</v>
      </c>
      <c r="F585" s="4" t="s">
        <v>173</v>
      </c>
      <c r="G585" s="5">
        <v>511311310</v>
      </c>
      <c r="H585" s="5">
        <v>919941</v>
      </c>
      <c r="I585" s="5">
        <v>38432663</v>
      </c>
      <c r="J585" s="5" t="s">
        <v>173</v>
      </c>
      <c r="K585" s="5">
        <v>548824032</v>
      </c>
    </row>
    <row r="586" spans="1:11" x14ac:dyDescent="0.25">
      <c r="A586" s="4" t="s">
        <v>11</v>
      </c>
      <c r="B586" s="4" t="s">
        <v>773</v>
      </c>
      <c r="C586" s="4" t="s">
        <v>23</v>
      </c>
      <c r="D586" s="4">
        <v>41252515</v>
      </c>
      <c r="E586" s="4" t="s">
        <v>795</v>
      </c>
      <c r="F586" s="4" t="s">
        <v>173</v>
      </c>
      <c r="G586" s="5">
        <v>144090602</v>
      </c>
      <c r="H586" s="5">
        <v>0</v>
      </c>
      <c r="I586" s="5">
        <v>8817626</v>
      </c>
      <c r="J586" s="5" t="s">
        <v>173</v>
      </c>
      <c r="K586" s="5">
        <v>152908228</v>
      </c>
    </row>
    <row r="587" spans="1:11" x14ac:dyDescent="0.25">
      <c r="A587" s="4" t="s">
        <v>11</v>
      </c>
      <c r="B587" s="4" t="s">
        <v>773</v>
      </c>
      <c r="C587" s="4" t="s">
        <v>26</v>
      </c>
      <c r="D587" s="4">
        <v>4125251515</v>
      </c>
      <c r="E587" s="4" t="s">
        <v>801</v>
      </c>
      <c r="F587" s="4" t="s">
        <v>173</v>
      </c>
      <c r="G587" s="5">
        <v>144090602</v>
      </c>
      <c r="H587" s="5">
        <v>0</v>
      </c>
      <c r="I587" s="5">
        <v>8817626</v>
      </c>
      <c r="J587" s="5" t="s">
        <v>173</v>
      </c>
      <c r="K587" s="5">
        <v>152908228</v>
      </c>
    </row>
    <row r="588" spans="1:11" x14ac:dyDescent="0.25">
      <c r="A588" s="4" t="s">
        <v>11</v>
      </c>
      <c r="B588" s="4" t="s">
        <v>773</v>
      </c>
      <c r="C588" s="4" t="s">
        <v>23</v>
      </c>
      <c r="D588" s="4">
        <v>41252520</v>
      </c>
      <c r="E588" s="4" t="s">
        <v>809</v>
      </c>
      <c r="F588" s="4" t="s">
        <v>173</v>
      </c>
      <c r="G588" s="5">
        <v>8508067</v>
      </c>
      <c r="H588" s="5">
        <v>0</v>
      </c>
      <c r="I588" s="5">
        <v>372346</v>
      </c>
      <c r="J588" s="5" t="s">
        <v>173</v>
      </c>
      <c r="K588" s="5">
        <v>8880413</v>
      </c>
    </row>
    <row r="589" spans="1:11" x14ac:dyDescent="0.25">
      <c r="A589" s="4" t="s">
        <v>11</v>
      </c>
      <c r="B589" s="4" t="s">
        <v>773</v>
      </c>
      <c r="C589" s="4" t="s">
        <v>26</v>
      </c>
      <c r="D589" s="4">
        <v>4125252025</v>
      </c>
      <c r="E589" s="4" t="s">
        <v>886</v>
      </c>
      <c r="F589" s="4" t="s">
        <v>173</v>
      </c>
      <c r="G589" s="5">
        <v>538715</v>
      </c>
      <c r="H589" s="5">
        <v>0</v>
      </c>
      <c r="I589" s="5">
        <v>0</v>
      </c>
      <c r="J589" s="5" t="s">
        <v>173</v>
      </c>
      <c r="K589" s="5">
        <v>538715</v>
      </c>
    </row>
    <row r="590" spans="1:11" x14ac:dyDescent="0.25">
      <c r="A590" s="4" t="s">
        <v>11</v>
      </c>
      <c r="B590" s="4" t="s">
        <v>773</v>
      </c>
      <c r="C590" s="4" t="s">
        <v>26</v>
      </c>
      <c r="D590" s="4">
        <v>4125252030</v>
      </c>
      <c r="E590" s="4" t="s">
        <v>815</v>
      </c>
      <c r="F590" s="4" t="s">
        <v>173</v>
      </c>
      <c r="G590" s="5">
        <v>7969352</v>
      </c>
      <c r="H590" s="5">
        <v>0</v>
      </c>
      <c r="I590" s="5">
        <v>372346</v>
      </c>
      <c r="J590" s="5" t="s">
        <v>173</v>
      </c>
      <c r="K590" s="5">
        <v>8341698</v>
      </c>
    </row>
    <row r="591" spans="1:11" x14ac:dyDescent="0.25">
      <c r="A591" s="4" t="s">
        <v>11</v>
      </c>
      <c r="B591" s="4" t="s">
        <v>773</v>
      </c>
      <c r="C591" s="4" t="s">
        <v>23</v>
      </c>
      <c r="D591" s="4">
        <v>41252525</v>
      </c>
      <c r="E591" s="4" t="s">
        <v>819</v>
      </c>
      <c r="F591" s="4" t="s">
        <v>173</v>
      </c>
      <c r="G591" s="5">
        <v>4220796052</v>
      </c>
      <c r="H591" s="5">
        <v>12747197</v>
      </c>
      <c r="I591" s="5">
        <v>301476491</v>
      </c>
      <c r="J591" s="5" t="s">
        <v>173</v>
      </c>
      <c r="K591" s="5">
        <v>4509525346</v>
      </c>
    </row>
    <row r="592" spans="1:11" x14ac:dyDescent="0.25">
      <c r="A592" s="4" t="s">
        <v>11</v>
      </c>
      <c r="B592" s="4" t="s">
        <v>773</v>
      </c>
      <c r="C592" s="4" t="s">
        <v>26</v>
      </c>
      <c r="D592" s="4">
        <v>4125252510</v>
      </c>
      <c r="E592" s="4" t="s">
        <v>821</v>
      </c>
      <c r="F592" s="4" t="s">
        <v>173</v>
      </c>
      <c r="G592" s="5">
        <v>109473695</v>
      </c>
      <c r="H592" s="5">
        <v>0</v>
      </c>
      <c r="I592" s="5">
        <v>0</v>
      </c>
      <c r="J592" s="5" t="s">
        <v>173</v>
      </c>
      <c r="K592" s="5">
        <v>109473695</v>
      </c>
    </row>
    <row r="593" spans="1:11" x14ac:dyDescent="0.25">
      <c r="A593" s="4" t="s">
        <v>11</v>
      </c>
      <c r="B593" s="4" t="s">
        <v>773</v>
      </c>
      <c r="C593" s="4" t="s">
        <v>26</v>
      </c>
      <c r="D593" s="4">
        <v>4125252515</v>
      </c>
      <c r="E593" s="4" t="s">
        <v>823</v>
      </c>
      <c r="F593" s="4" t="s">
        <v>173</v>
      </c>
      <c r="G593" s="5">
        <v>57030525</v>
      </c>
      <c r="H593" s="5">
        <v>0</v>
      </c>
      <c r="I593" s="5">
        <v>6800122</v>
      </c>
      <c r="J593" s="5" t="s">
        <v>173</v>
      </c>
      <c r="K593" s="5">
        <v>63830647</v>
      </c>
    </row>
    <row r="594" spans="1:11" x14ac:dyDescent="0.25">
      <c r="A594" s="4" t="s">
        <v>11</v>
      </c>
      <c r="B594" s="4" t="s">
        <v>773</v>
      </c>
      <c r="C594" s="4" t="s">
        <v>26</v>
      </c>
      <c r="D594" s="4">
        <v>4125252525</v>
      </c>
      <c r="E594" s="4" t="s">
        <v>958</v>
      </c>
      <c r="F594" s="4" t="s">
        <v>173</v>
      </c>
      <c r="G594" s="5">
        <v>462704676</v>
      </c>
      <c r="H594" s="5">
        <v>1910297</v>
      </c>
      <c r="I594" s="5">
        <v>26751650</v>
      </c>
      <c r="J594" s="5" t="s">
        <v>173</v>
      </c>
      <c r="K594" s="5">
        <v>487546029</v>
      </c>
    </row>
    <row r="595" spans="1:11" x14ac:dyDescent="0.25">
      <c r="A595" s="4" t="s">
        <v>11</v>
      </c>
      <c r="B595" s="4" t="s">
        <v>773</v>
      </c>
      <c r="C595" s="4" t="s">
        <v>26</v>
      </c>
      <c r="D595" s="4">
        <v>4125252530</v>
      </c>
      <c r="E595" s="4" t="s">
        <v>960</v>
      </c>
      <c r="F595" s="4" t="s">
        <v>173</v>
      </c>
      <c r="G595" s="5">
        <v>117331602</v>
      </c>
      <c r="H595" s="5">
        <v>1060931</v>
      </c>
      <c r="I595" s="5">
        <v>8669596</v>
      </c>
      <c r="J595" s="5" t="s">
        <v>173</v>
      </c>
      <c r="K595" s="5">
        <v>124940267</v>
      </c>
    </row>
    <row r="596" spans="1:11" x14ac:dyDescent="0.25">
      <c r="A596" s="4" t="s">
        <v>11</v>
      </c>
      <c r="B596" s="4" t="s">
        <v>773</v>
      </c>
      <c r="C596" s="4" t="s">
        <v>26</v>
      </c>
      <c r="D596" s="4">
        <v>4125252545</v>
      </c>
      <c r="E596" s="4" t="s">
        <v>962</v>
      </c>
      <c r="F596" s="4" t="s">
        <v>173</v>
      </c>
      <c r="G596" s="5">
        <v>3270433883</v>
      </c>
      <c r="H596" s="5">
        <v>9202281</v>
      </c>
      <c r="I596" s="5">
        <v>247814798</v>
      </c>
      <c r="J596" s="5" t="s">
        <v>173</v>
      </c>
      <c r="K596" s="5">
        <v>3509046400</v>
      </c>
    </row>
    <row r="597" spans="1:11" x14ac:dyDescent="0.25">
      <c r="A597" s="4" t="s">
        <v>11</v>
      </c>
      <c r="B597" s="4" t="s">
        <v>773</v>
      </c>
      <c r="C597" s="4" t="s">
        <v>26</v>
      </c>
      <c r="D597" s="4">
        <v>4125252550</v>
      </c>
      <c r="E597" s="4" t="s">
        <v>964</v>
      </c>
      <c r="F597" s="4" t="s">
        <v>173</v>
      </c>
      <c r="G597" s="5">
        <v>203821671</v>
      </c>
      <c r="H597" s="5">
        <v>573688</v>
      </c>
      <c r="I597" s="5">
        <v>11440325</v>
      </c>
      <c r="J597" s="5" t="s">
        <v>173</v>
      </c>
      <c r="K597" s="5">
        <v>214688308</v>
      </c>
    </row>
    <row r="598" spans="1:11" x14ac:dyDescent="0.25">
      <c r="A598" s="4" t="s">
        <v>11</v>
      </c>
      <c r="B598" s="4" t="s">
        <v>773</v>
      </c>
      <c r="C598" s="4" t="s">
        <v>23</v>
      </c>
      <c r="D598" s="4">
        <v>41252526</v>
      </c>
      <c r="E598" s="4" t="s">
        <v>966</v>
      </c>
      <c r="F598" s="4" t="s">
        <v>173</v>
      </c>
      <c r="G598" s="5">
        <v>4785114183</v>
      </c>
      <c r="H598" s="5">
        <v>6521881</v>
      </c>
      <c r="I598" s="5">
        <v>457501353</v>
      </c>
      <c r="J598" s="5" t="s">
        <v>173</v>
      </c>
      <c r="K598" s="5">
        <v>5236093655</v>
      </c>
    </row>
    <row r="599" spans="1:11" x14ac:dyDescent="0.25">
      <c r="A599" s="4" t="s">
        <v>11</v>
      </c>
      <c r="B599" s="4" t="s">
        <v>773</v>
      </c>
      <c r="C599" s="4" t="s">
        <v>26</v>
      </c>
      <c r="D599" s="4">
        <v>4125252605</v>
      </c>
      <c r="E599" s="4" t="s">
        <v>968</v>
      </c>
      <c r="F599" s="4" t="s">
        <v>173</v>
      </c>
      <c r="G599" s="5">
        <v>789463964</v>
      </c>
      <c r="H599" s="5">
        <v>1897535</v>
      </c>
      <c r="I599" s="5">
        <v>72732203</v>
      </c>
      <c r="J599" s="5" t="s">
        <v>173</v>
      </c>
      <c r="K599" s="5">
        <v>860298632</v>
      </c>
    </row>
    <row r="600" spans="1:11" x14ac:dyDescent="0.25">
      <c r="A600" s="4" t="s">
        <v>11</v>
      </c>
      <c r="B600" s="4" t="s">
        <v>773</v>
      </c>
      <c r="C600" s="4" t="s">
        <v>26</v>
      </c>
      <c r="D600" s="4">
        <v>4125252615</v>
      </c>
      <c r="E600" s="4" t="s">
        <v>970</v>
      </c>
      <c r="F600" s="4" t="s">
        <v>173</v>
      </c>
      <c r="G600" s="5">
        <v>395107453</v>
      </c>
      <c r="H600" s="5">
        <v>1071320</v>
      </c>
      <c r="I600" s="5">
        <v>33568135</v>
      </c>
      <c r="J600" s="5" t="s">
        <v>173</v>
      </c>
      <c r="K600" s="5">
        <v>427604268</v>
      </c>
    </row>
    <row r="601" spans="1:11" x14ac:dyDescent="0.25">
      <c r="A601" s="4" t="s">
        <v>11</v>
      </c>
      <c r="B601" s="4" t="s">
        <v>773</v>
      </c>
      <c r="C601" s="4" t="s">
        <v>26</v>
      </c>
      <c r="D601" s="4">
        <v>4125252620</v>
      </c>
      <c r="E601" s="4" t="s">
        <v>972</v>
      </c>
      <c r="F601" s="4" t="s">
        <v>173</v>
      </c>
      <c r="G601" s="5">
        <v>1004468705</v>
      </c>
      <c r="H601" s="5">
        <v>463374</v>
      </c>
      <c r="I601" s="5">
        <v>143810928</v>
      </c>
      <c r="J601" s="5" t="s">
        <v>173</v>
      </c>
      <c r="K601" s="5">
        <v>1147816259</v>
      </c>
    </row>
    <row r="602" spans="1:11" x14ac:dyDescent="0.25">
      <c r="A602" s="4" t="s">
        <v>11</v>
      </c>
      <c r="B602" s="4" t="s">
        <v>773</v>
      </c>
      <c r="C602" s="4" t="s">
        <v>26</v>
      </c>
      <c r="D602" s="4">
        <v>4125252625</v>
      </c>
      <c r="E602" s="4" t="s">
        <v>974</v>
      </c>
      <c r="F602" s="4" t="s">
        <v>173</v>
      </c>
      <c r="G602" s="5">
        <v>2596074061</v>
      </c>
      <c r="H602" s="5">
        <v>3089652</v>
      </c>
      <c r="I602" s="5">
        <v>207390087</v>
      </c>
      <c r="J602" s="5" t="s">
        <v>173</v>
      </c>
      <c r="K602" s="5">
        <v>2800374496</v>
      </c>
    </row>
    <row r="603" spans="1:11" x14ac:dyDescent="0.25">
      <c r="A603" s="4" t="s">
        <v>11</v>
      </c>
      <c r="B603" s="4" t="s">
        <v>773</v>
      </c>
      <c r="C603" s="4" t="s">
        <v>23</v>
      </c>
      <c r="D603" s="4">
        <v>41252532</v>
      </c>
      <c r="E603" s="4" t="s">
        <v>131</v>
      </c>
      <c r="F603" s="4" t="s">
        <v>173</v>
      </c>
      <c r="G603" s="5">
        <v>399915138</v>
      </c>
      <c r="H603" s="5">
        <v>450204047</v>
      </c>
      <c r="I603" s="5">
        <v>0</v>
      </c>
      <c r="J603" s="5" t="s">
        <v>14</v>
      </c>
      <c r="K603" s="5">
        <v>-50288909</v>
      </c>
    </row>
    <row r="604" spans="1:11" x14ac:dyDescent="0.25">
      <c r="A604" s="4" t="s">
        <v>11</v>
      </c>
      <c r="B604" s="4" t="s">
        <v>773</v>
      </c>
      <c r="C604" s="4" t="s">
        <v>26</v>
      </c>
      <c r="D604" s="4">
        <v>4125253210</v>
      </c>
      <c r="E604" s="4" t="s">
        <v>836</v>
      </c>
      <c r="F604" s="4" t="s">
        <v>173</v>
      </c>
      <c r="G604" s="5">
        <v>1825962</v>
      </c>
      <c r="H604" s="5">
        <v>39401185</v>
      </c>
      <c r="I604" s="5">
        <v>0</v>
      </c>
      <c r="J604" s="5" t="s">
        <v>14</v>
      </c>
      <c r="K604" s="5">
        <v>-37575223</v>
      </c>
    </row>
    <row r="605" spans="1:11" x14ac:dyDescent="0.25">
      <c r="A605" s="4" t="s">
        <v>11</v>
      </c>
      <c r="B605" s="4" t="s">
        <v>773</v>
      </c>
      <c r="C605" s="4" t="s">
        <v>26</v>
      </c>
      <c r="D605" s="4">
        <v>4125253215</v>
      </c>
      <c r="E605" s="4" t="s">
        <v>838</v>
      </c>
      <c r="F605" s="4" t="s">
        <v>173</v>
      </c>
      <c r="G605" s="5">
        <v>398089176</v>
      </c>
      <c r="H605" s="5">
        <v>410802862</v>
      </c>
      <c r="I605" s="5">
        <v>0</v>
      </c>
      <c r="J605" s="5" t="s">
        <v>14</v>
      </c>
      <c r="K605" s="5">
        <v>-12713686</v>
      </c>
    </row>
    <row r="606" spans="1:11" x14ac:dyDescent="0.25">
      <c r="A606" s="4" t="s">
        <v>11</v>
      </c>
      <c r="B606" s="4" t="s">
        <v>773</v>
      </c>
      <c r="C606" s="4" t="s">
        <v>18</v>
      </c>
      <c r="D606" s="4">
        <v>4130</v>
      </c>
      <c r="E606" s="4" t="s">
        <v>825</v>
      </c>
      <c r="F606" s="4" t="s">
        <v>173</v>
      </c>
      <c r="G606" s="5">
        <v>193707338</v>
      </c>
      <c r="H606" s="5">
        <v>21964049</v>
      </c>
      <c r="I606" s="5">
        <v>8472093</v>
      </c>
      <c r="J606" s="5" t="s">
        <v>173</v>
      </c>
      <c r="K606" s="5">
        <v>180215382</v>
      </c>
    </row>
    <row r="607" spans="1:11" x14ac:dyDescent="0.25">
      <c r="A607" s="4" t="s">
        <v>11</v>
      </c>
      <c r="B607" s="4" t="s">
        <v>773</v>
      </c>
      <c r="C607" s="4" t="s">
        <v>21</v>
      </c>
      <c r="D607" s="4">
        <v>413030</v>
      </c>
      <c r="E607" s="4" t="s">
        <v>825</v>
      </c>
      <c r="F607" s="4" t="s">
        <v>173</v>
      </c>
      <c r="G607" s="5">
        <v>193707338</v>
      </c>
      <c r="H607" s="5">
        <v>21964049</v>
      </c>
      <c r="I607" s="5">
        <v>8472093</v>
      </c>
      <c r="J607" s="5" t="s">
        <v>173</v>
      </c>
      <c r="K607" s="5">
        <v>180215382</v>
      </c>
    </row>
    <row r="608" spans="1:11" x14ac:dyDescent="0.25">
      <c r="A608" s="4" t="s">
        <v>11</v>
      </c>
      <c r="B608" s="4" t="s">
        <v>773</v>
      </c>
      <c r="C608" s="4" t="s">
        <v>23</v>
      </c>
      <c r="D608" s="4">
        <v>41303001</v>
      </c>
      <c r="E608" s="4" t="s">
        <v>237</v>
      </c>
      <c r="F608" s="4" t="s">
        <v>173</v>
      </c>
      <c r="G608" s="5">
        <v>94608</v>
      </c>
      <c r="H608" s="5">
        <v>0</v>
      </c>
      <c r="I608" s="5">
        <v>0</v>
      </c>
      <c r="J608" s="5" t="s">
        <v>173</v>
      </c>
      <c r="K608" s="5">
        <v>94608</v>
      </c>
    </row>
    <row r="609" spans="1:11" x14ac:dyDescent="0.25">
      <c r="A609" s="4" t="s">
        <v>11</v>
      </c>
      <c r="B609" s="4" t="s">
        <v>773</v>
      </c>
      <c r="C609" s="4" t="s">
        <v>26</v>
      </c>
      <c r="D609" s="4">
        <v>4130300105</v>
      </c>
      <c r="E609" s="4" t="s">
        <v>237</v>
      </c>
      <c r="F609" s="4" t="s">
        <v>173</v>
      </c>
      <c r="G609" s="5">
        <v>94608</v>
      </c>
      <c r="H609" s="5">
        <v>0</v>
      </c>
      <c r="I609" s="5">
        <v>0</v>
      </c>
      <c r="J609" s="5" t="s">
        <v>173</v>
      </c>
      <c r="K609" s="5">
        <v>94608</v>
      </c>
    </row>
    <row r="610" spans="1:11" x14ac:dyDescent="0.25">
      <c r="A610" s="4" t="s">
        <v>11</v>
      </c>
      <c r="B610" s="4" t="s">
        <v>773</v>
      </c>
      <c r="C610" s="4" t="s">
        <v>23</v>
      </c>
      <c r="D610" s="4">
        <v>41303002</v>
      </c>
      <c r="E610" s="4" t="s">
        <v>782</v>
      </c>
      <c r="F610" s="4" t="s">
        <v>173</v>
      </c>
      <c r="G610" s="5">
        <v>9891905</v>
      </c>
      <c r="H610" s="5">
        <v>0</v>
      </c>
      <c r="I610" s="5">
        <v>1257772</v>
      </c>
      <c r="J610" s="5" t="s">
        <v>173</v>
      </c>
      <c r="K610" s="5">
        <v>11149677</v>
      </c>
    </row>
    <row r="611" spans="1:11" x14ac:dyDescent="0.25">
      <c r="A611" s="4" t="s">
        <v>11</v>
      </c>
      <c r="B611" s="4" t="s">
        <v>773</v>
      </c>
      <c r="C611" s="4" t="s">
        <v>26</v>
      </c>
      <c r="D611" s="4">
        <v>4130300205</v>
      </c>
      <c r="E611" s="4" t="s">
        <v>784</v>
      </c>
      <c r="F611" s="4" t="s">
        <v>173</v>
      </c>
      <c r="G611" s="5">
        <v>9891905</v>
      </c>
      <c r="H611" s="5">
        <v>0</v>
      </c>
      <c r="I611" s="5">
        <v>1257772</v>
      </c>
      <c r="J611" s="5" t="s">
        <v>173</v>
      </c>
      <c r="K611" s="5">
        <v>11149677</v>
      </c>
    </row>
    <row r="612" spans="1:11" x14ac:dyDescent="0.25">
      <c r="A612" s="4" t="s">
        <v>11</v>
      </c>
      <c r="B612" s="4" t="s">
        <v>773</v>
      </c>
      <c r="C612" s="4" t="s">
        <v>23</v>
      </c>
      <c r="D612" s="4">
        <v>41303015</v>
      </c>
      <c r="E612" s="4" t="s">
        <v>795</v>
      </c>
      <c r="F612" s="4" t="s">
        <v>173</v>
      </c>
      <c r="G612" s="5">
        <v>7498445</v>
      </c>
      <c r="H612" s="5">
        <v>0</v>
      </c>
      <c r="I612" s="5">
        <v>19282</v>
      </c>
      <c r="J612" s="5" t="s">
        <v>173</v>
      </c>
      <c r="K612" s="5">
        <v>7517727</v>
      </c>
    </row>
    <row r="613" spans="1:11" x14ac:dyDescent="0.25">
      <c r="A613" s="4" t="s">
        <v>11</v>
      </c>
      <c r="B613" s="4" t="s">
        <v>773</v>
      </c>
      <c r="C613" s="4" t="s">
        <v>26</v>
      </c>
      <c r="D613" s="4">
        <v>4130301510</v>
      </c>
      <c r="E613" s="4" t="s">
        <v>799</v>
      </c>
      <c r="F613" s="4" t="s">
        <v>173</v>
      </c>
      <c r="G613" s="5">
        <v>3622245</v>
      </c>
      <c r="H613" s="5">
        <v>0</v>
      </c>
      <c r="I613" s="5">
        <v>19282</v>
      </c>
      <c r="J613" s="5" t="s">
        <v>173</v>
      </c>
      <c r="K613" s="5">
        <v>3641527</v>
      </c>
    </row>
    <row r="614" spans="1:11" x14ac:dyDescent="0.25">
      <c r="A614" s="4" t="s">
        <v>11</v>
      </c>
      <c r="B614" s="4" t="s">
        <v>773</v>
      </c>
      <c r="C614" s="4" t="s">
        <v>26</v>
      </c>
      <c r="D614" s="4">
        <v>4130301520</v>
      </c>
      <c r="E614" s="4" t="s">
        <v>803</v>
      </c>
      <c r="F614" s="4" t="s">
        <v>173</v>
      </c>
      <c r="G614" s="5">
        <v>3876200</v>
      </c>
      <c r="H614" s="5">
        <v>0</v>
      </c>
      <c r="I614" s="5">
        <v>0</v>
      </c>
      <c r="J614" s="5" t="s">
        <v>173</v>
      </c>
      <c r="K614" s="5">
        <v>3876200</v>
      </c>
    </row>
    <row r="615" spans="1:11" x14ac:dyDescent="0.25">
      <c r="A615" s="4" t="s">
        <v>11</v>
      </c>
      <c r="B615" s="4" t="s">
        <v>773</v>
      </c>
      <c r="C615" s="4" t="s">
        <v>23</v>
      </c>
      <c r="D615" s="4">
        <v>41303020</v>
      </c>
      <c r="E615" s="4" t="s">
        <v>809</v>
      </c>
      <c r="F615" s="4" t="s">
        <v>173</v>
      </c>
      <c r="G615" s="5">
        <v>3606246</v>
      </c>
      <c r="H615" s="5">
        <v>0</v>
      </c>
      <c r="I615" s="5">
        <v>7706</v>
      </c>
      <c r="J615" s="5" t="s">
        <v>173</v>
      </c>
      <c r="K615" s="5">
        <v>3613952</v>
      </c>
    </row>
    <row r="616" spans="1:11" x14ac:dyDescent="0.25">
      <c r="A616" s="4" t="s">
        <v>11</v>
      </c>
      <c r="B616" s="4" t="s">
        <v>773</v>
      </c>
      <c r="C616" s="4" t="s">
        <v>26</v>
      </c>
      <c r="D616" s="4">
        <v>4130302035</v>
      </c>
      <c r="E616" s="4" t="s">
        <v>817</v>
      </c>
      <c r="F616" s="4" t="s">
        <v>173</v>
      </c>
      <c r="G616" s="5">
        <v>3606246</v>
      </c>
      <c r="H616" s="5">
        <v>0</v>
      </c>
      <c r="I616" s="5">
        <v>7706</v>
      </c>
      <c r="J616" s="5" t="s">
        <v>173</v>
      </c>
      <c r="K616" s="5">
        <v>3613952</v>
      </c>
    </row>
    <row r="617" spans="1:11" x14ac:dyDescent="0.25">
      <c r="A617" s="4" t="s">
        <v>11</v>
      </c>
      <c r="B617" s="4" t="s">
        <v>773</v>
      </c>
      <c r="C617" s="4" t="s">
        <v>23</v>
      </c>
      <c r="D617" s="4">
        <v>41303030</v>
      </c>
      <c r="E617" s="4" t="s">
        <v>825</v>
      </c>
      <c r="F617" s="4" t="s">
        <v>173</v>
      </c>
      <c r="G617" s="5">
        <v>174110104</v>
      </c>
      <c r="H617" s="5">
        <v>604200</v>
      </c>
      <c r="I617" s="5">
        <v>7187333</v>
      </c>
      <c r="J617" s="5" t="s">
        <v>173</v>
      </c>
      <c r="K617" s="5">
        <v>180693237</v>
      </c>
    </row>
    <row r="618" spans="1:11" x14ac:dyDescent="0.25">
      <c r="A618" s="4" t="s">
        <v>11</v>
      </c>
      <c r="B618" s="4" t="s">
        <v>773</v>
      </c>
      <c r="C618" s="4" t="s">
        <v>26</v>
      </c>
      <c r="D618" s="4">
        <v>4130303005</v>
      </c>
      <c r="E618" s="4" t="s">
        <v>827</v>
      </c>
      <c r="F618" s="4" t="s">
        <v>173</v>
      </c>
      <c r="G618" s="5">
        <v>167466250</v>
      </c>
      <c r="H618" s="5">
        <v>572400</v>
      </c>
      <c r="I618" s="5">
        <v>6848203</v>
      </c>
      <c r="J618" s="5" t="s">
        <v>173</v>
      </c>
      <c r="K618" s="5">
        <v>173742053</v>
      </c>
    </row>
    <row r="619" spans="1:11" x14ac:dyDescent="0.25">
      <c r="A619" s="4" t="s">
        <v>11</v>
      </c>
      <c r="B619" s="4" t="s">
        <v>773</v>
      </c>
      <c r="C619" s="4" t="s">
        <v>26</v>
      </c>
      <c r="D619" s="4">
        <v>4130303010</v>
      </c>
      <c r="E619" s="4" t="s">
        <v>829</v>
      </c>
      <c r="F619" s="4" t="s">
        <v>173</v>
      </c>
      <c r="G619" s="5">
        <v>1494265</v>
      </c>
      <c r="H619" s="5">
        <v>0</v>
      </c>
      <c r="I619" s="5">
        <v>12593</v>
      </c>
      <c r="J619" s="5" t="s">
        <v>173</v>
      </c>
      <c r="K619" s="5">
        <v>1506858</v>
      </c>
    </row>
    <row r="620" spans="1:11" x14ac:dyDescent="0.25">
      <c r="A620" s="4" t="s">
        <v>11</v>
      </c>
      <c r="B620" s="4" t="s">
        <v>773</v>
      </c>
      <c r="C620" s="4" t="s">
        <v>26</v>
      </c>
      <c r="D620" s="4">
        <v>4130303015</v>
      </c>
      <c r="E620" s="4" t="s">
        <v>831</v>
      </c>
      <c r="F620" s="4" t="s">
        <v>173</v>
      </c>
      <c r="G620" s="5">
        <v>3848407</v>
      </c>
      <c r="H620" s="5">
        <v>0</v>
      </c>
      <c r="I620" s="5">
        <v>214377</v>
      </c>
      <c r="J620" s="5" t="s">
        <v>173</v>
      </c>
      <c r="K620" s="5">
        <v>4062784</v>
      </c>
    </row>
    <row r="621" spans="1:11" x14ac:dyDescent="0.25">
      <c r="A621" s="4" t="s">
        <v>11</v>
      </c>
      <c r="B621" s="4" t="s">
        <v>773</v>
      </c>
      <c r="C621" s="4" t="s">
        <v>26</v>
      </c>
      <c r="D621" s="4">
        <v>4130303020</v>
      </c>
      <c r="E621" s="4" t="s">
        <v>833</v>
      </c>
      <c r="F621" s="4" t="s">
        <v>173</v>
      </c>
      <c r="G621" s="5">
        <v>1301182</v>
      </c>
      <c r="H621" s="5">
        <v>31800</v>
      </c>
      <c r="I621" s="5">
        <v>112160</v>
      </c>
      <c r="J621" s="5" t="s">
        <v>173</v>
      </c>
      <c r="K621" s="5">
        <v>1381542</v>
      </c>
    </row>
    <row r="622" spans="1:11" x14ac:dyDescent="0.25">
      <c r="A622" s="4" t="s">
        <v>11</v>
      </c>
      <c r="B622" s="4" t="s">
        <v>773</v>
      </c>
      <c r="C622" s="4" t="s">
        <v>23</v>
      </c>
      <c r="D622" s="4">
        <v>41303032</v>
      </c>
      <c r="E622" s="4" t="s">
        <v>131</v>
      </c>
      <c r="F622" s="4" t="s">
        <v>14</v>
      </c>
      <c r="G622" s="5">
        <v>-1493970</v>
      </c>
      <c r="H622" s="5">
        <v>21359849</v>
      </c>
      <c r="I622" s="5">
        <v>0</v>
      </c>
      <c r="J622" s="5" t="s">
        <v>14</v>
      </c>
      <c r="K622" s="5">
        <v>-22853819</v>
      </c>
    </row>
    <row r="623" spans="1:11" x14ac:dyDescent="0.25">
      <c r="A623" s="4" t="s">
        <v>11</v>
      </c>
      <c r="B623" s="4" t="s">
        <v>773</v>
      </c>
      <c r="C623" s="4" t="s">
        <v>26</v>
      </c>
      <c r="D623" s="4">
        <v>4130303215</v>
      </c>
      <c r="E623" s="4" t="s">
        <v>838</v>
      </c>
      <c r="F623" s="4" t="s">
        <v>14</v>
      </c>
      <c r="G623" s="5">
        <v>-1493970</v>
      </c>
      <c r="H623" s="5">
        <v>21359849</v>
      </c>
      <c r="I623" s="5">
        <v>0</v>
      </c>
      <c r="J623" s="5" t="s">
        <v>14</v>
      </c>
      <c r="K623" s="5">
        <v>-22853819</v>
      </c>
    </row>
    <row r="624" spans="1:11" x14ac:dyDescent="0.25">
      <c r="A624" s="4" t="s">
        <v>11</v>
      </c>
      <c r="B624" s="4" t="s">
        <v>773</v>
      </c>
      <c r="C624" s="4" t="s">
        <v>18</v>
      </c>
      <c r="D624" s="4">
        <v>4175</v>
      </c>
      <c r="E624" s="4" t="s">
        <v>997</v>
      </c>
      <c r="F624" s="4" t="s">
        <v>14</v>
      </c>
      <c r="G624" s="5">
        <v>949021538.44000006</v>
      </c>
      <c r="H624" s="5">
        <v>1351338846</v>
      </c>
      <c r="I624" s="5">
        <v>64866</v>
      </c>
      <c r="J624" s="5" t="s">
        <v>14</v>
      </c>
      <c r="K624" s="5">
        <v>2300295518.4400001</v>
      </c>
    </row>
    <row r="625" spans="1:11" x14ac:dyDescent="0.25">
      <c r="A625" s="4" t="s">
        <v>11</v>
      </c>
      <c r="B625" s="4" t="s">
        <v>773</v>
      </c>
      <c r="C625" s="4" t="s">
        <v>21</v>
      </c>
      <c r="D625" s="4">
        <v>417575</v>
      </c>
      <c r="E625" s="4" t="s">
        <v>997</v>
      </c>
      <c r="F625" s="4" t="s">
        <v>14</v>
      </c>
      <c r="G625" s="5">
        <v>949021538.44000006</v>
      </c>
      <c r="H625" s="5">
        <v>1351338846</v>
      </c>
      <c r="I625" s="5">
        <v>64866</v>
      </c>
      <c r="J625" s="5" t="s">
        <v>14</v>
      </c>
      <c r="K625" s="5">
        <v>2300295518.4400001</v>
      </c>
    </row>
    <row r="626" spans="1:11" x14ac:dyDescent="0.25">
      <c r="A626" s="4" t="s">
        <v>11</v>
      </c>
      <c r="B626" s="4" t="s">
        <v>773</v>
      </c>
      <c r="C626" s="4" t="s">
        <v>23</v>
      </c>
      <c r="D626" s="4">
        <v>41757571</v>
      </c>
      <c r="E626" s="4" t="s">
        <v>1000</v>
      </c>
      <c r="F626" s="4" t="s">
        <v>14</v>
      </c>
      <c r="G626" s="5">
        <v>949021538.44000006</v>
      </c>
      <c r="H626" s="5">
        <v>1351338846</v>
      </c>
      <c r="I626" s="5">
        <v>64866</v>
      </c>
      <c r="J626" s="5" t="s">
        <v>14</v>
      </c>
      <c r="K626" s="5">
        <v>2300295518.4400001</v>
      </c>
    </row>
    <row r="627" spans="1:11" x14ac:dyDescent="0.25">
      <c r="A627" s="4" t="s">
        <v>11</v>
      </c>
      <c r="B627" s="4" t="s">
        <v>773</v>
      </c>
      <c r="C627" s="4" t="s">
        <v>26</v>
      </c>
      <c r="D627" s="4">
        <v>4175757105</v>
      </c>
      <c r="E627" s="4" t="s">
        <v>1002</v>
      </c>
      <c r="F627" s="4" t="s">
        <v>14</v>
      </c>
      <c r="G627" s="5">
        <v>231998277</v>
      </c>
      <c r="H627" s="5">
        <v>1313631458</v>
      </c>
      <c r="I627" s="5">
        <v>0</v>
      </c>
      <c r="J627" s="5" t="s">
        <v>14</v>
      </c>
      <c r="K627" s="5">
        <v>1545629735</v>
      </c>
    </row>
    <row r="628" spans="1:11" x14ac:dyDescent="0.25">
      <c r="A628" s="4" t="s">
        <v>11</v>
      </c>
      <c r="B628" s="4" t="s">
        <v>773</v>
      </c>
      <c r="C628" s="4" t="s">
        <v>26</v>
      </c>
      <c r="D628" s="4">
        <v>4175757110</v>
      </c>
      <c r="E628" s="4" t="s">
        <v>1004</v>
      </c>
      <c r="F628" s="4" t="s">
        <v>14</v>
      </c>
      <c r="G628" s="5">
        <v>201367088.44</v>
      </c>
      <c r="H628" s="5">
        <v>2503895</v>
      </c>
      <c r="I628" s="5">
        <v>64866</v>
      </c>
      <c r="J628" s="5" t="s">
        <v>14</v>
      </c>
      <c r="K628" s="5">
        <v>203806117.44</v>
      </c>
    </row>
    <row r="629" spans="1:11" x14ac:dyDescent="0.25">
      <c r="A629" s="4" t="s">
        <v>11</v>
      </c>
      <c r="B629" s="4" t="s">
        <v>773</v>
      </c>
      <c r="C629" s="4" t="s">
        <v>26</v>
      </c>
      <c r="D629" s="4">
        <v>4175757115</v>
      </c>
      <c r="E629" s="4" t="s">
        <v>1006</v>
      </c>
      <c r="F629" s="4" t="s">
        <v>14</v>
      </c>
      <c r="G629" s="5">
        <v>17582517</v>
      </c>
      <c r="H629" s="5">
        <v>331433</v>
      </c>
      <c r="I629" s="5">
        <v>0</v>
      </c>
      <c r="J629" s="5" t="s">
        <v>14</v>
      </c>
      <c r="K629" s="5">
        <v>17913950</v>
      </c>
    </row>
    <row r="630" spans="1:11" x14ac:dyDescent="0.25">
      <c r="A630" s="4" t="s">
        <v>11</v>
      </c>
      <c r="B630" s="4" t="s">
        <v>773</v>
      </c>
      <c r="C630" s="4" t="s">
        <v>26</v>
      </c>
      <c r="D630" s="4">
        <v>4175757120</v>
      </c>
      <c r="E630" s="4" t="s">
        <v>1008</v>
      </c>
      <c r="F630" s="4" t="s">
        <v>14</v>
      </c>
      <c r="G630" s="5">
        <v>2823028</v>
      </c>
      <c r="H630" s="5">
        <v>291543</v>
      </c>
      <c r="I630" s="5">
        <v>0</v>
      </c>
      <c r="J630" s="5" t="s">
        <v>14</v>
      </c>
      <c r="K630" s="5">
        <v>3114571</v>
      </c>
    </row>
    <row r="631" spans="1:11" x14ac:dyDescent="0.25">
      <c r="A631" s="4" t="s">
        <v>11</v>
      </c>
      <c r="B631" s="4" t="s">
        <v>773</v>
      </c>
      <c r="C631" s="4" t="s">
        <v>26</v>
      </c>
      <c r="D631" s="4">
        <v>4175757125</v>
      </c>
      <c r="E631" s="4" t="s">
        <v>1010</v>
      </c>
      <c r="F631" s="4" t="s">
        <v>14</v>
      </c>
      <c r="G631" s="5">
        <v>246639532</v>
      </c>
      <c r="H631" s="5">
        <v>32600504</v>
      </c>
      <c r="I631" s="5">
        <v>0</v>
      </c>
      <c r="J631" s="5" t="s">
        <v>14</v>
      </c>
      <c r="K631" s="5">
        <v>279240036</v>
      </c>
    </row>
    <row r="632" spans="1:11" x14ac:dyDescent="0.25">
      <c r="A632" s="4" t="s">
        <v>11</v>
      </c>
      <c r="B632" s="4" t="s">
        <v>773</v>
      </c>
      <c r="C632" s="4" t="s">
        <v>26</v>
      </c>
      <c r="D632" s="4">
        <v>4175757130</v>
      </c>
      <c r="E632" s="4" t="s">
        <v>1012</v>
      </c>
      <c r="F632" s="4" t="s">
        <v>14</v>
      </c>
      <c r="G632" s="5">
        <v>100056166</v>
      </c>
      <c r="H632" s="5">
        <v>1959313</v>
      </c>
      <c r="I632" s="5">
        <v>0</v>
      </c>
      <c r="J632" s="5" t="s">
        <v>14</v>
      </c>
      <c r="K632" s="5">
        <v>102015479</v>
      </c>
    </row>
    <row r="633" spans="1:11" x14ac:dyDescent="0.25">
      <c r="A633" s="4" t="s">
        <v>11</v>
      </c>
      <c r="B633" s="4" t="s">
        <v>773</v>
      </c>
      <c r="C633" s="4" t="s">
        <v>26</v>
      </c>
      <c r="D633" s="4">
        <v>4175757140</v>
      </c>
      <c r="E633" s="4" t="s">
        <v>1014</v>
      </c>
      <c r="F633" s="4" t="s">
        <v>14</v>
      </c>
      <c r="G633" s="5">
        <v>148554930</v>
      </c>
      <c r="H633" s="5">
        <v>20700</v>
      </c>
      <c r="I633" s="5">
        <v>0</v>
      </c>
      <c r="J633" s="5" t="s">
        <v>14</v>
      </c>
      <c r="K633" s="5">
        <v>148575630</v>
      </c>
    </row>
    <row r="634" spans="1:11" x14ac:dyDescent="0.25">
      <c r="A634" s="4" t="s">
        <v>11</v>
      </c>
      <c r="B634" s="4" t="s">
        <v>773</v>
      </c>
      <c r="C634" s="4" t="s">
        <v>15</v>
      </c>
      <c r="D634" s="4">
        <v>42</v>
      </c>
      <c r="E634" s="4" t="s">
        <v>1016</v>
      </c>
      <c r="F634" s="4" t="s">
        <v>173</v>
      </c>
      <c r="G634" s="5">
        <v>328246328.68000001</v>
      </c>
      <c r="H634" s="5">
        <v>0</v>
      </c>
      <c r="I634" s="5">
        <v>4515198</v>
      </c>
      <c r="J634" s="5" t="s">
        <v>173</v>
      </c>
      <c r="K634" s="5">
        <v>332761526.68000001</v>
      </c>
    </row>
    <row r="635" spans="1:11" x14ac:dyDescent="0.25">
      <c r="A635" s="4" t="s">
        <v>11</v>
      </c>
      <c r="B635" s="4" t="s">
        <v>773</v>
      </c>
      <c r="C635" s="4" t="s">
        <v>18</v>
      </c>
      <c r="D635" s="4">
        <v>4210</v>
      </c>
      <c r="E635" s="4" t="s">
        <v>1018</v>
      </c>
      <c r="F635" s="4" t="s">
        <v>173</v>
      </c>
      <c r="G635" s="5">
        <v>24000150.32</v>
      </c>
      <c r="H635" s="5">
        <v>0</v>
      </c>
      <c r="I635" s="5">
        <v>4414915</v>
      </c>
      <c r="J635" s="5" t="s">
        <v>173</v>
      </c>
      <c r="K635" s="5">
        <v>28415065.32</v>
      </c>
    </row>
    <row r="636" spans="1:11" x14ac:dyDescent="0.25">
      <c r="A636" s="4" t="s">
        <v>11</v>
      </c>
      <c r="B636" s="4" t="s">
        <v>773</v>
      </c>
      <c r="C636" s="4" t="s">
        <v>21</v>
      </c>
      <c r="D636" s="4">
        <v>421010</v>
      </c>
      <c r="E636" s="4" t="s">
        <v>1018</v>
      </c>
      <c r="F636" s="4" t="s">
        <v>173</v>
      </c>
      <c r="G636" s="5">
        <v>24000150.32</v>
      </c>
      <c r="H636" s="5">
        <v>0</v>
      </c>
      <c r="I636" s="5">
        <v>4414915</v>
      </c>
      <c r="J636" s="5" t="s">
        <v>173</v>
      </c>
      <c r="K636" s="5">
        <v>28415065.32</v>
      </c>
    </row>
    <row r="637" spans="1:11" x14ac:dyDescent="0.25">
      <c r="A637" s="4" t="s">
        <v>11</v>
      </c>
      <c r="B637" s="4" t="s">
        <v>773</v>
      </c>
      <c r="C637" s="4" t="s">
        <v>23</v>
      </c>
      <c r="D637" s="4">
        <v>42101005</v>
      </c>
      <c r="E637" s="4" t="s">
        <v>1021</v>
      </c>
      <c r="F637" s="4" t="s">
        <v>173</v>
      </c>
      <c r="G637" s="5">
        <v>3292429.74</v>
      </c>
      <c r="H637" s="5">
        <v>0</v>
      </c>
      <c r="I637" s="5">
        <v>0</v>
      </c>
      <c r="J637" s="5" t="s">
        <v>173</v>
      </c>
      <c r="K637" s="5">
        <v>3292429.74</v>
      </c>
    </row>
    <row r="638" spans="1:11" x14ac:dyDescent="0.25">
      <c r="A638" s="4" t="s">
        <v>11</v>
      </c>
      <c r="B638" s="4" t="s">
        <v>773</v>
      </c>
      <c r="C638" s="4" t="s">
        <v>26</v>
      </c>
      <c r="D638" s="4">
        <v>4210100505</v>
      </c>
      <c r="E638" s="4" t="s">
        <v>1023</v>
      </c>
      <c r="F638" s="4" t="s">
        <v>173</v>
      </c>
      <c r="G638" s="5">
        <v>2229.89</v>
      </c>
      <c r="H638" s="5">
        <v>0</v>
      </c>
      <c r="I638" s="5">
        <v>0</v>
      </c>
      <c r="J638" s="5" t="s">
        <v>173</v>
      </c>
      <c r="K638" s="5">
        <v>2229.89</v>
      </c>
    </row>
    <row r="639" spans="1:11" x14ac:dyDescent="0.25">
      <c r="A639" s="4" t="s">
        <v>11</v>
      </c>
      <c r="B639" s="4" t="s">
        <v>773</v>
      </c>
      <c r="C639" s="4" t="s">
        <v>26</v>
      </c>
      <c r="D639" s="4">
        <v>4210100510</v>
      </c>
      <c r="E639" s="4" t="s">
        <v>68</v>
      </c>
      <c r="F639" s="4" t="s">
        <v>173</v>
      </c>
      <c r="G639" s="5">
        <v>10887.95</v>
      </c>
      <c r="H639" s="5">
        <v>0</v>
      </c>
      <c r="I639" s="5">
        <v>0</v>
      </c>
      <c r="J639" s="5" t="s">
        <v>173</v>
      </c>
      <c r="K639" s="5">
        <v>10887.95</v>
      </c>
    </row>
    <row r="640" spans="1:11" x14ac:dyDescent="0.25">
      <c r="A640" s="4" t="s">
        <v>11</v>
      </c>
      <c r="B640" s="4" t="s">
        <v>773</v>
      </c>
      <c r="C640" s="4" t="s">
        <v>26</v>
      </c>
      <c r="D640" s="4">
        <v>4210100515</v>
      </c>
      <c r="E640" s="4" t="s">
        <v>70</v>
      </c>
      <c r="F640" s="4" t="s">
        <v>173</v>
      </c>
      <c r="G640" s="5">
        <v>2847356.54</v>
      </c>
      <c r="H640" s="5">
        <v>0</v>
      </c>
      <c r="I640" s="5">
        <v>0</v>
      </c>
      <c r="J640" s="5" t="s">
        <v>173</v>
      </c>
      <c r="K640" s="5">
        <v>2847356.54</v>
      </c>
    </row>
    <row r="641" spans="1:11" x14ac:dyDescent="0.25">
      <c r="A641" s="4" t="s">
        <v>11</v>
      </c>
      <c r="B641" s="4" t="s">
        <v>773</v>
      </c>
      <c r="C641" s="4" t="s">
        <v>26</v>
      </c>
      <c r="D641" s="4">
        <v>4210100520</v>
      </c>
      <c r="E641" s="4" t="s">
        <v>1027</v>
      </c>
      <c r="F641" s="4" t="s">
        <v>173</v>
      </c>
      <c r="G641" s="5">
        <v>1145.06</v>
      </c>
      <c r="H641" s="5">
        <v>0</v>
      </c>
      <c r="I641" s="5">
        <v>0</v>
      </c>
      <c r="J641" s="5" t="s">
        <v>173</v>
      </c>
      <c r="K641" s="5">
        <v>1145.06</v>
      </c>
    </row>
    <row r="642" spans="1:11" x14ac:dyDescent="0.25">
      <c r="A642" s="4" t="s">
        <v>11</v>
      </c>
      <c r="B642" s="4" t="s">
        <v>773</v>
      </c>
      <c r="C642" s="4" t="s">
        <v>26</v>
      </c>
      <c r="D642" s="4">
        <v>4210100525</v>
      </c>
      <c r="E642" s="4" t="s">
        <v>76</v>
      </c>
      <c r="F642" s="4" t="s">
        <v>173</v>
      </c>
      <c r="G642" s="5">
        <v>429993.35</v>
      </c>
      <c r="H642" s="5">
        <v>0</v>
      </c>
      <c r="I642" s="5">
        <v>0</v>
      </c>
      <c r="J642" s="5" t="s">
        <v>173</v>
      </c>
      <c r="K642" s="5">
        <v>429993.35</v>
      </c>
    </row>
    <row r="643" spans="1:11" x14ac:dyDescent="0.25">
      <c r="A643" s="4" t="s">
        <v>11</v>
      </c>
      <c r="B643" s="4" t="s">
        <v>773</v>
      </c>
      <c r="C643" s="4" t="s">
        <v>26</v>
      </c>
      <c r="D643" s="4">
        <v>4210100530</v>
      </c>
      <c r="E643" s="4" t="s">
        <v>1030</v>
      </c>
      <c r="F643" s="4" t="s">
        <v>173</v>
      </c>
      <c r="G643" s="5">
        <v>646.72</v>
      </c>
      <c r="H643" s="5">
        <v>0</v>
      </c>
      <c r="I643" s="5">
        <v>0</v>
      </c>
      <c r="J643" s="5" t="s">
        <v>173</v>
      </c>
      <c r="K643" s="5">
        <v>646.72</v>
      </c>
    </row>
    <row r="644" spans="1:11" x14ac:dyDescent="0.25">
      <c r="A644" s="4" t="s">
        <v>11</v>
      </c>
      <c r="B644" s="4" t="s">
        <v>773</v>
      </c>
      <c r="C644" s="4" t="s">
        <v>26</v>
      </c>
      <c r="D644" s="4">
        <v>4210100535</v>
      </c>
      <c r="E644" s="4" t="s">
        <v>80</v>
      </c>
      <c r="F644" s="4" t="s">
        <v>173</v>
      </c>
      <c r="G644" s="5">
        <v>170.23</v>
      </c>
      <c r="H644" s="5">
        <v>0</v>
      </c>
      <c r="I644" s="5">
        <v>0</v>
      </c>
      <c r="J644" s="5" t="s">
        <v>173</v>
      </c>
      <c r="K644" s="5">
        <v>170.23</v>
      </c>
    </row>
    <row r="645" spans="1:11" x14ac:dyDescent="0.25">
      <c r="A645" s="4" t="s">
        <v>11</v>
      </c>
      <c r="B645" s="4" t="s">
        <v>773</v>
      </c>
      <c r="C645" s="4" t="s">
        <v>23</v>
      </c>
      <c r="D645" s="4">
        <v>42101015</v>
      </c>
      <c r="E645" s="4" t="s">
        <v>1033</v>
      </c>
      <c r="F645" s="4" t="s">
        <v>173</v>
      </c>
      <c r="G645" s="5">
        <v>4044623</v>
      </c>
      <c r="H645" s="5">
        <v>0</v>
      </c>
      <c r="I645" s="5">
        <v>0</v>
      </c>
      <c r="J645" s="5" t="s">
        <v>173</v>
      </c>
      <c r="K645" s="5">
        <v>4044623</v>
      </c>
    </row>
    <row r="646" spans="1:11" x14ac:dyDescent="0.25">
      <c r="A646" s="4" t="s">
        <v>11</v>
      </c>
      <c r="B646" s="4" t="s">
        <v>773</v>
      </c>
      <c r="C646" s="4" t="s">
        <v>26</v>
      </c>
      <c r="D646" s="4">
        <v>4210101505</v>
      </c>
      <c r="E646" s="4" t="s">
        <v>1033</v>
      </c>
      <c r="F646" s="4" t="s">
        <v>173</v>
      </c>
      <c r="G646" s="5">
        <v>4044623</v>
      </c>
      <c r="H646" s="5">
        <v>0</v>
      </c>
      <c r="I646" s="5">
        <v>0</v>
      </c>
      <c r="J646" s="5" t="s">
        <v>173</v>
      </c>
      <c r="K646" s="5">
        <v>4044623</v>
      </c>
    </row>
    <row r="647" spans="1:11" x14ac:dyDescent="0.25">
      <c r="A647" s="4" t="s">
        <v>11</v>
      </c>
      <c r="B647" s="4" t="s">
        <v>773</v>
      </c>
      <c r="C647" s="4" t="s">
        <v>23</v>
      </c>
      <c r="D647" s="4">
        <v>42101030</v>
      </c>
      <c r="E647" s="4" t="s">
        <v>1036</v>
      </c>
      <c r="F647" s="4" t="s">
        <v>173</v>
      </c>
      <c r="G647" s="5">
        <v>3761878</v>
      </c>
      <c r="H647" s="5">
        <v>0</v>
      </c>
      <c r="I647" s="5">
        <v>4414915</v>
      </c>
      <c r="J647" s="5" t="s">
        <v>173</v>
      </c>
      <c r="K647" s="5">
        <v>8176793</v>
      </c>
    </row>
    <row r="648" spans="1:11" x14ac:dyDescent="0.25">
      <c r="A648" s="4" t="s">
        <v>11</v>
      </c>
      <c r="B648" s="4" t="s">
        <v>773</v>
      </c>
      <c r="C648" s="4" t="s">
        <v>26</v>
      </c>
      <c r="D648" s="4">
        <v>4210103005</v>
      </c>
      <c r="E648" s="4" t="s">
        <v>1036</v>
      </c>
      <c r="F648" s="4" t="s">
        <v>173</v>
      </c>
      <c r="G648" s="5">
        <v>3761878</v>
      </c>
      <c r="H648" s="5">
        <v>0</v>
      </c>
      <c r="I648" s="5">
        <v>4414915</v>
      </c>
      <c r="J648" s="5" t="s">
        <v>173</v>
      </c>
      <c r="K648" s="5">
        <v>8176793</v>
      </c>
    </row>
    <row r="649" spans="1:11" x14ac:dyDescent="0.25">
      <c r="A649" s="4" t="s">
        <v>11</v>
      </c>
      <c r="B649" s="4" t="s">
        <v>773</v>
      </c>
      <c r="C649" s="4" t="s">
        <v>23</v>
      </c>
      <c r="D649" s="4">
        <v>42101050</v>
      </c>
      <c r="E649" s="4" t="s">
        <v>1039</v>
      </c>
      <c r="F649" s="4" t="s">
        <v>173</v>
      </c>
      <c r="G649" s="5">
        <v>12901219.58</v>
      </c>
      <c r="H649" s="5">
        <v>0</v>
      </c>
      <c r="I649" s="5">
        <v>0</v>
      </c>
      <c r="J649" s="5" t="s">
        <v>173</v>
      </c>
      <c r="K649" s="5">
        <v>12901219.58</v>
      </c>
    </row>
    <row r="650" spans="1:11" x14ac:dyDescent="0.25">
      <c r="A650" s="4" t="s">
        <v>11</v>
      </c>
      <c r="B650" s="4" t="s">
        <v>773</v>
      </c>
      <c r="C650" s="4" t="s">
        <v>26</v>
      </c>
      <c r="D650" s="4">
        <v>4210105005</v>
      </c>
      <c r="E650" s="4" t="s">
        <v>1041</v>
      </c>
      <c r="F650" s="4" t="s">
        <v>173</v>
      </c>
      <c r="G650" s="5">
        <v>26623.4</v>
      </c>
      <c r="H650" s="5">
        <v>0</v>
      </c>
      <c r="I650" s="5">
        <v>0</v>
      </c>
      <c r="J650" s="5" t="s">
        <v>173</v>
      </c>
      <c r="K650" s="5">
        <v>26623.4</v>
      </c>
    </row>
    <row r="651" spans="1:11" x14ac:dyDescent="0.25">
      <c r="A651" s="4" t="s">
        <v>11</v>
      </c>
      <c r="B651" s="4" t="s">
        <v>773</v>
      </c>
      <c r="C651" s="4" t="s">
        <v>26</v>
      </c>
      <c r="D651" s="4">
        <v>4210105010</v>
      </c>
      <c r="E651" s="4" t="s">
        <v>86</v>
      </c>
      <c r="F651" s="4" t="s">
        <v>173</v>
      </c>
      <c r="G651" s="5">
        <v>70725.95</v>
      </c>
      <c r="H651" s="5">
        <v>0</v>
      </c>
      <c r="I651" s="5">
        <v>0</v>
      </c>
      <c r="J651" s="5" t="s">
        <v>173</v>
      </c>
      <c r="K651" s="5">
        <v>70725.95</v>
      </c>
    </row>
    <row r="652" spans="1:11" x14ac:dyDescent="0.25">
      <c r="A652" s="4" t="s">
        <v>11</v>
      </c>
      <c r="B652" s="4" t="s">
        <v>773</v>
      </c>
      <c r="C652" s="4" t="s">
        <v>26</v>
      </c>
      <c r="D652" s="4">
        <v>4210105015</v>
      </c>
      <c r="E652" s="4" t="s">
        <v>90</v>
      </c>
      <c r="F652" s="4" t="s">
        <v>173</v>
      </c>
      <c r="G652" s="5">
        <v>12803870.23</v>
      </c>
      <c r="H652" s="5">
        <v>0</v>
      </c>
      <c r="I652" s="5">
        <v>0</v>
      </c>
      <c r="J652" s="5" t="s">
        <v>173</v>
      </c>
      <c r="K652" s="5">
        <v>12803870.23</v>
      </c>
    </row>
    <row r="653" spans="1:11" x14ac:dyDescent="0.25">
      <c r="A653" s="4" t="s">
        <v>11</v>
      </c>
      <c r="B653" s="4" t="s">
        <v>773</v>
      </c>
      <c r="C653" s="4" t="s">
        <v>18</v>
      </c>
      <c r="D653" s="4">
        <v>4215</v>
      </c>
      <c r="E653" s="4" t="s">
        <v>1045</v>
      </c>
      <c r="F653" s="4" t="s">
        <v>173</v>
      </c>
      <c r="G653" s="5">
        <v>70963879</v>
      </c>
      <c r="H653" s="5">
        <v>0</v>
      </c>
      <c r="I653" s="5">
        <v>0</v>
      </c>
      <c r="J653" s="5" t="s">
        <v>173</v>
      </c>
      <c r="K653" s="5">
        <v>70963879</v>
      </c>
    </row>
    <row r="654" spans="1:11" x14ac:dyDescent="0.25">
      <c r="A654" s="4" t="s">
        <v>11</v>
      </c>
      <c r="B654" s="4" t="s">
        <v>773</v>
      </c>
      <c r="C654" s="4" t="s">
        <v>21</v>
      </c>
      <c r="D654" s="4">
        <v>421515</v>
      </c>
      <c r="E654" s="4" t="s">
        <v>1045</v>
      </c>
      <c r="F654" s="4" t="s">
        <v>173</v>
      </c>
      <c r="G654" s="5">
        <v>70963879</v>
      </c>
      <c r="H654" s="5">
        <v>0</v>
      </c>
      <c r="I654" s="5">
        <v>0</v>
      </c>
      <c r="J654" s="5" t="s">
        <v>173</v>
      </c>
      <c r="K654" s="5">
        <v>70963879</v>
      </c>
    </row>
    <row r="655" spans="1:11" x14ac:dyDescent="0.25">
      <c r="A655" s="4" t="s">
        <v>11</v>
      </c>
      <c r="B655" s="4" t="s">
        <v>773</v>
      </c>
      <c r="C655" s="4" t="s">
        <v>23</v>
      </c>
      <c r="D655" s="4">
        <v>42151505</v>
      </c>
      <c r="E655" s="4" t="s">
        <v>1048</v>
      </c>
      <c r="F655" s="4" t="s">
        <v>173</v>
      </c>
      <c r="G655" s="5">
        <v>70963879</v>
      </c>
      <c r="H655" s="5">
        <v>0</v>
      </c>
      <c r="I655" s="5">
        <v>0</v>
      </c>
      <c r="J655" s="5" t="s">
        <v>173</v>
      </c>
      <c r="K655" s="5">
        <v>70963879</v>
      </c>
    </row>
    <row r="656" spans="1:11" x14ac:dyDescent="0.25">
      <c r="A656" s="4" t="s">
        <v>11</v>
      </c>
      <c r="B656" s="4" t="s">
        <v>773</v>
      </c>
      <c r="C656" s="4" t="s">
        <v>26</v>
      </c>
      <c r="D656" s="4">
        <v>4215150505</v>
      </c>
      <c r="E656" s="4" t="s">
        <v>99</v>
      </c>
      <c r="F656" s="4" t="s">
        <v>173</v>
      </c>
      <c r="G656" s="5">
        <v>70963879</v>
      </c>
      <c r="H656" s="5">
        <v>0</v>
      </c>
      <c r="I656" s="5">
        <v>0</v>
      </c>
      <c r="J656" s="5" t="s">
        <v>173</v>
      </c>
      <c r="K656" s="5">
        <v>70963879</v>
      </c>
    </row>
    <row r="657" spans="1:11" x14ac:dyDescent="0.25">
      <c r="A657" s="4" t="s">
        <v>11</v>
      </c>
      <c r="B657" s="4" t="s">
        <v>773</v>
      </c>
      <c r="C657" s="4" t="s">
        <v>18</v>
      </c>
      <c r="D657" s="4">
        <v>4250</v>
      </c>
      <c r="E657" s="4" t="s">
        <v>1051</v>
      </c>
      <c r="F657" s="4" t="s">
        <v>173</v>
      </c>
      <c r="G657" s="5">
        <v>217036102.81999999</v>
      </c>
      <c r="H657" s="5">
        <v>0</v>
      </c>
      <c r="I657" s="5">
        <v>68519</v>
      </c>
      <c r="J657" s="5" t="s">
        <v>173</v>
      </c>
      <c r="K657" s="5">
        <v>217104621.81999999</v>
      </c>
    </row>
    <row r="658" spans="1:11" x14ac:dyDescent="0.25">
      <c r="A658" s="4" t="s">
        <v>11</v>
      </c>
      <c r="B658" s="4" t="s">
        <v>773</v>
      </c>
      <c r="C658" s="4" t="s">
        <v>21</v>
      </c>
      <c r="D658" s="4">
        <v>425050</v>
      </c>
      <c r="E658" s="4" t="s">
        <v>1051</v>
      </c>
      <c r="F658" s="4" t="s">
        <v>173</v>
      </c>
      <c r="G658" s="5">
        <v>217036102.81999999</v>
      </c>
      <c r="H658" s="5">
        <v>0</v>
      </c>
      <c r="I658" s="5">
        <v>68519</v>
      </c>
      <c r="J658" s="5" t="s">
        <v>173</v>
      </c>
      <c r="K658" s="5">
        <v>217104621.81999999</v>
      </c>
    </row>
    <row r="659" spans="1:11" x14ac:dyDescent="0.25">
      <c r="A659" s="4" t="s">
        <v>11</v>
      </c>
      <c r="B659" s="4" t="s">
        <v>773</v>
      </c>
      <c r="C659" s="4" t="s">
        <v>23</v>
      </c>
      <c r="D659" s="4">
        <v>42505005</v>
      </c>
      <c r="E659" s="4" t="s">
        <v>1051</v>
      </c>
      <c r="F659" s="4" t="s">
        <v>173</v>
      </c>
      <c r="G659" s="5">
        <v>217036102.81999999</v>
      </c>
      <c r="H659" s="5">
        <v>0</v>
      </c>
      <c r="I659" s="5">
        <v>68519</v>
      </c>
      <c r="J659" s="5" t="s">
        <v>173</v>
      </c>
      <c r="K659" s="5">
        <v>217104621.81999999</v>
      </c>
    </row>
    <row r="660" spans="1:11" x14ac:dyDescent="0.25">
      <c r="A660" s="4" t="s">
        <v>11</v>
      </c>
      <c r="B660" s="4" t="s">
        <v>773</v>
      </c>
      <c r="C660" s="4" t="s">
        <v>26</v>
      </c>
      <c r="D660" s="4">
        <v>4250500505</v>
      </c>
      <c r="E660" s="4" t="s">
        <v>1055</v>
      </c>
      <c r="F660" s="4" t="s">
        <v>173</v>
      </c>
      <c r="G660" s="5">
        <v>28859257.82</v>
      </c>
      <c r="H660" s="5">
        <v>0</v>
      </c>
      <c r="I660" s="5">
        <v>0</v>
      </c>
      <c r="J660" s="5" t="s">
        <v>173</v>
      </c>
      <c r="K660" s="5">
        <v>28859257.82</v>
      </c>
    </row>
    <row r="661" spans="1:11" x14ac:dyDescent="0.25">
      <c r="A661" s="4" t="s">
        <v>11</v>
      </c>
      <c r="B661" s="4" t="s">
        <v>773</v>
      </c>
      <c r="C661" s="4" t="s">
        <v>26</v>
      </c>
      <c r="D661" s="4">
        <v>4250500510</v>
      </c>
      <c r="E661" s="4" t="s">
        <v>1057</v>
      </c>
      <c r="F661" s="4" t="s">
        <v>173</v>
      </c>
      <c r="G661" s="5">
        <v>157129076</v>
      </c>
      <c r="H661" s="5">
        <v>0</v>
      </c>
      <c r="I661" s="5">
        <v>0</v>
      </c>
      <c r="J661" s="5" t="s">
        <v>173</v>
      </c>
      <c r="K661" s="5">
        <v>157129076</v>
      </c>
    </row>
    <row r="662" spans="1:11" x14ac:dyDescent="0.25">
      <c r="A662" s="4" t="s">
        <v>11</v>
      </c>
      <c r="B662" s="4" t="s">
        <v>773</v>
      </c>
      <c r="C662" s="4" t="s">
        <v>26</v>
      </c>
      <c r="D662" s="4">
        <v>4250500515</v>
      </c>
      <c r="E662" s="4" t="s">
        <v>1059</v>
      </c>
      <c r="F662" s="4" t="s">
        <v>173</v>
      </c>
      <c r="G662" s="5">
        <v>575000</v>
      </c>
      <c r="H662" s="5">
        <v>0</v>
      </c>
      <c r="I662" s="5">
        <v>60000</v>
      </c>
      <c r="J662" s="5" t="s">
        <v>173</v>
      </c>
      <c r="K662" s="5">
        <v>635000</v>
      </c>
    </row>
    <row r="663" spans="1:11" x14ac:dyDescent="0.25">
      <c r="A663" s="4" t="s">
        <v>11</v>
      </c>
      <c r="B663" s="4" t="s">
        <v>773</v>
      </c>
      <c r="C663" s="4" t="s">
        <v>26</v>
      </c>
      <c r="D663" s="4">
        <v>4250500520</v>
      </c>
      <c r="E663" s="4" t="s">
        <v>1061</v>
      </c>
      <c r="F663" s="4" t="s">
        <v>173</v>
      </c>
      <c r="G663" s="5">
        <v>30472769</v>
      </c>
      <c r="H663" s="5">
        <v>0</v>
      </c>
      <c r="I663" s="5">
        <v>8519</v>
      </c>
      <c r="J663" s="5" t="s">
        <v>173</v>
      </c>
      <c r="K663" s="5">
        <v>30481288</v>
      </c>
    </row>
    <row r="664" spans="1:11" x14ac:dyDescent="0.25">
      <c r="A664" s="4" t="s">
        <v>11</v>
      </c>
      <c r="B664" s="4" t="s">
        <v>773</v>
      </c>
      <c r="C664" s="4" t="s">
        <v>18</v>
      </c>
      <c r="D664" s="4">
        <v>4295</v>
      </c>
      <c r="E664" s="4" t="s">
        <v>1063</v>
      </c>
      <c r="F664" s="4" t="s">
        <v>173</v>
      </c>
      <c r="G664" s="5">
        <v>16246196.539999999</v>
      </c>
      <c r="H664" s="5">
        <v>0</v>
      </c>
      <c r="I664" s="5">
        <v>31764</v>
      </c>
      <c r="J664" s="5" t="s">
        <v>173</v>
      </c>
      <c r="K664" s="5">
        <v>16277960.539999999</v>
      </c>
    </row>
    <row r="665" spans="1:11" x14ac:dyDescent="0.25">
      <c r="A665" s="4" t="s">
        <v>11</v>
      </c>
      <c r="B665" s="4" t="s">
        <v>773</v>
      </c>
      <c r="C665" s="4" t="s">
        <v>21</v>
      </c>
      <c r="D665" s="4">
        <v>429595</v>
      </c>
      <c r="E665" s="4" t="s">
        <v>1063</v>
      </c>
      <c r="F665" s="4" t="s">
        <v>173</v>
      </c>
      <c r="G665" s="5">
        <v>16246196.539999999</v>
      </c>
      <c r="H665" s="5">
        <v>0</v>
      </c>
      <c r="I665" s="5">
        <v>31764</v>
      </c>
      <c r="J665" s="5" t="s">
        <v>173</v>
      </c>
      <c r="K665" s="5">
        <v>16277960.539999999</v>
      </c>
    </row>
    <row r="666" spans="1:11" x14ac:dyDescent="0.25">
      <c r="A666" s="4" t="s">
        <v>11</v>
      </c>
      <c r="B666" s="4" t="s">
        <v>773</v>
      </c>
      <c r="C666" s="4" t="s">
        <v>23</v>
      </c>
      <c r="D666" s="4">
        <v>42959505</v>
      </c>
      <c r="E666" s="4" t="s">
        <v>1063</v>
      </c>
      <c r="F666" s="4" t="s">
        <v>173</v>
      </c>
      <c r="G666" s="5">
        <v>11486196.539999999</v>
      </c>
      <c r="H666" s="5">
        <v>0</v>
      </c>
      <c r="I666" s="5">
        <v>31764</v>
      </c>
      <c r="J666" s="5" t="s">
        <v>173</v>
      </c>
      <c r="K666" s="5">
        <v>11517960.539999999</v>
      </c>
    </row>
    <row r="667" spans="1:11" x14ac:dyDescent="0.25">
      <c r="A667" s="4" t="s">
        <v>11</v>
      </c>
      <c r="B667" s="4" t="s">
        <v>773</v>
      </c>
      <c r="C667" s="4" t="s">
        <v>26</v>
      </c>
      <c r="D667" s="4">
        <v>4295950530</v>
      </c>
      <c r="E667" s="4" t="s">
        <v>1067</v>
      </c>
      <c r="F667" s="4" t="s">
        <v>173</v>
      </c>
      <c r="G667" s="5">
        <v>184878</v>
      </c>
      <c r="H667" s="5">
        <v>0</v>
      </c>
      <c r="I667" s="5">
        <v>0</v>
      </c>
      <c r="J667" s="5" t="s">
        <v>173</v>
      </c>
      <c r="K667" s="5">
        <v>184878</v>
      </c>
    </row>
    <row r="668" spans="1:11" x14ac:dyDescent="0.25">
      <c r="A668" s="4" t="s">
        <v>11</v>
      </c>
      <c r="B668" s="4" t="s">
        <v>773</v>
      </c>
      <c r="C668" s="4" t="s">
        <v>26</v>
      </c>
      <c r="D668" s="4">
        <v>4295950535</v>
      </c>
      <c r="E668" s="4" t="s">
        <v>1069</v>
      </c>
      <c r="F668" s="4" t="s">
        <v>173</v>
      </c>
      <c r="G668" s="5">
        <v>7365217.4199999999</v>
      </c>
      <c r="H668" s="5">
        <v>0</v>
      </c>
      <c r="I668" s="5">
        <v>31764</v>
      </c>
      <c r="J668" s="5" t="s">
        <v>173</v>
      </c>
      <c r="K668" s="5">
        <v>7396981.4199999999</v>
      </c>
    </row>
    <row r="669" spans="1:11" x14ac:dyDescent="0.25">
      <c r="A669" s="4" t="s">
        <v>11</v>
      </c>
      <c r="B669" s="4" t="s">
        <v>773</v>
      </c>
      <c r="C669" s="4" t="s">
        <v>26</v>
      </c>
      <c r="D669" s="4">
        <v>4295950540</v>
      </c>
      <c r="E669" s="4" t="s">
        <v>1071</v>
      </c>
      <c r="F669" s="4" t="s">
        <v>173</v>
      </c>
      <c r="G669" s="5">
        <v>1.1200000000000001</v>
      </c>
      <c r="H669" s="5">
        <v>0</v>
      </c>
      <c r="I669" s="5">
        <v>0</v>
      </c>
      <c r="J669" s="5" t="s">
        <v>173</v>
      </c>
      <c r="K669" s="5">
        <v>1.1200000000000001</v>
      </c>
    </row>
    <row r="670" spans="1:11" x14ac:dyDescent="0.25">
      <c r="A670" s="4" t="s">
        <v>11</v>
      </c>
      <c r="B670" s="4" t="s">
        <v>773</v>
      </c>
      <c r="C670" s="4" t="s">
        <v>26</v>
      </c>
      <c r="D670" s="4">
        <v>4295950545</v>
      </c>
      <c r="E670" s="4" t="s">
        <v>1073</v>
      </c>
      <c r="F670" s="4" t="s">
        <v>173</v>
      </c>
      <c r="G670" s="5">
        <v>582370</v>
      </c>
      <c r="H670" s="5">
        <v>0</v>
      </c>
      <c r="I670" s="5">
        <v>0</v>
      </c>
      <c r="J670" s="5" t="s">
        <v>173</v>
      </c>
      <c r="K670" s="5">
        <v>582370</v>
      </c>
    </row>
    <row r="671" spans="1:11" x14ac:dyDescent="0.25">
      <c r="A671" s="4" t="s">
        <v>11</v>
      </c>
      <c r="B671" s="4" t="s">
        <v>773</v>
      </c>
      <c r="C671" s="4" t="s">
        <v>26</v>
      </c>
      <c r="D671" s="4">
        <v>4295950550</v>
      </c>
      <c r="E671" s="4" t="s">
        <v>1075</v>
      </c>
      <c r="F671" s="4" t="s">
        <v>173</v>
      </c>
      <c r="G671" s="5">
        <v>3353730</v>
      </c>
      <c r="H671" s="5">
        <v>0</v>
      </c>
      <c r="I671" s="5">
        <v>0</v>
      </c>
      <c r="J671" s="5" t="s">
        <v>173</v>
      </c>
      <c r="K671" s="5">
        <v>3353730</v>
      </c>
    </row>
    <row r="672" spans="1:11" x14ac:dyDescent="0.25">
      <c r="A672" s="4" t="s">
        <v>11</v>
      </c>
      <c r="B672" s="4" t="s">
        <v>773</v>
      </c>
      <c r="C672" s="4" t="s">
        <v>23</v>
      </c>
      <c r="D672" s="4">
        <v>42959540</v>
      </c>
      <c r="E672" s="4" t="s">
        <v>1077</v>
      </c>
      <c r="F672" s="4" t="s">
        <v>173</v>
      </c>
      <c r="G672" s="5">
        <v>4760000</v>
      </c>
      <c r="H672" s="5">
        <v>0</v>
      </c>
      <c r="I672" s="5">
        <v>0</v>
      </c>
      <c r="J672" s="5" t="s">
        <v>173</v>
      </c>
      <c r="K672" s="5">
        <v>4760000</v>
      </c>
    </row>
    <row r="673" spans="1:11" x14ac:dyDescent="0.25">
      <c r="A673" s="4" t="s">
        <v>11</v>
      </c>
      <c r="B673" s="4" t="s">
        <v>773</v>
      </c>
      <c r="C673" s="4" t="s">
        <v>26</v>
      </c>
      <c r="D673" s="4">
        <v>4295954005</v>
      </c>
      <c r="E673" s="4" t="s">
        <v>1077</v>
      </c>
      <c r="F673" s="4" t="s">
        <v>173</v>
      </c>
      <c r="G673" s="5">
        <v>4760000</v>
      </c>
      <c r="H673" s="5">
        <v>0</v>
      </c>
      <c r="I673" s="5">
        <v>0</v>
      </c>
      <c r="J673" s="5" t="s">
        <v>173</v>
      </c>
      <c r="K673" s="5">
        <v>4760000</v>
      </c>
    </row>
    <row r="674" spans="1:11" x14ac:dyDescent="0.25">
      <c r="A674" s="4" t="s">
        <v>11</v>
      </c>
      <c r="B674" s="4" t="s">
        <v>773</v>
      </c>
      <c r="C674" s="4" t="s">
        <v>15</v>
      </c>
      <c r="D674" s="4">
        <v>49</v>
      </c>
      <c r="E674" s="4" t="s">
        <v>1080</v>
      </c>
      <c r="F674" s="4" t="s">
        <v>173</v>
      </c>
      <c r="G674" s="5">
        <v>229441691</v>
      </c>
      <c r="H674" s="5">
        <v>0</v>
      </c>
      <c r="I674" s="5">
        <v>749832</v>
      </c>
      <c r="J674" s="5" t="s">
        <v>173</v>
      </c>
      <c r="K674" s="5">
        <v>230191523</v>
      </c>
    </row>
    <row r="675" spans="1:11" x14ac:dyDescent="0.25">
      <c r="A675" s="4" t="s">
        <v>11</v>
      </c>
      <c r="B675" s="4" t="s">
        <v>773</v>
      </c>
      <c r="C675" s="4" t="s">
        <v>18</v>
      </c>
      <c r="D675" s="4">
        <v>4905</v>
      </c>
      <c r="E675" s="4" t="s">
        <v>1080</v>
      </c>
      <c r="F675" s="4" t="s">
        <v>173</v>
      </c>
      <c r="G675" s="5">
        <v>229441691</v>
      </c>
      <c r="H675" s="5">
        <v>0</v>
      </c>
      <c r="I675" s="5">
        <v>749832</v>
      </c>
      <c r="J675" s="5" t="s">
        <v>173</v>
      </c>
      <c r="K675" s="5">
        <v>230191523</v>
      </c>
    </row>
    <row r="676" spans="1:11" x14ac:dyDescent="0.25">
      <c r="A676" s="4" t="s">
        <v>11</v>
      </c>
      <c r="B676" s="4" t="s">
        <v>773</v>
      </c>
      <c r="C676" s="4" t="s">
        <v>21</v>
      </c>
      <c r="D676" s="4">
        <v>490599</v>
      </c>
      <c r="E676" s="4" t="s">
        <v>1080</v>
      </c>
      <c r="F676" s="4" t="s">
        <v>173</v>
      </c>
      <c r="G676" s="5">
        <v>229441691</v>
      </c>
      <c r="H676" s="5">
        <v>0</v>
      </c>
      <c r="I676" s="5">
        <v>749832</v>
      </c>
      <c r="J676" s="5" t="s">
        <v>173</v>
      </c>
      <c r="K676" s="5">
        <v>230191523</v>
      </c>
    </row>
    <row r="677" spans="1:11" x14ac:dyDescent="0.25">
      <c r="A677" s="4" t="s">
        <v>11</v>
      </c>
      <c r="B677" s="4" t="s">
        <v>773</v>
      </c>
      <c r="C677" s="4" t="s">
        <v>23</v>
      </c>
      <c r="D677" s="4">
        <v>49059999</v>
      </c>
      <c r="E677" s="4" t="s">
        <v>1080</v>
      </c>
      <c r="F677" s="4" t="s">
        <v>173</v>
      </c>
      <c r="G677" s="5">
        <v>229441691</v>
      </c>
      <c r="H677" s="5">
        <v>0</v>
      </c>
      <c r="I677" s="5">
        <v>749832</v>
      </c>
      <c r="J677" s="5" t="s">
        <v>173</v>
      </c>
      <c r="K677" s="5">
        <v>230191523</v>
      </c>
    </row>
    <row r="678" spans="1:11" x14ac:dyDescent="0.25">
      <c r="A678" s="4" t="s">
        <v>11</v>
      </c>
      <c r="B678" s="4" t="s">
        <v>773</v>
      </c>
      <c r="C678" s="4" t="s">
        <v>26</v>
      </c>
      <c r="D678" s="4">
        <v>4905999905</v>
      </c>
      <c r="E678" s="4" t="s">
        <v>1085</v>
      </c>
      <c r="F678" s="4" t="s">
        <v>173</v>
      </c>
      <c r="G678" s="5">
        <v>11938895</v>
      </c>
      <c r="H678" s="5">
        <v>0</v>
      </c>
      <c r="I678" s="5">
        <v>749832</v>
      </c>
      <c r="J678" s="5" t="s">
        <v>173</v>
      </c>
      <c r="K678" s="5">
        <v>12688727</v>
      </c>
    </row>
    <row r="679" spans="1:11" x14ac:dyDescent="0.25">
      <c r="A679" s="4" t="s">
        <v>11</v>
      </c>
      <c r="B679" s="4" t="s">
        <v>773</v>
      </c>
      <c r="C679" s="4" t="s">
        <v>26</v>
      </c>
      <c r="D679" s="4">
        <v>4905999930</v>
      </c>
      <c r="E679" s="4" t="s">
        <v>1087</v>
      </c>
      <c r="F679" s="4" t="s">
        <v>173</v>
      </c>
      <c r="G679" s="5">
        <v>16202796</v>
      </c>
      <c r="H679" s="5">
        <v>0</v>
      </c>
      <c r="I679" s="5">
        <v>0</v>
      </c>
      <c r="J679" s="5" t="s">
        <v>173</v>
      </c>
      <c r="K679" s="5">
        <v>16202796</v>
      </c>
    </row>
    <row r="680" spans="1:11" x14ac:dyDescent="0.25">
      <c r="A680" s="4" t="s">
        <v>11</v>
      </c>
      <c r="B680" s="4" t="s">
        <v>773</v>
      </c>
      <c r="C680" s="4" t="s">
        <v>26</v>
      </c>
      <c r="D680" s="4">
        <v>4905999935</v>
      </c>
      <c r="E680" s="4" t="s">
        <v>1089</v>
      </c>
      <c r="F680" s="4" t="s">
        <v>173</v>
      </c>
      <c r="G680" s="5">
        <v>1300000</v>
      </c>
      <c r="H680" s="5">
        <v>0</v>
      </c>
      <c r="I680" s="5">
        <v>0</v>
      </c>
      <c r="J680" s="5" t="s">
        <v>173</v>
      </c>
      <c r="K680" s="5">
        <v>1300000</v>
      </c>
    </row>
    <row r="681" spans="1:11" x14ac:dyDescent="0.25">
      <c r="A681" s="4" t="s">
        <v>11</v>
      </c>
      <c r="B681" s="4" t="s">
        <v>773</v>
      </c>
      <c r="C681" s="4" t="s">
        <v>26</v>
      </c>
      <c r="D681" s="4">
        <v>4905999940</v>
      </c>
      <c r="E681" s="4" t="s">
        <v>1091</v>
      </c>
      <c r="F681" s="4" t="s">
        <v>173</v>
      </c>
      <c r="G681" s="5">
        <v>200000000</v>
      </c>
      <c r="H681" s="5">
        <v>0</v>
      </c>
      <c r="I681" s="5">
        <v>0</v>
      </c>
      <c r="J681" s="5" t="s">
        <v>173</v>
      </c>
      <c r="K681" s="5">
        <v>200000000</v>
      </c>
    </row>
    <row r="682" spans="1:11" x14ac:dyDescent="0.25">
      <c r="A682" s="4" t="s">
        <v>11</v>
      </c>
      <c r="B682" s="4" t="s">
        <v>1092</v>
      </c>
      <c r="C682" s="4" t="s">
        <v>13</v>
      </c>
      <c r="D682" s="4">
        <v>5</v>
      </c>
      <c r="E682" s="4" t="s">
        <v>1092</v>
      </c>
      <c r="F682" s="4" t="s">
        <v>14</v>
      </c>
      <c r="G682" s="5">
        <v>11548173528.379999</v>
      </c>
      <c r="H682" s="5">
        <v>364934488.68000001</v>
      </c>
      <c r="I682" s="5">
        <v>2204575.15</v>
      </c>
      <c r="J682" s="5" t="s">
        <v>14</v>
      </c>
      <c r="K682" s="5">
        <v>11910903441.91</v>
      </c>
    </row>
    <row r="683" spans="1:11" x14ac:dyDescent="0.25">
      <c r="A683" s="4" t="s">
        <v>11</v>
      </c>
      <c r="B683" s="4" t="s">
        <v>1092</v>
      </c>
      <c r="C683" s="4" t="s">
        <v>15</v>
      </c>
      <c r="D683" s="4">
        <v>51</v>
      </c>
      <c r="E683" s="4" t="s">
        <v>1094</v>
      </c>
      <c r="F683" s="4" t="s">
        <v>14</v>
      </c>
      <c r="G683" s="5">
        <v>9222654025.0900002</v>
      </c>
      <c r="H683" s="5">
        <v>212488868.06</v>
      </c>
      <c r="I683" s="5">
        <v>2168571.16</v>
      </c>
      <c r="J683" s="5" t="s">
        <v>14</v>
      </c>
      <c r="K683" s="5">
        <v>9432974321.9899998</v>
      </c>
    </row>
    <row r="684" spans="1:11" x14ac:dyDescent="0.25">
      <c r="A684" s="4" t="s">
        <v>11</v>
      </c>
      <c r="B684" s="4" t="s">
        <v>1092</v>
      </c>
      <c r="C684" s="4" t="s">
        <v>18</v>
      </c>
      <c r="D684" s="4">
        <v>5105</v>
      </c>
      <c r="E684" s="4" t="s">
        <v>1096</v>
      </c>
      <c r="F684" s="4" t="s">
        <v>14</v>
      </c>
      <c r="G684" s="5">
        <v>1531867025.03</v>
      </c>
      <c r="H684" s="5">
        <v>19976733.489999998</v>
      </c>
      <c r="I684" s="5">
        <v>155398.87</v>
      </c>
      <c r="J684" s="5" t="s">
        <v>14</v>
      </c>
      <c r="K684" s="5">
        <v>1551688359.6500001</v>
      </c>
    </row>
    <row r="685" spans="1:11" x14ac:dyDescent="0.25">
      <c r="A685" s="4" t="s">
        <v>11</v>
      </c>
      <c r="B685" s="4" t="s">
        <v>1092</v>
      </c>
      <c r="C685" s="4" t="s">
        <v>21</v>
      </c>
      <c r="D685" s="4">
        <v>510501</v>
      </c>
      <c r="E685" s="4" t="s">
        <v>1098</v>
      </c>
      <c r="F685" s="4" t="s">
        <v>14</v>
      </c>
      <c r="G685" s="5">
        <v>11278147.949999999</v>
      </c>
      <c r="H685" s="5">
        <v>433245.29</v>
      </c>
      <c r="I685" s="5">
        <v>155398.87</v>
      </c>
      <c r="J685" s="5" t="s">
        <v>14</v>
      </c>
      <c r="K685" s="5">
        <v>11555994.369999999</v>
      </c>
    </row>
    <row r="686" spans="1:11" x14ac:dyDescent="0.25">
      <c r="A686" s="4" t="s">
        <v>11</v>
      </c>
      <c r="B686" s="4" t="s">
        <v>1092</v>
      </c>
      <c r="C686" s="4" t="s">
        <v>23</v>
      </c>
      <c r="D686" s="4">
        <v>51050102</v>
      </c>
      <c r="E686" s="4" t="s">
        <v>1100</v>
      </c>
      <c r="F686" s="4" t="s">
        <v>14</v>
      </c>
      <c r="G686" s="5">
        <v>7336324.9500000002</v>
      </c>
      <c r="H686" s="5">
        <v>271568.28999999998</v>
      </c>
      <c r="I686" s="5">
        <v>155398.87</v>
      </c>
      <c r="J686" s="5" t="s">
        <v>14</v>
      </c>
      <c r="K686" s="5">
        <v>7452494.3700000001</v>
      </c>
    </row>
    <row r="687" spans="1:11" x14ac:dyDescent="0.25">
      <c r="A687" s="4" t="s">
        <v>11</v>
      </c>
      <c r="B687" s="4" t="s">
        <v>1092</v>
      </c>
      <c r="C687" s="4" t="s">
        <v>26</v>
      </c>
      <c r="D687" s="4">
        <v>5105010205</v>
      </c>
      <c r="E687" s="4" t="s">
        <v>1100</v>
      </c>
      <c r="F687" s="4" t="s">
        <v>14</v>
      </c>
      <c r="G687" s="5">
        <v>7336324.9500000002</v>
      </c>
      <c r="H687" s="5">
        <v>271568.28999999998</v>
      </c>
      <c r="I687" s="5">
        <v>155398.87</v>
      </c>
      <c r="J687" s="5" t="s">
        <v>14</v>
      </c>
      <c r="K687" s="5">
        <v>7452494.3700000001</v>
      </c>
    </row>
    <row r="688" spans="1:11" x14ac:dyDescent="0.25">
      <c r="A688" s="4" t="s">
        <v>11</v>
      </c>
      <c r="B688" s="4" t="s">
        <v>1092</v>
      </c>
      <c r="C688" s="4" t="s">
        <v>23</v>
      </c>
      <c r="D688" s="4">
        <v>51050103</v>
      </c>
      <c r="E688" s="4" t="s">
        <v>1103</v>
      </c>
      <c r="F688" s="4" t="s">
        <v>14</v>
      </c>
      <c r="G688" s="5">
        <v>3941823</v>
      </c>
      <c r="H688" s="5">
        <v>161677</v>
      </c>
      <c r="I688" s="5">
        <v>0</v>
      </c>
      <c r="J688" s="5" t="s">
        <v>14</v>
      </c>
      <c r="K688" s="5">
        <v>4103500</v>
      </c>
    </row>
    <row r="689" spans="1:11" x14ac:dyDescent="0.25">
      <c r="A689" s="4" t="s">
        <v>11</v>
      </c>
      <c r="B689" s="4" t="s">
        <v>1092</v>
      </c>
      <c r="C689" s="4" t="s">
        <v>26</v>
      </c>
      <c r="D689" s="4">
        <v>5105010305</v>
      </c>
      <c r="E689" s="4" t="s">
        <v>1105</v>
      </c>
      <c r="F689" s="4" t="s">
        <v>14</v>
      </c>
      <c r="G689" s="5">
        <v>1321881</v>
      </c>
      <c r="H689" s="5">
        <v>44434</v>
      </c>
      <c r="I689" s="5">
        <v>0</v>
      </c>
      <c r="J689" s="5" t="s">
        <v>14</v>
      </c>
      <c r="K689" s="5">
        <v>1366315</v>
      </c>
    </row>
    <row r="690" spans="1:11" x14ac:dyDescent="0.25">
      <c r="A690" s="4" t="s">
        <v>11</v>
      </c>
      <c r="B690" s="4" t="s">
        <v>1092</v>
      </c>
      <c r="C690" s="4" t="s">
        <v>26</v>
      </c>
      <c r="D690" s="4">
        <v>5105010310</v>
      </c>
      <c r="E690" s="4" t="s">
        <v>1107</v>
      </c>
      <c r="F690" s="4" t="s">
        <v>14</v>
      </c>
      <c r="G690" s="5">
        <v>1095833</v>
      </c>
      <c r="H690" s="5">
        <v>106333</v>
      </c>
      <c r="I690" s="5">
        <v>0</v>
      </c>
      <c r="J690" s="5" t="s">
        <v>14</v>
      </c>
      <c r="K690" s="5">
        <v>1202166</v>
      </c>
    </row>
    <row r="691" spans="1:11" x14ac:dyDescent="0.25">
      <c r="A691" s="4" t="s">
        <v>11</v>
      </c>
      <c r="B691" s="4" t="s">
        <v>1092</v>
      </c>
      <c r="C691" s="4" t="s">
        <v>26</v>
      </c>
      <c r="D691" s="4">
        <v>5105010315</v>
      </c>
      <c r="E691" s="4" t="s">
        <v>264</v>
      </c>
      <c r="F691" s="4" t="s">
        <v>14</v>
      </c>
      <c r="G691" s="5">
        <v>127328</v>
      </c>
      <c r="H691" s="5">
        <v>0</v>
      </c>
      <c r="I691" s="5">
        <v>0</v>
      </c>
      <c r="J691" s="5" t="s">
        <v>14</v>
      </c>
      <c r="K691" s="5">
        <v>127328</v>
      </c>
    </row>
    <row r="692" spans="1:11" x14ac:dyDescent="0.25">
      <c r="A692" s="4" t="s">
        <v>11</v>
      </c>
      <c r="B692" s="4" t="s">
        <v>1092</v>
      </c>
      <c r="C692" s="4" t="s">
        <v>26</v>
      </c>
      <c r="D692" s="4">
        <v>5105010325</v>
      </c>
      <c r="E692" s="4" t="s">
        <v>258</v>
      </c>
      <c r="F692" s="4" t="s">
        <v>14</v>
      </c>
      <c r="G692" s="5">
        <v>363746</v>
      </c>
      <c r="H692" s="5">
        <v>0</v>
      </c>
      <c r="I692" s="5">
        <v>0</v>
      </c>
      <c r="J692" s="5" t="s">
        <v>14</v>
      </c>
      <c r="K692" s="5">
        <v>363746</v>
      </c>
    </row>
    <row r="693" spans="1:11" x14ac:dyDescent="0.25">
      <c r="A693" s="4" t="s">
        <v>11</v>
      </c>
      <c r="B693" s="4" t="s">
        <v>1092</v>
      </c>
      <c r="C693" s="4" t="s">
        <v>26</v>
      </c>
      <c r="D693" s="4">
        <v>5105010330</v>
      </c>
      <c r="E693" s="4" t="s">
        <v>1111</v>
      </c>
      <c r="F693" s="4" t="s">
        <v>14</v>
      </c>
      <c r="G693" s="5">
        <v>162000</v>
      </c>
      <c r="H693" s="5">
        <v>0</v>
      </c>
      <c r="I693" s="5">
        <v>0</v>
      </c>
      <c r="J693" s="5" t="s">
        <v>14</v>
      </c>
      <c r="K693" s="5">
        <v>162000</v>
      </c>
    </row>
    <row r="694" spans="1:11" x14ac:dyDescent="0.25">
      <c r="A694" s="4" t="s">
        <v>11</v>
      </c>
      <c r="B694" s="4" t="s">
        <v>1092</v>
      </c>
      <c r="C694" s="4" t="s">
        <v>26</v>
      </c>
      <c r="D694" s="4">
        <v>5105010335</v>
      </c>
      <c r="E694" s="4" t="s">
        <v>1113</v>
      </c>
      <c r="F694" s="4" t="s">
        <v>14</v>
      </c>
      <c r="G694" s="5">
        <v>449378</v>
      </c>
      <c r="H694" s="5">
        <v>0</v>
      </c>
      <c r="I694" s="5">
        <v>0</v>
      </c>
      <c r="J694" s="5" t="s">
        <v>14</v>
      </c>
      <c r="K694" s="5">
        <v>449378</v>
      </c>
    </row>
    <row r="695" spans="1:11" x14ac:dyDescent="0.25">
      <c r="A695" s="4" t="s">
        <v>11</v>
      </c>
      <c r="B695" s="4" t="s">
        <v>1092</v>
      </c>
      <c r="C695" s="4" t="s">
        <v>26</v>
      </c>
      <c r="D695" s="4">
        <v>5105010345</v>
      </c>
      <c r="E695" s="4" t="s">
        <v>1115</v>
      </c>
      <c r="F695" s="4" t="s">
        <v>14</v>
      </c>
      <c r="G695" s="5">
        <v>172688</v>
      </c>
      <c r="H695" s="5">
        <v>8443</v>
      </c>
      <c r="I695" s="5">
        <v>0</v>
      </c>
      <c r="J695" s="5" t="s">
        <v>14</v>
      </c>
      <c r="K695" s="5">
        <v>181131</v>
      </c>
    </row>
    <row r="696" spans="1:11" x14ac:dyDescent="0.25">
      <c r="A696" s="4" t="s">
        <v>11</v>
      </c>
      <c r="B696" s="4" t="s">
        <v>1092</v>
      </c>
      <c r="C696" s="4" t="s">
        <v>26</v>
      </c>
      <c r="D696" s="4">
        <v>5105010350</v>
      </c>
      <c r="E696" s="4" t="s">
        <v>1117</v>
      </c>
      <c r="F696" s="4" t="s">
        <v>14</v>
      </c>
      <c r="G696" s="5">
        <v>80576</v>
      </c>
      <c r="H696" s="5">
        <v>2467</v>
      </c>
      <c r="I696" s="5">
        <v>0</v>
      </c>
      <c r="J696" s="5" t="s">
        <v>14</v>
      </c>
      <c r="K696" s="5">
        <v>83043</v>
      </c>
    </row>
    <row r="697" spans="1:11" x14ac:dyDescent="0.25">
      <c r="A697" s="4" t="s">
        <v>11</v>
      </c>
      <c r="B697" s="4" t="s">
        <v>1092</v>
      </c>
      <c r="C697" s="4" t="s">
        <v>26</v>
      </c>
      <c r="D697" s="4">
        <v>5105010355</v>
      </c>
      <c r="E697" s="4" t="s">
        <v>1119</v>
      </c>
      <c r="F697" s="4" t="s">
        <v>14</v>
      </c>
      <c r="G697" s="5">
        <v>22672</v>
      </c>
      <c r="H697" s="5">
        <v>0</v>
      </c>
      <c r="I697" s="5">
        <v>0</v>
      </c>
      <c r="J697" s="5" t="s">
        <v>14</v>
      </c>
      <c r="K697" s="5">
        <v>22672</v>
      </c>
    </row>
    <row r="698" spans="1:11" x14ac:dyDescent="0.25">
      <c r="A698" s="4" t="s">
        <v>11</v>
      </c>
      <c r="B698" s="4" t="s">
        <v>1092</v>
      </c>
      <c r="C698" s="4" t="s">
        <v>26</v>
      </c>
      <c r="D698" s="4">
        <v>5105010365</v>
      </c>
      <c r="E698" s="4" t="s">
        <v>1121</v>
      </c>
      <c r="F698" s="4" t="s">
        <v>14</v>
      </c>
      <c r="G698" s="5">
        <v>61764</v>
      </c>
      <c r="H698" s="5">
        <v>0</v>
      </c>
      <c r="I698" s="5">
        <v>0</v>
      </c>
      <c r="J698" s="5" t="s">
        <v>14</v>
      </c>
      <c r="K698" s="5">
        <v>61764</v>
      </c>
    </row>
    <row r="699" spans="1:11" x14ac:dyDescent="0.25">
      <c r="A699" s="4" t="s">
        <v>11</v>
      </c>
      <c r="B699" s="4" t="s">
        <v>1092</v>
      </c>
      <c r="C699" s="4" t="s">
        <v>26</v>
      </c>
      <c r="D699" s="4">
        <v>5105010375</v>
      </c>
      <c r="E699" s="4" t="s">
        <v>1123</v>
      </c>
      <c r="F699" s="4" t="s">
        <v>14</v>
      </c>
      <c r="G699" s="5">
        <v>83957</v>
      </c>
      <c r="H699" s="5">
        <v>0</v>
      </c>
      <c r="I699" s="5">
        <v>0</v>
      </c>
      <c r="J699" s="5" t="s">
        <v>14</v>
      </c>
      <c r="K699" s="5">
        <v>83957</v>
      </c>
    </row>
    <row r="700" spans="1:11" x14ac:dyDescent="0.25">
      <c r="A700" s="4" t="s">
        <v>11</v>
      </c>
      <c r="B700" s="4" t="s">
        <v>1092</v>
      </c>
      <c r="C700" s="4" t="s">
        <v>21</v>
      </c>
      <c r="D700" s="4">
        <v>510502</v>
      </c>
      <c r="E700" s="4" t="s">
        <v>1125</v>
      </c>
      <c r="F700" s="4" t="s">
        <v>14</v>
      </c>
      <c r="G700" s="5">
        <v>1264657404.46</v>
      </c>
      <c r="H700" s="5">
        <v>0</v>
      </c>
      <c r="I700" s="5">
        <v>0</v>
      </c>
      <c r="J700" s="5" t="s">
        <v>14</v>
      </c>
      <c r="K700" s="5">
        <v>1264657404.46</v>
      </c>
    </row>
    <row r="701" spans="1:11" x14ac:dyDescent="0.25">
      <c r="A701" s="4" t="s">
        <v>11</v>
      </c>
      <c r="B701" s="4" t="s">
        <v>1092</v>
      </c>
      <c r="C701" s="4" t="s">
        <v>23</v>
      </c>
      <c r="D701" s="4">
        <v>51050205</v>
      </c>
      <c r="E701" s="4" t="s">
        <v>1127</v>
      </c>
      <c r="F701" s="4" t="s">
        <v>14</v>
      </c>
      <c r="G701" s="5">
        <v>1258984524.76</v>
      </c>
      <c r="H701" s="5">
        <v>0</v>
      </c>
      <c r="I701" s="5">
        <v>0</v>
      </c>
      <c r="J701" s="5" t="s">
        <v>14</v>
      </c>
      <c r="K701" s="5">
        <v>1258984524.76</v>
      </c>
    </row>
    <row r="702" spans="1:11" x14ac:dyDescent="0.25">
      <c r="A702" s="4" t="s">
        <v>11</v>
      </c>
      <c r="B702" s="4" t="s">
        <v>1092</v>
      </c>
      <c r="C702" s="4" t="s">
        <v>26</v>
      </c>
      <c r="D702" s="4">
        <v>5105020501</v>
      </c>
      <c r="E702" s="4" t="s">
        <v>1129</v>
      </c>
      <c r="F702" s="4" t="s">
        <v>14</v>
      </c>
      <c r="G702" s="5">
        <v>384975000</v>
      </c>
      <c r="H702" s="5">
        <v>0</v>
      </c>
      <c r="I702" s="5">
        <v>0</v>
      </c>
      <c r="J702" s="5" t="s">
        <v>14</v>
      </c>
      <c r="K702" s="5">
        <v>384975000</v>
      </c>
    </row>
    <row r="703" spans="1:11" x14ac:dyDescent="0.25">
      <c r="A703" s="4" t="s">
        <v>11</v>
      </c>
      <c r="B703" s="4" t="s">
        <v>1092</v>
      </c>
      <c r="C703" s="4" t="s">
        <v>26</v>
      </c>
      <c r="D703" s="4">
        <v>5105020502</v>
      </c>
      <c r="E703" s="4" t="s">
        <v>1131</v>
      </c>
      <c r="F703" s="4" t="s">
        <v>14</v>
      </c>
      <c r="G703" s="5">
        <v>464000001</v>
      </c>
      <c r="H703" s="5">
        <v>0</v>
      </c>
      <c r="I703" s="5">
        <v>0</v>
      </c>
      <c r="J703" s="5" t="s">
        <v>14</v>
      </c>
      <c r="K703" s="5">
        <v>464000001</v>
      </c>
    </row>
    <row r="704" spans="1:11" x14ac:dyDescent="0.25">
      <c r="A704" s="4" t="s">
        <v>11</v>
      </c>
      <c r="B704" s="4" t="s">
        <v>1092</v>
      </c>
      <c r="C704" s="4" t="s">
        <v>26</v>
      </c>
      <c r="D704" s="4">
        <v>5105020504</v>
      </c>
      <c r="E704" s="4" t="s">
        <v>1133</v>
      </c>
      <c r="F704" s="4" t="s">
        <v>14</v>
      </c>
      <c r="G704" s="5">
        <v>6218334</v>
      </c>
      <c r="H704" s="5">
        <v>0</v>
      </c>
      <c r="I704" s="5">
        <v>0</v>
      </c>
      <c r="J704" s="5" t="s">
        <v>14</v>
      </c>
      <c r="K704" s="5">
        <v>6218334</v>
      </c>
    </row>
    <row r="705" spans="1:11" x14ac:dyDescent="0.25">
      <c r="A705" s="4" t="s">
        <v>11</v>
      </c>
      <c r="B705" s="4" t="s">
        <v>1092</v>
      </c>
      <c r="C705" s="4" t="s">
        <v>26</v>
      </c>
      <c r="D705" s="4">
        <v>5105020511</v>
      </c>
      <c r="E705" s="4" t="s">
        <v>1135</v>
      </c>
      <c r="F705" s="4" t="s">
        <v>14</v>
      </c>
      <c r="G705" s="5">
        <v>13812948</v>
      </c>
      <c r="H705" s="5">
        <v>0</v>
      </c>
      <c r="I705" s="5">
        <v>0</v>
      </c>
      <c r="J705" s="5" t="s">
        <v>14</v>
      </c>
      <c r="K705" s="5">
        <v>13812948</v>
      </c>
    </row>
    <row r="706" spans="1:11" x14ac:dyDescent="0.25">
      <c r="A706" s="4" t="s">
        <v>11</v>
      </c>
      <c r="B706" s="4" t="s">
        <v>1092</v>
      </c>
      <c r="C706" s="4" t="s">
        <v>26</v>
      </c>
      <c r="D706" s="4">
        <v>5105020514</v>
      </c>
      <c r="E706" s="4" t="s">
        <v>224</v>
      </c>
      <c r="F706" s="4" t="s">
        <v>14</v>
      </c>
      <c r="G706" s="5">
        <v>3361594</v>
      </c>
      <c r="H706" s="5">
        <v>0</v>
      </c>
      <c r="I706" s="5">
        <v>0</v>
      </c>
      <c r="J706" s="5" t="s">
        <v>14</v>
      </c>
      <c r="K706" s="5">
        <v>3361594</v>
      </c>
    </row>
    <row r="707" spans="1:11" x14ac:dyDescent="0.25">
      <c r="A707" s="4" t="s">
        <v>11</v>
      </c>
      <c r="B707" s="4" t="s">
        <v>1092</v>
      </c>
      <c r="C707" s="4" t="s">
        <v>26</v>
      </c>
      <c r="D707" s="4">
        <v>5105020516</v>
      </c>
      <c r="E707" s="4" t="s">
        <v>1138</v>
      </c>
      <c r="F707" s="4" t="s">
        <v>14</v>
      </c>
      <c r="G707" s="5">
        <v>21335400</v>
      </c>
      <c r="H707" s="5">
        <v>0</v>
      </c>
      <c r="I707" s="5">
        <v>0</v>
      </c>
      <c r="J707" s="5" t="s">
        <v>14</v>
      </c>
      <c r="K707" s="5">
        <v>21335400</v>
      </c>
    </row>
    <row r="708" spans="1:11" x14ac:dyDescent="0.25">
      <c r="A708" s="4" t="s">
        <v>11</v>
      </c>
      <c r="B708" s="4" t="s">
        <v>1092</v>
      </c>
      <c r="C708" s="4" t="s">
        <v>26</v>
      </c>
      <c r="D708" s="4">
        <v>5105020520</v>
      </c>
      <c r="E708" s="4" t="s">
        <v>1140</v>
      </c>
      <c r="F708" s="4" t="s">
        <v>14</v>
      </c>
      <c r="G708" s="5">
        <v>13969</v>
      </c>
      <c r="H708" s="5">
        <v>0</v>
      </c>
      <c r="I708" s="5">
        <v>0</v>
      </c>
      <c r="J708" s="5" t="s">
        <v>14</v>
      </c>
      <c r="K708" s="5">
        <v>13969</v>
      </c>
    </row>
    <row r="709" spans="1:11" x14ac:dyDescent="0.25">
      <c r="A709" s="4" t="s">
        <v>11</v>
      </c>
      <c r="B709" s="4" t="s">
        <v>1092</v>
      </c>
      <c r="C709" s="4" t="s">
        <v>26</v>
      </c>
      <c r="D709" s="4">
        <v>5105020530</v>
      </c>
      <c r="E709" s="4" t="s">
        <v>1142</v>
      </c>
      <c r="F709" s="4" t="s">
        <v>14</v>
      </c>
      <c r="G709" s="5">
        <v>43705009</v>
      </c>
      <c r="H709" s="5">
        <v>0</v>
      </c>
      <c r="I709" s="5">
        <v>0</v>
      </c>
      <c r="J709" s="5" t="s">
        <v>14</v>
      </c>
      <c r="K709" s="5">
        <v>43705009</v>
      </c>
    </row>
    <row r="710" spans="1:11" x14ac:dyDescent="0.25">
      <c r="A710" s="4" t="s">
        <v>11</v>
      </c>
      <c r="B710" s="4" t="s">
        <v>1092</v>
      </c>
      <c r="C710" s="4" t="s">
        <v>26</v>
      </c>
      <c r="D710" s="4">
        <v>5105020531</v>
      </c>
      <c r="E710" s="4" t="s">
        <v>673</v>
      </c>
      <c r="F710" s="4" t="s">
        <v>14</v>
      </c>
      <c r="G710" s="5">
        <v>5246692</v>
      </c>
      <c r="H710" s="5">
        <v>0</v>
      </c>
      <c r="I710" s="5">
        <v>0</v>
      </c>
      <c r="J710" s="5" t="s">
        <v>14</v>
      </c>
      <c r="K710" s="5">
        <v>5246692</v>
      </c>
    </row>
    <row r="711" spans="1:11" x14ac:dyDescent="0.25">
      <c r="A711" s="4" t="s">
        <v>11</v>
      </c>
      <c r="B711" s="4" t="s">
        <v>1092</v>
      </c>
      <c r="C711" s="4" t="s">
        <v>26</v>
      </c>
      <c r="D711" s="4">
        <v>5105020532</v>
      </c>
      <c r="E711" s="4" t="s">
        <v>675</v>
      </c>
      <c r="F711" s="4" t="s">
        <v>14</v>
      </c>
      <c r="G711" s="5">
        <v>44089981</v>
      </c>
      <c r="H711" s="5">
        <v>0</v>
      </c>
      <c r="I711" s="5">
        <v>0</v>
      </c>
      <c r="J711" s="5" t="s">
        <v>14</v>
      </c>
      <c r="K711" s="5">
        <v>44089981</v>
      </c>
    </row>
    <row r="712" spans="1:11" x14ac:dyDescent="0.25">
      <c r="A712" s="4" t="s">
        <v>11</v>
      </c>
      <c r="B712" s="4" t="s">
        <v>1092</v>
      </c>
      <c r="C712" s="4" t="s">
        <v>26</v>
      </c>
      <c r="D712" s="4">
        <v>5105020533</v>
      </c>
      <c r="E712" s="4" t="s">
        <v>1146</v>
      </c>
      <c r="F712" s="4" t="s">
        <v>14</v>
      </c>
      <c r="G712" s="5">
        <v>36158999.32</v>
      </c>
      <c r="H712" s="5">
        <v>0</v>
      </c>
      <c r="I712" s="5">
        <v>0</v>
      </c>
      <c r="J712" s="5" t="s">
        <v>14</v>
      </c>
      <c r="K712" s="5">
        <v>36158999.32</v>
      </c>
    </row>
    <row r="713" spans="1:11" x14ac:dyDescent="0.25">
      <c r="A713" s="4" t="s">
        <v>11</v>
      </c>
      <c r="B713" s="4" t="s">
        <v>1092</v>
      </c>
      <c r="C713" s="4" t="s">
        <v>26</v>
      </c>
      <c r="D713" s="4">
        <v>5105020540</v>
      </c>
      <c r="E713" s="4" t="s">
        <v>1148</v>
      </c>
      <c r="F713" s="4" t="s">
        <v>14</v>
      </c>
      <c r="G713" s="5">
        <v>68862006</v>
      </c>
      <c r="H713" s="5">
        <v>0</v>
      </c>
      <c r="I713" s="5">
        <v>0</v>
      </c>
      <c r="J713" s="5" t="s">
        <v>14</v>
      </c>
      <c r="K713" s="5">
        <v>68862006</v>
      </c>
    </row>
    <row r="714" spans="1:11" x14ac:dyDescent="0.25">
      <c r="A714" s="4" t="s">
        <v>11</v>
      </c>
      <c r="B714" s="4" t="s">
        <v>1092</v>
      </c>
      <c r="C714" s="4" t="s">
        <v>26</v>
      </c>
      <c r="D714" s="4">
        <v>5105020541</v>
      </c>
      <c r="E714" s="4" t="s">
        <v>1150</v>
      </c>
      <c r="F714" s="4" t="s">
        <v>14</v>
      </c>
      <c r="G714" s="5">
        <v>79179903</v>
      </c>
      <c r="H714" s="5">
        <v>0</v>
      </c>
      <c r="I714" s="5">
        <v>0</v>
      </c>
      <c r="J714" s="5" t="s">
        <v>14</v>
      </c>
      <c r="K714" s="5">
        <v>79179903</v>
      </c>
    </row>
    <row r="715" spans="1:11" x14ac:dyDescent="0.25">
      <c r="A715" s="4" t="s">
        <v>11</v>
      </c>
      <c r="B715" s="4" t="s">
        <v>1092</v>
      </c>
      <c r="C715" s="4" t="s">
        <v>26</v>
      </c>
      <c r="D715" s="4">
        <v>5105020542</v>
      </c>
      <c r="E715" s="4" t="s">
        <v>1152</v>
      </c>
      <c r="F715" s="4" t="s">
        <v>14</v>
      </c>
      <c r="G715" s="5">
        <v>18522286</v>
      </c>
      <c r="H715" s="5">
        <v>0</v>
      </c>
      <c r="I715" s="5">
        <v>0</v>
      </c>
      <c r="J715" s="5" t="s">
        <v>14</v>
      </c>
      <c r="K715" s="5">
        <v>18522286</v>
      </c>
    </row>
    <row r="716" spans="1:11" x14ac:dyDescent="0.25">
      <c r="A716" s="4" t="s">
        <v>11</v>
      </c>
      <c r="B716" s="4" t="s">
        <v>1092</v>
      </c>
      <c r="C716" s="4" t="s">
        <v>26</v>
      </c>
      <c r="D716" s="4">
        <v>5105020550</v>
      </c>
      <c r="E716" s="4" t="s">
        <v>1154</v>
      </c>
      <c r="F716" s="4" t="s">
        <v>14</v>
      </c>
      <c r="G716" s="5">
        <v>31045856.440000001</v>
      </c>
      <c r="H716" s="5">
        <v>0</v>
      </c>
      <c r="I716" s="5">
        <v>0</v>
      </c>
      <c r="J716" s="5" t="s">
        <v>14</v>
      </c>
      <c r="K716" s="5">
        <v>31045856.440000001</v>
      </c>
    </row>
    <row r="717" spans="1:11" x14ac:dyDescent="0.25">
      <c r="A717" s="4" t="s">
        <v>11</v>
      </c>
      <c r="B717" s="4" t="s">
        <v>1092</v>
      </c>
      <c r="C717" s="4" t="s">
        <v>26</v>
      </c>
      <c r="D717" s="4">
        <v>5105020551</v>
      </c>
      <c r="E717" s="4" t="s">
        <v>1156</v>
      </c>
      <c r="F717" s="4" t="s">
        <v>14</v>
      </c>
      <c r="G717" s="5">
        <v>23073678</v>
      </c>
      <c r="H717" s="5">
        <v>0</v>
      </c>
      <c r="I717" s="5">
        <v>0</v>
      </c>
      <c r="J717" s="5" t="s">
        <v>14</v>
      </c>
      <c r="K717" s="5">
        <v>23073678</v>
      </c>
    </row>
    <row r="718" spans="1:11" x14ac:dyDescent="0.25">
      <c r="A718" s="4" t="s">
        <v>11</v>
      </c>
      <c r="B718" s="4" t="s">
        <v>1092</v>
      </c>
      <c r="C718" s="4" t="s">
        <v>26</v>
      </c>
      <c r="D718" s="4">
        <v>5105020552</v>
      </c>
      <c r="E718" s="4" t="s">
        <v>1158</v>
      </c>
      <c r="F718" s="4" t="s">
        <v>14</v>
      </c>
      <c r="G718" s="5">
        <v>15382868</v>
      </c>
      <c r="H718" s="5">
        <v>0</v>
      </c>
      <c r="I718" s="5">
        <v>0</v>
      </c>
      <c r="J718" s="5" t="s">
        <v>14</v>
      </c>
      <c r="K718" s="5">
        <v>15382868</v>
      </c>
    </row>
    <row r="719" spans="1:11" x14ac:dyDescent="0.25">
      <c r="A719" s="4" t="s">
        <v>11</v>
      </c>
      <c r="B719" s="4" t="s">
        <v>1092</v>
      </c>
      <c r="C719" s="4" t="s">
        <v>23</v>
      </c>
      <c r="D719" s="4">
        <v>51050210</v>
      </c>
      <c r="E719" s="4" t="s">
        <v>1160</v>
      </c>
      <c r="F719" s="4" t="s">
        <v>14</v>
      </c>
      <c r="G719" s="5">
        <v>5672879.7000000002</v>
      </c>
      <c r="H719" s="5">
        <v>0</v>
      </c>
      <c r="I719" s="5">
        <v>0</v>
      </c>
      <c r="J719" s="5" t="s">
        <v>14</v>
      </c>
      <c r="K719" s="5">
        <v>5672879.7000000002</v>
      </c>
    </row>
    <row r="720" spans="1:11" x14ac:dyDescent="0.25">
      <c r="A720" s="4" t="s">
        <v>11</v>
      </c>
      <c r="B720" s="4" t="s">
        <v>1092</v>
      </c>
      <c r="C720" s="4" t="s">
        <v>26</v>
      </c>
      <c r="D720" s="4">
        <v>5105021005</v>
      </c>
      <c r="E720" s="4" t="s">
        <v>1162</v>
      </c>
      <c r="F720" s="4" t="s">
        <v>14</v>
      </c>
      <c r="G720" s="5">
        <v>23529</v>
      </c>
      <c r="H720" s="5">
        <v>0</v>
      </c>
      <c r="I720" s="5">
        <v>0</v>
      </c>
      <c r="J720" s="5" t="s">
        <v>14</v>
      </c>
      <c r="K720" s="5">
        <v>23529</v>
      </c>
    </row>
    <row r="721" spans="1:11" x14ac:dyDescent="0.25">
      <c r="A721" s="4" t="s">
        <v>11</v>
      </c>
      <c r="B721" s="4" t="s">
        <v>1092</v>
      </c>
      <c r="C721" s="4" t="s">
        <v>26</v>
      </c>
      <c r="D721" s="4">
        <v>5105021010</v>
      </c>
      <c r="E721" s="4" t="s">
        <v>1164</v>
      </c>
      <c r="F721" s="4" t="s">
        <v>14</v>
      </c>
      <c r="G721" s="5">
        <v>350000</v>
      </c>
      <c r="H721" s="5">
        <v>0</v>
      </c>
      <c r="I721" s="5">
        <v>0</v>
      </c>
      <c r="J721" s="5" t="s">
        <v>14</v>
      </c>
      <c r="K721" s="5">
        <v>350000</v>
      </c>
    </row>
    <row r="722" spans="1:11" x14ac:dyDescent="0.25">
      <c r="A722" s="4" t="s">
        <v>11</v>
      </c>
      <c r="B722" s="4" t="s">
        <v>1092</v>
      </c>
      <c r="C722" s="4" t="s">
        <v>26</v>
      </c>
      <c r="D722" s="4">
        <v>5105021015</v>
      </c>
      <c r="E722" s="4" t="s">
        <v>1166</v>
      </c>
      <c r="F722" s="4" t="s">
        <v>14</v>
      </c>
      <c r="G722" s="5">
        <v>3429456.7</v>
      </c>
      <c r="H722" s="5">
        <v>0</v>
      </c>
      <c r="I722" s="5">
        <v>0</v>
      </c>
      <c r="J722" s="5" t="s">
        <v>14</v>
      </c>
      <c r="K722" s="5">
        <v>3429456.7</v>
      </c>
    </row>
    <row r="723" spans="1:11" x14ac:dyDescent="0.25">
      <c r="A723" s="4" t="s">
        <v>11</v>
      </c>
      <c r="B723" s="4" t="s">
        <v>1092</v>
      </c>
      <c r="C723" s="4" t="s">
        <v>26</v>
      </c>
      <c r="D723" s="4">
        <v>5105021020</v>
      </c>
      <c r="E723" s="4" t="s">
        <v>1168</v>
      </c>
      <c r="F723" s="4" t="s">
        <v>14</v>
      </c>
      <c r="G723" s="5">
        <v>1342857</v>
      </c>
      <c r="H723" s="5">
        <v>0</v>
      </c>
      <c r="I723" s="5">
        <v>0</v>
      </c>
      <c r="J723" s="5" t="s">
        <v>14</v>
      </c>
      <c r="K723" s="5">
        <v>1342857</v>
      </c>
    </row>
    <row r="724" spans="1:11" x14ac:dyDescent="0.25">
      <c r="A724" s="4" t="s">
        <v>11</v>
      </c>
      <c r="B724" s="4" t="s">
        <v>1092</v>
      </c>
      <c r="C724" s="4" t="s">
        <v>26</v>
      </c>
      <c r="D724" s="4">
        <v>5105021035</v>
      </c>
      <c r="E724" s="4" t="s">
        <v>1170</v>
      </c>
      <c r="F724" s="4" t="s">
        <v>14</v>
      </c>
      <c r="G724" s="5">
        <v>255143</v>
      </c>
      <c r="H724" s="5">
        <v>0</v>
      </c>
      <c r="I724" s="5">
        <v>0</v>
      </c>
      <c r="J724" s="5" t="s">
        <v>14</v>
      </c>
      <c r="K724" s="5">
        <v>255143</v>
      </c>
    </row>
    <row r="725" spans="1:11" x14ac:dyDescent="0.25">
      <c r="A725" s="4" t="s">
        <v>11</v>
      </c>
      <c r="B725" s="4" t="s">
        <v>1092</v>
      </c>
      <c r="C725" s="4" t="s">
        <v>26</v>
      </c>
      <c r="D725" s="4">
        <v>5105021040</v>
      </c>
      <c r="E725" s="4" t="s">
        <v>1172</v>
      </c>
      <c r="F725" s="4" t="s">
        <v>14</v>
      </c>
      <c r="G725" s="5">
        <v>4471</v>
      </c>
      <c r="H725" s="5">
        <v>0</v>
      </c>
      <c r="I725" s="5">
        <v>0</v>
      </c>
      <c r="J725" s="5" t="s">
        <v>14</v>
      </c>
      <c r="K725" s="5">
        <v>4471</v>
      </c>
    </row>
    <row r="726" spans="1:11" x14ac:dyDescent="0.25">
      <c r="A726" s="4" t="s">
        <v>11</v>
      </c>
      <c r="B726" s="4" t="s">
        <v>1092</v>
      </c>
      <c r="C726" s="4" t="s">
        <v>26</v>
      </c>
      <c r="D726" s="4">
        <v>5105021045</v>
      </c>
      <c r="E726" s="4" t="s">
        <v>1174</v>
      </c>
      <c r="F726" s="4" t="s">
        <v>14</v>
      </c>
      <c r="G726" s="5">
        <v>200923</v>
      </c>
      <c r="H726" s="5">
        <v>0</v>
      </c>
      <c r="I726" s="5">
        <v>0</v>
      </c>
      <c r="J726" s="5" t="s">
        <v>14</v>
      </c>
      <c r="K726" s="5">
        <v>200923</v>
      </c>
    </row>
    <row r="727" spans="1:11" x14ac:dyDescent="0.25">
      <c r="A727" s="4" t="s">
        <v>11</v>
      </c>
      <c r="B727" s="4" t="s">
        <v>1092</v>
      </c>
      <c r="C727" s="4" t="s">
        <v>26</v>
      </c>
      <c r="D727" s="4">
        <v>5105021050</v>
      </c>
      <c r="E727" s="4" t="s">
        <v>1176</v>
      </c>
      <c r="F727" s="4" t="s">
        <v>14</v>
      </c>
      <c r="G727" s="5">
        <v>66500</v>
      </c>
      <c r="H727" s="5">
        <v>0</v>
      </c>
      <c r="I727" s="5">
        <v>0</v>
      </c>
      <c r="J727" s="5" t="s">
        <v>14</v>
      </c>
      <c r="K727" s="5">
        <v>66500</v>
      </c>
    </row>
    <row r="728" spans="1:11" x14ac:dyDescent="0.25">
      <c r="A728" s="4" t="s">
        <v>11</v>
      </c>
      <c r="B728" s="4" t="s">
        <v>1092</v>
      </c>
      <c r="C728" s="4" t="s">
        <v>21</v>
      </c>
      <c r="D728" s="4">
        <v>510503</v>
      </c>
      <c r="E728" s="4" t="s">
        <v>1178</v>
      </c>
      <c r="F728" s="4" t="s">
        <v>14</v>
      </c>
      <c r="G728" s="5">
        <v>255931472.62</v>
      </c>
      <c r="H728" s="5">
        <v>19543488.199999999</v>
      </c>
      <c r="I728" s="5">
        <v>0</v>
      </c>
      <c r="J728" s="5" t="s">
        <v>14</v>
      </c>
      <c r="K728" s="5">
        <v>275474960.81999999</v>
      </c>
    </row>
    <row r="729" spans="1:11" x14ac:dyDescent="0.25">
      <c r="A729" s="4" t="s">
        <v>11</v>
      </c>
      <c r="B729" s="4" t="s">
        <v>1092</v>
      </c>
      <c r="C729" s="4" t="s">
        <v>23</v>
      </c>
      <c r="D729" s="4">
        <v>51050310</v>
      </c>
      <c r="E729" s="4" t="s">
        <v>1180</v>
      </c>
      <c r="F729" s="4" t="s">
        <v>14</v>
      </c>
      <c r="G729" s="5">
        <v>54738648</v>
      </c>
      <c r="H729" s="5">
        <v>6882573</v>
      </c>
      <c r="I729" s="5">
        <v>0</v>
      </c>
      <c r="J729" s="5" t="s">
        <v>14</v>
      </c>
      <c r="K729" s="5">
        <v>61621221</v>
      </c>
    </row>
    <row r="730" spans="1:11" x14ac:dyDescent="0.25">
      <c r="A730" s="4" t="s">
        <v>11</v>
      </c>
      <c r="B730" s="4" t="s">
        <v>1092</v>
      </c>
      <c r="C730" s="4" t="s">
        <v>26</v>
      </c>
      <c r="D730" s="4">
        <v>5105031010</v>
      </c>
      <c r="E730" s="4" t="s">
        <v>1182</v>
      </c>
      <c r="F730" s="4" t="s">
        <v>14</v>
      </c>
      <c r="G730" s="5">
        <v>19800000</v>
      </c>
      <c r="H730" s="5">
        <v>3323167</v>
      </c>
      <c r="I730" s="5">
        <v>0</v>
      </c>
      <c r="J730" s="5" t="s">
        <v>14</v>
      </c>
      <c r="K730" s="5">
        <v>23123167</v>
      </c>
    </row>
    <row r="731" spans="1:11" x14ac:dyDescent="0.25">
      <c r="A731" s="4" t="s">
        <v>11</v>
      </c>
      <c r="B731" s="4" t="s">
        <v>1092</v>
      </c>
      <c r="C731" s="4" t="s">
        <v>26</v>
      </c>
      <c r="D731" s="4">
        <v>5105031025</v>
      </c>
      <c r="E731" s="4" t="s">
        <v>1184</v>
      </c>
      <c r="F731" s="4" t="s">
        <v>14</v>
      </c>
      <c r="G731" s="5">
        <v>32317000</v>
      </c>
      <c r="H731" s="5">
        <v>3231700</v>
      </c>
      <c r="I731" s="5">
        <v>0</v>
      </c>
      <c r="J731" s="5" t="s">
        <v>14</v>
      </c>
      <c r="K731" s="5">
        <v>35548700</v>
      </c>
    </row>
    <row r="732" spans="1:11" x14ac:dyDescent="0.25">
      <c r="A732" s="4" t="s">
        <v>11</v>
      </c>
      <c r="B732" s="4" t="s">
        <v>1092</v>
      </c>
      <c r="C732" s="4" t="s">
        <v>26</v>
      </c>
      <c r="D732" s="4">
        <v>5105031045</v>
      </c>
      <c r="E732" s="4" t="s">
        <v>552</v>
      </c>
      <c r="F732" s="4" t="s">
        <v>14</v>
      </c>
      <c r="G732" s="5">
        <v>2203068</v>
      </c>
      <c r="H732" s="5">
        <v>275383</v>
      </c>
      <c r="I732" s="5">
        <v>0</v>
      </c>
      <c r="J732" s="5" t="s">
        <v>14</v>
      </c>
      <c r="K732" s="5">
        <v>2478451</v>
      </c>
    </row>
    <row r="733" spans="1:11" x14ac:dyDescent="0.25">
      <c r="A733" s="4" t="s">
        <v>11</v>
      </c>
      <c r="B733" s="4" t="s">
        <v>1092</v>
      </c>
      <c r="C733" s="4" t="s">
        <v>26</v>
      </c>
      <c r="D733" s="4">
        <v>5105031075</v>
      </c>
      <c r="E733" s="4" t="s">
        <v>1187</v>
      </c>
      <c r="F733" s="4" t="s">
        <v>14</v>
      </c>
      <c r="G733" s="5">
        <v>418580</v>
      </c>
      <c r="H733" s="5">
        <v>52323</v>
      </c>
      <c r="I733" s="5">
        <v>0</v>
      </c>
      <c r="J733" s="5" t="s">
        <v>14</v>
      </c>
      <c r="K733" s="5">
        <v>470903</v>
      </c>
    </row>
    <row r="734" spans="1:11" x14ac:dyDescent="0.25">
      <c r="A734" s="4" t="s">
        <v>11</v>
      </c>
      <c r="B734" s="4" t="s">
        <v>1092</v>
      </c>
      <c r="C734" s="4" t="s">
        <v>23</v>
      </c>
      <c r="D734" s="4">
        <v>51050315</v>
      </c>
      <c r="E734" s="4" t="s">
        <v>1189</v>
      </c>
      <c r="F734" s="4" t="s">
        <v>14</v>
      </c>
      <c r="G734" s="5">
        <v>2073495</v>
      </c>
      <c r="H734" s="5">
        <v>378499</v>
      </c>
      <c r="I734" s="5">
        <v>0</v>
      </c>
      <c r="J734" s="5" t="s">
        <v>14</v>
      </c>
      <c r="K734" s="5">
        <v>2451994</v>
      </c>
    </row>
    <row r="735" spans="1:11" x14ac:dyDescent="0.25">
      <c r="A735" s="4" t="s">
        <v>11</v>
      </c>
      <c r="B735" s="4" t="s">
        <v>1092</v>
      </c>
      <c r="C735" s="4" t="s">
        <v>26</v>
      </c>
      <c r="D735" s="4">
        <v>5105031510</v>
      </c>
      <c r="E735" s="4" t="s">
        <v>439</v>
      </c>
      <c r="F735" s="4" t="s">
        <v>14</v>
      </c>
      <c r="G735" s="5">
        <v>987495</v>
      </c>
      <c r="H735" s="5">
        <v>197499</v>
      </c>
      <c r="I735" s="5">
        <v>0</v>
      </c>
      <c r="J735" s="5" t="s">
        <v>14</v>
      </c>
      <c r="K735" s="5">
        <v>1184994</v>
      </c>
    </row>
    <row r="736" spans="1:11" x14ac:dyDescent="0.25">
      <c r="A736" s="4" t="s">
        <v>11</v>
      </c>
      <c r="B736" s="4" t="s">
        <v>1092</v>
      </c>
      <c r="C736" s="4" t="s">
        <v>26</v>
      </c>
      <c r="D736" s="4">
        <v>5105031515</v>
      </c>
      <c r="E736" s="4" t="s">
        <v>1192</v>
      </c>
      <c r="F736" s="4" t="s">
        <v>14</v>
      </c>
      <c r="G736" s="5">
        <v>1086000</v>
      </c>
      <c r="H736" s="5">
        <v>181000</v>
      </c>
      <c r="I736" s="5">
        <v>0</v>
      </c>
      <c r="J736" s="5" t="s">
        <v>14</v>
      </c>
      <c r="K736" s="5">
        <v>1267000</v>
      </c>
    </row>
    <row r="737" spans="1:11" x14ac:dyDescent="0.25">
      <c r="A737" s="4" t="s">
        <v>11</v>
      </c>
      <c r="B737" s="4" t="s">
        <v>1092</v>
      </c>
      <c r="C737" s="4" t="s">
        <v>23</v>
      </c>
      <c r="D737" s="4">
        <v>51050320</v>
      </c>
      <c r="E737" s="4" t="s">
        <v>227</v>
      </c>
      <c r="F737" s="4" t="s">
        <v>14</v>
      </c>
      <c r="G737" s="5">
        <v>941253</v>
      </c>
      <c r="H737" s="5">
        <v>0</v>
      </c>
      <c r="I737" s="5">
        <v>0</v>
      </c>
      <c r="J737" s="5" t="s">
        <v>14</v>
      </c>
      <c r="K737" s="5">
        <v>941253</v>
      </c>
    </row>
    <row r="738" spans="1:11" x14ac:dyDescent="0.25">
      <c r="A738" s="4" t="s">
        <v>11</v>
      </c>
      <c r="B738" s="4" t="s">
        <v>1092</v>
      </c>
      <c r="C738" s="4" t="s">
        <v>26</v>
      </c>
      <c r="D738" s="4">
        <v>5105032010</v>
      </c>
      <c r="E738" s="4" t="s">
        <v>1195</v>
      </c>
      <c r="F738" s="4" t="s">
        <v>14</v>
      </c>
      <c r="G738" s="5">
        <v>790971</v>
      </c>
      <c r="H738" s="5">
        <v>0</v>
      </c>
      <c r="I738" s="5">
        <v>0</v>
      </c>
      <c r="J738" s="5" t="s">
        <v>14</v>
      </c>
      <c r="K738" s="5">
        <v>790971</v>
      </c>
    </row>
    <row r="739" spans="1:11" x14ac:dyDescent="0.25">
      <c r="A739" s="4" t="s">
        <v>11</v>
      </c>
      <c r="B739" s="4" t="s">
        <v>1092</v>
      </c>
      <c r="C739" s="4" t="s">
        <v>26</v>
      </c>
      <c r="D739" s="4">
        <v>5105032045</v>
      </c>
      <c r="E739" s="4" t="s">
        <v>1197</v>
      </c>
      <c r="F739" s="4" t="s">
        <v>14</v>
      </c>
      <c r="G739" s="5">
        <v>150282</v>
      </c>
      <c r="H739" s="5">
        <v>0</v>
      </c>
      <c r="I739" s="5">
        <v>0</v>
      </c>
      <c r="J739" s="5" t="s">
        <v>14</v>
      </c>
      <c r="K739" s="5">
        <v>150282</v>
      </c>
    </row>
    <row r="740" spans="1:11" x14ac:dyDescent="0.25">
      <c r="A740" s="4" t="s">
        <v>11</v>
      </c>
      <c r="B740" s="4" t="s">
        <v>1092</v>
      </c>
      <c r="C740" s="4" t="s">
        <v>23</v>
      </c>
      <c r="D740" s="4">
        <v>51050325</v>
      </c>
      <c r="E740" s="4" t="s">
        <v>1199</v>
      </c>
      <c r="F740" s="4" t="s">
        <v>14</v>
      </c>
      <c r="G740" s="5">
        <v>56482040.060000002</v>
      </c>
      <c r="H740" s="5">
        <v>2340000</v>
      </c>
      <c r="I740" s="5">
        <v>0</v>
      </c>
      <c r="J740" s="5" t="s">
        <v>14</v>
      </c>
      <c r="K740" s="5">
        <v>58822040.060000002</v>
      </c>
    </row>
    <row r="741" spans="1:11" x14ac:dyDescent="0.25">
      <c r="A741" s="4" t="s">
        <v>11</v>
      </c>
      <c r="B741" s="4" t="s">
        <v>1092</v>
      </c>
      <c r="C741" s="4" t="s">
        <v>26</v>
      </c>
      <c r="D741" s="4">
        <v>5105032505</v>
      </c>
      <c r="E741" s="4" t="s">
        <v>1201</v>
      </c>
      <c r="F741" s="4" t="s">
        <v>14</v>
      </c>
      <c r="G741" s="5">
        <v>23400000</v>
      </c>
      <c r="H741" s="5">
        <v>2340000</v>
      </c>
      <c r="I741" s="5">
        <v>0</v>
      </c>
      <c r="J741" s="5" t="s">
        <v>14</v>
      </c>
      <c r="K741" s="5">
        <v>25740000</v>
      </c>
    </row>
    <row r="742" spans="1:11" x14ac:dyDescent="0.25">
      <c r="A742" s="4" t="s">
        <v>11</v>
      </c>
      <c r="B742" s="4" t="s">
        <v>1092</v>
      </c>
      <c r="C742" s="4" t="s">
        <v>26</v>
      </c>
      <c r="D742" s="4">
        <v>5105032515</v>
      </c>
      <c r="E742" s="4" t="s">
        <v>1203</v>
      </c>
      <c r="F742" s="4" t="s">
        <v>14</v>
      </c>
      <c r="G742" s="5">
        <v>19399104</v>
      </c>
      <c r="H742" s="5">
        <v>0</v>
      </c>
      <c r="I742" s="5">
        <v>0</v>
      </c>
      <c r="J742" s="5" t="s">
        <v>14</v>
      </c>
      <c r="K742" s="5">
        <v>19399104</v>
      </c>
    </row>
    <row r="743" spans="1:11" x14ac:dyDescent="0.25">
      <c r="A743" s="4" t="s">
        <v>11</v>
      </c>
      <c r="B743" s="4" t="s">
        <v>1092</v>
      </c>
      <c r="C743" s="4" t="s">
        <v>26</v>
      </c>
      <c r="D743" s="4">
        <v>5105032520</v>
      </c>
      <c r="E743" s="4" t="s">
        <v>1205</v>
      </c>
      <c r="F743" s="4" t="s">
        <v>14</v>
      </c>
      <c r="G743" s="5">
        <v>11498265.6</v>
      </c>
      <c r="H743" s="5">
        <v>0</v>
      </c>
      <c r="I743" s="5">
        <v>0</v>
      </c>
      <c r="J743" s="5" t="s">
        <v>14</v>
      </c>
      <c r="K743" s="5">
        <v>11498265.6</v>
      </c>
    </row>
    <row r="744" spans="1:11" x14ac:dyDescent="0.25">
      <c r="A744" s="4" t="s">
        <v>11</v>
      </c>
      <c r="B744" s="4" t="s">
        <v>1092</v>
      </c>
      <c r="C744" s="4" t="s">
        <v>26</v>
      </c>
      <c r="D744" s="4">
        <v>5105032525</v>
      </c>
      <c r="E744" s="4" t="s">
        <v>1207</v>
      </c>
      <c r="F744" s="4" t="s">
        <v>14</v>
      </c>
      <c r="G744" s="5">
        <v>2184670.46</v>
      </c>
      <c r="H744" s="5">
        <v>0</v>
      </c>
      <c r="I744" s="5">
        <v>0</v>
      </c>
      <c r="J744" s="5" t="s">
        <v>14</v>
      </c>
      <c r="K744" s="5">
        <v>2184670.46</v>
      </c>
    </row>
    <row r="745" spans="1:11" x14ac:dyDescent="0.25">
      <c r="A745" s="4" t="s">
        <v>11</v>
      </c>
      <c r="B745" s="4" t="s">
        <v>1092</v>
      </c>
      <c r="C745" s="4" t="s">
        <v>23</v>
      </c>
      <c r="D745" s="4">
        <v>51050330</v>
      </c>
      <c r="E745" s="4" t="s">
        <v>437</v>
      </c>
      <c r="F745" s="4" t="s">
        <v>14</v>
      </c>
      <c r="G745" s="5">
        <v>22645746</v>
      </c>
      <c r="H745" s="5">
        <v>0</v>
      </c>
      <c r="I745" s="5">
        <v>0</v>
      </c>
      <c r="J745" s="5" t="s">
        <v>14</v>
      </c>
      <c r="K745" s="5">
        <v>22645746</v>
      </c>
    </row>
    <row r="746" spans="1:11" x14ac:dyDescent="0.25">
      <c r="A746" s="4" t="s">
        <v>11</v>
      </c>
      <c r="B746" s="4" t="s">
        <v>1092</v>
      </c>
      <c r="C746" s="4" t="s">
        <v>26</v>
      </c>
      <c r="D746" s="4">
        <v>5105033005</v>
      </c>
      <c r="E746" s="4" t="s">
        <v>1210</v>
      </c>
      <c r="F746" s="4" t="s">
        <v>14</v>
      </c>
      <c r="G746" s="5">
        <v>2861541</v>
      </c>
      <c r="H746" s="5">
        <v>0</v>
      </c>
      <c r="I746" s="5">
        <v>0</v>
      </c>
      <c r="J746" s="5" t="s">
        <v>14</v>
      </c>
      <c r="K746" s="5">
        <v>2861541</v>
      </c>
    </row>
    <row r="747" spans="1:11" x14ac:dyDescent="0.25">
      <c r="A747" s="4" t="s">
        <v>11</v>
      </c>
      <c r="B747" s="4" t="s">
        <v>1092</v>
      </c>
      <c r="C747" s="4" t="s">
        <v>26</v>
      </c>
      <c r="D747" s="4">
        <v>5105033010</v>
      </c>
      <c r="E747" s="4" t="s">
        <v>1212</v>
      </c>
      <c r="F747" s="4" t="s">
        <v>14</v>
      </c>
      <c r="G747" s="5">
        <v>4330030</v>
      </c>
      <c r="H747" s="5">
        <v>0</v>
      </c>
      <c r="I747" s="5">
        <v>0</v>
      </c>
      <c r="J747" s="5" t="s">
        <v>14</v>
      </c>
      <c r="K747" s="5">
        <v>4330030</v>
      </c>
    </row>
    <row r="748" spans="1:11" x14ac:dyDescent="0.25">
      <c r="A748" s="4" t="s">
        <v>11</v>
      </c>
      <c r="B748" s="4" t="s">
        <v>1092</v>
      </c>
      <c r="C748" s="4" t="s">
        <v>26</v>
      </c>
      <c r="D748" s="4">
        <v>5105033015</v>
      </c>
      <c r="E748" s="4" t="s">
        <v>1214</v>
      </c>
      <c r="F748" s="4" t="s">
        <v>14</v>
      </c>
      <c r="G748" s="5">
        <v>15106620</v>
      </c>
      <c r="H748" s="5">
        <v>0</v>
      </c>
      <c r="I748" s="5">
        <v>0</v>
      </c>
      <c r="J748" s="5" t="s">
        <v>14</v>
      </c>
      <c r="K748" s="5">
        <v>15106620</v>
      </c>
    </row>
    <row r="749" spans="1:11" x14ac:dyDescent="0.25">
      <c r="A749" s="4" t="s">
        <v>11</v>
      </c>
      <c r="B749" s="4" t="s">
        <v>1092</v>
      </c>
      <c r="C749" s="4" t="s">
        <v>26</v>
      </c>
      <c r="D749" s="4">
        <v>5105033030</v>
      </c>
      <c r="E749" s="4" t="s">
        <v>1216</v>
      </c>
      <c r="F749" s="4" t="s">
        <v>14</v>
      </c>
      <c r="G749" s="5">
        <v>347555</v>
      </c>
      <c r="H749" s="5">
        <v>0</v>
      </c>
      <c r="I749" s="5">
        <v>0</v>
      </c>
      <c r="J749" s="5" t="s">
        <v>14</v>
      </c>
      <c r="K749" s="5">
        <v>347555</v>
      </c>
    </row>
    <row r="750" spans="1:11" x14ac:dyDescent="0.25">
      <c r="A750" s="4" t="s">
        <v>11</v>
      </c>
      <c r="B750" s="4" t="s">
        <v>1092</v>
      </c>
      <c r="C750" s="4" t="s">
        <v>23</v>
      </c>
      <c r="D750" s="4">
        <v>51050335</v>
      </c>
      <c r="E750" s="4" t="s">
        <v>566</v>
      </c>
      <c r="F750" s="4" t="s">
        <v>14</v>
      </c>
      <c r="G750" s="5">
        <v>25414132.789999999</v>
      </c>
      <c r="H750" s="5">
        <v>2322351.2000000002</v>
      </c>
      <c r="I750" s="5">
        <v>0</v>
      </c>
      <c r="J750" s="5" t="s">
        <v>14</v>
      </c>
      <c r="K750" s="5">
        <v>27736483.989999998</v>
      </c>
    </row>
    <row r="751" spans="1:11" x14ac:dyDescent="0.25">
      <c r="A751" s="4" t="s">
        <v>11</v>
      </c>
      <c r="B751" s="4" t="s">
        <v>1092</v>
      </c>
      <c r="C751" s="4" t="s">
        <v>26</v>
      </c>
      <c r="D751" s="4">
        <v>5105033505</v>
      </c>
      <c r="E751" s="4" t="s">
        <v>1219</v>
      </c>
      <c r="F751" s="4" t="s">
        <v>14</v>
      </c>
      <c r="G751" s="5">
        <v>3101710.39</v>
      </c>
      <c r="H751" s="5">
        <v>0</v>
      </c>
      <c r="I751" s="5">
        <v>0</v>
      </c>
      <c r="J751" s="5" t="s">
        <v>14</v>
      </c>
      <c r="K751" s="5">
        <v>3101710.39</v>
      </c>
    </row>
    <row r="752" spans="1:11" x14ac:dyDescent="0.25">
      <c r="A752" s="4" t="s">
        <v>11</v>
      </c>
      <c r="B752" s="4" t="s">
        <v>1092</v>
      </c>
      <c r="C752" s="4" t="s">
        <v>26</v>
      </c>
      <c r="D752" s="4">
        <v>5105033510</v>
      </c>
      <c r="E752" s="4" t="s">
        <v>1221</v>
      </c>
      <c r="F752" s="4" t="s">
        <v>14</v>
      </c>
      <c r="G752" s="5">
        <v>368339.61</v>
      </c>
      <c r="H752" s="5">
        <v>0</v>
      </c>
      <c r="I752" s="5">
        <v>0</v>
      </c>
      <c r="J752" s="5" t="s">
        <v>14</v>
      </c>
      <c r="K752" s="5">
        <v>368339.61</v>
      </c>
    </row>
    <row r="753" spans="1:11" x14ac:dyDescent="0.25">
      <c r="A753" s="4" t="s">
        <v>11</v>
      </c>
      <c r="B753" s="4" t="s">
        <v>1092</v>
      </c>
      <c r="C753" s="4" t="s">
        <v>26</v>
      </c>
      <c r="D753" s="4">
        <v>5105033515</v>
      </c>
      <c r="E753" s="4" t="s">
        <v>1223</v>
      </c>
      <c r="F753" s="4" t="s">
        <v>14</v>
      </c>
      <c r="G753" s="5">
        <v>3004020</v>
      </c>
      <c r="H753" s="5">
        <v>351710</v>
      </c>
      <c r="I753" s="5">
        <v>0</v>
      </c>
      <c r="J753" s="5" t="s">
        <v>14</v>
      </c>
      <c r="K753" s="5">
        <v>3355730</v>
      </c>
    </row>
    <row r="754" spans="1:11" x14ac:dyDescent="0.25">
      <c r="A754" s="4" t="s">
        <v>11</v>
      </c>
      <c r="B754" s="4" t="s">
        <v>1092</v>
      </c>
      <c r="C754" s="4" t="s">
        <v>26</v>
      </c>
      <c r="D754" s="4">
        <v>5105033520</v>
      </c>
      <c r="E754" s="4" t="s">
        <v>1225</v>
      </c>
      <c r="F754" s="4" t="s">
        <v>14</v>
      </c>
      <c r="G754" s="5">
        <v>8054626.4900000002</v>
      </c>
      <c r="H754" s="5">
        <v>805408.12</v>
      </c>
      <c r="I754" s="5">
        <v>0</v>
      </c>
      <c r="J754" s="5" t="s">
        <v>14</v>
      </c>
      <c r="K754" s="5">
        <v>8860034.6099999994</v>
      </c>
    </row>
    <row r="755" spans="1:11" x14ac:dyDescent="0.25">
      <c r="A755" s="4" t="s">
        <v>11</v>
      </c>
      <c r="B755" s="4" t="s">
        <v>1092</v>
      </c>
      <c r="C755" s="4" t="s">
        <v>26</v>
      </c>
      <c r="D755" s="4">
        <v>5105033525</v>
      </c>
      <c r="E755" s="4" t="s">
        <v>1227</v>
      </c>
      <c r="F755" s="4" t="s">
        <v>14</v>
      </c>
      <c r="G755" s="5">
        <v>4181840.24</v>
      </c>
      <c r="H755" s="5">
        <v>483504.78</v>
      </c>
      <c r="I755" s="5">
        <v>0</v>
      </c>
      <c r="J755" s="5" t="s">
        <v>14</v>
      </c>
      <c r="K755" s="5">
        <v>4665345.0199999996</v>
      </c>
    </row>
    <row r="756" spans="1:11" x14ac:dyDescent="0.25">
      <c r="A756" s="4" t="s">
        <v>11</v>
      </c>
      <c r="B756" s="4" t="s">
        <v>1092</v>
      </c>
      <c r="C756" s="4" t="s">
        <v>26</v>
      </c>
      <c r="D756" s="4">
        <v>5105033530</v>
      </c>
      <c r="E756" s="4" t="s">
        <v>1229</v>
      </c>
      <c r="F756" s="4" t="s">
        <v>14</v>
      </c>
      <c r="G756" s="5">
        <v>1242514.74</v>
      </c>
      <c r="H756" s="5">
        <v>127481.36</v>
      </c>
      <c r="I756" s="5">
        <v>0</v>
      </c>
      <c r="J756" s="5" t="s">
        <v>14</v>
      </c>
      <c r="K756" s="5">
        <v>1369996.1</v>
      </c>
    </row>
    <row r="757" spans="1:11" x14ac:dyDescent="0.25">
      <c r="A757" s="4" t="s">
        <v>11</v>
      </c>
      <c r="B757" s="4" t="s">
        <v>1092</v>
      </c>
      <c r="C757" s="4" t="s">
        <v>26</v>
      </c>
      <c r="D757" s="4">
        <v>5105033535</v>
      </c>
      <c r="E757" s="4" t="s">
        <v>1231</v>
      </c>
      <c r="F757" s="4" t="s">
        <v>14</v>
      </c>
      <c r="G757" s="5">
        <v>3675428</v>
      </c>
      <c r="H757" s="5">
        <v>365589</v>
      </c>
      <c r="I757" s="5">
        <v>0</v>
      </c>
      <c r="J757" s="5" t="s">
        <v>14</v>
      </c>
      <c r="K757" s="5">
        <v>4041017</v>
      </c>
    </row>
    <row r="758" spans="1:11" x14ac:dyDescent="0.25">
      <c r="A758" s="4" t="s">
        <v>11</v>
      </c>
      <c r="B758" s="4" t="s">
        <v>1092</v>
      </c>
      <c r="C758" s="4" t="s">
        <v>26</v>
      </c>
      <c r="D758" s="4">
        <v>5105033550</v>
      </c>
      <c r="E758" s="4" t="s">
        <v>1233</v>
      </c>
      <c r="F758" s="4" t="s">
        <v>14</v>
      </c>
      <c r="G758" s="5">
        <v>802522.8</v>
      </c>
      <c r="H758" s="5">
        <v>91243.33</v>
      </c>
      <c r="I758" s="5">
        <v>0</v>
      </c>
      <c r="J758" s="5" t="s">
        <v>14</v>
      </c>
      <c r="K758" s="5">
        <v>893766.13</v>
      </c>
    </row>
    <row r="759" spans="1:11" x14ac:dyDescent="0.25">
      <c r="A759" s="4" t="s">
        <v>11</v>
      </c>
      <c r="B759" s="4" t="s">
        <v>1092</v>
      </c>
      <c r="C759" s="4" t="s">
        <v>26</v>
      </c>
      <c r="D759" s="4">
        <v>5105033560</v>
      </c>
      <c r="E759" s="4" t="s">
        <v>1235</v>
      </c>
      <c r="F759" s="4" t="s">
        <v>14</v>
      </c>
      <c r="G759" s="5">
        <v>243231.52</v>
      </c>
      <c r="H759" s="5">
        <v>23793.61</v>
      </c>
      <c r="I759" s="5">
        <v>0</v>
      </c>
      <c r="J759" s="5" t="s">
        <v>14</v>
      </c>
      <c r="K759" s="5">
        <v>267025.13</v>
      </c>
    </row>
    <row r="760" spans="1:11" x14ac:dyDescent="0.25">
      <c r="A760" s="4" t="s">
        <v>11</v>
      </c>
      <c r="B760" s="4" t="s">
        <v>1092</v>
      </c>
      <c r="C760" s="4" t="s">
        <v>26</v>
      </c>
      <c r="D760" s="4">
        <v>5105033565</v>
      </c>
      <c r="E760" s="4" t="s">
        <v>1237</v>
      </c>
      <c r="F760" s="4" t="s">
        <v>14</v>
      </c>
      <c r="G760" s="5">
        <v>739899</v>
      </c>
      <c r="H760" s="5">
        <v>73621</v>
      </c>
      <c r="I760" s="5">
        <v>0</v>
      </c>
      <c r="J760" s="5" t="s">
        <v>14</v>
      </c>
      <c r="K760" s="5">
        <v>813520</v>
      </c>
    </row>
    <row r="761" spans="1:11" x14ac:dyDescent="0.25">
      <c r="A761" s="4" t="s">
        <v>11</v>
      </c>
      <c r="B761" s="4" t="s">
        <v>1092</v>
      </c>
      <c r="C761" s="4" t="s">
        <v>23</v>
      </c>
      <c r="D761" s="4">
        <v>51050336</v>
      </c>
      <c r="E761" s="4" t="s">
        <v>1239</v>
      </c>
      <c r="F761" s="4" t="s">
        <v>14</v>
      </c>
      <c r="G761" s="5">
        <v>47902384</v>
      </c>
      <c r="H761" s="5">
        <v>4985284</v>
      </c>
      <c r="I761" s="5">
        <v>0</v>
      </c>
      <c r="J761" s="5" t="s">
        <v>14</v>
      </c>
      <c r="K761" s="5">
        <v>52887668</v>
      </c>
    </row>
    <row r="762" spans="1:11" x14ac:dyDescent="0.25">
      <c r="A762" s="4" t="s">
        <v>11</v>
      </c>
      <c r="B762" s="4" t="s">
        <v>1092</v>
      </c>
      <c r="C762" s="4" t="s">
        <v>26</v>
      </c>
      <c r="D762" s="4">
        <v>5105033630</v>
      </c>
      <c r="E762" s="4" t="s">
        <v>1241</v>
      </c>
      <c r="F762" s="4" t="s">
        <v>14</v>
      </c>
      <c r="G762" s="5">
        <v>47154992</v>
      </c>
      <c r="H762" s="5">
        <v>4985284</v>
      </c>
      <c r="I762" s="5">
        <v>0</v>
      </c>
      <c r="J762" s="5" t="s">
        <v>14</v>
      </c>
      <c r="K762" s="5">
        <v>52140276</v>
      </c>
    </row>
    <row r="763" spans="1:11" x14ac:dyDescent="0.25">
      <c r="A763" s="4" t="s">
        <v>11</v>
      </c>
      <c r="B763" s="4" t="s">
        <v>1092</v>
      </c>
      <c r="C763" s="4" t="s">
        <v>26</v>
      </c>
      <c r="D763" s="4">
        <v>5105033640</v>
      </c>
      <c r="E763" s="4" t="s">
        <v>1239</v>
      </c>
      <c r="F763" s="4" t="s">
        <v>14</v>
      </c>
      <c r="G763" s="5">
        <v>642746</v>
      </c>
      <c r="H763" s="5">
        <v>0</v>
      </c>
      <c r="I763" s="5">
        <v>0</v>
      </c>
      <c r="J763" s="5" t="s">
        <v>14</v>
      </c>
      <c r="K763" s="5">
        <v>642746</v>
      </c>
    </row>
    <row r="764" spans="1:11" x14ac:dyDescent="0.25">
      <c r="A764" s="4" t="s">
        <v>11</v>
      </c>
      <c r="B764" s="4" t="s">
        <v>1092</v>
      </c>
      <c r="C764" s="4" t="s">
        <v>26</v>
      </c>
      <c r="D764" s="4">
        <v>5105033695</v>
      </c>
      <c r="E764" s="4" t="s">
        <v>1244</v>
      </c>
      <c r="F764" s="4" t="s">
        <v>14</v>
      </c>
      <c r="G764" s="5">
        <v>104646</v>
      </c>
      <c r="H764" s="5">
        <v>0</v>
      </c>
      <c r="I764" s="5">
        <v>0</v>
      </c>
      <c r="J764" s="5" t="s">
        <v>14</v>
      </c>
      <c r="K764" s="5">
        <v>104646</v>
      </c>
    </row>
    <row r="765" spans="1:11" x14ac:dyDescent="0.25">
      <c r="A765" s="4" t="s">
        <v>11</v>
      </c>
      <c r="B765" s="4" t="s">
        <v>1092</v>
      </c>
      <c r="C765" s="4" t="s">
        <v>23</v>
      </c>
      <c r="D765" s="4">
        <v>51050340</v>
      </c>
      <c r="E765" s="4" t="s">
        <v>1246</v>
      </c>
      <c r="F765" s="4" t="s">
        <v>14</v>
      </c>
      <c r="G765" s="5">
        <v>831272</v>
      </c>
      <c r="H765" s="5">
        <v>685559</v>
      </c>
      <c r="I765" s="5">
        <v>0</v>
      </c>
      <c r="J765" s="5" t="s">
        <v>14</v>
      </c>
      <c r="K765" s="5">
        <v>1516831</v>
      </c>
    </row>
    <row r="766" spans="1:11" x14ac:dyDescent="0.25">
      <c r="A766" s="4" t="s">
        <v>11</v>
      </c>
      <c r="B766" s="4" t="s">
        <v>1092</v>
      </c>
      <c r="C766" s="4" t="s">
        <v>26</v>
      </c>
      <c r="D766" s="4">
        <v>5105034005</v>
      </c>
      <c r="E766" s="4" t="s">
        <v>1246</v>
      </c>
      <c r="F766" s="4" t="s">
        <v>14</v>
      </c>
      <c r="G766" s="5">
        <v>591916</v>
      </c>
      <c r="H766" s="5">
        <v>566100</v>
      </c>
      <c r="I766" s="5">
        <v>0</v>
      </c>
      <c r="J766" s="5" t="s">
        <v>14</v>
      </c>
      <c r="K766" s="5">
        <v>1158016</v>
      </c>
    </row>
    <row r="767" spans="1:11" x14ac:dyDescent="0.25">
      <c r="A767" s="4" t="s">
        <v>11</v>
      </c>
      <c r="B767" s="4" t="s">
        <v>1092</v>
      </c>
      <c r="C767" s="4" t="s">
        <v>26</v>
      </c>
      <c r="D767" s="4">
        <v>5105034010</v>
      </c>
      <c r="E767" s="4" t="s">
        <v>1249</v>
      </c>
      <c r="F767" s="4" t="s">
        <v>14</v>
      </c>
      <c r="G767" s="5">
        <v>55000</v>
      </c>
      <c r="H767" s="5">
        <v>10000</v>
      </c>
      <c r="I767" s="5">
        <v>0</v>
      </c>
      <c r="J767" s="5" t="s">
        <v>14</v>
      </c>
      <c r="K767" s="5">
        <v>65000</v>
      </c>
    </row>
    <row r="768" spans="1:11" x14ac:dyDescent="0.25">
      <c r="A768" s="4" t="s">
        <v>11</v>
      </c>
      <c r="B768" s="4" t="s">
        <v>1092</v>
      </c>
      <c r="C768" s="4" t="s">
        <v>26</v>
      </c>
      <c r="D768" s="4">
        <v>5105034015</v>
      </c>
      <c r="E768" s="4" t="s">
        <v>1251</v>
      </c>
      <c r="F768" s="4" t="s">
        <v>14</v>
      </c>
      <c r="G768" s="5">
        <v>120000</v>
      </c>
      <c r="H768" s="5">
        <v>0</v>
      </c>
      <c r="I768" s="5">
        <v>0</v>
      </c>
      <c r="J768" s="5" t="s">
        <v>14</v>
      </c>
      <c r="K768" s="5">
        <v>120000</v>
      </c>
    </row>
    <row r="769" spans="1:11" x14ac:dyDescent="0.25">
      <c r="A769" s="4" t="s">
        <v>11</v>
      </c>
      <c r="B769" s="4" t="s">
        <v>1092</v>
      </c>
      <c r="C769" s="4" t="s">
        <v>26</v>
      </c>
      <c r="D769" s="4">
        <v>5105034025</v>
      </c>
      <c r="E769" s="4" t="s">
        <v>1253</v>
      </c>
      <c r="F769" s="4" t="s">
        <v>14</v>
      </c>
      <c r="G769" s="5">
        <v>10450</v>
      </c>
      <c r="H769" s="5">
        <v>1900</v>
      </c>
      <c r="I769" s="5">
        <v>0</v>
      </c>
      <c r="J769" s="5" t="s">
        <v>14</v>
      </c>
      <c r="K769" s="5">
        <v>12350</v>
      </c>
    </row>
    <row r="770" spans="1:11" x14ac:dyDescent="0.25">
      <c r="A770" s="4" t="s">
        <v>11</v>
      </c>
      <c r="B770" s="4" t="s">
        <v>1092</v>
      </c>
      <c r="C770" s="4" t="s">
        <v>26</v>
      </c>
      <c r="D770" s="4">
        <v>5105034030</v>
      </c>
      <c r="E770" s="4" t="s">
        <v>1255</v>
      </c>
      <c r="F770" s="4" t="s">
        <v>14</v>
      </c>
      <c r="G770" s="5">
        <v>53906</v>
      </c>
      <c r="H770" s="5">
        <v>107559</v>
      </c>
      <c r="I770" s="5">
        <v>0</v>
      </c>
      <c r="J770" s="5" t="s">
        <v>14</v>
      </c>
      <c r="K770" s="5">
        <v>161465</v>
      </c>
    </row>
    <row r="771" spans="1:11" x14ac:dyDescent="0.25">
      <c r="A771" s="4" t="s">
        <v>11</v>
      </c>
      <c r="B771" s="4" t="s">
        <v>1092</v>
      </c>
      <c r="C771" s="4" t="s">
        <v>23</v>
      </c>
      <c r="D771" s="4">
        <v>51050345</v>
      </c>
      <c r="E771" s="4" t="s">
        <v>1257</v>
      </c>
      <c r="F771" s="4" t="s">
        <v>14</v>
      </c>
      <c r="G771" s="5">
        <v>140000</v>
      </c>
      <c r="H771" s="5">
        <v>0</v>
      </c>
      <c r="I771" s="5">
        <v>0</v>
      </c>
      <c r="J771" s="5" t="s">
        <v>14</v>
      </c>
      <c r="K771" s="5">
        <v>140000</v>
      </c>
    </row>
    <row r="772" spans="1:11" x14ac:dyDescent="0.25">
      <c r="A772" s="4" t="s">
        <v>11</v>
      </c>
      <c r="B772" s="4" t="s">
        <v>1092</v>
      </c>
      <c r="C772" s="4" t="s">
        <v>26</v>
      </c>
      <c r="D772" s="4">
        <v>5105034545</v>
      </c>
      <c r="E772" s="4" t="s">
        <v>1259</v>
      </c>
      <c r="F772" s="4" t="s">
        <v>14</v>
      </c>
      <c r="G772" s="5">
        <v>119244</v>
      </c>
      <c r="H772" s="5">
        <v>0</v>
      </c>
      <c r="I772" s="5">
        <v>0</v>
      </c>
      <c r="J772" s="5" t="s">
        <v>14</v>
      </c>
      <c r="K772" s="5">
        <v>119244</v>
      </c>
    </row>
    <row r="773" spans="1:11" x14ac:dyDescent="0.25">
      <c r="A773" s="4" t="s">
        <v>11</v>
      </c>
      <c r="B773" s="4" t="s">
        <v>1092</v>
      </c>
      <c r="C773" s="4" t="s">
        <v>26</v>
      </c>
      <c r="D773" s="4">
        <v>5105034585</v>
      </c>
      <c r="E773" s="4" t="s">
        <v>1261</v>
      </c>
      <c r="F773" s="4" t="s">
        <v>14</v>
      </c>
      <c r="G773" s="5">
        <v>20756</v>
      </c>
      <c r="H773" s="5">
        <v>0</v>
      </c>
      <c r="I773" s="5">
        <v>0</v>
      </c>
      <c r="J773" s="5" t="s">
        <v>14</v>
      </c>
      <c r="K773" s="5">
        <v>20756</v>
      </c>
    </row>
    <row r="774" spans="1:11" x14ac:dyDescent="0.25">
      <c r="A774" s="4" t="s">
        <v>11</v>
      </c>
      <c r="B774" s="4" t="s">
        <v>1092</v>
      </c>
      <c r="C774" s="4" t="s">
        <v>23</v>
      </c>
      <c r="D774" s="4">
        <v>51050355</v>
      </c>
      <c r="E774" s="4" t="s">
        <v>1263</v>
      </c>
      <c r="F774" s="4" t="s">
        <v>14</v>
      </c>
      <c r="G774" s="5">
        <v>28013104.77</v>
      </c>
      <c r="H774" s="5">
        <v>0</v>
      </c>
      <c r="I774" s="5">
        <v>0</v>
      </c>
      <c r="J774" s="5" t="s">
        <v>14</v>
      </c>
      <c r="K774" s="5">
        <v>28013104.77</v>
      </c>
    </row>
    <row r="775" spans="1:11" x14ac:dyDescent="0.25">
      <c r="A775" s="4" t="s">
        <v>11</v>
      </c>
      <c r="B775" s="4" t="s">
        <v>1092</v>
      </c>
      <c r="C775" s="4" t="s">
        <v>26</v>
      </c>
      <c r="D775" s="4">
        <v>5105035510</v>
      </c>
      <c r="E775" s="4" t="s">
        <v>1265</v>
      </c>
      <c r="F775" s="4" t="s">
        <v>14</v>
      </c>
      <c r="G775" s="5">
        <v>15323017.34</v>
      </c>
      <c r="H775" s="5">
        <v>0</v>
      </c>
      <c r="I775" s="5">
        <v>0</v>
      </c>
      <c r="J775" s="5" t="s">
        <v>14</v>
      </c>
      <c r="K775" s="5">
        <v>15323017.34</v>
      </c>
    </row>
    <row r="776" spans="1:11" x14ac:dyDescent="0.25">
      <c r="A776" s="4" t="s">
        <v>11</v>
      </c>
      <c r="B776" s="4" t="s">
        <v>1092</v>
      </c>
      <c r="C776" s="4" t="s">
        <v>26</v>
      </c>
      <c r="D776" s="4">
        <v>5105035520</v>
      </c>
      <c r="E776" s="4" t="s">
        <v>1267</v>
      </c>
      <c r="F776" s="4" t="s">
        <v>14</v>
      </c>
      <c r="G776" s="5">
        <v>6673380.2199999997</v>
      </c>
      <c r="H776" s="5">
        <v>0</v>
      </c>
      <c r="I776" s="5">
        <v>0</v>
      </c>
      <c r="J776" s="5" t="s">
        <v>14</v>
      </c>
      <c r="K776" s="5">
        <v>6673380.2199999997</v>
      </c>
    </row>
    <row r="777" spans="1:11" x14ac:dyDescent="0.25">
      <c r="A777" s="4" t="s">
        <v>11</v>
      </c>
      <c r="B777" s="4" t="s">
        <v>1092</v>
      </c>
      <c r="C777" s="4" t="s">
        <v>26</v>
      </c>
      <c r="D777" s="4">
        <v>5105035525</v>
      </c>
      <c r="E777" s="4" t="s">
        <v>1269</v>
      </c>
      <c r="F777" s="4" t="s">
        <v>14</v>
      </c>
      <c r="G777" s="5">
        <v>1382616.61</v>
      </c>
      <c r="H777" s="5">
        <v>0</v>
      </c>
      <c r="I777" s="5">
        <v>0</v>
      </c>
      <c r="J777" s="5" t="s">
        <v>14</v>
      </c>
      <c r="K777" s="5">
        <v>1382616.61</v>
      </c>
    </row>
    <row r="778" spans="1:11" x14ac:dyDescent="0.25">
      <c r="A778" s="4" t="s">
        <v>11</v>
      </c>
      <c r="B778" s="4" t="s">
        <v>1092</v>
      </c>
      <c r="C778" s="4" t="s">
        <v>26</v>
      </c>
      <c r="D778" s="4">
        <v>5105035535</v>
      </c>
      <c r="E778" s="4" t="s">
        <v>1271</v>
      </c>
      <c r="F778" s="4" t="s">
        <v>14</v>
      </c>
      <c r="G778" s="5">
        <v>4634090.5999999996</v>
      </c>
      <c r="H778" s="5">
        <v>0</v>
      </c>
      <c r="I778" s="5">
        <v>0</v>
      </c>
      <c r="J778" s="5" t="s">
        <v>14</v>
      </c>
      <c r="K778" s="5">
        <v>4634090.5999999996</v>
      </c>
    </row>
    <row r="779" spans="1:11" x14ac:dyDescent="0.25">
      <c r="A779" s="4" t="s">
        <v>11</v>
      </c>
      <c r="B779" s="4" t="s">
        <v>1092</v>
      </c>
      <c r="C779" s="4" t="s">
        <v>23</v>
      </c>
      <c r="D779" s="4">
        <v>51050360</v>
      </c>
      <c r="E779" s="4" t="s">
        <v>1273</v>
      </c>
      <c r="F779" s="4" t="s">
        <v>14</v>
      </c>
      <c r="G779" s="5">
        <v>11538852</v>
      </c>
      <c r="H779" s="5">
        <v>1556722</v>
      </c>
      <c r="I779" s="5">
        <v>0</v>
      </c>
      <c r="J779" s="5" t="s">
        <v>14</v>
      </c>
      <c r="K779" s="5">
        <v>13095574</v>
      </c>
    </row>
    <row r="780" spans="1:11" x14ac:dyDescent="0.25">
      <c r="A780" s="4" t="s">
        <v>11</v>
      </c>
      <c r="B780" s="4" t="s">
        <v>1092</v>
      </c>
      <c r="C780" s="4" t="s">
        <v>26</v>
      </c>
      <c r="D780" s="4">
        <v>5105036005</v>
      </c>
      <c r="E780" s="4" t="s">
        <v>1273</v>
      </c>
      <c r="F780" s="4" t="s">
        <v>14</v>
      </c>
      <c r="G780" s="5">
        <v>11538852</v>
      </c>
      <c r="H780" s="5">
        <v>1556722</v>
      </c>
      <c r="I780" s="5">
        <v>0</v>
      </c>
      <c r="J780" s="5" t="s">
        <v>14</v>
      </c>
      <c r="K780" s="5">
        <v>13095574</v>
      </c>
    </row>
    <row r="781" spans="1:11" x14ac:dyDescent="0.25">
      <c r="A781" s="4" t="s">
        <v>11</v>
      </c>
      <c r="B781" s="4" t="s">
        <v>1092</v>
      </c>
      <c r="C781" s="4" t="s">
        <v>23</v>
      </c>
      <c r="D781" s="4">
        <v>51050370</v>
      </c>
      <c r="E781" s="4" t="s">
        <v>1063</v>
      </c>
      <c r="F781" s="4" t="s">
        <v>14</v>
      </c>
      <c r="G781" s="5">
        <v>4930445</v>
      </c>
      <c r="H781" s="5">
        <v>245000</v>
      </c>
      <c r="I781" s="5">
        <v>0</v>
      </c>
      <c r="J781" s="5" t="s">
        <v>14</v>
      </c>
      <c r="K781" s="5">
        <v>5175445</v>
      </c>
    </row>
    <row r="782" spans="1:11" x14ac:dyDescent="0.25">
      <c r="A782" s="4" t="s">
        <v>11</v>
      </c>
      <c r="B782" s="4" t="s">
        <v>1092</v>
      </c>
      <c r="C782" s="4" t="s">
        <v>26</v>
      </c>
      <c r="D782" s="4">
        <v>5105037005</v>
      </c>
      <c r="E782" s="4" t="s">
        <v>1277</v>
      </c>
      <c r="F782" s="4" t="s">
        <v>14</v>
      </c>
      <c r="G782" s="5">
        <v>1845055</v>
      </c>
      <c r="H782" s="5">
        <v>220000</v>
      </c>
      <c r="I782" s="5">
        <v>0</v>
      </c>
      <c r="J782" s="5" t="s">
        <v>14</v>
      </c>
      <c r="K782" s="5">
        <v>2065055</v>
      </c>
    </row>
    <row r="783" spans="1:11" x14ac:dyDescent="0.25">
      <c r="A783" s="4" t="s">
        <v>11</v>
      </c>
      <c r="B783" s="4" t="s">
        <v>1092</v>
      </c>
      <c r="C783" s="4" t="s">
        <v>26</v>
      </c>
      <c r="D783" s="4">
        <v>5105037015</v>
      </c>
      <c r="E783" s="4" t="s">
        <v>1279</v>
      </c>
      <c r="F783" s="4" t="s">
        <v>14</v>
      </c>
      <c r="G783" s="5">
        <v>99975</v>
      </c>
      <c r="H783" s="5">
        <v>25000</v>
      </c>
      <c r="I783" s="5">
        <v>0</v>
      </c>
      <c r="J783" s="5" t="s">
        <v>14</v>
      </c>
      <c r="K783" s="5">
        <v>124975</v>
      </c>
    </row>
    <row r="784" spans="1:11" x14ac:dyDescent="0.25">
      <c r="A784" s="4" t="s">
        <v>11</v>
      </c>
      <c r="B784" s="4" t="s">
        <v>1092</v>
      </c>
      <c r="C784" s="4" t="s">
        <v>26</v>
      </c>
      <c r="D784" s="4">
        <v>5105037020</v>
      </c>
      <c r="E784" s="4" t="s">
        <v>1281</v>
      </c>
      <c r="F784" s="4" t="s">
        <v>14</v>
      </c>
      <c r="G784" s="5">
        <v>2378000</v>
      </c>
      <c r="H784" s="5">
        <v>0</v>
      </c>
      <c r="I784" s="5">
        <v>0</v>
      </c>
      <c r="J784" s="5" t="s">
        <v>14</v>
      </c>
      <c r="K784" s="5">
        <v>2378000</v>
      </c>
    </row>
    <row r="785" spans="1:11" x14ac:dyDescent="0.25">
      <c r="A785" s="4" t="s">
        <v>11</v>
      </c>
      <c r="B785" s="4" t="s">
        <v>1092</v>
      </c>
      <c r="C785" s="4" t="s">
        <v>26</v>
      </c>
      <c r="D785" s="4">
        <v>5105037030</v>
      </c>
      <c r="E785" s="4" t="s">
        <v>1283</v>
      </c>
      <c r="F785" s="4" t="s">
        <v>14</v>
      </c>
      <c r="G785" s="5">
        <v>579300</v>
      </c>
      <c r="H785" s="5">
        <v>0</v>
      </c>
      <c r="I785" s="5">
        <v>0</v>
      </c>
      <c r="J785" s="5" t="s">
        <v>14</v>
      </c>
      <c r="K785" s="5">
        <v>579300</v>
      </c>
    </row>
    <row r="786" spans="1:11" x14ac:dyDescent="0.25">
      <c r="A786" s="4" t="s">
        <v>11</v>
      </c>
      <c r="B786" s="4" t="s">
        <v>1092</v>
      </c>
      <c r="C786" s="4" t="s">
        <v>26</v>
      </c>
      <c r="D786" s="4">
        <v>5105037040</v>
      </c>
      <c r="E786" s="4" t="s">
        <v>1285</v>
      </c>
      <c r="F786" s="4" t="s">
        <v>14</v>
      </c>
      <c r="G786" s="5">
        <v>18995</v>
      </c>
      <c r="H786" s="5">
        <v>0</v>
      </c>
      <c r="I786" s="5">
        <v>0</v>
      </c>
      <c r="J786" s="5" t="s">
        <v>14</v>
      </c>
      <c r="K786" s="5">
        <v>18995</v>
      </c>
    </row>
    <row r="787" spans="1:11" x14ac:dyDescent="0.25">
      <c r="A787" s="4" t="s">
        <v>11</v>
      </c>
      <c r="B787" s="4" t="s">
        <v>1092</v>
      </c>
      <c r="C787" s="4" t="s">
        <v>26</v>
      </c>
      <c r="D787" s="4">
        <v>5105037045</v>
      </c>
      <c r="E787" s="4" t="s">
        <v>1287</v>
      </c>
      <c r="F787" s="4" t="s">
        <v>14</v>
      </c>
      <c r="G787" s="5">
        <v>9120</v>
      </c>
      <c r="H787" s="5">
        <v>0</v>
      </c>
      <c r="I787" s="5">
        <v>0</v>
      </c>
      <c r="J787" s="5" t="s">
        <v>14</v>
      </c>
      <c r="K787" s="5">
        <v>9120</v>
      </c>
    </row>
    <row r="788" spans="1:11" x14ac:dyDescent="0.25">
      <c r="A788" s="4" t="s">
        <v>11</v>
      </c>
      <c r="B788" s="4" t="s">
        <v>1092</v>
      </c>
      <c r="C788" s="4" t="s">
        <v>23</v>
      </c>
      <c r="D788" s="4">
        <v>51050371</v>
      </c>
      <c r="E788" s="4" t="s">
        <v>1289</v>
      </c>
      <c r="F788" s="4" t="s">
        <v>14</v>
      </c>
      <c r="G788" s="5">
        <v>280100</v>
      </c>
      <c r="H788" s="5">
        <v>147500</v>
      </c>
      <c r="I788" s="5">
        <v>0</v>
      </c>
      <c r="J788" s="5" t="s">
        <v>14</v>
      </c>
      <c r="K788" s="5">
        <v>427600</v>
      </c>
    </row>
    <row r="789" spans="1:11" x14ac:dyDescent="0.25">
      <c r="A789" s="4" t="s">
        <v>11</v>
      </c>
      <c r="B789" s="4" t="s">
        <v>1092</v>
      </c>
      <c r="C789" s="4" t="s">
        <v>26</v>
      </c>
      <c r="D789" s="4">
        <v>5105037105</v>
      </c>
      <c r="E789" s="4" t="s">
        <v>1291</v>
      </c>
      <c r="F789" s="4" t="s">
        <v>14</v>
      </c>
      <c r="G789" s="5">
        <v>216500</v>
      </c>
      <c r="H789" s="5">
        <v>121000</v>
      </c>
      <c r="I789" s="5">
        <v>0</v>
      </c>
      <c r="J789" s="5" t="s">
        <v>14</v>
      </c>
      <c r="K789" s="5">
        <v>337500</v>
      </c>
    </row>
    <row r="790" spans="1:11" x14ac:dyDescent="0.25">
      <c r="A790" s="4" t="s">
        <v>11</v>
      </c>
      <c r="B790" s="4" t="s">
        <v>1092</v>
      </c>
      <c r="C790" s="4" t="s">
        <v>26</v>
      </c>
      <c r="D790" s="4">
        <v>5105037110</v>
      </c>
      <c r="E790" s="4" t="s">
        <v>1293</v>
      </c>
      <c r="F790" s="4" t="s">
        <v>14</v>
      </c>
      <c r="G790" s="5">
        <v>54412</v>
      </c>
      <c r="H790" s="5">
        <v>12688</v>
      </c>
      <c r="I790" s="5">
        <v>0</v>
      </c>
      <c r="J790" s="5" t="s">
        <v>14</v>
      </c>
      <c r="K790" s="5">
        <v>67100</v>
      </c>
    </row>
    <row r="791" spans="1:11" x14ac:dyDescent="0.25">
      <c r="A791" s="4" t="s">
        <v>11</v>
      </c>
      <c r="B791" s="4" t="s">
        <v>1092</v>
      </c>
      <c r="C791" s="4" t="s">
        <v>26</v>
      </c>
      <c r="D791" s="4">
        <v>5105037115</v>
      </c>
      <c r="E791" s="4" t="s">
        <v>1295</v>
      </c>
      <c r="F791" s="4" t="s">
        <v>14</v>
      </c>
      <c r="G791" s="5">
        <v>0</v>
      </c>
      <c r="H791" s="5">
        <v>11600</v>
      </c>
      <c r="I791" s="5">
        <v>0</v>
      </c>
      <c r="J791" s="5" t="s">
        <v>14</v>
      </c>
      <c r="K791" s="5">
        <v>11600</v>
      </c>
    </row>
    <row r="792" spans="1:11" x14ac:dyDescent="0.25">
      <c r="A792" s="4" t="s">
        <v>11</v>
      </c>
      <c r="B792" s="4" t="s">
        <v>1092</v>
      </c>
      <c r="C792" s="4" t="s">
        <v>26</v>
      </c>
      <c r="D792" s="4">
        <v>5105037150</v>
      </c>
      <c r="E792" s="4" t="s">
        <v>1297</v>
      </c>
      <c r="F792" s="4" t="s">
        <v>14</v>
      </c>
      <c r="G792" s="5">
        <v>9188</v>
      </c>
      <c r="H792" s="5">
        <v>2212</v>
      </c>
      <c r="I792" s="5">
        <v>0</v>
      </c>
      <c r="J792" s="5" t="s">
        <v>14</v>
      </c>
      <c r="K792" s="5">
        <v>11400</v>
      </c>
    </row>
    <row r="793" spans="1:11" x14ac:dyDescent="0.25">
      <c r="A793" s="4" t="s">
        <v>11</v>
      </c>
      <c r="B793" s="4" t="s">
        <v>1092</v>
      </c>
      <c r="C793" s="4" t="s">
        <v>18</v>
      </c>
      <c r="D793" s="4">
        <v>5110</v>
      </c>
      <c r="E793" s="4" t="s">
        <v>1299</v>
      </c>
      <c r="F793" s="4" t="s">
        <v>14</v>
      </c>
      <c r="G793" s="5">
        <v>2633983538.5599999</v>
      </c>
      <c r="H793" s="5">
        <v>14921513.84</v>
      </c>
      <c r="I793" s="5">
        <v>607545.71</v>
      </c>
      <c r="J793" s="5" t="s">
        <v>14</v>
      </c>
      <c r="K793" s="5">
        <v>2648297506.6900001</v>
      </c>
    </row>
    <row r="794" spans="1:11" x14ac:dyDescent="0.25">
      <c r="A794" s="4" t="s">
        <v>11</v>
      </c>
      <c r="B794" s="4" t="s">
        <v>1092</v>
      </c>
      <c r="C794" s="4" t="s">
        <v>21</v>
      </c>
      <c r="D794" s="4">
        <v>511001</v>
      </c>
      <c r="E794" s="4" t="s">
        <v>1098</v>
      </c>
      <c r="F794" s="4" t="s">
        <v>14</v>
      </c>
      <c r="G794" s="5">
        <v>23968010.489999998</v>
      </c>
      <c r="H794" s="5">
        <v>710468.67</v>
      </c>
      <c r="I794" s="5">
        <v>22983</v>
      </c>
      <c r="J794" s="5" t="s">
        <v>14</v>
      </c>
      <c r="K794" s="5">
        <v>24655496.16</v>
      </c>
    </row>
    <row r="795" spans="1:11" x14ac:dyDescent="0.25">
      <c r="A795" s="4" t="s">
        <v>11</v>
      </c>
      <c r="B795" s="4" t="s">
        <v>1092</v>
      </c>
      <c r="C795" s="4" t="s">
        <v>23</v>
      </c>
      <c r="D795" s="4">
        <v>51100102</v>
      </c>
      <c r="E795" s="4" t="s">
        <v>1100</v>
      </c>
      <c r="F795" s="4" t="s">
        <v>14</v>
      </c>
      <c r="G795" s="5">
        <v>23220675.489999998</v>
      </c>
      <c r="H795" s="5">
        <v>634968.67000000004</v>
      </c>
      <c r="I795" s="5">
        <v>22983</v>
      </c>
      <c r="J795" s="5" t="s">
        <v>14</v>
      </c>
      <c r="K795" s="5">
        <v>23832661.16</v>
      </c>
    </row>
    <row r="796" spans="1:11" x14ac:dyDescent="0.25">
      <c r="A796" s="4" t="s">
        <v>11</v>
      </c>
      <c r="B796" s="4" t="s">
        <v>1092</v>
      </c>
      <c r="C796" s="4" t="s">
        <v>26</v>
      </c>
      <c r="D796" s="4">
        <v>5110010205</v>
      </c>
      <c r="E796" s="4" t="s">
        <v>1100</v>
      </c>
      <c r="F796" s="4" t="s">
        <v>14</v>
      </c>
      <c r="G796" s="5">
        <v>23220675.489999998</v>
      </c>
      <c r="H796" s="5">
        <v>634968.67000000004</v>
      </c>
      <c r="I796" s="5">
        <v>22983</v>
      </c>
      <c r="J796" s="5" t="s">
        <v>14</v>
      </c>
      <c r="K796" s="5">
        <v>23832661.16</v>
      </c>
    </row>
    <row r="797" spans="1:11" x14ac:dyDescent="0.25">
      <c r="A797" s="4" t="s">
        <v>11</v>
      </c>
      <c r="B797" s="4" t="s">
        <v>1092</v>
      </c>
      <c r="C797" s="4" t="s">
        <v>23</v>
      </c>
      <c r="D797" s="4">
        <v>51100103</v>
      </c>
      <c r="E797" s="4" t="s">
        <v>1103</v>
      </c>
      <c r="F797" s="4" t="s">
        <v>14</v>
      </c>
      <c r="G797" s="5">
        <v>747335</v>
      </c>
      <c r="H797" s="5">
        <v>75500</v>
      </c>
      <c r="I797" s="5">
        <v>0</v>
      </c>
      <c r="J797" s="5" t="s">
        <v>14</v>
      </c>
      <c r="K797" s="5">
        <v>822835</v>
      </c>
    </row>
    <row r="798" spans="1:11" x14ac:dyDescent="0.25">
      <c r="A798" s="4" t="s">
        <v>11</v>
      </c>
      <c r="B798" s="4" t="s">
        <v>1092</v>
      </c>
      <c r="C798" s="4" t="s">
        <v>26</v>
      </c>
      <c r="D798" s="4">
        <v>5110010305</v>
      </c>
      <c r="E798" s="4" t="s">
        <v>1105</v>
      </c>
      <c r="F798" s="4" t="s">
        <v>14</v>
      </c>
      <c r="G798" s="5">
        <v>255032</v>
      </c>
      <c r="H798" s="5">
        <v>0</v>
      </c>
      <c r="I798" s="5">
        <v>0</v>
      </c>
      <c r="J798" s="5" t="s">
        <v>14</v>
      </c>
      <c r="K798" s="5">
        <v>255032</v>
      </c>
    </row>
    <row r="799" spans="1:11" x14ac:dyDescent="0.25">
      <c r="A799" s="4" t="s">
        <v>11</v>
      </c>
      <c r="B799" s="4" t="s">
        <v>1092</v>
      </c>
      <c r="C799" s="4" t="s">
        <v>26</v>
      </c>
      <c r="D799" s="4">
        <v>5110010310</v>
      </c>
      <c r="E799" s="4" t="s">
        <v>1107</v>
      </c>
      <c r="F799" s="4" t="s">
        <v>14</v>
      </c>
      <c r="G799" s="5">
        <v>112300</v>
      </c>
      <c r="H799" s="5">
        <v>26500</v>
      </c>
      <c r="I799" s="5">
        <v>0</v>
      </c>
      <c r="J799" s="5" t="s">
        <v>14</v>
      </c>
      <c r="K799" s="5">
        <v>138800</v>
      </c>
    </row>
    <row r="800" spans="1:11" x14ac:dyDescent="0.25">
      <c r="A800" s="4" t="s">
        <v>11</v>
      </c>
      <c r="B800" s="4" t="s">
        <v>1092</v>
      </c>
      <c r="C800" s="4" t="s">
        <v>26</v>
      </c>
      <c r="D800" s="4">
        <v>5110010335</v>
      </c>
      <c r="E800" s="4" t="s">
        <v>1113</v>
      </c>
      <c r="F800" s="4" t="s">
        <v>14</v>
      </c>
      <c r="G800" s="5">
        <v>279665</v>
      </c>
      <c r="H800" s="5">
        <v>41176</v>
      </c>
      <c r="I800" s="5">
        <v>0</v>
      </c>
      <c r="J800" s="5" t="s">
        <v>14</v>
      </c>
      <c r="K800" s="5">
        <v>320841</v>
      </c>
    </row>
    <row r="801" spans="1:11" x14ac:dyDescent="0.25">
      <c r="A801" s="4" t="s">
        <v>11</v>
      </c>
      <c r="B801" s="4" t="s">
        <v>1092</v>
      </c>
      <c r="C801" s="4" t="s">
        <v>26</v>
      </c>
      <c r="D801" s="4">
        <v>5110010345</v>
      </c>
      <c r="E801" s="4" t="s">
        <v>1115</v>
      </c>
      <c r="F801" s="4" t="s">
        <v>14</v>
      </c>
      <c r="G801" s="5">
        <v>47202</v>
      </c>
      <c r="H801" s="5">
        <v>0</v>
      </c>
      <c r="I801" s="5">
        <v>0</v>
      </c>
      <c r="J801" s="5" t="s">
        <v>14</v>
      </c>
      <c r="K801" s="5">
        <v>47202</v>
      </c>
    </row>
    <row r="802" spans="1:11" x14ac:dyDescent="0.25">
      <c r="A802" s="4" t="s">
        <v>11</v>
      </c>
      <c r="B802" s="4" t="s">
        <v>1092</v>
      </c>
      <c r="C802" s="4" t="s">
        <v>26</v>
      </c>
      <c r="D802" s="4">
        <v>5110010375</v>
      </c>
      <c r="E802" s="4" t="s">
        <v>1123</v>
      </c>
      <c r="F802" s="4" t="s">
        <v>14</v>
      </c>
      <c r="G802" s="5">
        <v>53136</v>
      </c>
      <c r="H802" s="5">
        <v>7824</v>
      </c>
      <c r="I802" s="5">
        <v>0</v>
      </c>
      <c r="J802" s="5" t="s">
        <v>14</v>
      </c>
      <c r="K802" s="5">
        <v>60960</v>
      </c>
    </row>
    <row r="803" spans="1:11" x14ac:dyDescent="0.25">
      <c r="A803" s="4" t="s">
        <v>11</v>
      </c>
      <c r="B803" s="4" t="s">
        <v>1092</v>
      </c>
      <c r="C803" s="4" t="s">
        <v>21</v>
      </c>
      <c r="D803" s="4">
        <v>511002</v>
      </c>
      <c r="E803" s="4" t="s">
        <v>1125</v>
      </c>
      <c r="F803" s="4" t="s">
        <v>14</v>
      </c>
      <c r="G803" s="5">
        <v>1662103835.2</v>
      </c>
      <c r="H803" s="5">
        <v>0</v>
      </c>
      <c r="I803" s="5">
        <v>0</v>
      </c>
      <c r="J803" s="5" t="s">
        <v>14</v>
      </c>
      <c r="K803" s="5">
        <v>1662103835.2</v>
      </c>
    </row>
    <row r="804" spans="1:11" x14ac:dyDescent="0.25">
      <c r="A804" s="4" t="s">
        <v>11</v>
      </c>
      <c r="B804" s="4" t="s">
        <v>1092</v>
      </c>
      <c r="C804" s="4" t="s">
        <v>23</v>
      </c>
      <c r="D804" s="4">
        <v>51100205</v>
      </c>
      <c r="E804" s="4" t="s">
        <v>1127</v>
      </c>
      <c r="F804" s="4" t="s">
        <v>14</v>
      </c>
      <c r="G804" s="5">
        <v>1662103797.2</v>
      </c>
      <c r="H804" s="5">
        <v>0</v>
      </c>
      <c r="I804" s="5">
        <v>0</v>
      </c>
      <c r="J804" s="5" t="s">
        <v>14</v>
      </c>
      <c r="K804" s="5">
        <v>1662103797.2</v>
      </c>
    </row>
    <row r="805" spans="1:11" x14ac:dyDescent="0.25">
      <c r="A805" s="4" t="s">
        <v>11</v>
      </c>
      <c r="B805" s="4" t="s">
        <v>1092</v>
      </c>
      <c r="C805" s="4" t="s">
        <v>26</v>
      </c>
      <c r="D805" s="4">
        <v>5110020501</v>
      </c>
      <c r="E805" s="4" t="s">
        <v>1129</v>
      </c>
      <c r="F805" s="4" t="s">
        <v>14</v>
      </c>
      <c r="G805" s="5">
        <v>96744000</v>
      </c>
      <c r="H805" s="5">
        <v>0</v>
      </c>
      <c r="I805" s="5">
        <v>0</v>
      </c>
      <c r="J805" s="5" t="s">
        <v>14</v>
      </c>
      <c r="K805" s="5">
        <v>96744000</v>
      </c>
    </row>
    <row r="806" spans="1:11" x14ac:dyDescent="0.25">
      <c r="A806" s="4" t="s">
        <v>11</v>
      </c>
      <c r="B806" s="4" t="s">
        <v>1092</v>
      </c>
      <c r="C806" s="4" t="s">
        <v>26</v>
      </c>
      <c r="D806" s="4">
        <v>5110020502</v>
      </c>
      <c r="E806" s="4" t="s">
        <v>1131</v>
      </c>
      <c r="F806" s="4" t="s">
        <v>14</v>
      </c>
      <c r="G806" s="5">
        <v>893195613</v>
      </c>
      <c r="H806" s="5">
        <v>0</v>
      </c>
      <c r="I806" s="5">
        <v>0</v>
      </c>
      <c r="J806" s="5" t="s">
        <v>14</v>
      </c>
      <c r="K806" s="5">
        <v>893195613</v>
      </c>
    </row>
    <row r="807" spans="1:11" x14ac:dyDescent="0.25">
      <c r="A807" s="4" t="s">
        <v>11</v>
      </c>
      <c r="B807" s="4" t="s">
        <v>1092</v>
      </c>
      <c r="C807" s="4" t="s">
        <v>26</v>
      </c>
      <c r="D807" s="4">
        <v>5110020504</v>
      </c>
      <c r="E807" s="4" t="s">
        <v>1133</v>
      </c>
      <c r="F807" s="4" t="s">
        <v>14</v>
      </c>
      <c r="G807" s="5">
        <v>22728333</v>
      </c>
      <c r="H807" s="5">
        <v>0</v>
      </c>
      <c r="I807" s="5">
        <v>0</v>
      </c>
      <c r="J807" s="5" t="s">
        <v>14</v>
      </c>
      <c r="K807" s="5">
        <v>22728333</v>
      </c>
    </row>
    <row r="808" spans="1:11" x14ac:dyDescent="0.25">
      <c r="A808" s="4" t="s">
        <v>11</v>
      </c>
      <c r="B808" s="4" t="s">
        <v>1092</v>
      </c>
      <c r="C808" s="4" t="s">
        <v>26</v>
      </c>
      <c r="D808" s="4">
        <v>5110020510</v>
      </c>
      <c r="E808" s="4" t="s">
        <v>1315</v>
      </c>
      <c r="F808" s="4" t="s">
        <v>14</v>
      </c>
      <c r="G808" s="5">
        <v>4861216</v>
      </c>
      <c r="H808" s="5">
        <v>0</v>
      </c>
      <c r="I808" s="5">
        <v>0</v>
      </c>
      <c r="J808" s="5" t="s">
        <v>14</v>
      </c>
      <c r="K808" s="5">
        <v>4861216</v>
      </c>
    </row>
    <row r="809" spans="1:11" x14ac:dyDescent="0.25">
      <c r="A809" s="4" t="s">
        <v>11</v>
      </c>
      <c r="B809" s="4" t="s">
        <v>1092</v>
      </c>
      <c r="C809" s="4" t="s">
        <v>26</v>
      </c>
      <c r="D809" s="4">
        <v>5110020511</v>
      </c>
      <c r="E809" s="4" t="s">
        <v>1135</v>
      </c>
      <c r="F809" s="4" t="s">
        <v>14</v>
      </c>
      <c r="G809" s="5">
        <v>23842321</v>
      </c>
      <c r="H809" s="5">
        <v>0</v>
      </c>
      <c r="I809" s="5">
        <v>0</v>
      </c>
      <c r="J809" s="5" t="s">
        <v>14</v>
      </c>
      <c r="K809" s="5">
        <v>23842321</v>
      </c>
    </row>
    <row r="810" spans="1:11" x14ac:dyDescent="0.25">
      <c r="A810" s="4" t="s">
        <v>11</v>
      </c>
      <c r="B810" s="4" t="s">
        <v>1092</v>
      </c>
      <c r="C810" s="4" t="s">
        <v>26</v>
      </c>
      <c r="D810" s="4">
        <v>5110020512</v>
      </c>
      <c r="E810" s="4" t="s">
        <v>1318</v>
      </c>
      <c r="F810" s="4" t="s">
        <v>14</v>
      </c>
      <c r="G810" s="5">
        <v>6468211</v>
      </c>
      <c r="H810" s="5">
        <v>0</v>
      </c>
      <c r="I810" s="5">
        <v>0</v>
      </c>
      <c r="J810" s="5" t="s">
        <v>14</v>
      </c>
      <c r="K810" s="5">
        <v>6468211</v>
      </c>
    </row>
    <row r="811" spans="1:11" x14ac:dyDescent="0.25">
      <c r="A811" s="4" t="s">
        <v>11</v>
      </c>
      <c r="B811" s="4" t="s">
        <v>1092</v>
      </c>
      <c r="C811" s="4" t="s">
        <v>26</v>
      </c>
      <c r="D811" s="4">
        <v>5110020514</v>
      </c>
      <c r="E811" s="4" t="s">
        <v>224</v>
      </c>
      <c r="F811" s="4" t="s">
        <v>14</v>
      </c>
      <c r="G811" s="5">
        <v>3733644</v>
      </c>
      <c r="H811" s="5">
        <v>0</v>
      </c>
      <c r="I811" s="5">
        <v>0</v>
      </c>
      <c r="J811" s="5" t="s">
        <v>14</v>
      </c>
      <c r="K811" s="5">
        <v>3733644</v>
      </c>
    </row>
    <row r="812" spans="1:11" x14ac:dyDescent="0.25">
      <c r="A812" s="4" t="s">
        <v>11</v>
      </c>
      <c r="B812" s="4" t="s">
        <v>1092</v>
      </c>
      <c r="C812" s="4" t="s">
        <v>26</v>
      </c>
      <c r="D812" s="4">
        <v>5110020516</v>
      </c>
      <c r="E812" s="4" t="s">
        <v>1138</v>
      </c>
      <c r="F812" s="4" t="s">
        <v>14</v>
      </c>
      <c r="G812" s="5">
        <v>48535200</v>
      </c>
      <c r="H812" s="5">
        <v>0</v>
      </c>
      <c r="I812" s="5">
        <v>0</v>
      </c>
      <c r="J812" s="5" t="s">
        <v>14</v>
      </c>
      <c r="K812" s="5">
        <v>48535200</v>
      </c>
    </row>
    <row r="813" spans="1:11" x14ac:dyDescent="0.25">
      <c r="A813" s="4" t="s">
        <v>11</v>
      </c>
      <c r="B813" s="4" t="s">
        <v>1092</v>
      </c>
      <c r="C813" s="4" t="s">
        <v>26</v>
      </c>
      <c r="D813" s="4">
        <v>5110020530</v>
      </c>
      <c r="E813" s="4" t="s">
        <v>1142</v>
      </c>
      <c r="F813" s="4" t="s">
        <v>14</v>
      </c>
      <c r="G813" s="5">
        <v>84907864</v>
      </c>
      <c r="H813" s="5">
        <v>0</v>
      </c>
      <c r="I813" s="5">
        <v>0</v>
      </c>
      <c r="J813" s="5" t="s">
        <v>14</v>
      </c>
      <c r="K813" s="5">
        <v>84907864</v>
      </c>
    </row>
    <row r="814" spans="1:11" x14ac:dyDescent="0.25">
      <c r="A814" s="4" t="s">
        <v>11</v>
      </c>
      <c r="B814" s="4" t="s">
        <v>1092</v>
      </c>
      <c r="C814" s="4" t="s">
        <v>26</v>
      </c>
      <c r="D814" s="4">
        <v>5110020531</v>
      </c>
      <c r="E814" s="4" t="s">
        <v>673</v>
      </c>
      <c r="F814" s="4" t="s">
        <v>14</v>
      </c>
      <c r="G814" s="5">
        <v>10193024</v>
      </c>
      <c r="H814" s="5">
        <v>0</v>
      </c>
      <c r="I814" s="5">
        <v>0</v>
      </c>
      <c r="J814" s="5" t="s">
        <v>14</v>
      </c>
      <c r="K814" s="5">
        <v>10193024</v>
      </c>
    </row>
    <row r="815" spans="1:11" x14ac:dyDescent="0.25">
      <c r="A815" s="4" t="s">
        <v>11</v>
      </c>
      <c r="B815" s="4" t="s">
        <v>1092</v>
      </c>
      <c r="C815" s="4" t="s">
        <v>26</v>
      </c>
      <c r="D815" s="4">
        <v>5110020532</v>
      </c>
      <c r="E815" s="4" t="s">
        <v>675</v>
      </c>
      <c r="F815" s="4" t="s">
        <v>14</v>
      </c>
      <c r="G815" s="5">
        <v>85793804</v>
      </c>
      <c r="H815" s="5">
        <v>0</v>
      </c>
      <c r="I815" s="5">
        <v>0</v>
      </c>
      <c r="J815" s="5" t="s">
        <v>14</v>
      </c>
      <c r="K815" s="5">
        <v>85793804</v>
      </c>
    </row>
    <row r="816" spans="1:11" x14ac:dyDescent="0.25">
      <c r="A816" s="4" t="s">
        <v>11</v>
      </c>
      <c r="B816" s="4" t="s">
        <v>1092</v>
      </c>
      <c r="C816" s="4" t="s">
        <v>26</v>
      </c>
      <c r="D816" s="4">
        <v>5110020533</v>
      </c>
      <c r="E816" s="4" t="s">
        <v>1146</v>
      </c>
      <c r="F816" s="4" t="s">
        <v>14</v>
      </c>
      <c r="G816" s="5">
        <v>43844887.93</v>
      </c>
      <c r="H816" s="5">
        <v>0</v>
      </c>
      <c r="I816" s="5">
        <v>0</v>
      </c>
      <c r="J816" s="5" t="s">
        <v>14</v>
      </c>
      <c r="K816" s="5">
        <v>43844887.93</v>
      </c>
    </row>
    <row r="817" spans="1:11" x14ac:dyDescent="0.25">
      <c r="A817" s="4" t="s">
        <v>11</v>
      </c>
      <c r="B817" s="4" t="s">
        <v>1092</v>
      </c>
      <c r="C817" s="4" t="s">
        <v>26</v>
      </c>
      <c r="D817" s="4">
        <v>5110020540</v>
      </c>
      <c r="E817" s="4" t="s">
        <v>1148</v>
      </c>
      <c r="F817" s="4" t="s">
        <v>14</v>
      </c>
      <c r="G817" s="5">
        <v>92147995</v>
      </c>
      <c r="H817" s="5">
        <v>0</v>
      </c>
      <c r="I817" s="5">
        <v>0</v>
      </c>
      <c r="J817" s="5" t="s">
        <v>14</v>
      </c>
      <c r="K817" s="5">
        <v>92147995</v>
      </c>
    </row>
    <row r="818" spans="1:11" x14ac:dyDescent="0.25">
      <c r="A818" s="4" t="s">
        <v>11</v>
      </c>
      <c r="B818" s="4" t="s">
        <v>1092</v>
      </c>
      <c r="C818" s="4" t="s">
        <v>26</v>
      </c>
      <c r="D818" s="4">
        <v>5110020541</v>
      </c>
      <c r="E818" s="4" t="s">
        <v>1150</v>
      </c>
      <c r="F818" s="4" t="s">
        <v>14</v>
      </c>
      <c r="G818" s="5">
        <v>125933604</v>
      </c>
      <c r="H818" s="5">
        <v>0</v>
      </c>
      <c r="I818" s="5">
        <v>0</v>
      </c>
      <c r="J818" s="5" t="s">
        <v>14</v>
      </c>
      <c r="K818" s="5">
        <v>125933604</v>
      </c>
    </row>
    <row r="819" spans="1:11" x14ac:dyDescent="0.25">
      <c r="A819" s="4" t="s">
        <v>11</v>
      </c>
      <c r="B819" s="4" t="s">
        <v>1092</v>
      </c>
      <c r="C819" s="4" t="s">
        <v>26</v>
      </c>
      <c r="D819" s="4">
        <v>5110020542</v>
      </c>
      <c r="E819" s="4" t="s">
        <v>1152</v>
      </c>
      <c r="F819" s="4" t="s">
        <v>14</v>
      </c>
      <c r="G819" s="5">
        <v>24816309</v>
      </c>
      <c r="H819" s="5">
        <v>0</v>
      </c>
      <c r="I819" s="5">
        <v>0</v>
      </c>
      <c r="J819" s="5" t="s">
        <v>14</v>
      </c>
      <c r="K819" s="5">
        <v>24816309</v>
      </c>
    </row>
    <row r="820" spans="1:11" x14ac:dyDescent="0.25">
      <c r="A820" s="4" t="s">
        <v>11</v>
      </c>
      <c r="B820" s="4" t="s">
        <v>1092</v>
      </c>
      <c r="C820" s="4" t="s">
        <v>26</v>
      </c>
      <c r="D820" s="4">
        <v>5110020550</v>
      </c>
      <c r="E820" s="4" t="s">
        <v>1154</v>
      </c>
      <c r="F820" s="4" t="s">
        <v>14</v>
      </c>
      <c r="G820" s="5">
        <v>42118046.270000003</v>
      </c>
      <c r="H820" s="5">
        <v>0</v>
      </c>
      <c r="I820" s="5">
        <v>0</v>
      </c>
      <c r="J820" s="5" t="s">
        <v>14</v>
      </c>
      <c r="K820" s="5">
        <v>42118046.270000003</v>
      </c>
    </row>
    <row r="821" spans="1:11" x14ac:dyDescent="0.25">
      <c r="A821" s="4" t="s">
        <v>11</v>
      </c>
      <c r="B821" s="4" t="s">
        <v>1092</v>
      </c>
      <c r="C821" s="4" t="s">
        <v>26</v>
      </c>
      <c r="D821" s="4">
        <v>5110020551</v>
      </c>
      <c r="E821" s="4" t="s">
        <v>1156</v>
      </c>
      <c r="F821" s="4" t="s">
        <v>14</v>
      </c>
      <c r="G821" s="5">
        <v>31343357</v>
      </c>
      <c r="H821" s="5">
        <v>0</v>
      </c>
      <c r="I821" s="5">
        <v>0</v>
      </c>
      <c r="J821" s="5" t="s">
        <v>14</v>
      </c>
      <c r="K821" s="5">
        <v>31343357</v>
      </c>
    </row>
    <row r="822" spans="1:11" x14ac:dyDescent="0.25">
      <c r="A822" s="4" t="s">
        <v>11</v>
      </c>
      <c r="B822" s="4" t="s">
        <v>1092</v>
      </c>
      <c r="C822" s="4" t="s">
        <v>26</v>
      </c>
      <c r="D822" s="4">
        <v>5110020552</v>
      </c>
      <c r="E822" s="4" t="s">
        <v>1158</v>
      </c>
      <c r="F822" s="4" t="s">
        <v>14</v>
      </c>
      <c r="G822" s="5">
        <v>20896368</v>
      </c>
      <c r="H822" s="5">
        <v>0</v>
      </c>
      <c r="I822" s="5">
        <v>0</v>
      </c>
      <c r="J822" s="5" t="s">
        <v>14</v>
      </c>
      <c r="K822" s="5">
        <v>20896368</v>
      </c>
    </row>
    <row r="823" spans="1:11" x14ac:dyDescent="0.25">
      <c r="A823" s="4" t="s">
        <v>11</v>
      </c>
      <c r="B823" s="4" t="s">
        <v>1092</v>
      </c>
      <c r="C823" s="4" t="s">
        <v>23</v>
      </c>
      <c r="D823" s="4">
        <v>51100210</v>
      </c>
      <c r="E823" s="4" t="s">
        <v>1160</v>
      </c>
      <c r="F823" s="4" t="s">
        <v>14</v>
      </c>
      <c r="G823" s="5">
        <v>38</v>
      </c>
      <c r="H823" s="5">
        <v>0</v>
      </c>
      <c r="I823" s="5">
        <v>0</v>
      </c>
      <c r="J823" s="5" t="s">
        <v>14</v>
      </c>
      <c r="K823" s="5">
        <v>38</v>
      </c>
    </row>
    <row r="824" spans="1:11" x14ac:dyDescent="0.25">
      <c r="A824" s="4" t="s">
        <v>11</v>
      </c>
      <c r="B824" s="4" t="s">
        <v>1092</v>
      </c>
      <c r="C824" s="4" t="s">
        <v>26</v>
      </c>
      <c r="D824" s="4">
        <v>5110021035</v>
      </c>
      <c r="E824" s="4" t="s">
        <v>1170</v>
      </c>
      <c r="F824" s="4" t="s">
        <v>14</v>
      </c>
      <c r="G824" s="5">
        <v>38</v>
      </c>
      <c r="H824" s="5">
        <v>0</v>
      </c>
      <c r="I824" s="5">
        <v>0</v>
      </c>
      <c r="J824" s="5" t="s">
        <v>14</v>
      </c>
      <c r="K824" s="5">
        <v>38</v>
      </c>
    </row>
    <row r="825" spans="1:11" x14ac:dyDescent="0.25">
      <c r="A825" s="4" t="s">
        <v>11</v>
      </c>
      <c r="B825" s="4" t="s">
        <v>1092</v>
      </c>
      <c r="C825" s="4" t="s">
        <v>21</v>
      </c>
      <c r="D825" s="4">
        <v>511003</v>
      </c>
      <c r="E825" s="4" t="s">
        <v>1178</v>
      </c>
      <c r="F825" s="4" t="s">
        <v>14</v>
      </c>
      <c r="G825" s="5">
        <v>947911692.87</v>
      </c>
      <c r="H825" s="5">
        <v>14211045.17</v>
      </c>
      <c r="I825" s="5">
        <v>584562.71</v>
      </c>
      <c r="J825" s="5" t="s">
        <v>14</v>
      </c>
      <c r="K825" s="5">
        <v>961538175.33000004</v>
      </c>
    </row>
    <row r="826" spans="1:11" x14ac:dyDescent="0.25">
      <c r="A826" s="4" t="s">
        <v>11</v>
      </c>
      <c r="B826" s="4" t="s">
        <v>1092</v>
      </c>
      <c r="C826" s="4" t="s">
        <v>23</v>
      </c>
      <c r="D826" s="4">
        <v>51100315</v>
      </c>
      <c r="E826" s="4" t="s">
        <v>1189</v>
      </c>
      <c r="F826" s="4" t="s">
        <v>14</v>
      </c>
      <c r="G826" s="5">
        <v>146637502.72</v>
      </c>
      <c r="H826" s="5">
        <v>263273</v>
      </c>
      <c r="I826" s="5">
        <v>0</v>
      </c>
      <c r="J826" s="5" t="s">
        <v>14</v>
      </c>
      <c r="K826" s="5">
        <v>146900775.72</v>
      </c>
    </row>
    <row r="827" spans="1:11" x14ac:dyDescent="0.25">
      <c r="A827" s="4" t="s">
        <v>11</v>
      </c>
      <c r="B827" s="4" t="s">
        <v>1092</v>
      </c>
      <c r="C827" s="4" t="s">
        <v>26</v>
      </c>
      <c r="D827" s="4">
        <v>5110031505</v>
      </c>
      <c r="E827" s="4" t="s">
        <v>1336</v>
      </c>
      <c r="F827" s="4" t="s">
        <v>14</v>
      </c>
      <c r="G827" s="5">
        <v>145321137.72</v>
      </c>
      <c r="H827" s="5">
        <v>0</v>
      </c>
      <c r="I827" s="5">
        <v>0</v>
      </c>
      <c r="J827" s="5" t="s">
        <v>14</v>
      </c>
      <c r="K827" s="5">
        <v>145321137.72</v>
      </c>
    </row>
    <row r="828" spans="1:11" x14ac:dyDescent="0.25">
      <c r="A828" s="4" t="s">
        <v>11</v>
      </c>
      <c r="B828" s="4" t="s">
        <v>1092</v>
      </c>
      <c r="C828" s="4" t="s">
        <v>26</v>
      </c>
      <c r="D828" s="4">
        <v>5110031510</v>
      </c>
      <c r="E828" s="4" t="s">
        <v>439</v>
      </c>
      <c r="F828" s="4" t="s">
        <v>14</v>
      </c>
      <c r="G828" s="5">
        <v>1316365</v>
      </c>
      <c r="H828" s="5">
        <v>263273</v>
      </c>
      <c r="I828" s="5">
        <v>0</v>
      </c>
      <c r="J828" s="5" t="s">
        <v>14</v>
      </c>
      <c r="K828" s="5">
        <v>1579638</v>
      </c>
    </row>
    <row r="829" spans="1:11" x14ac:dyDescent="0.25">
      <c r="A829" s="4" t="s">
        <v>11</v>
      </c>
      <c r="B829" s="4" t="s">
        <v>1092</v>
      </c>
      <c r="C829" s="4" t="s">
        <v>23</v>
      </c>
      <c r="D829" s="4">
        <v>51100320</v>
      </c>
      <c r="E829" s="4" t="s">
        <v>227</v>
      </c>
      <c r="F829" s="4" t="s">
        <v>14</v>
      </c>
      <c r="G829" s="5">
        <v>9830758</v>
      </c>
      <c r="H829" s="5">
        <v>0</v>
      </c>
      <c r="I829" s="5">
        <v>0</v>
      </c>
      <c r="J829" s="5" t="s">
        <v>14</v>
      </c>
      <c r="K829" s="5">
        <v>9830758</v>
      </c>
    </row>
    <row r="830" spans="1:11" x14ac:dyDescent="0.25">
      <c r="A830" s="4" t="s">
        <v>11</v>
      </c>
      <c r="B830" s="4" t="s">
        <v>1092</v>
      </c>
      <c r="C830" s="4" t="s">
        <v>26</v>
      </c>
      <c r="D830" s="4">
        <v>5110032010</v>
      </c>
      <c r="E830" s="4" t="s">
        <v>1195</v>
      </c>
      <c r="F830" s="4" t="s">
        <v>14</v>
      </c>
      <c r="G830" s="5">
        <v>8261491</v>
      </c>
      <c r="H830" s="5">
        <v>0</v>
      </c>
      <c r="I830" s="5">
        <v>0</v>
      </c>
      <c r="J830" s="5" t="s">
        <v>14</v>
      </c>
      <c r="K830" s="5">
        <v>8261491</v>
      </c>
    </row>
    <row r="831" spans="1:11" x14ac:dyDescent="0.25">
      <c r="A831" s="4" t="s">
        <v>11</v>
      </c>
      <c r="B831" s="4" t="s">
        <v>1092</v>
      </c>
      <c r="C831" s="4" t="s">
        <v>26</v>
      </c>
      <c r="D831" s="4">
        <v>5110032045</v>
      </c>
      <c r="E831" s="4" t="s">
        <v>1197</v>
      </c>
      <c r="F831" s="4" t="s">
        <v>14</v>
      </c>
      <c r="G831" s="5">
        <v>1569267</v>
      </c>
      <c r="H831" s="5">
        <v>0</v>
      </c>
      <c r="I831" s="5">
        <v>0</v>
      </c>
      <c r="J831" s="5" t="s">
        <v>14</v>
      </c>
      <c r="K831" s="5">
        <v>1569267</v>
      </c>
    </row>
    <row r="832" spans="1:11" x14ac:dyDescent="0.25">
      <c r="A832" s="4" t="s">
        <v>11</v>
      </c>
      <c r="B832" s="4" t="s">
        <v>1092</v>
      </c>
      <c r="C832" s="4" t="s">
        <v>23</v>
      </c>
      <c r="D832" s="4">
        <v>51100330</v>
      </c>
      <c r="E832" s="4" t="s">
        <v>437</v>
      </c>
      <c r="F832" s="4" t="s">
        <v>14</v>
      </c>
      <c r="G832" s="5">
        <v>39692143</v>
      </c>
      <c r="H832" s="5">
        <v>182437</v>
      </c>
      <c r="I832" s="5">
        <v>0</v>
      </c>
      <c r="J832" s="5" t="s">
        <v>14</v>
      </c>
      <c r="K832" s="5">
        <v>39874580</v>
      </c>
    </row>
    <row r="833" spans="1:11" x14ac:dyDescent="0.25">
      <c r="A833" s="4" t="s">
        <v>11</v>
      </c>
      <c r="B833" s="4" t="s">
        <v>1092</v>
      </c>
      <c r="C833" s="4" t="s">
        <v>26</v>
      </c>
      <c r="D833" s="4">
        <v>5110033010</v>
      </c>
      <c r="E833" s="4" t="s">
        <v>1212</v>
      </c>
      <c r="F833" s="4" t="s">
        <v>14</v>
      </c>
      <c r="G833" s="5">
        <v>6311522</v>
      </c>
      <c r="H833" s="5">
        <v>153308</v>
      </c>
      <c r="I833" s="5">
        <v>0</v>
      </c>
      <c r="J833" s="5" t="s">
        <v>14</v>
      </c>
      <c r="K833" s="5">
        <v>6464830</v>
      </c>
    </row>
    <row r="834" spans="1:11" x14ac:dyDescent="0.25">
      <c r="A834" s="4" t="s">
        <v>11</v>
      </c>
      <c r="B834" s="4" t="s">
        <v>1092</v>
      </c>
      <c r="C834" s="4" t="s">
        <v>26</v>
      </c>
      <c r="D834" s="4">
        <v>5110033015</v>
      </c>
      <c r="E834" s="4" t="s">
        <v>1214</v>
      </c>
      <c r="F834" s="4" t="s">
        <v>14</v>
      </c>
      <c r="G834" s="5">
        <v>20788164</v>
      </c>
      <c r="H834" s="5">
        <v>0</v>
      </c>
      <c r="I834" s="5">
        <v>0</v>
      </c>
      <c r="J834" s="5" t="s">
        <v>14</v>
      </c>
      <c r="K834" s="5">
        <v>20788164</v>
      </c>
    </row>
    <row r="835" spans="1:11" x14ac:dyDescent="0.25">
      <c r="A835" s="4" t="s">
        <v>11</v>
      </c>
      <c r="B835" s="4" t="s">
        <v>1092</v>
      </c>
      <c r="C835" s="4" t="s">
        <v>26</v>
      </c>
      <c r="D835" s="4">
        <v>5110033020</v>
      </c>
      <c r="E835" s="4" t="s">
        <v>1345</v>
      </c>
      <c r="F835" s="4" t="s">
        <v>14</v>
      </c>
      <c r="G835" s="5">
        <v>10315822</v>
      </c>
      <c r="H835" s="5">
        <v>0</v>
      </c>
      <c r="I835" s="5">
        <v>0</v>
      </c>
      <c r="J835" s="5" t="s">
        <v>14</v>
      </c>
      <c r="K835" s="5">
        <v>10315822</v>
      </c>
    </row>
    <row r="836" spans="1:11" x14ac:dyDescent="0.25">
      <c r="A836" s="4" t="s">
        <v>11</v>
      </c>
      <c r="B836" s="4" t="s">
        <v>1092</v>
      </c>
      <c r="C836" s="4" t="s">
        <v>26</v>
      </c>
      <c r="D836" s="4">
        <v>5110033035</v>
      </c>
      <c r="E836" s="4" t="s">
        <v>1347</v>
      </c>
      <c r="F836" s="4" t="s">
        <v>14</v>
      </c>
      <c r="G836" s="5">
        <v>0</v>
      </c>
      <c r="H836" s="5">
        <v>29129</v>
      </c>
      <c r="I836" s="5">
        <v>0</v>
      </c>
      <c r="J836" s="5" t="s">
        <v>14</v>
      </c>
      <c r="K836" s="5">
        <v>29129</v>
      </c>
    </row>
    <row r="837" spans="1:11" x14ac:dyDescent="0.25">
      <c r="A837" s="4" t="s">
        <v>11</v>
      </c>
      <c r="B837" s="4" t="s">
        <v>1092</v>
      </c>
      <c r="C837" s="4" t="s">
        <v>26</v>
      </c>
      <c r="D837" s="4">
        <v>5110033040</v>
      </c>
      <c r="E837" s="4" t="s">
        <v>1349</v>
      </c>
      <c r="F837" s="4" t="s">
        <v>14</v>
      </c>
      <c r="G837" s="5">
        <v>338786</v>
      </c>
      <c r="H837" s="5">
        <v>0</v>
      </c>
      <c r="I837" s="5">
        <v>0</v>
      </c>
      <c r="J837" s="5" t="s">
        <v>14</v>
      </c>
      <c r="K837" s="5">
        <v>338786</v>
      </c>
    </row>
    <row r="838" spans="1:11" x14ac:dyDescent="0.25">
      <c r="A838" s="4" t="s">
        <v>11</v>
      </c>
      <c r="B838" s="4" t="s">
        <v>1092</v>
      </c>
      <c r="C838" s="4" t="s">
        <v>26</v>
      </c>
      <c r="D838" s="4">
        <v>5110033045</v>
      </c>
      <c r="E838" s="4" t="s">
        <v>1351</v>
      </c>
      <c r="F838" s="4" t="s">
        <v>14</v>
      </c>
      <c r="G838" s="5">
        <v>1937849</v>
      </c>
      <c r="H838" s="5">
        <v>0</v>
      </c>
      <c r="I838" s="5">
        <v>0</v>
      </c>
      <c r="J838" s="5" t="s">
        <v>14</v>
      </c>
      <c r="K838" s="5">
        <v>1937849</v>
      </c>
    </row>
    <row r="839" spans="1:11" x14ac:dyDescent="0.25">
      <c r="A839" s="4" t="s">
        <v>11</v>
      </c>
      <c r="B839" s="4" t="s">
        <v>1092</v>
      </c>
      <c r="C839" s="4" t="s">
        <v>23</v>
      </c>
      <c r="D839" s="4">
        <v>51100335</v>
      </c>
      <c r="E839" s="4" t="s">
        <v>566</v>
      </c>
      <c r="F839" s="4" t="s">
        <v>14</v>
      </c>
      <c r="G839" s="5">
        <v>43090082.649999999</v>
      </c>
      <c r="H839" s="5">
        <v>4105586.17</v>
      </c>
      <c r="I839" s="5">
        <v>0</v>
      </c>
      <c r="J839" s="5" t="s">
        <v>14</v>
      </c>
      <c r="K839" s="5">
        <v>47195668.82</v>
      </c>
    </row>
    <row r="840" spans="1:11" x14ac:dyDescent="0.25">
      <c r="A840" s="4" t="s">
        <v>11</v>
      </c>
      <c r="B840" s="4" t="s">
        <v>1092</v>
      </c>
      <c r="C840" s="4" t="s">
        <v>26</v>
      </c>
      <c r="D840" s="4">
        <v>5110033505</v>
      </c>
      <c r="E840" s="4" t="s">
        <v>1219</v>
      </c>
      <c r="F840" s="4" t="s">
        <v>14</v>
      </c>
      <c r="G840" s="5">
        <v>2921845.51</v>
      </c>
      <c r="H840" s="5">
        <v>0</v>
      </c>
      <c r="I840" s="5">
        <v>0</v>
      </c>
      <c r="J840" s="5" t="s">
        <v>14</v>
      </c>
      <c r="K840" s="5">
        <v>2921845.51</v>
      </c>
    </row>
    <row r="841" spans="1:11" x14ac:dyDescent="0.25">
      <c r="A841" s="4" t="s">
        <v>11</v>
      </c>
      <c r="B841" s="4" t="s">
        <v>1092</v>
      </c>
      <c r="C841" s="4" t="s">
        <v>26</v>
      </c>
      <c r="D841" s="4">
        <v>5110033510</v>
      </c>
      <c r="E841" s="4" t="s">
        <v>1221</v>
      </c>
      <c r="F841" s="4" t="s">
        <v>14</v>
      </c>
      <c r="G841" s="5">
        <v>898594.49</v>
      </c>
      <c r="H841" s="5">
        <v>0</v>
      </c>
      <c r="I841" s="5">
        <v>0</v>
      </c>
      <c r="J841" s="5" t="s">
        <v>14</v>
      </c>
      <c r="K841" s="5">
        <v>898594.49</v>
      </c>
    </row>
    <row r="842" spans="1:11" x14ac:dyDescent="0.25">
      <c r="A842" s="4" t="s">
        <v>11</v>
      </c>
      <c r="B842" s="4" t="s">
        <v>1092</v>
      </c>
      <c r="C842" s="4" t="s">
        <v>26</v>
      </c>
      <c r="D842" s="4">
        <v>5110033515</v>
      </c>
      <c r="E842" s="4" t="s">
        <v>1223</v>
      </c>
      <c r="F842" s="4" t="s">
        <v>14</v>
      </c>
      <c r="G842" s="5">
        <v>21430</v>
      </c>
      <c r="H842" s="5">
        <v>0</v>
      </c>
      <c r="I842" s="5">
        <v>0</v>
      </c>
      <c r="J842" s="5" t="s">
        <v>14</v>
      </c>
      <c r="K842" s="5">
        <v>21430</v>
      </c>
    </row>
    <row r="843" spans="1:11" x14ac:dyDescent="0.25">
      <c r="A843" s="4" t="s">
        <v>11</v>
      </c>
      <c r="B843" s="4" t="s">
        <v>1092</v>
      </c>
      <c r="C843" s="4" t="s">
        <v>26</v>
      </c>
      <c r="D843" s="4">
        <v>5110033520</v>
      </c>
      <c r="E843" s="4" t="s">
        <v>1225</v>
      </c>
      <c r="F843" s="4" t="s">
        <v>14</v>
      </c>
      <c r="G843" s="5">
        <v>16795888.73</v>
      </c>
      <c r="H843" s="5">
        <v>1633021.79</v>
      </c>
      <c r="I843" s="5">
        <v>0</v>
      </c>
      <c r="J843" s="5" t="s">
        <v>14</v>
      </c>
      <c r="K843" s="5">
        <v>18428910.52</v>
      </c>
    </row>
    <row r="844" spans="1:11" x14ac:dyDescent="0.25">
      <c r="A844" s="4" t="s">
        <v>11</v>
      </c>
      <c r="B844" s="4" t="s">
        <v>1092</v>
      </c>
      <c r="C844" s="4" t="s">
        <v>26</v>
      </c>
      <c r="D844" s="4">
        <v>5110033525</v>
      </c>
      <c r="E844" s="4" t="s">
        <v>1227</v>
      </c>
      <c r="F844" s="4" t="s">
        <v>14</v>
      </c>
      <c r="G844" s="5">
        <v>11318068.880000001</v>
      </c>
      <c r="H844" s="5">
        <v>1308673.94</v>
      </c>
      <c r="I844" s="5">
        <v>0</v>
      </c>
      <c r="J844" s="5" t="s">
        <v>14</v>
      </c>
      <c r="K844" s="5">
        <v>12626742.82</v>
      </c>
    </row>
    <row r="845" spans="1:11" x14ac:dyDescent="0.25">
      <c r="A845" s="4" t="s">
        <v>11</v>
      </c>
      <c r="B845" s="4" t="s">
        <v>1092</v>
      </c>
      <c r="C845" s="4" t="s">
        <v>26</v>
      </c>
      <c r="D845" s="4">
        <v>5110033530</v>
      </c>
      <c r="E845" s="4" t="s">
        <v>1229</v>
      </c>
      <c r="F845" s="4" t="s">
        <v>14</v>
      </c>
      <c r="G845" s="5">
        <v>2653051.54</v>
      </c>
      <c r="H845" s="5">
        <v>271989.34000000003</v>
      </c>
      <c r="I845" s="5">
        <v>0</v>
      </c>
      <c r="J845" s="5" t="s">
        <v>14</v>
      </c>
      <c r="K845" s="5">
        <v>2925040.88</v>
      </c>
    </row>
    <row r="846" spans="1:11" x14ac:dyDescent="0.25">
      <c r="A846" s="4" t="s">
        <v>11</v>
      </c>
      <c r="B846" s="4" t="s">
        <v>1092</v>
      </c>
      <c r="C846" s="4" t="s">
        <v>26</v>
      </c>
      <c r="D846" s="4">
        <v>5110033535</v>
      </c>
      <c r="E846" s="4" t="s">
        <v>1231</v>
      </c>
      <c r="F846" s="4" t="s">
        <v>14</v>
      </c>
      <c r="G846" s="5">
        <v>4800226</v>
      </c>
      <c r="H846" s="5">
        <v>492348</v>
      </c>
      <c r="I846" s="5">
        <v>0</v>
      </c>
      <c r="J846" s="5" t="s">
        <v>14</v>
      </c>
      <c r="K846" s="5">
        <v>5292574</v>
      </c>
    </row>
    <row r="847" spans="1:11" x14ac:dyDescent="0.25">
      <c r="A847" s="4" t="s">
        <v>11</v>
      </c>
      <c r="B847" s="4" t="s">
        <v>1092</v>
      </c>
      <c r="C847" s="4" t="s">
        <v>26</v>
      </c>
      <c r="D847" s="4">
        <v>5110033550</v>
      </c>
      <c r="E847" s="4" t="s">
        <v>1233</v>
      </c>
      <c r="F847" s="4" t="s">
        <v>14</v>
      </c>
      <c r="G847" s="5">
        <v>2187967.84</v>
      </c>
      <c r="H847" s="5">
        <v>249051.66</v>
      </c>
      <c r="I847" s="5">
        <v>0</v>
      </c>
      <c r="J847" s="5" t="s">
        <v>14</v>
      </c>
      <c r="K847" s="5">
        <v>2437019.5</v>
      </c>
    </row>
    <row r="848" spans="1:11" x14ac:dyDescent="0.25">
      <c r="A848" s="4" t="s">
        <v>11</v>
      </c>
      <c r="B848" s="4" t="s">
        <v>1092</v>
      </c>
      <c r="C848" s="4" t="s">
        <v>26</v>
      </c>
      <c r="D848" s="4">
        <v>5110033560</v>
      </c>
      <c r="E848" s="4" t="s">
        <v>1235</v>
      </c>
      <c r="F848" s="4" t="s">
        <v>14</v>
      </c>
      <c r="G848" s="5">
        <v>524258.66</v>
      </c>
      <c r="H848" s="5">
        <v>51516.44</v>
      </c>
      <c r="I848" s="5">
        <v>0</v>
      </c>
      <c r="J848" s="5" t="s">
        <v>14</v>
      </c>
      <c r="K848" s="5">
        <v>575775.1</v>
      </c>
    </row>
    <row r="849" spans="1:11" x14ac:dyDescent="0.25">
      <c r="A849" s="4" t="s">
        <v>11</v>
      </c>
      <c r="B849" s="4" t="s">
        <v>1092</v>
      </c>
      <c r="C849" s="4" t="s">
        <v>26</v>
      </c>
      <c r="D849" s="4">
        <v>5110033565</v>
      </c>
      <c r="E849" s="4" t="s">
        <v>1237</v>
      </c>
      <c r="F849" s="4" t="s">
        <v>14</v>
      </c>
      <c r="G849" s="5">
        <v>968751</v>
      </c>
      <c r="H849" s="5">
        <v>98985</v>
      </c>
      <c r="I849" s="5">
        <v>0</v>
      </c>
      <c r="J849" s="5" t="s">
        <v>14</v>
      </c>
      <c r="K849" s="5">
        <v>1067736</v>
      </c>
    </row>
    <row r="850" spans="1:11" x14ac:dyDescent="0.25">
      <c r="A850" s="4" t="s">
        <v>11</v>
      </c>
      <c r="B850" s="4" t="s">
        <v>1092</v>
      </c>
      <c r="C850" s="4" t="s">
        <v>23</v>
      </c>
      <c r="D850" s="4">
        <v>51100336</v>
      </c>
      <c r="E850" s="4" t="s">
        <v>1239</v>
      </c>
      <c r="F850" s="4" t="s">
        <v>14</v>
      </c>
      <c r="G850" s="5">
        <v>653866111</v>
      </c>
      <c r="H850" s="5">
        <v>5860738</v>
      </c>
      <c r="I850" s="5">
        <v>0</v>
      </c>
      <c r="J850" s="5" t="s">
        <v>14</v>
      </c>
      <c r="K850" s="5">
        <v>659726849</v>
      </c>
    </row>
    <row r="851" spans="1:11" x14ac:dyDescent="0.25">
      <c r="A851" s="4" t="s">
        <v>11</v>
      </c>
      <c r="B851" s="4" t="s">
        <v>1092</v>
      </c>
      <c r="C851" s="4" t="s">
        <v>26</v>
      </c>
      <c r="D851" s="4">
        <v>5110033640</v>
      </c>
      <c r="E851" s="4" t="s">
        <v>1239</v>
      </c>
      <c r="F851" s="4" t="s">
        <v>14</v>
      </c>
      <c r="G851" s="5">
        <v>1666976</v>
      </c>
      <c r="H851" s="5">
        <v>93770</v>
      </c>
      <c r="I851" s="5">
        <v>0</v>
      </c>
      <c r="J851" s="5" t="s">
        <v>14</v>
      </c>
      <c r="K851" s="5">
        <v>1760746</v>
      </c>
    </row>
    <row r="852" spans="1:11" x14ac:dyDescent="0.25">
      <c r="A852" s="4" t="s">
        <v>11</v>
      </c>
      <c r="B852" s="4" t="s">
        <v>1092</v>
      </c>
      <c r="C852" s="4" t="s">
        <v>26</v>
      </c>
      <c r="D852" s="4">
        <v>5110033645</v>
      </c>
      <c r="E852" s="4" t="s">
        <v>1366</v>
      </c>
      <c r="F852" s="4" t="s">
        <v>14</v>
      </c>
      <c r="G852" s="5">
        <v>520375140</v>
      </c>
      <c r="H852" s="5">
        <v>0</v>
      </c>
      <c r="I852" s="5">
        <v>0</v>
      </c>
      <c r="J852" s="5" t="s">
        <v>14</v>
      </c>
      <c r="K852" s="5">
        <v>520375140</v>
      </c>
    </row>
    <row r="853" spans="1:11" x14ac:dyDescent="0.25">
      <c r="A853" s="4" t="s">
        <v>11</v>
      </c>
      <c r="B853" s="4" t="s">
        <v>1092</v>
      </c>
      <c r="C853" s="4" t="s">
        <v>26</v>
      </c>
      <c r="D853" s="4">
        <v>5110033650</v>
      </c>
      <c r="E853" s="4" t="s">
        <v>1368</v>
      </c>
      <c r="F853" s="4" t="s">
        <v>14</v>
      </c>
      <c r="G853" s="5">
        <v>131665347</v>
      </c>
      <c r="H853" s="5">
        <v>4831219</v>
      </c>
      <c r="I853" s="5">
        <v>0</v>
      </c>
      <c r="J853" s="5" t="s">
        <v>14</v>
      </c>
      <c r="K853" s="5">
        <v>136496566</v>
      </c>
    </row>
    <row r="854" spans="1:11" x14ac:dyDescent="0.25">
      <c r="A854" s="4" t="s">
        <v>11</v>
      </c>
      <c r="B854" s="4" t="s">
        <v>1092</v>
      </c>
      <c r="C854" s="4" t="s">
        <v>26</v>
      </c>
      <c r="D854" s="4">
        <v>5110033651</v>
      </c>
      <c r="E854" s="4" t="s">
        <v>1370</v>
      </c>
      <c r="F854" s="4" t="s">
        <v>14</v>
      </c>
      <c r="G854" s="5">
        <v>0</v>
      </c>
      <c r="H854" s="5">
        <v>917932</v>
      </c>
      <c r="I854" s="5">
        <v>0</v>
      </c>
      <c r="J854" s="5" t="s">
        <v>14</v>
      </c>
      <c r="K854" s="5">
        <v>917932</v>
      </c>
    </row>
    <row r="855" spans="1:11" x14ac:dyDescent="0.25">
      <c r="A855" s="4" t="s">
        <v>11</v>
      </c>
      <c r="B855" s="4" t="s">
        <v>1092</v>
      </c>
      <c r="C855" s="4" t="s">
        <v>26</v>
      </c>
      <c r="D855" s="4">
        <v>5110033695</v>
      </c>
      <c r="E855" s="4" t="s">
        <v>1244</v>
      </c>
      <c r="F855" s="4" t="s">
        <v>14</v>
      </c>
      <c r="G855" s="5">
        <v>158648</v>
      </c>
      <c r="H855" s="5">
        <v>17817</v>
      </c>
      <c r="I855" s="5">
        <v>0</v>
      </c>
      <c r="J855" s="5" t="s">
        <v>14</v>
      </c>
      <c r="K855" s="5">
        <v>176465</v>
      </c>
    </row>
    <row r="856" spans="1:11" x14ac:dyDescent="0.25">
      <c r="A856" s="4" t="s">
        <v>11</v>
      </c>
      <c r="B856" s="4" t="s">
        <v>1092</v>
      </c>
      <c r="C856" s="4" t="s">
        <v>23</v>
      </c>
      <c r="D856" s="4">
        <v>51100340</v>
      </c>
      <c r="E856" s="4" t="s">
        <v>1246</v>
      </c>
      <c r="F856" s="4" t="s">
        <v>14</v>
      </c>
      <c r="G856" s="5">
        <v>730831</v>
      </c>
      <c r="H856" s="5">
        <v>46188</v>
      </c>
      <c r="I856" s="5">
        <v>0</v>
      </c>
      <c r="J856" s="5" t="s">
        <v>14</v>
      </c>
      <c r="K856" s="5">
        <v>777019</v>
      </c>
    </row>
    <row r="857" spans="1:11" x14ac:dyDescent="0.25">
      <c r="A857" s="4" t="s">
        <v>11</v>
      </c>
      <c r="B857" s="4" t="s">
        <v>1092</v>
      </c>
      <c r="C857" s="4" t="s">
        <v>26</v>
      </c>
      <c r="D857" s="4">
        <v>5110034005</v>
      </c>
      <c r="E857" s="4" t="s">
        <v>1246</v>
      </c>
      <c r="F857" s="4" t="s">
        <v>14</v>
      </c>
      <c r="G857" s="5">
        <v>255600</v>
      </c>
      <c r="H857" s="5">
        <v>0</v>
      </c>
      <c r="I857" s="5">
        <v>0</v>
      </c>
      <c r="J857" s="5" t="s">
        <v>14</v>
      </c>
      <c r="K857" s="5">
        <v>255600</v>
      </c>
    </row>
    <row r="858" spans="1:11" x14ac:dyDescent="0.25">
      <c r="A858" s="4" t="s">
        <v>11</v>
      </c>
      <c r="B858" s="4" t="s">
        <v>1092</v>
      </c>
      <c r="C858" s="4" t="s">
        <v>26</v>
      </c>
      <c r="D858" s="4">
        <v>5110034010</v>
      </c>
      <c r="E858" s="4" t="s">
        <v>1249</v>
      </c>
      <c r="F858" s="4" t="s">
        <v>14</v>
      </c>
      <c r="G858" s="5">
        <v>291876</v>
      </c>
      <c r="H858" s="5">
        <v>5200</v>
      </c>
      <c r="I858" s="5">
        <v>0</v>
      </c>
      <c r="J858" s="5" t="s">
        <v>14</v>
      </c>
      <c r="K858" s="5">
        <v>297076</v>
      </c>
    </row>
    <row r="859" spans="1:11" x14ac:dyDescent="0.25">
      <c r="A859" s="4" t="s">
        <v>11</v>
      </c>
      <c r="B859" s="4" t="s">
        <v>1092</v>
      </c>
      <c r="C859" s="4" t="s">
        <v>26</v>
      </c>
      <c r="D859" s="4">
        <v>5110034015</v>
      </c>
      <c r="E859" s="4" t="s">
        <v>1376</v>
      </c>
      <c r="F859" s="4" t="s">
        <v>14</v>
      </c>
      <c r="G859" s="5">
        <v>80000</v>
      </c>
      <c r="H859" s="5">
        <v>40000</v>
      </c>
      <c r="I859" s="5">
        <v>0</v>
      </c>
      <c r="J859" s="5" t="s">
        <v>14</v>
      </c>
      <c r="K859" s="5">
        <v>120000</v>
      </c>
    </row>
    <row r="860" spans="1:11" x14ac:dyDescent="0.25">
      <c r="A860" s="4" t="s">
        <v>11</v>
      </c>
      <c r="B860" s="4" t="s">
        <v>1092</v>
      </c>
      <c r="C860" s="4" t="s">
        <v>26</v>
      </c>
      <c r="D860" s="4">
        <v>5110034025</v>
      </c>
      <c r="E860" s="4" t="s">
        <v>1253</v>
      </c>
      <c r="F860" s="4" t="s">
        <v>14</v>
      </c>
      <c r="G860" s="5">
        <v>54791</v>
      </c>
      <c r="H860" s="5">
        <v>988</v>
      </c>
      <c r="I860" s="5">
        <v>0</v>
      </c>
      <c r="J860" s="5" t="s">
        <v>14</v>
      </c>
      <c r="K860" s="5">
        <v>55779</v>
      </c>
    </row>
    <row r="861" spans="1:11" x14ac:dyDescent="0.25">
      <c r="A861" s="4" t="s">
        <v>11</v>
      </c>
      <c r="B861" s="4" t="s">
        <v>1092</v>
      </c>
      <c r="C861" s="4" t="s">
        <v>26</v>
      </c>
      <c r="D861" s="4">
        <v>5110034030</v>
      </c>
      <c r="E861" s="4" t="s">
        <v>1255</v>
      </c>
      <c r="F861" s="4" t="s">
        <v>14</v>
      </c>
      <c r="G861" s="5">
        <v>48564</v>
      </c>
      <c r="H861" s="5">
        <v>0</v>
      </c>
      <c r="I861" s="5">
        <v>0</v>
      </c>
      <c r="J861" s="5" t="s">
        <v>14</v>
      </c>
      <c r="K861" s="5">
        <v>48564</v>
      </c>
    </row>
    <row r="862" spans="1:11" x14ac:dyDescent="0.25">
      <c r="A862" s="4" t="s">
        <v>11</v>
      </c>
      <c r="B862" s="4" t="s">
        <v>1092</v>
      </c>
      <c r="C862" s="4" t="s">
        <v>23</v>
      </c>
      <c r="D862" s="4">
        <v>51100355</v>
      </c>
      <c r="E862" s="4" t="s">
        <v>1263</v>
      </c>
      <c r="F862" s="4" t="s">
        <v>14</v>
      </c>
      <c r="G862" s="5">
        <v>26084923.5</v>
      </c>
      <c r="H862" s="5">
        <v>0</v>
      </c>
      <c r="I862" s="5">
        <v>0</v>
      </c>
      <c r="J862" s="5" t="s">
        <v>14</v>
      </c>
      <c r="K862" s="5">
        <v>26084923.5</v>
      </c>
    </row>
    <row r="863" spans="1:11" x14ac:dyDescent="0.25">
      <c r="A863" s="4" t="s">
        <v>11</v>
      </c>
      <c r="B863" s="4" t="s">
        <v>1092</v>
      </c>
      <c r="C863" s="4" t="s">
        <v>26</v>
      </c>
      <c r="D863" s="4">
        <v>5110035510</v>
      </c>
      <c r="E863" s="4" t="s">
        <v>1265</v>
      </c>
      <c r="F863" s="4" t="s">
        <v>14</v>
      </c>
      <c r="G863" s="5">
        <v>15815424.279999999</v>
      </c>
      <c r="H863" s="5">
        <v>0</v>
      </c>
      <c r="I863" s="5">
        <v>0</v>
      </c>
      <c r="J863" s="5" t="s">
        <v>14</v>
      </c>
      <c r="K863" s="5">
        <v>15815424.279999999</v>
      </c>
    </row>
    <row r="864" spans="1:11" x14ac:dyDescent="0.25">
      <c r="A864" s="4" t="s">
        <v>11</v>
      </c>
      <c r="B864" s="4" t="s">
        <v>1092</v>
      </c>
      <c r="C864" s="4" t="s">
        <v>26</v>
      </c>
      <c r="D864" s="4">
        <v>5110035520</v>
      </c>
      <c r="E864" s="4" t="s">
        <v>1267</v>
      </c>
      <c r="F864" s="4" t="s">
        <v>14</v>
      </c>
      <c r="G864" s="5">
        <v>5399922.0800000001</v>
      </c>
      <c r="H864" s="5">
        <v>0</v>
      </c>
      <c r="I864" s="5">
        <v>0</v>
      </c>
      <c r="J864" s="5" t="s">
        <v>14</v>
      </c>
      <c r="K864" s="5">
        <v>5399922.0800000001</v>
      </c>
    </row>
    <row r="865" spans="1:11" x14ac:dyDescent="0.25">
      <c r="A865" s="4" t="s">
        <v>11</v>
      </c>
      <c r="B865" s="4" t="s">
        <v>1092</v>
      </c>
      <c r="C865" s="4" t="s">
        <v>26</v>
      </c>
      <c r="D865" s="4">
        <v>5110035525</v>
      </c>
      <c r="E865" s="4" t="s">
        <v>1269</v>
      </c>
      <c r="F865" s="4" t="s">
        <v>14</v>
      </c>
      <c r="G865" s="5">
        <v>4869577.1399999997</v>
      </c>
      <c r="H865" s="5">
        <v>0</v>
      </c>
      <c r="I865" s="5">
        <v>0</v>
      </c>
      <c r="J865" s="5" t="s">
        <v>14</v>
      </c>
      <c r="K865" s="5">
        <v>4869577.1399999997</v>
      </c>
    </row>
    <row r="866" spans="1:11" x14ac:dyDescent="0.25">
      <c r="A866" s="4" t="s">
        <v>11</v>
      </c>
      <c r="B866" s="4" t="s">
        <v>1092</v>
      </c>
      <c r="C866" s="4" t="s">
        <v>23</v>
      </c>
      <c r="D866" s="4">
        <v>51100360</v>
      </c>
      <c r="E866" s="4" t="s">
        <v>1273</v>
      </c>
      <c r="F866" s="4" t="s">
        <v>14</v>
      </c>
      <c r="G866" s="5">
        <v>26784286</v>
      </c>
      <c r="H866" s="5">
        <v>3658623</v>
      </c>
      <c r="I866" s="5">
        <v>0</v>
      </c>
      <c r="J866" s="5" t="s">
        <v>14</v>
      </c>
      <c r="K866" s="5">
        <v>30442909</v>
      </c>
    </row>
    <row r="867" spans="1:11" x14ac:dyDescent="0.25">
      <c r="A867" s="4" t="s">
        <v>11</v>
      </c>
      <c r="B867" s="4" t="s">
        <v>1092</v>
      </c>
      <c r="C867" s="4" t="s">
        <v>26</v>
      </c>
      <c r="D867" s="4">
        <v>5110036005</v>
      </c>
      <c r="E867" s="4" t="s">
        <v>1273</v>
      </c>
      <c r="F867" s="4" t="s">
        <v>14</v>
      </c>
      <c r="G867" s="5">
        <v>26784286</v>
      </c>
      <c r="H867" s="5">
        <v>3658623</v>
      </c>
      <c r="I867" s="5">
        <v>0</v>
      </c>
      <c r="J867" s="5" t="s">
        <v>14</v>
      </c>
      <c r="K867" s="5">
        <v>30442909</v>
      </c>
    </row>
    <row r="868" spans="1:11" x14ac:dyDescent="0.25">
      <c r="A868" s="4" t="s">
        <v>11</v>
      </c>
      <c r="B868" s="4" t="s">
        <v>1092</v>
      </c>
      <c r="C868" s="4" t="s">
        <v>23</v>
      </c>
      <c r="D868" s="4">
        <v>51100370</v>
      </c>
      <c r="E868" s="4" t="s">
        <v>1063</v>
      </c>
      <c r="F868" s="4" t="s">
        <v>14</v>
      </c>
      <c r="G868" s="5">
        <v>391900</v>
      </c>
      <c r="H868" s="5">
        <v>59900</v>
      </c>
      <c r="I868" s="5">
        <v>0</v>
      </c>
      <c r="J868" s="5" t="s">
        <v>14</v>
      </c>
      <c r="K868" s="5">
        <v>451800</v>
      </c>
    </row>
    <row r="869" spans="1:11" x14ac:dyDescent="0.25">
      <c r="A869" s="4" t="s">
        <v>11</v>
      </c>
      <c r="B869" s="4" t="s">
        <v>1092</v>
      </c>
      <c r="C869" s="4" t="s">
        <v>26</v>
      </c>
      <c r="D869" s="4">
        <v>5110037015</v>
      </c>
      <c r="E869" s="4" t="s">
        <v>1279</v>
      </c>
      <c r="F869" s="4" t="s">
        <v>14</v>
      </c>
      <c r="G869" s="5">
        <v>391900</v>
      </c>
      <c r="H869" s="5">
        <v>59900</v>
      </c>
      <c r="I869" s="5">
        <v>0</v>
      </c>
      <c r="J869" s="5" t="s">
        <v>14</v>
      </c>
      <c r="K869" s="5">
        <v>451800</v>
      </c>
    </row>
    <row r="870" spans="1:11" x14ac:dyDescent="0.25">
      <c r="A870" s="4" t="s">
        <v>11</v>
      </c>
      <c r="B870" s="4" t="s">
        <v>1092</v>
      </c>
      <c r="C870" s="4" t="s">
        <v>23</v>
      </c>
      <c r="D870" s="4">
        <v>51100371</v>
      </c>
      <c r="E870" s="4" t="s">
        <v>1289</v>
      </c>
      <c r="F870" s="4" t="s">
        <v>14</v>
      </c>
      <c r="G870" s="5">
        <v>803155</v>
      </c>
      <c r="H870" s="5">
        <v>34300</v>
      </c>
      <c r="I870" s="5">
        <v>0</v>
      </c>
      <c r="J870" s="5" t="s">
        <v>14</v>
      </c>
      <c r="K870" s="5">
        <v>837455</v>
      </c>
    </row>
    <row r="871" spans="1:11" x14ac:dyDescent="0.25">
      <c r="A871" s="4" t="s">
        <v>11</v>
      </c>
      <c r="B871" s="4" t="s">
        <v>1092</v>
      </c>
      <c r="C871" s="4" t="s">
        <v>26</v>
      </c>
      <c r="D871" s="4">
        <v>5110037105</v>
      </c>
      <c r="E871" s="4" t="s">
        <v>1291</v>
      </c>
      <c r="F871" s="4" t="s">
        <v>14</v>
      </c>
      <c r="G871" s="5">
        <v>590000</v>
      </c>
      <c r="H871" s="5">
        <v>34300</v>
      </c>
      <c r="I871" s="5">
        <v>0</v>
      </c>
      <c r="J871" s="5" t="s">
        <v>14</v>
      </c>
      <c r="K871" s="5">
        <v>624300</v>
      </c>
    </row>
    <row r="872" spans="1:11" x14ac:dyDescent="0.25">
      <c r="A872" s="4" t="s">
        <v>11</v>
      </c>
      <c r="B872" s="4" t="s">
        <v>1092</v>
      </c>
      <c r="C872" s="4" t="s">
        <v>26</v>
      </c>
      <c r="D872" s="4">
        <v>5110037110</v>
      </c>
      <c r="E872" s="4" t="s">
        <v>1293</v>
      </c>
      <c r="F872" s="4" t="s">
        <v>14</v>
      </c>
      <c r="G872" s="5">
        <v>202905</v>
      </c>
      <c r="H872" s="5">
        <v>0</v>
      </c>
      <c r="I872" s="5">
        <v>0</v>
      </c>
      <c r="J872" s="5" t="s">
        <v>14</v>
      </c>
      <c r="K872" s="5">
        <v>202905</v>
      </c>
    </row>
    <row r="873" spans="1:11" x14ac:dyDescent="0.25">
      <c r="A873" s="4" t="s">
        <v>11</v>
      </c>
      <c r="B873" s="4" t="s">
        <v>1092</v>
      </c>
      <c r="C873" s="4" t="s">
        <v>26</v>
      </c>
      <c r="D873" s="4">
        <v>5110037150</v>
      </c>
      <c r="E873" s="4" t="s">
        <v>1297</v>
      </c>
      <c r="F873" s="4" t="s">
        <v>14</v>
      </c>
      <c r="G873" s="5">
        <v>10250</v>
      </c>
      <c r="H873" s="5">
        <v>0</v>
      </c>
      <c r="I873" s="5">
        <v>0</v>
      </c>
      <c r="J873" s="5" t="s">
        <v>14</v>
      </c>
      <c r="K873" s="5">
        <v>10250</v>
      </c>
    </row>
    <row r="874" spans="1:11" x14ac:dyDescent="0.25">
      <c r="A874" s="4" t="s">
        <v>11</v>
      </c>
      <c r="B874" s="4" t="s">
        <v>1092</v>
      </c>
      <c r="C874" s="4" t="s">
        <v>23</v>
      </c>
      <c r="D874" s="4">
        <v>51100375</v>
      </c>
      <c r="E874" s="4" t="s">
        <v>1392</v>
      </c>
      <c r="F874" s="4" t="s">
        <v>14</v>
      </c>
      <c r="G874" s="5">
        <v>0</v>
      </c>
      <c r="H874" s="5">
        <v>0</v>
      </c>
      <c r="I874" s="5">
        <v>584562.71</v>
      </c>
      <c r="J874" s="5" t="s">
        <v>173</v>
      </c>
      <c r="K874" s="5">
        <v>-584562.71</v>
      </c>
    </row>
    <row r="875" spans="1:11" x14ac:dyDescent="0.25">
      <c r="A875" s="4" t="s">
        <v>11</v>
      </c>
      <c r="B875" s="4" t="s">
        <v>1092</v>
      </c>
      <c r="C875" s="4" t="s">
        <v>26</v>
      </c>
      <c r="D875" s="4">
        <v>5110037510</v>
      </c>
      <c r="E875" s="4" t="s">
        <v>1394</v>
      </c>
      <c r="F875" s="4" t="s">
        <v>14</v>
      </c>
      <c r="G875" s="5">
        <v>0</v>
      </c>
      <c r="H875" s="5">
        <v>0</v>
      </c>
      <c r="I875" s="5">
        <v>584562.71</v>
      </c>
      <c r="J875" s="5" t="s">
        <v>173</v>
      </c>
      <c r="K875" s="5">
        <v>-584562.71</v>
      </c>
    </row>
    <row r="876" spans="1:11" x14ac:dyDescent="0.25">
      <c r="A876" s="4" t="s">
        <v>11</v>
      </c>
      <c r="B876" s="4" t="s">
        <v>1092</v>
      </c>
      <c r="C876" s="4" t="s">
        <v>18</v>
      </c>
      <c r="D876" s="4">
        <v>5115</v>
      </c>
      <c r="E876" s="4" t="s">
        <v>1396</v>
      </c>
      <c r="F876" s="4" t="s">
        <v>14</v>
      </c>
      <c r="G876" s="5">
        <v>4691233551.5900002</v>
      </c>
      <c r="H876" s="5">
        <v>177045782.22999999</v>
      </c>
      <c r="I876" s="5">
        <v>1405626.58</v>
      </c>
      <c r="J876" s="5" t="s">
        <v>14</v>
      </c>
      <c r="K876" s="5">
        <v>4866873707.2399998</v>
      </c>
    </row>
    <row r="877" spans="1:11" x14ac:dyDescent="0.25">
      <c r="A877" s="4" t="s">
        <v>11</v>
      </c>
      <c r="B877" s="4" t="s">
        <v>1092</v>
      </c>
      <c r="C877" s="4" t="s">
        <v>21</v>
      </c>
      <c r="D877" s="4">
        <v>511501</v>
      </c>
      <c r="E877" s="4" t="s">
        <v>1098</v>
      </c>
      <c r="F877" s="4" t="s">
        <v>14</v>
      </c>
      <c r="G877" s="5">
        <v>94716843.069999993</v>
      </c>
      <c r="H877" s="5">
        <v>3616716.12</v>
      </c>
      <c r="I877" s="5">
        <v>1365827.58</v>
      </c>
      <c r="J877" s="5" t="s">
        <v>14</v>
      </c>
      <c r="K877" s="5">
        <v>96967731.609999999</v>
      </c>
    </row>
    <row r="878" spans="1:11" x14ac:dyDescent="0.25">
      <c r="A878" s="4" t="s">
        <v>11</v>
      </c>
      <c r="B878" s="4" t="s">
        <v>1092</v>
      </c>
      <c r="C878" s="4" t="s">
        <v>23</v>
      </c>
      <c r="D878" s="4">
        <v>51150102</v>
      </c>
      <c r="E878" s="4" t="s">
        <v>1100</v>
      </c>
      <c r="F878" s="4" t="s">
        <v>14</v>
      </c>
      <c r="G878" s="5">
        <v>21108754.370000001</v>
      </c>
      <c r="H878" s="5">
        <v>2703796.12</v>
      </c>
      <c r="I878" s="5">
        <v>1365827.58</v>
      </c>
      <c r="J878" s="5" t="s">
        <v>14</v>
      </c>
      <c r="K878" s="5">
        <v>22446722.91</v>
      </c>
    </row>
    <row r="879" spans="1:11" x14ac:dyDescent="0.25">
      <c r="A879" s="4" t="s">
        <v>11</v>
      </c>
      <c r="B879" s="4" t="s">
        <v>1092</v>
      </c>
      <c r="C879" s="4" t="s">
        <v>26</v>
      </c>
      <c r="D879" s="4">
        <v>5115010205</v>
      </c>
      <c r="E879" s="4" t="s">
        <v>1100</v>
      </c>
      <c r="F879" s="4" t="s">
        <v>14</v>
      </c>
      <c r="G879" s="5">
        <v>21108754.370000001</v>
      </c>
      <c r="H879" s="5">
        <v>2703796.12</v>
      </c>
      <c r="I879" s="5">
        <v>1365827.58</v>
      </c>
      <c r="J879" s="5" t="s">
        <v>14</v>
      </c>
      <c r="K879" s="5">
        <v>22446722.91</v>
      </c>
    </row>
    <row r="880" spans="1:11" x14ac:dyDescent="0.25">
      <c r="A880" s="4" t="s">
        <v>11</v>
      </c>
      <c r="B880" s="4" t="s">
        <v>1092</v>
      </c>
      <c r="C880" s="4" t="s">
        <v>23</v>
      </c>
      <c r="D880" s="4">
        <v>51150103</v>
      </c>
      <c r="E880" s="4" t="s">
        <v>1103</v>
      </c>
      <c r="F880" s="4" t="s">
        <v>14</v>
      </c>
      <c r="G880" s="5">
        <v>73608088.700000003</v>
      </c>
      <c r="H880" s="5">
        <v>912920</v>
      </c>
      <c r="I880" s="5">
        <v>0</v>
      </c>
      <c r="J880" s="5" t="s">
        <v>14</v>
      </c>
      <c r="K880" s="5">
        <v>74521008.700000003</v>
      </c>
    </row>
    <row r="881" spans="1:11" x14ac:dyDescent="0.25">
      <c r="A881" s="4" t="s">
        <v>11</v>
      </c>
      <c r="B881" s="4" t="s">
        <v>1092</v>
      </c>
      <c r="C881" s="4" t="s">
        <v>26</v>
      </c>
      <c r="D881" s="4">
        <v>5115010305</v>
      </c>
      <c r="E881" s="4" t="s">
        <v>1105</v>
      </c>
      <c r="F881" s="4" t="s">
        <v>14</v>
      </c>
      <c r="G881" s="5">
        <v>116872</v>
      </c>
      <c r="H881" s="5">
        <v>2400</v>
      </c>
      <c r="I881" s="5">
        <v>0</v>
      </c>
      <c r="J881" s="5" t="s">
        <v>14</v>
      </c>
      <c r="K881" s="5">
        <v>119272</v>
      </c>
    </row>
    <row r="882" spans="1:11" x14ac:dyDescent="0.25">
      <c r="A882" s="4" t="s">
        <v>11</v>
      </c>
      <c r="B882" s="4" t="s">
        <v>1092</v>
      </c>
      <c r="C882" s="4" t="s">
        <v>26</v>
      </c>
      <c r="D882" s="4">
        <v>5115010310</v>
      </c>
      <c r="E882" s="4" t="s">
        <v>1107</v>
      </c>
      <c r="F882" s="4" t="s">
        <v>14</v>
      </c>
      <c r="G882" s="5">
        <v>160316</v>
      </c>
      <c r="H882" s="5">
        <v>0</v>
      </c>
      <c r="I882" s="5">
        <v>0</v>
      </c>
      <c r="J882" s="5" t="s">
        <v>14</v>
      </c>
      <c r="K882" s="5">
        <v>160316</v>
      </c>
    </row>
    <row r="883" spans="1:11" x14ac:dyDescent="0.25">
      <c r="A883" s="4" t="s">
        <v>11</v>
      </c>
      <c r="B883" s="4" t="s">
        <v>1092</v>
      </c>
      <c r="C883" s="4" t="s">
        <v>26</v>
      </c>
      <c r="D883" s="4">
        <v>5115010325</v>
      </c>
      <c r="E883" s="4" t="s">
        <v>258</v>
      </c>
      <c r="F883" s="4" t="s">
        <v>14</v>
      </c>
      <c r="G883" s="5">
        <v>8099215</v>
      </c>
      <c r="H883" s="5">
        <v>0</v>
      </c>
      <c r="I883" s="5">
        <v>0</v>
      </c>
      <c r="J883" s="5" t="s">
        <v>14</v>
      </c>
      <c r="K883" s="5">
        <v>8099215</v>
      </c>
    </row>
    <row r="884" spans="1:11" x14ac:dyDescent="0.25">
      <c r="A884" s="4" t="s">
        <v>11</v>
      </c>
      <c r="B884" s="4" t="s">
        <v>1092</v>
      </c>
      <c r="C884" s="4" t="s">
        <v>26</v>
      </c>
      <c r="D884" s="4">
        <v>5115010330</v>
      </c>
      <c r="E884" s="4" t="s">
        <v>1111</v>
      </c>
      <c r="F884" s="4" t="s">
        <v>14</v>
      </c>
      <c r="G884" s="5">
        <v>200000</v>
      </c>
      <c r="H884" s="5">
        <v>0</v>
      </c>
      <c r="I884" s="5">
        <v>0</v>
      </c>
      <c r="J884" s="5" t="s">
        <v>14</v>
      </c>
      <c r="K884" s="5">
        <v>200000</v>
      </c>
    </row>
    <row r="885" spans="1:11" x14ac:dyDescent="0.25">
      <c r="A885" s="4" t="s">
        <v>11</v>
      </c>
      <c r="B885" s="4" t="s">
        <v>1092</v>
      </c>
      <c r="C885" s="4" t="s">
        <v>26</v>
      </c>
      <c r="D885" s="4">
        <v>5115010335</v>
      </c>
      <c r="E885" s="4" t="s">
        <v>1113</v>
      </c>
      <c r="F885" s="4" t="s">
        <v>14</v>
      </c>
      <c r="G885" s="5">
        <v>53414879.859999999</v>
      </c>
      <c r="H885" s="5">
        <v>770300</v>
      </c>
      <c r="I885" s="5">
        <v>0</v>
      </c>
      <c r="J885" s="5" t="s">
        <v>14</v>
      </c>
      <c r="K885" s="5">
        <v>54185179.859999999</v>
      </c>
    </row>
    <row r="886" spans="1:11" x14ac:dyDescent="0.25">
      <c r="A886" s="4" t="s">
        <v>11</v>
      </c>
      <c r="B886" s="4" t="s">
        <v>1092</v>
      </c>
      <c r="C886" s="4" t="s">
        <v>26</v>
      </c>
      <c r="D886" s="4">
        <v>5115010345</v>
      </c>
      <c r="E886" s="4" t="s">
        <v>1115</v>
      </c>
      <c r="F886" s="4" t="s">
        <v>14</v>
      </c>
      <c r="G886" s="5">
        <v>11660</v>
      </c>
      <c r="H886" s="5">
        <v>0</v>
      </c>
      <c r="I886" s="5">
        <v>0</v>
      </c>
      <c r="J886" s="5" t="s">
        <v>14</v>
      </c>
      <c r="K886" s="5">
        <v>11660</v>
      </c>
    </row>
    <row r="887" spans="1:11" x14ac:dyDescent="0.25">
      <c r="A887" s="4" t="s">
        <v>11</v>
      </c>
      <c r="B887" s="4" t="s">
        <v>1092</v>
      </c>
      <c r="C887" s="4" t="s">
        <v>26</v>
      </c>
      <c r="D887" s="4">
        <v>5115010350</v>
      </c>
      <c r="E887" s="4" t="s">
        <v>1117</v>
      </c>
      <c r="F887" s="4" t="s">
        <v>14</v>
      </c>
      <c r="G887" s="5">
        <v>15414</v>
      </c>
      <c r="H887" s="5">
        <v>0</v>
      </c>
      <c r="I887" s="5">
        <v>0</v>
      </c>
      <c r="J887" s="5" t="s">
        <v>14</v>
      </c>
      <c r="K887" s="5">
        <v>15414</v>
      </c>
    </row>
    <row r="888" spans="1:11" x14ac:dyDescent="0.25">
      <c r="A888" s="4" t="s">
        <v>11</v>
      </c>
      <c r="B888" s="4" t="s">
        <v>1092</v>
      </c>
      <c r="C888" s="4" t="s">
        <v>26</v>
      </c>
      <c r="D888" s="4">
        <v>5115010365</v>
      </c>
      <c r="E888" s="4" t="s">
        <v>1121</v>
      </c>
      <c r="F888" s="4" t="s">
        <v>14</v>
      </c>
      <c r="G888" s="5">
        <v>1480919</v>
      </c>
      <c r="H888" s="5">
        <v>0</v>
      </c>
      <c r="I888" s="5">
        <v>0</v>
      </c>
      <c r="J888" s="5" t="s">
        <v>14</v>
      </c>
      <c r="K888" s="5">
        <v>1480919</v>
      </c>
    </row>
    <row r="889" spans="1:11" x14ac:dyDescent="0.25">
      <c r="A889" s="4" t="s">
        <v>11</v>
      </c>
      <c r="B889" s="4" t="s">
        <v>1092</v>
      </c>
      <c r="C889" s="4" t="s">
        <v>26</v>
      </c>
      <c r="D889" s="4">
        <v>5115010375</v>
      </c>
      <c r="E889" s="4" t="s">
        <v>1123</v>
      </c>
      <c r="F889" s="4" t="s">
        <v>14</v>
      </c>
      <c r="G889" s="5">
        <v>10108812.84</v>
      </c>
      <c r="H889" s="5">
        <v>140220</v>
      </c>
      <c r="I889" s="5">
        <v>0</v>
      </c>
      <c r="J889" s="5" t="s">
        <v>14</v>
      </c>
      <c r="K889" s="5">
        <v>10249032.84</v>
      </c>
    </row>
    <row r="890" spans="1:11" x14ac:dyDescent="0.25">
      <c r="A890" s="4" t="s">
        <v>11</v>
      </c>
      <c r="B890" s="4" t="s">
        <v>1092</v>
      </c>
      <c r="C890" s="4" t="s">
        <v>21</v>
      </c>
      <c r="D890" s="4">
        <v>511502</v>
      </c>
      <c r="E890" s="4" t="s">
        <v>1125</v>
      </c>
      <c r="F890" s="4" t="s">
        <v>14</v>
      </c>
      <c r="G890" s="5">
        <v>1759809160.6900001</v>
      </c>
      <c r="H890" s="5">
        <v>6793544.7599999998</v>
      </c>
      <c r="I890" s="5">
        <v>39799</v>
      </c>
      <c r="J890" s="5" t="s">
        <v>14</v>
      </c>
      <c r="K890" s="5">
        <v>1766562906.45</v>
      </c>
    </row>
    <row r="891" spans="1:11" x14ac:dyDescent="0.25">
      <c r="A891" s="4" t="s">
        <v>11</v>
      </c>
      <c r="B891" s="4" t="s">
        <v>1092</v>
      </c>
      <c r="C891" s="4" t="s">
        <v>23</v>
      </c>
      <c r="D891" s="4">
        <v>51150205</v>
      </c>
      <c r="E891" s="4" t="s">
        <v>1127</v>
      </c>
      <c r="F891" s="4" t="s">
        <v>14</v>
      </c>
      <c r="G891" s="5">
        <v>1734226097.6900001</v>
      </c>
      <c r="H891" s="5">
        <v>4793444.76</v>
      </c>
      <c r="I891" s="5">
        <v>39799</v>
      </c>
      <c r="J891" s="5" t="s">
        <v>14</v>
      </c>
      <c r="K891" s="5">
        <v>1738979743.45</v>
      </c>
    </row>
    <row r="892" spans="1:11" x14ac:dyDescent="0.25">
      <c r="A892" s="4" t="s">
        <v>11</v>
      </c>
      <c r="B892" s="4" t="s">
        <v>1092</v>
      </c>
      <c r="C892" s="4" t="s">
        <v>26</v>
      </c>
      <c r="D892" s="4">
        <v>5115020501</v>
      </c>
      <c r="E892" s="4" t="s">
        <v>1129</v>
      </c>
      <c r="F892" s="4" t="s">
        <v>14</v>
      </c>
      <c r="G892" s="5">
        <v>196272000</v>
      </c>
      <c r="H892" s="5">
        <v>0</v>
      </c>
      <c r="I892" s="5">
        <v>0</v>
      </c>
      <c r="J892" s="5" t="s">
        <v>14</v>
      </c>
      <c r="K892" s="5">
        <v>196272000</v>
      </c>
    </row>
    <row r="893" spans="1:11" x14ac:dyDescent="0.25">
      <c r="A893" s="4" t="s">
        <v>11</v>
      </c>
      <c r="B893" s="4" t="s">
        <v>1092</v>
      </c>
      <c r="C893" s="4" t="s">
        <v>26</v>
      </c>
      <c r="D893" s="4">
        <v>5115020502</v>
      </c>
      <c r="E893" s="4" t="s">
        <v>1131</v>
      </c>
      <c r="F893" s="4" t="s">
        <v>14</v>
      </c>
      <c r="G893" s="5">
        <v>818187181</v>
      </c>
      <c r="H893" s="5">
        <v>3218333</v>
      </c>
      <c r="I893" s="5">
        <v>0</v>
      </c>
      <c r="J893" s="5" t="s">
        <v>14</v>
      </c>
      <c r="K893" s="5">
        <v>821405514</v>
      </c>
    </row>
    <row r="894" spans="1:11" x14ac:dyDescent="0.25">
      <c r="A894" s="4" t="s">
        <v>11</v>
      </c>
      <c r="B894" s="4" t="s">
        <v>1092</v>
      </c>
      <c r="C894" s="4" t="s">
        <v>26</v>
      </c>
      <c r="D894" s="4">
        <v>5115020504</v>
      </c>
      <c r="E894" s="4" t="s">
        <v>1133</v>
      </c>
      <c r="F894" s="4" t="s">
        <v>14</v>
      </c>
      <c r="G894" s="5">
        <v>43105831</v>
      </c>
      <c r="H894" s="5">
        <v>0</v>
      </c>
      <c r="I894" s="5">
        <v>0</v>
      </c>
      <c r="J894" s="5" t="s">
        <v>14</v>
      </c>
      <c r="K894" s="5">
        <v>43105831</v>
      </c>
    </row>
    <row r="895" spans="1:11" x14ac:dyDescent="0.25">
      <c r="A895" s="4" t="s">
        <v>11</v>
      </c>
      <c r="B895" s="4" t="s">
        <v>1092</v>
      </c>
      <c r="C895" s="4" t="s">
        <v>26</v>
      </c>
      <c r="D895" s="4">
        <v>5115020505</v>
      </c>
      <c r="E895" s="4" t="s">
        <v>1416</v>
      </c>
      <c r="F895" s="4" t="s">
        <v>14</v>
      </c>
      <c r="G895" s="5">
        <v>6775262</v>
      </c>
      <c r="H895" s="5">
        <v>0</v>
      </c>
      <c r="I895" s="5">
        <v>0</v>
      </c>
      <c r="J895" s="5" t="s">
        <v>14</v>
      </c>
      <c r="K895" s="5">
        <v>6775262</v>
      </c>
    </row>
    <row r="896" spans="1:11" x14ac:dyDescent="0.25">
      <c r="A896" s="4" t="s">
        <v>11</v>
      </c>
      <c r="B896" s="4" t="s">
        <v>1092</v>
      </c>
      <c r="C896" s="4" t="s">
        <v>26</v>
      </c>
      <c r="D896" s="4">
        <v>5115020510</v>
      </c>
      <c r="E896" s="4" t="s">
        <v>1315</v>
      </c>
      <c r="F896" s="4" t="s">
        <v>14</v>
      </c>
      <c r="G896" s="5">
        <v>5950632</v>
      </c>
      <c r="H896" s="5">
        <v>0</v>
      </c>
      <c r="I896" s="5">
        <v>0</v>
      </c>
      <c r="J896" s="5" t="s">
        <v>14</v>
      </c>
      <c r="K896" s="5">
        <v>5950632</v>
      </c>
    </row>
    <row r="897" spans="1:11" x14ac:dyDescent="0.25">
      <c r="A897" s="4" t="s">
        <v>11</v>
      </c>
      <c r="B897" s="4" t="s">
        <v>1092</v>
      </c>
      <c r="C897" s="4" t="s">
        <v>26</v>
      </c>
      <c r="D897" s="4">
        <v>5115020511</v>
      </c>
      <c r="E897" s="4" t="s">
        <v>1135</v>
      </c>
      <c r="F897" s="4" t="s">
        <v>14</v>
      </c>
      <c r="G897" s="5">
        <v>6431501</v>
      </c>
      <c r="H897" s="5">
        <v>40435</v>
      </c>
      <c r="I897" s="5">
        <v>0</v>
      </c>
      <c r="J897" s="5" t="s">
        <v>14</v>
      </c>
      <c r="K897" s="5">
        <v>6471936</v>
      </c>
    </row>
    <row r="898" spans="1:11" x14ac:dyDescent="0.25">
      <c r="A898" s="4" t="s">
        <v>11</v>
      </c>
      <c r="B898" s="4" t="s">
        <v>1092</v>
      </c>
      <c r="C898" s="4" t="s">
        <v>26</v>
      </c>
      <c r="D898" s="4">
        <v>5115020512</v>
      </c>
      <c r="E898" s="4" t="s">
        <v>1318</v>
      </c>
      <c r="F898" s="4" t="s">
        <v>14</v>
      </c>
      <c r="G898" s="5">
        <v>7354393</v>
      </c>
      <c r="H898" s="5">
        <v>0</v>
      </c>
      <c r="I898" s="5">
        <v>0</v>
      </c>
      <c r="J898" s="5" t="s">
        <v>14</v>
      </c>
      <c r="K898" s="5">
        <v>7354393</v>
      </c>
    </row>
    <row r="899" spans="1:11" x14ac:dyDescent="0.25">
      <c r="A899" s="4" t="s">
        <v>11</v>
      </c>
      <c r="B899" s="4" t="s">
        <v>1092</v>
      </c>
      <c r="C899" s="4" t="s">
        <v>26</v>
      </c>
      <c r="D899" s="4">
        <v>5115020514</v>
      </c>
      <c r="E899" s="4" t="s">
        <v>224</v>
      </c>
      <c r="F899" s="4" t="s">
        <v>14</v>
      </c>
      <c r="G899" s="5">
        <v>3339741</v>
      </c>
      <c r="H899" s="5">
        <v>0</v>
      </c>
      <c r="I899" s="5">
        <v>0</v>
      </c>
      <c r="J899" s="5" t="s">
        <v>14</v>
      </c>
      <c r="K899" s="5">
        <v>3339741</v>
      </c>
    </row>
    <row r="900" spans="1:11" x14ac:dyDescent="0.25">
      <c r="A900" s="4" t="s">
        <v>11</v>
      </c>
      <c r="B900" s="4" t="s">
        <v>1092</v>
      </c>
      <c r="C900" s="4" t="s">
        <v>26</v>
      </c>
      <c r="D900" s="4">
        <v>5115020515</v>
      </c>
      <c r="E900" s="4" t="s">
        <v>1422</v>
      </c>
      <c r="F900" s="4" t="s">
        <v>14</v>
      </c>
      <c r="G900" s="5">
        <v>3623507</v>
      </c>
      <c r="H900" s="5">
        <v>0</v>
      </c>
      <c r="I900" s="5">
        <v>0</v>
      </c>
      <c r="J900" s="5" t="s">
        <v>14</v>
      </c>
      <c r="K900" s="5">
        <v>3623507</v>
      </c>
    </row>
    <row r="901" spans="1:11" x14ac:dyDescent="0.25">
      <c r="A901" s="4" t="s">
        <v>11</v>
      </c>
      <c r="B901" s="4" t="s">
        <v>1092</v>
      </c>
      <c r="C901" s="4" t="s">
        <v>26</v>
      </c>
      <c r="D901" s="4">
        <v>5115020516</v>
      </c>
      <c r="E901" s="4" t="s">
        <v>1138</v>
      </c>
      <c r="F901" s="4" t="s">
        <v>14</v>
      </c>
      <c r="G901" s="5">
        <v>41434200</v>
      </c>
      <c r="H901" s="5">
        <v>270000</v>
      </c>
      <c r="I901" s="5">
        <v>0</v>
      </c>
      <c r="J901" s="5" t="s">
        <v>14</v>
      </c>
      <c r="K901" s="5">
        <v>41704200</v>
      </c>
    </row>
    <row r="902" spans="1:11" x14ac:dyDescent="0.25">
      <c r="A902" s="4" t="s">
        <v>11</v>
      </c>
      <c r="B902" s="4" t="s">
        <v>1092</v>
      </c>
      <c r="C902" s="4" t="s">
        <v>26</v>
      </c>
      <c r="D902" s="4">
        <v>5115020518</v>
      </c>
      <c r="E902" s="4" t="s">
        <v>1425</v>
      </c>
      <c r="F902" s="4" t="s">
        <v>14</v>
      </c>
      <c r="G902" s="5">
        <v>6000000</v>
      </c>
      <c r="H902" s="5">
        <v>0</v>
      </c>
      <c r="I902" s="5">
        <v>0</v>
      </c>
      <c r="J902" s="5" t="s">
        <v>14</v>
      </c>
      <c r="K902" s="5">
        <v>6000000</v>
      </c>
    </row>
    <row r="903" spans="1:11" x14ac:dyDescent="0.25">
      <c r="A903" s="4" t="s">
        <v>11</v>
      </c>
      <c r="B903" s="4" t="s">
        <v>1092</v>
      </c>
      <c r="C903" s="4" t="s">
        <v>26</v>
      </c>
      <c r="D903" s="4">
        <v>5115020520</v>
      </c>
      <c r="E903" s="4" t="s">
        <v>1140</v>
      </c>
      <c r="F903" s="4" t="s">
        <v>14</v>
      </c>
      <c r="G903" s="5">
        <v>58785728</v>
      </c>
      <c r="H903" s="5">
        <v>11635</v>
      </c>
      <c r="I903" s="5">
        <v>39799</v>
      </c>
      <c r="J903" s="5" t="s">
        <v>14</v>
      </c>
      <c r="K903" s="5">
        <v>58757564</v>
      </c>
    </row>
    <row r="904" spans="1:11" x14ac:dyDescent="0.25">
      <c r="A904" s="4" t="s">
        <v>11</v>
      </c>
      <c r="B904" s="4" t="s">
        <v>1092</v>
      </c>
      <c r="C904" s="4" t="s">
        <v>26</v>
      </c>
      <c r="D904" s="4">
        <v>5115020530</v>
      </c>
      <c r="E904" s="4" t="s">
        <v>1142</v>
      </c>
      <c r="F904" s="4" t="s">
        <v>14</v>
      </c>
      <c r="G904" s="5">
        <v>75922293</v>
      </c>
      <c r="H904" s="5">
        <v>0</v>
      </c>
      <c r="I904" s="5">
        <v>0</v>
      </c>
      <c r="J904" s="5" t="s">
        <v>14</v>
      </c>
      <c r="K904" s="5">
        <v>75922293</v>
      </c>
    </row>
    <row r="905" spans="1:11" x14ac:dyDescent="0.25">
      <c r="A905" s="4" t="s">
        <v>11</v>
      </c>
      <c r="B905" s="4" t="s">
        <v>1092</v>
      </c>
      <c r="C905" s="4" t="s">
        <v>26</v>
      </c>
      <c r="D905" s="4">
        <v>5115020531</v>
      </c>
      <c r="E905" s="4" t="s">
        <v>673</v>
      </c>
      <c r="F905" s="4" t="s">
        <v>14</v>
      </c>
      <c r="G905" s="5">
        <v>9114312</v>
      </c>
      <c r="H905" s="5">
        <v>0</v>
      </c>
      <c r="I905" s="5">
        <v>0</v>
      </c>
      <c r="J905" s="5" t="s">
        <v>14</v>
      </c>
      <c r="K905" s="5">
        <v>9114312</v>
      </c>
    </row>
    <row r="906" spans="1:11" x14ac:dyDescent="0.25">
      <c r="A906" s="4" t="s">
        <v>11</v>
      </c>
      <c r="B906" s="4" t="s">
        <v>1092</v>
      </c>
      <c r="C906" s="4" t="s">
        <v>26</v>
      </c>
      <c r="D906" s="4">
        <v>5115020532</v>
      </c>
      <c r="E906" s="4" t="s">
        <v>675</v>
      </c>
      <c r="F906" s="4" t="s">
        <v>14</v>
      </c>
      <c r="G906" s="5">
        <v>76981504</v>
      </c>
      <c r="H906" s="5">
        <v>0</v>
      </c>
      <c r="I906" s="5">
        <v>0</v>
      </c>
      <c r="J906" s="5" t="s">
        <v>14</v>
      </c>
      <c r="K906" s="5">
        <v>76981504</v>
      </c>
    </row>
    <row r="907" spans="1:11" x14ac:dyDescent="0.25">
      <c r="A907" s="4" t="s">
        <v>11</v>
      </c>
      <c r="B907" s="4" t="s">
        <v>1092</v>
      </c>
      <c r="C907" s="4" t="s">
        <v>26</v>
      </c>
      <c r="D907" s="4">
        <v>5115020533</v>
      </c>
      <c r="E907" s="4" t="s">
        <v>1146</v>
      </c>
      <c r="F907" s="4" t="s">
        <v>14</v>
      </c>
      <c r="G907" s="5">
        <v>44874163.920000002</v>
      </c>
      <c r="H907" s="5">
        <v>0</v>
      </c>
      <c r="I907" s="5">
        <v>0</v>
      </c>
      <c r="J907" s="5" t="s">
        <v>14</v>
      </c>
      <c r="K907" s="5">
        <v>44874163.920000002</v>
      </c>
    </row>
    <row r="908" spans="1:11" x14ac:dyDescent="0.25">
      <c r="A908" s="4" t="s">
        <v>11</v>
      </c>
      <c r="B908" s="4" t="s">
        <v>1092</v>
      </c>
      <c r="C908" s="4" t="s">
        <v>26</v>
      </c>
      <c r="D908" s="4">
        <v>5115020540</v>
      </c>
      <c r="E908" s="4" t="s">
        <v>1148</v>
      </c>
      <c r="F908" s="4" t="s">
        <v>14</v>
      </c>
      <c r="G908" s="5">
        <v>91233630</v>
      </c>
      <c r="H908" s="5">
        <v>276995</v>
      </c>
      <c r="I908" s="5">
        <v>0</v>
      </c>
      <c r="J908" s="5" t="s">
        <v>14</v>
      </c>
      <c r="K908" s="5">
        <v>91510625</v>
      </c>
    </row>
    <row r="909" spans="1:11" x14ac:dyDescent="0.25">
      <c r="A909" s="4" t="s">
        <v>11</v>
      </c>
      <c r="B909" s="4" t="s">
        <v>1092</v>
      </c>
      <c r="C909" s="4" t="s">
        <v>26</v>
      </c>
      <c r="D909" s="4">
        <v>5115020541</v>
      </c>
      <c r="E909" s="4" t="s">
        <v>1150</v>
      </c>
      <c r="F909" s="4" t="s">
        <v>14</v>
      </c>
      <c r="G909" s="5">
        <v>122094314</v>
      </c>
      <c r="H909" s="5">
        <v>391052</v>
      </c>
      <c r="I909" s="5">
        <v>0</v>
      </c>
      <c r="J909" s="5" t="s">
        <v>14</v>
      </c>
      <c r="K909" s="5">
        <v>122485366</v>
      </c>
    </row>
    <row r="910" spans="1:11" x14ac:dyDescent="0.25">
      <c r="A910" s="4" t="s">
        <v>11</v>
      </c>
      <c r="B910" s="4" t="s">
        <v>1092</v>
      </c>
      <c r="C910" s="4" t="s">
        <v>26</v>
      </c>
      <c r="D910" s="4">
        <v>5115020542</v>
      </c>
      <c r="E910" s="4" t="s">
        <v>1152</v>
      </c>
      <c r="F910" s="4" t="s">
        <v>14</v>
      </c>
      <c r="G910" s="5">
        <v>25177460</v>
      </c>
      <c r="H910" s="5">
        <v>79384</v>
      </c>
      <c r="I910" s="5">
        <v>0</v>
      </c>
      <c r="J910" s="5" t="s">
        <v>14</v>
      </c>
      <c r="K910" s="5">
        <v>25256844</v>
      </c>
    </row>
    <row r="911" spans="1:11" x14ac:dyDescent="0.25">
      <c r="A911" s="4" t="s">
        <v>11</v>
      </c>
      <c r="B911" s="4" t="s">
        <v>1092</v>
      </c>
      <c r="C911" s="4" t="s">
        <v>26</v>
      </c>
      <c r="D911" s="4">
        <v>5115020550</v>
      </c>
      <c r="E911" s="4" t="s">
        <v>1154</v>
      </c>
      <c r="F911" s="4" t="s">
        <v>14</v>
      </c>
      <c r="G911" s="5">
        <v>40824089.770000003</v>
      </c>
      <c r="H911" s="5">
        <v>342039.76</v>
      </c>
      <c r="I911" s="5">
        <v>0</v>
      </c>
      <c r="J911" s="5" t="s">
        <v>14</v>
      </c>
      <c r="K911" s="5">
        <v>41166129.530000001</v>
      </c>
    </row>
    <row r="912" spans="1:11" x14ac:dyDescent="0.25">
      <c r="A912" s="4" t="s">
        <v>11</v>
      </c>
      <c r="B912" s="4" t="s">
        <v>1092</v>
      </c>
      <c r="C912" s="4" t="s">
        <v>26</v>
      </c>
      <c r="D912" s="4">
        <v>5115020551</v>
      </c>
      <c r="E912" s="4" t="s">
        <v>1156</v>
      </c>
      <c r="F912" s="4" t="s">
        <v>14</v>
      </c>
      <c r="G912" s="5">
        <v>30446071</v>
      </c>
      <c r="H912" s="5">
        <v>98143</v>
      </c>
      <c r="I912" s="5">
        <v>0</v>
      </c>
      <c r="J912" s="5" t="s">
        <v>14</v>
      </c>
      <c r="K912" s="5">
        <v>30544214</v>
      </c>
    </row>
    <row r="913" spans="1:11" x14ac:dyDescent="0.25">
      <c r="A913" s="4" t="s">
        <v>11</v>
      </c>
      <c r="B913" s="4" t="s">
        <v>1092</v>
      </c>
      <c r="C913" s="4" t="s">
        <v>26</v>
      </c>
      <c r="D913" s="4">
        <v>5115020552</v>
      </c>
      <c r="E913" s="4" t="s">
        <v>1158</v>
      </c>
      <c r="F913" s="4" t="s">
        <v>14</v>
      </c>
      <c r="G913" s="5">
        <v>20298284</v>
      </c>
      <c r="H913" s="5">
        <v>65428</v>
      </c>
      <c r="I913" s="5">
        <v>0</v>
      </c>
      <c r="J913" s="5" t="s">
        <v>14</v>
      </c>
      <c r="K913" s="5">
        <v>20363712</v>
      </c>
    </row>
    <row r="914" spans="1:11" x14ac:dyDescent="0.25">
      <c r="A914" s="4" t="s">
        <v>11</v>
      </c>
      <c r="B914" s="4" t="s">
        <v>1092</v>
      </c>
      <c r="C914" s="4" t="s">
        <v>23</v>
      </c>
      <c r="D914" s="4">
        <v>51150210</v>
      </c>
      <c r="E914" s="4" t="s">
        <v>1160</v>
      </c>
      <c r="F914" s="4" t="s">
        <v>14</v>
      </c>
      <c r="G914" s="5">
        <v>7978117</v>
      </c>
      <c r="H914" s="5">
        <v>0</v>
      </c>
      <c r="I914" s="5">
        <v>0</v>
      </c>
      <c r="J914" s="5" t="s">
        <v>14</v>
      </c>
      <c r="K914" s="5">
        <v>7978117</v>
      </c>
    </row>
    <row r="915" spans="1:11" x14ac:dyDescent="0.25">
      <c r="A915" s="4" t="s">
        <v>11</v>
      </c>
      <c r="B915" s="4" t="s">
        <v>1092</v>
      </c>
      <c r="C915" s="4" t="s">
        <v>26</v>
      </c>
      <c r="D915" s="4">
        <v>5115021005</v>
      </c>
      <c r="E915" s="4" t="s">
        <v>1162</v>
      </c>
      <c r="F915" s="4" t="s">
        <v>14</v>
      </c>
      <c r="G915" s="5">
        <v>2315000</v>
      </c>
      <c r="H915" s="5">
        <v>0</v>
      </c>
      <c r="I915" s="5">
        <v>0</v>
      </c>
      <c r="J915" s="5" t="s">
        <v>14</v>
      </c>
      <c r="K915" s="5">
        <v>2315000</v>
      </c>
    </row>
    <row r="916" spans="1:11" x14ac:dyDescent="0.25">
      <c r="A916" s="4" t="s">
        <v>11</v>
      </c>
      <c r="B916" s="4" t="s">
        <v>1092</v>
      </c>
      <c r="C916" s="4" t="s">
        <v>26</v>
      </c>
      <c r="D916" s="4">
        <v>5115021010</v>
      </c>
      <c r="E916" s="4" t="s">
        <v>1164</v>
      </c>
      <c r="F916" s="4" t="s">
        <v>14</v>
      </c>
      <c r="G916" s="5">
        <v>605000</v>
      </c>
      <c r="H916" s="5">
        <v>0</v>
      </c>
      <c r="I916" s="5">
        <v>0</v>
      </c>
      <c r="J916" s="5" t="s">
        <v>14</v>
      </c>
      <c r="K916" s="5">
        <v>605000</v>
      </c>
    </row>
    <row r="917" spans="1:11" x14ac:dyDescent="0.25">
      <c r="A917" s="4" t="s">
        <v>11</v>
      </c>
      <c r="B917" s="4" t="s">
        <v>1092</v>
      </c>
      <c r="C917" s="4" t="s">
        <v>26</v>
      </c>
      <c r="D917" s="4">
        <v>5115021015</v>
      </c>
      <c r="E917" s="4" t="s">
        <v>1166</v>
      </c>
      <c r="F917" s="4" t="s">
        <v>14</v>
      </c>
      <c r="G917" s="5">
        <v>4333709</v>
      </c>
      <c r="H917" s="5">
        <v>0</v>
      </c>
      <c r="I917" s="5">
        <v>0</v>
      </c>
      <c r="J917" s="5" t="s">
        <v>14</v>
      </c>
      <c r="K917" s="5">
        <v>4333709</v>
      </c>
    </row>
    <row r="918" spans="1:11" x14ac:dyDescent="0.25">
      <c r="A918" s="4" t="s">
        <v>11</v>
      </c>
      <c r="B918" s="4" t="s">
        <v>1092</v>
      </c>
      <c r="C918" s="4" t="s">
        <v>26</v>
      </c>
      <c r="D918" s="4">
        <v>5115021040</v>
      </c>
      <c r="E918" s="4" t="s">
        <v>1172</v>
      </c>
      <c r="F918" s="4" t="s">
        <v>14</v>
      </c>
      <c r="G918" s="5">
        <v>209000</v>
      </c>
      <c r="H918" s="5">
        <v>0</v>
      </c>
      <c r="I918" s="5">
        <v>0</v>
      </c>
      <c r="J918" s="5" t="s">
        <v>14</v>
      </c>
      <c r="K918" s="5">
        <v>209000</v>
      </c>
    </row>
    <row r="919" spans="1:11" x14ac:dyDescent="0.25">
      <c r="A919" s="4" t="s">
        <v>11</v>
      </c>
      <c r="B919" s="4" t="s">
        <v>1092</v>
      </c>
      <c r="C919" s="4" t="s">
        <v>26</v>
      </c>
      <c r="D919" s="4">
        <v>5115021045</v>
      </c>
      <c r="E919" s="4" t="s">
        <v>1174</v>
      </c>
      <c r="F919" s="4" t="s">
        <v>14</v>
      </c>
      <c r="G919" s="5">
        <v>400457</v>
      </c>
      <c r="H919" s="5">
        <v>0</v>
      </c>
      <c r="I919" s="5">
        <v>0</v>
      </c>
      <c r="J919" s="5" t="s">
        <v>14</v>
      </c>
      <c r="K919" s="5">
        <v>400457</v>
      </c>
    </row>
    <row r="920" spans="1:11" x14ac:dyDescent="0.25">
      <c r="A920" s="4" t="s">
        <v>11</v>
      </c>
      <c r="B920" s="4" t="s">
        <v>1092</v>
      </c>
      <c r="C920" s="4" t="s">
        <v>26</v>
      </c>
      <c r="D920" s="4">
        <v>5115021050</v>
      </c>
      <c r="E920" s="4" t="s">
        <v>1176</v>
      </c>
      <c r="F920" s="4" t="s">
        <v>14</v>
      </c>
      <c r="G920" s="5">
        <v>114951</v>
      </c>
      <c r="H920" s="5">
        <v>0</v>
      </c>
      <c r="I920" s="5">
        <v>0</v>
      </c>
      <c r="J920" s="5" t="s">
        <v>14</v>
      </c>
      <c r="K920" s="5">
        <v>114951</v>
      </c>
    </row>
    <row r="921" spans="1:11" x14ac:dyDescent="0.25">
      <c r="A921" s="4" t="s">
        <v>11</v>
      </c>
      <c r="B921" s="4" t="s">
        <v>1092</v>
      </c>
      <c r="C921" s="4" t="s">
        <v>23</v>
      </c>
      <c r="D921" s="4">
        <v>51150215</v>
      </c>
      <c r="E921" s="4" t="s">
        <v>1445</v>
      </c>
      <c r="F921" s="4" t="s">
        <v>14</v>
      </c>
      <c r="G921" s="5">
        <v>17604946</v>
      </c>
      <c r="H921" s="5">
        <v>2000100</v>
      </c>
      <c r="I921" s="5">
        <v>0</v>
      </c>
      <c r="J921" s="5" t="s">
        <v>14</v>
      </c>
      <c r="K921" s="5">
        <v>19605046</v>
      </c>
    </row>
    <row r="922" spans="1:11" x14ac:dyDescent="0.25">
      <c r="A922" s="4" t="s">
        <v>11</v>
      </c>
      <c r="B922" s="4" t="s">
        <v>1092</v>
      </c>
      <c r="C922" s="4" t="s">
        <v>26</v>
      </c>
      <c r="D922" s="4">
        <v>5115021510</v>
      </c>
      <c r="E922" s="4" t="s">
        <v>1447</v>
      </c>
      <c r="F922" s="4" t="s">
        <v>14</v>
      </c>
      <c r="G922" s="5">
        <v>17604946</v>
      </c>
      <c r="H922" s="5">
        <v>2000100</v>
      </c>
      <c r="I922" s="5">
        <v>0</v>
      </c>
      <c r="J922" s="5" t="s">
        <v>14</v>
      </c>
      <c r="K922" s="5">
        <v>19605046</v>
      </c>
    </row>
    <row r="923" spans="1:11" x14ac:dyDescent="0.25">
      <c r="A923" s="4" t="s">
        <v>11</v>
      </c>
      <c r="B923" s="4" t="s">
        <v>1092</v>
      </c>
      <c r="C923" s="4" t="s">
        <v>21</v>
      </c>
      <c r="D923" s="4">
        <v>511503</v>
      </c>
      <c r="E923" s="4" t="s">
        <v>1178</v>
      </c>
      <c r="F923" s="4" t="s">
        <v>14</v>
      </c>
      <c r="G923" s="5">
        <v>2836707547.8299999</v>
      </c>
      <c r="H923" s="5">
        <v>166635521.34999999</v>
      </c>
      <c r="I923" s="5">
        <v>0</v>
      </c>
      <c r="J923" s="5" t="s">
        <v>14</v>
      </c>
      <c r="K923" s="5">
        <v>3003343069.1799998</v>
      </c>
    </row>
    <row r="924" spans="1:11" x14ac:dyDescent="0.25">
      <c r="A924" s="4" t="s">
        <v>11</v>
      </c>
      <c r="B924" s="4" t="s">
        <v>1092</v>
      </c>
      <c r="C924" s="4" t="s">
        <v>23</v>
      </c>
      <c r="D924" s="4">
        <v>51150310</v>
      </c>
      <c r="E924" s="4" t="s">
        <v>1180</v>
      </c>
      <c r="F924" s="4" t="s">
        <v>14</v>
      </c>
      <c r="G924" s="5">
        <v>25115092</v>
      </c>
      <c r="H924" s="5">
        <v>0</v>
      </c>
      <c r="I924" s="5">
        <v>0</v>
      </c>
      <c r="J924" s="5" t="s">
        <v>14</v>
      </c>
      <c r="K924" s="5">
        <v>25115092</v>
      </c>
    </row>
    <row r="925" spans="1:11" x14ac:dyDescent="0.25">
      <c r="A925" s="4" t="s">
        <v>11</v>
      </c>
      <c r="B925" s="4" t="s">
        <v>1092</v>
      </c>
      <c r="C925" s="4" t="s">
        <v>26</v>
      </c>
      <c r="D925" s="4">
        <v>5115031015</v>
      </c>
      <c r="E925" s="4" t="s">
        <v>1451</v>
      </c>
      <c r="F925" s="4" t="s">
        <v>14</v>
      </c>
      <c r="G925" s="5">
        <v>20112682</v>
      </c>
      <c r="H925" s="5">
        <v>0</v>
      </c>
      <c r="I925" s="5">
        <v>0</v>
      </c>
      <c r="J925" s="5" t="s">
        <v>14</v>
      </c>
      <c r="K925" s="5">
        <v>20112682</v>
      </c>
    </row>
    <row r="926" spans="1:11" x14ac:dyDescent="0.25">
      <c r="A926" s="4" t="s">
        <v>11</v>
      </c>
      <c r="B926" s="4" t="s">
        <v>1092</v>
      </c>
      <c r="C926" s="4" t="s">
        <v>26</v>
      </c>
      <c r="D926" s="4">
        <v>5115031045</v>
      </c>
      <c r="E926" s="4" t="s">
        <v>552</v>
      </c>
      <c r="F926" s="4" t="s">
        <v>14</v>
      </c>
      <c r="G926" s="5">
        <v>1200000</v>
      </c>
      <c r="H926" s="5">
        <v>0</v>
      </c>
      <c r="I926" s="5">
        <v>0</v>
      </c>
      <c r="J926" s="5" t="s">
        <v>14</v>
      </c>
      <c r="K926" s="5">
        <v>1200000</v>
      </c>
    </row>
    <row r="927" spans="1:11" x14ac:dyDescent="0.25">
      <c r="A927" s="4" t="s">
        <v>11</v>
      </c>
      <c r="B927" s="4" t="s">
        <v>1092</v>
      </c>
      <c r="C927" s="4" t="s">
        <v>26</v>
      </c>
      <c r="D927" s="4">
        <v>5115031060</v>
      </c>
      <c r="E927" s="4" t="s">
        <v>1454</v>
      </c>
      <c r="F927" s="4" t="s">
        <v>14</v>
      </c>
      <c r="G927" s="5">
        <v>3574410</v>
      </c>
      <c r="H927" s="5">
        <v>0</v>
      </c>
      <c r="I927" s="5">
        <v>0</v>
      </c>
      <c r="J927" s="5" t="s">
        <v>14</v>
      </c>
      <c r="K927" s="5">
        <v>3574410</v>
      </c>
    </row>
    <row r="928" spans="1:11" x14ac:dyDescent="0.25">
      <c r="A928" s="4" t="s">
        <v>11</v>
      </c>
      <c r="B928" s="4" t="s">
        <v>1092</v>
      </c>
      <c r="C928" s="4" t="s">
        <v>26</v>
      </c>
      <c r="D928" s="4">
        <v>5115031075</v>
      </c>
      <c r="E928" s="4" t="s">
        <v>1187</v>
      </c>
      <c r="F928" s="4" t="s">
        <v>14</v>
      </c>
      <c r="G928" s="5">
        <v>228000</v>
      </c>
      <c r="H928" s="5">
        <v>0</v>
      </c>
      <c r="I928" s="5">
        <v>0</v>
      </c>
      <c r="J928" s="5" t="s">
        <v>14</v>
      </c>
      <c r="K928" s="5">
        <v>228000</v>
      </c>
    </row>
    <row r="929" spans="1:11" x14ac:dyDescent="0.25">
      <c r="A929" s="4" t="s">
        <v>11</v>
      </c>
      <c r="B929" s="4" t="s">
        <v>1092</v>
      </c>
      <c r="C929" s="4" t="s">
        <v>23</v>
      </c>
      <c r="D929" s="4">
        <v>51150315</v>
      </c>
      <c r="E929" s="4" t="s">
        <v>1189</v>
      </c>
      <c r="F929" s="4" t="s">
        <v>14</v>
      </c>
      <c r="G929" s="5">
        <v>43746735</v>
      </c>
      <c r="H929" s="5">
        <v>8749347</v>
      </c>
      <c r="I929" s="5">
        <v>0</v>
      </c>
      <c r="J929" s="5" t="s">
        <v>14</v>
      </c>
      <c r="K929" s="5">
        <v>52496082</v>
      </c>
    </row>
    <row r="930" spans="1:11" x14ac:dyDescent="0.25">
      <c r="A930" s="4" t="s">
        <v>11</v>
      </c>
      <c r="B930" s="4" t="s">
        <v>1092</v>
      </c>
      <c r="C930" s="4" t="s">
        <v>26</v>
      </c>
      <c r="D930" s="4">
        <v>5115031510</v>
      </c>
      <c r="E930" s="4" t="s">
        <v>439</v>
      </c>
      <c r="F930" s="4" t="s">
        <v>14</v>
      </c>
      <c r="G930" s="5">
        <v>43746735</v>
      </c>
      <c r="H930" s="5">
        <v>8749347</v>
      </c>
      <c r="I930" s="5">
        <v>0</v>
      </c>
      <c r="J930" s="5" t="s">
        <v>14</v>
      </c>
      <c r="K930" s="5">
        <v>52496082</v>
      </c>
    </row>
    <row r="931" spans="1:11" x14ac:dyDescent="0.25">
      <c r="A931" s="4" t="s">
        <v>11</v>
      </c>
      <c r="B931" s="4" t="s">
        <v>1092</v>
      </c>
      <c r="C931" s="4" t="s">
        <v>23</v>
      </c>
      <c r="D931" s="4">
        <v>51150320</v>
      </c>
      <c r="E931" s="4" t="s">
        <v>227</v>
      </c>
      <c r="F931" s="4" t="s">
        <v>14</v>
      </c>
      <c r="G931" s="5">
        <v>25781104</v>
      </c>
      <c r="H931" s="5">
        <v>665810</v>
      </c>
      <c r="I931" s="5">
        <v>0</v>
      </c>
      <c r="J931" s="5" t="s">
        <v>14</v>
      </c>
      <c r="K931" s="5">
        <v>26446914</v>
      </c>
    </row>
    <row r="932" spans="1:11" x14ac:dyDescent="0.25">
      <c r="A932" s="4" t="s">
        <v>11</v>
      </c>
      <c r="B932" s="4" t="s">
        <v>1092</v>
      </c>
      <c r="C932" s="4" t="s">
        <v>26</v>
      </c>
      <c r="D932" s="4">
        <v>5115032010</v>
      </c>
      <c r="E932" s="4" t="s">
        <v>1195</v>
      </c>
      <c r="F932" s="4" t="s">
        <v>14</v>
      </c>
      <c r="G932" s="5">
        <v>2999578</v>
      </c>
      <c r="H932" s="5">
        <v>0</v>
      </c>
      <c r="I932" s="5">
        <v>0</v>
      </c>
      <c r="J932" s="5" t="s">
        <v>14</v>
      </c>
      <c r="K932" s="5">
        <v>2999578</v>
      </c>
    </row>
    <row r="933" spans="1:11" x14ac:dyDescent="0.25">
      <c r="A933" s="4" t="s">
        <v>11</v>
      </c>
      <c r="B933" s="4" t="s">
        <v>1092</v>
      </c>
      <c r="C933" s="4" t="s">
        <v>26</v>
      </c>
      <c r="D933" s="4">
        <v>5115032015</v>
      </c>
      <c r="E933" s="4" t="s">
        <v>1461</v>
      </c>
      <c r="F933" s="4" t="s">
        <v>14</v>
      </c>
      <c r="G933" s="5">
        <v>20546385</v>
      </c>
      <c r="H933" s="5">
        <v>559504</v>
      </c>
      <c r="I933" s="5">
        <v>0</v>
      </c>
      <c r="J933" s="5" t="s">
        <v>14</v>
      </c>
      <c r="K933" s="5">
        <v>21105889</v>
      </c>
    </row>
    <row r="934" spans="1:11" x14ac:dyDescent="0.25">
      <c r="A934" s="4" t="s">
        <v>11</v>
      </c>
      <c r="B934" s="4" t="s">
        <v>1092</v>
      </c>
      <c r="C934" s="4" t="s">
        <v>26</v>
      </c>
      <c r="D934" s="4">
        <v>5115032040</v>
      </c>
      <c r="E934" s="4" t="s">
        <v>1463</v>
      </c>
      <c r="F934" s="4" t="s">
        <v>14</v>
      </c>
      <c r="G934" s="5">
        <v>1664812</v>
      </c>
      <c r="H934" s="5">
        <v>106306</v>
      </c>
      <c r="I934" s="5">
        <v>0</v>
      </c>
      <c r="J934" s="5" t="s">
        <v>14</v>
      </c>
      <c r="K934" s="5">
        <v>1771118</v>
      </c>
    </row>
    <row r="935" spans="1:11" x14ac:dyDescent="0.25">
      <c r="A935" s="4" t="s">
        <v>11</v>
      </c>
      <c r="B935" s="4" t="s">
        <v>1092</v>
      </c>
      <c r="C935" s="4" t="s">
        <v>26</v>
      </c>
      <c r="D935" s="4">
        <v>5115032045</v>
      </c>
      <c r="E935" s="4" t="s">
        <v>1197</v>
      </c>
      <c r="F935" s="4" t="s">
        <v>14</v>
      </c>
      <c r="G935" s="5">
        <v>570329</v>
      </c>
      <c r="H935" s="5">
        <v>0</v>
      </c>
      <c r="I935" s="5">
        <v>0</v>
      </c>
      <c r="J935" s="5" t="s">
        <v>14</v>
      </c>
      <c r="K935" s="5">
        <v>570329</v>
      </c>
    </row>
    <row r="936" spans="1:11" x14ac:dyDescent="0.25">
      <c r="A936" s="4" t="s">
        <v>11</v>
      </c>
      <c r="B936" s="4" t="s">
        <v>1092</v>
      </c>
      <c r="C936" s="4" t="s">
        <v>23</v>
      </c>
      <c r="D936" s="4">
        <v>51150330</v>
      </c>
      <c r="E936" s="4" t="s">
        <v>437</v>
      </c>
      <c r="F936" s="4" t="s">
        <v>14</v>
      </c>
      <c r="G936" s="5">
        <v>27926497</v>
      </c>
      <c r="H936" s="5">
        <v>0</v>
      </c>
      <c r="I936" s="5">
        <v>0</v>
      </c>
      <c r="J936" s="5" t="s">
        <v>14</v>
      </c>
      <c r="K936" s="5">
        <v>27926497</v>
      </c>
    </row>
    <row r="937" spans="1:11" x14ac:dyDescent="0.25">
      <c r="A937" s="4" t="s">
        <v>11</v>
      </c>
      <c r="B937" s="4" t="s">
        <v>1092</v>
      </c>
      <c r="C937" s="4" t="s">
        <v>26</v>
      </c>
      <c r="D937" s="4">
        <v>5115033010</v>
      </c>
      <c r="E937" s="4" t="s">
        <v>1212</v>
      </c>
      <c r="F937" s="4" t="s">
        <v>14</v>
      </c>
      <c r="G937" s="5">
        <v>6145820</v>
      </c>
      <c r="H937" s="5">
        <v>0</v>
      </c>
      <c r="I937" s="5">
        <v>0</v>
      </c>
      <c r="J937" s="5" t="s">
        <v>14</v>
      </c>
      <c r="K937" s="5">
        <v>6145820</v>
      </c>
    </row>
    <row r="938" spans="1:11" x14ac:dyDescent="0.25">
      <c r="A938" s="4" t="s">
        <v>11</v>
      </c>
      <c r="B938" s="4" t="s">
        <v>1092</v>
      </c>
      <c r="C938" s="4" t="s">
        <v>26</v>
      </c>
      <c r="D938" s="4">
        <v>5115033015</v>
      </c>
      <c r="E938" s="4" t="s">
        <v>1214</v>
      </c>
      <c r="F938" s="4" t="s">
        <v>14</v>
      </c>
      <c r="G938" s="5">
        <v>21441690</v>
      </c>
      <c r="H938" s="5">
        <v>0</v>
      </c>
      <c r="I938" s="5">
        <v>0</v>
      </c>
      <c r="J938" s="5" t="s">
        <v>14</v>
      </c>
      <c r="K938" s="5">
        <v>21441690</v>
      </c>
    </row>
    <row r="939" spans="1:11" x14ac:dyDescent="0.25">
      <c r="A939" s="4" t="s">
        <v>11</v>
      </c>
      <c r="B939" s="4" t="s">
        <v>1092</v>
      </c>
      <c r="C939" s="4" t="s">
        <v>26</v>
      </c>
      <c r="D939" s="4">
        <v>5115033020</v>
      </c>
      <c r="E939" s="4" t="s">
        <v>1345</v>
      </c>
      <c r="F939" s="4" t="s">
        <v>14</v>
      </c>
      <c r="G939" s="5">
        <v>284863</v>
      </c>
      <c r="H939" s="5">
        <v>0</v>
      </c>
      <c r="I939" s="5">
        <v>0</v>
      </c>
      <c r="J939" s="5" t="s">
        <v>14</v>
      </c>
      <c r="K939" s="5">
        <v>284863</v>
      </c>
    </row>
    <row r="940" spans="1:11" x14ac:dyDescent="0.25">
      <c r="A940" s="4" t="s">
        <v>11</v>
      </c>
      <c r="B940" s="4" t="s">
        <v>1092</v>
      </c>
      <c r="C940" s="4" t="s">
        <v>26</v>
      </c>
      <c r="D940" s="4">
        <v>5115033045</v>
      </c>
      <c r="E940" s="4" t="s">
        <v>1351</v>
      </c>
      <c r="F940" s="4" t="s">
        <v>14</v>
      </c>
      <c r="G940" s="5">
        <v>54124</v>
      </c>
      <c r="H940" s="5">
        <v>0</v>
      </c>
      <c r="I940" s="5">
        <v>0</v>
      </c>
      <c r="J940" s="5" t="s">
        <v>14</v>
      </c>
      <c r="K940" s="5">
        <v>54124</v>
      </c>
    </row>
    <row r="941" spans="1:11" x14ac:dyDescent="0.25">
      <c r="A941" s="4" t="s">
        <v>11</v>
      </c>
      <c r="B941" s="4" t="s">
        <v>1092</v>
      </c>
      <c r="C941" s="4" t="s">
        <v>23</v>
      </c>
      <c r="D941" s="4">
        <v>51150335</v>
      </c>
      <c r="E941" s="4" t="s">
        <v>566</v>
      </c>
      <c r="F941" s="4" t="s">
        <v>14</v>
      </c>
      <c r="G941" s="5">
        <v>165311389.97</v>
      </c>
      <c r="H941" s="5">
        <v>8863556.3499999996</v>
      </c>
      <c r="I941" s="5">
        <v>0</v>
      </c>
      <c r="J941" s="5" t="s">
        <v>14</v>
      </c>
      <c r="K941" s="5">
        <v>174174946.31999999</v>
      </c>
    </row>
    <row r="942" spans="1:11" x14ac:dyDescent="0.25">
      <c r="A942" s="4" t="s">
        <v>11</v>
      </c>
      <c r="B942" s="4" t="s">
        <v>1092</v>
      </c>
      <c r="C942" s="4" t="s">
        <v>26</v>
      </c>
      <c r="D942" s="4">
        <v>5115033505</v>
      </c>
      <c r="E942" s="4" t="s">
        <v>1219</v>
      </c>
      <c r="F942" s="4" t="s">
        <v>14</v>
      </c>
      <c r="G942" s="5">
        <v>28062325</v>
      </c>
      <c r="H942" s="5">
        <v>1923255.52</v>
      </c>
      <c r="I942" s="5">
        <v>0</v>
      </c>
      <c r="J942" s="5" t="s">
        <v>14</v>
      </c>
      <c r="K942" s="5">
        <v>29985580.52</v>
      </c>
    </row>
    <row r="943" spans="1:11" x14ac:dyDescent="0.25">
      <c r="A943" s="4" t="s">
        <v>11</v>
      </c>
      <c r="B943" s="4" t="s">
        <v>1092</v>
      </c>
      <c r="C943" s="4" t="s">
        <v>26</v>
      </c>
      <c r="D943" s="4">
        <v>5115033510</v>
      </c>
      <c r="E943" s="4" t="s">
        <v>1221</v>
      </c>
      <c r="F943" s="4" t="s">
        <v>14</v>
      </c>
      <c r="G943" s="5">
        <v>8417657.3900000006</v>
      </c>
      <c r="H943" s="5">
        <v>852734.88</v>
      </c>
      <c r="I943" s="5">
        <v>0</v>
      </c>
      <c r="J943" s="5" t="s">
        <v>14</v>
      </c>
      <c r="K943" s="5">
        <v>9270392.2699999996</v>
      </c>
    </row>
    <row r="944" spans="1:11" x14ac:dyDescent="0.25">
      <c r="A944" s="4" t="s">
        <v>11</v>
      </c>
      <c r="B944" s="4" t="s">
        <v>1092</v>
      </c>
      <c r="C944" s="4" t="s">
        <v>26</v>
      </c>
      <c r="D944" s="4">
        <v>5115033515</v>
      </c>
      <c r="E944" s="4" t="s">
        <v>1223</v>
      </c>
      <c r="F944" s="4" t="s">
        <v>14</v>
      </c>
      <c r="G944" s="5">
        <v>21920</v>
      </c>
      <c r="H944" s="5">
        <v>4390</v>
      </c>
      <c r="I944" s="5">
        <v>0</v>
      </c>
      <c r="J944" s="5" t="s">
        <v>14</v>
      </c>
      <c r="K944" s="5">
        <v>26310</v>
      </c>
    </row>
    <row r="945" spans="1:11" x14ac:dyDescent="0.25">
      <c r="A945" s="4" t="s">
        <v>11</v>
      </c>
      <c r="B945" s="4" t="s">
        <v>1092</v>
      </c>
      <c r="C945" s="4" t="s">
        <v>26</v>
      </c>
      <c r="D945" s="4">
        <v>5115033520</v>
      </c>
      <c r="E945" s="4" t="s">
        <v>1225</v>
      </c>
      <c r="F945" s="4" t="s">
        <v>14</v>
      </c>
      <c r="G945" s="5">
        <v>30397834.379999999</v>
      </c>
      <c r="H945" s="5">
        <v>2918774.55</v>
      </c>
      <c r="I945" s="5">
        <v>0</v>
      </c>
      <c r="J945" s="5" t="s">
        <v>14</v>
      </c>
      <c r="K945" s="5">
        <v>33316608.93</v>
      </c>
    </row>
    <row r="946" spans="1:11" x14ac:dyDescent="0.25">
      <c r="A946" s="4" t="s">
        <v>11</v>
      </c>
      <c r="B946" s="4" t="s">
        <v>1092</v>
      </c>
      <c r="C946" s="4" t="s">
        <v>26</v>
      </c>
      <c r="D946" s="4">
        <v>5115033525</v>
      </c>
      <c r="E946" s="4" t="s">
        <v>1227</v>
      </c>
      <c r="F946" s="4" t="s">
        <v>14</v>
      </c>
      <c r="G946" s="5">
        <v>8329448.1600000001</v>
      </c>
      <c r="H946" s="5">
        <v>952030.95</v>
      </c>
      <c r="I946" s="5">
        <v>0</v>
      </c>
      <c r="J946" s="5" t="s">
        <v>14</v>
      </c>
      <c r="K946" s="5">
        <v>9281479.1099999994</v>
      </c>
    </row>
    <row r="947" spans="1:11" x14ac:dyDescent="0.25">
      <c r="A947" s="4" t="s">
        <v>11</v>
      </c>
      <c r="B947" s="4" t="s">
        <v>1092</v>
      </c>
      <c r="C947" s="4" t="s">
        <v>26</v>
      </c>
      <c r="D947" s="4">
        <v>5115033530</v>
      </c>
      <c r="E947" s="4" t="s">
        <v>1229</v>
      </c>
      <c r="F947" s="4" t="s">
        <v>14</v>
      </c>
      <c r="G947" s="5">
        <v>1490018.24</v>
      </c>
      <c r="H947" s="5">
        <v>152803</v>
      </c>
      <c r="I947" s="5">
        <v>0</v>
      </c>
      <c r="J947" s="5" t="s">
        <v>14</v>
      </c>
      <c r="K947" s="5">
        <v>1642821.24</v>
      </c>
    </row>
    <row r="948" spans="1:11" x14ac:dyDescent="0.25">
      <c r="A948" s="4" t="s">
        <v>11</v>
      </c>
      <c r="B948" s="4" t="s">
        <v>1092</v>
      </c>
      <c r="C948" s="4" t="s">
        <v>26</v>
      </c>
      <c r="D948" s="4">
        <v>5115033535</v>
      </c>
      <c r="E948" s="4" t="s">
        <v>1231</v>
      </c>
      <c r="F948" s="4" t="s">
        <v>14</v>
      </c>
      <c r="G948" s="5">
        <v>12673194</v>
      </c>
      <c r="H948" s="5">
        <v>1231708</v>
      </c>
      <c r="I948" s="5">
        <v>0</v>
      </c>
      <c r="J948" s="5" t="s">
        <v>14</v>
      </c>
      <c r="K948" s="5">
        <v>13904902</v>
      </c>
    </row>
    <row r="949" spans="1:11" x14ac:dyDescent="0.25">
      <c r="A949" s="4" t="s">
        <v>11</v>
      </c>
      <c r="B949" s="4" t="s">
        <v>1092</v>
      </c>
      <c r="C949" s="4" t="s">
        <v>26</v>
      </c>
      <c r="D949" s="4">
        <v>5115033545</v>
      </c>
      <c r="E949" s="4" t="s">
        <v>1479</v>
      </c>
      <c r="F949" s="4" t="s">
        <v>14</v>
      </c>
      <c r="G949" s="5">
        <v>71442771</v>
      </c>
      <c r="H949" s="5">
        <v>367500</v>
      </c>
      <c r="I949" s="5">
        <v>0</v>
      </c>
      <c r="J949" s="5" t="s">
        <v>14</v>
      </c>
      <c r="K949" s="5">
        <v>71810271</v>
      </c>
    </row>
    <row r="950" spans="1:11" x14ac:dyDescent="0.25">
      <c r="A950" s="4" t="s">
        <v>11</v>
      </c>
      <c r="B950" s="4" t="s">
        <v>1092</v>
      </c>
      <c r="C950" s="4" t="s">
        <v>26</v>
      </c>
      <c r="D950" s="4">
        <v>5115033550</v>
      </c>
      <c r="E950" s="4" t="s">
        <v>1233</v>
      </c>
      <c r="F950" s="4" t="s">
        <v>14</v>
      </c>
      <c r="G950" s="5">
        <v>1634723.94</v>
      </c>
      <c r="H950" s="5">
        <v>183711.17</v>
      </c>
      <c r="I950" s="5">
        <v>0</v>
      </c>
      <c r="J950" s="5" t="s">
        <v>14</v>
      </c>
      <c r="K950" s="5">
        <v>1818435.11</v>
      </c>
    </row>
    <row r="951" spans="1:11" x14ac:dyDescent="0.25">
      <c r="A951" s="4" t="s">
        <v>11</v>
      </c>
      <c r="B951" s="4" t="s">
        <v>1092</v>
      </c>
      <c r="C951" s="4" t="s">
        <v>26</v>
      </c>
      <c r="D951" s="4">
        <v>5115033560</v>
      </c>
      <c r="E951" s="4" t="s">
        <v>1235</v>
      </c>
      <c r="F951" s="4" t="s">
        <v>14</v>
      </c>
      <c r="G951" s="5">
        <v>293734.86</v>
      </c>
      <c r="H951" s="5">
        <v>28814.28</v>
      </c>
      <c r="I951" s="5">
        <v>0</v>
      </c>
      <c r="J951" s="5" t="s">
        <v>14</v>
      </c>
      <c r="K951" s="5">
        <v>322549.14</v>
      </c>
    </row>
    <row r="952" spans="1:11" x14ac:dyDescent="0.25">
      <c r="A952" s="4" t="s">
        <v>11</v>
      </c>
      <c r="B952" s="4" t="s">
        <v>1092</v>
      </c>
      <c r="C952" s="4" t="s">
        <v>26</v>
      </c>
      <c r="D952" s="4">
        <v>5115033565</v>
      </c>
      <c r="E952" s="4" t="s">
        <v>1237</v>
      </c>
      <c r="F952" s="4" t="s">
        <v>14</v>
      </c>
      <c r="G952" s="5">
        <v>2547763</v>
      </c>
      <c r="H952" s="5">
        <v>247834</v>
      </c>
      <c r="I952" s="5">
        <v>0</v>
      </c>
      <c r="J952" s="5" t="s">
        <v>14</v>
      </c>
      <c r="K952" s="5">
        <v>2795597</v>
      </c>
    </row>
    <row r="953" spans="1:11" x14ac:dyDescent="0.25">
      <c r="A953" s="4" t="s">
        <v>11</v>
      </c>
      <c r="B953" s="4" t="s">
        <v>1092</v>
      </c>
      <c r="C953" s="4" t="s">
        <v>23</v>
      </c>
      <c r="D953" s="4">
        <v>51150336</v>
      </c>
      <c r="E953" s="4" t="s">
        <v>1239</v>
      </c>
      <c r="F953" s="4" t="s">
        <v>14</v>
      </c>
      <c r="G953" s="5">
        <v>2210404767</v>
      </c>
      <c r="H953" s="5">
        <v>130576606</v>
      </c>
      <c r="I953" s="5">
        <v>0</v>
      </c>
      <c r="J953" s="5" t="s">
        <v>14</v>
      </c>
      <c r="K953" s="5">
        <v>2340981373</v>
      </c>
    </row>
    <row r="954" spans="1:11" x14ac:dyDescent="0.25">
      <c r="A954" s="4" t="s">
        <v>11</v>
      </c>
      <c r="B954" s="4" t="s">
        <v>1092</v>
      </c>
      <c r="C954" s="4" t="s">
        <v>26</v>
      </c>
      <c r="D954" s="4">
        <v>5115033605</v>
      </c>
      <c r="E954" s="4" t="s">
        <v>1485</v>
      </c>
      <c r="F954" s="4" t="s">
        <v>14</v>
      </c>
      <c r="G954" s="5">
        <v>10039598</v>
      </c>
      <c r="H954" s="5">
        <v>0</v>
      </c>
      <c r="I954" s="5">
        <v>0</v>
      </c>
      <c r="J954" s="5" t="s">
        <v>14</v>
      </c>
      <c r="K954" s="5">
        <v>10039598</v>
      </c>
    </row>
    <row r="955" spans="1:11" x14ac:dyDescent="0.25">
      <c r="A955" s="4" t="s">
        <v>11</v>
      </c>
      <c r="B955" s="4" t="s">
        <v>1092</v>
      </c>
      <c r="C955" s="4" t="s">
        <v>26</v>
      </c>
      <c r="D955" s="4">
        <v>5115033615</v>
      </c>
      <c r="E955" s="4" t="s">
        <v>1487</v>
      </c>
      <c r="F955" s="4" t="s">
        <v>14</v>
      </c>
      <c r="G955" s="5">
        <v>22342947</v>
      </c>
      <c r="H955" s="5">
        <v>0</v>
      </c>
      <c r="I955" s="5">
        <v>0</v>
      </c>
      <c r="J955" s="5" t="s">
        <v>14</v>
      </c>
      <c r="K955" s="5">
        <v>22342947</v>
      </c>
    </row>
    <row r="956" spans="1:11" x14ac:dyDescent="0.25">
      <c r="A956" s="4" t="s">
        <v>11</v>
      </c>
      <c r="B956" s="4" t="s">
        <v>1092</v>
      </c>
      <c r="C956" s="4" t="s">
        <v>26</v>
      </c>
      <c r="D956" s="4">
        <v>5115033625</v>
      </c>
      <c r="E956" s="4" t="s">
        <v>1489</v>
      </c>
      <c r="F956" s="4" t="s">
        <v>14</v>
      </c>
      <c r="G956" s="5">
        <v>658355560</v>
      </c>
      <c r="H956" s="5">
        <v>0</v>
      </c>
      <c r="I956" s="5">
        <v>0</v>
      </c>
      <c r="J956" s="5" t="s">
        <v>14</v>
      </c>
      <c r="K956" s="5">
        <v>658355560</v>
      </c>
    </row>
    <row r="957" spans="1:11" x14ac:dyDescent="0.25">
      <c r="A957" s="4" t="s">
        <v>11</v>
      </c>
      <c r="B957" s="4" t="s">
        <v>1092</v>
      </c>
      <c r="C957" s="4" t="s">
        <v>26</v>
      </c>
      <c r="D957" s="4">
        <v>5115033630</v>
      </c>
      <c r="E957" s="4" t="s">
        <v>1241</v>
      </c>
      <c r="F957" s="4" t="s">
        <v>14</v>
      </c>
      <c r="G957" s="5">
        <v>95712873</v>
      </c>
      <c r="H957" s="5">
        <v>7585751</v>
      </c>
      <c r="I957" s="5">
        <v>0</v>
      </c>
      <c r="J957" s="5" t="s">
        <v>14</v>
      </c>
      <c r="K957" s="5">
        <v>103298624</v>
      </c>
    </row>
    <row r="958" spans="1:11" x14ac:dyDescent="0.25">
      <c r="A958" s="4" t="s">
        <v>11</v>
      </c>
      <c r="B958" s="4" t="s">
        <v>1092</v>
      </c>
      <c r="C958" s="4" t="s">
        <v>26</v>
      </c>
      <c r="D958" s="4">
        <v>5115033635</v>
      </c>
      <c r="E958" s="4" t="s">
        <v>1492</v>
      </c>
      <c r="F958" s="4" t="s">
        <v>14</v>
      </c>
      <c r="G958" s="5">
        <v>1359485944</v>
      </c>
      <c r="H958" s="5">
        <v>118247112</v>
      </c>
      <c r="I958" s="5">
        <v>0</v>
      </c>
      <c r="J958" s="5" t="s">
        <v>14</v>
      </c>
      <c r="K958" s="5">
        <v>1477733056</v>
      </c>
    </row>
    <row r="959" spans="1:11" x14ac:dyDescent="0.25">
      <c r="A959" s="4" t="s">
        <v>11</v>
      </c>
      <c r="B959" s="4" t="s">
        <v>1092</v>
      </c>
      <c r="C959" s="4" t="s">
        <v>26</v>
      </c>
      <c r="D959" s="4">
        <v>5115033640</v>
      </c>
      <c r="E959" s="4" t="s">
        <v>1239</v>
      </c>
      <c r="F959" s="4" t="s">
        <v>14</v>
      </c>
      <c r="G959" s="5">
        <v>8031990</v>
      </c>
      <c r="H959" s="5">
        <v>1260000</v>
      </c>
      <c r="I959" s="5">
        <v>0</v>
      </c>
      <c r="J959" s="5" t="s">
        <v>14</v>
      </c>
      <c r="K959" s="5">
        <v>9291990</v>
      </c>
    </row>
    <row r="960" spans="1:11" x14ac:dyDescent="0.25">
      <c r="A960" s="4" t="s">
        <v>11</v>
      </c>
      <c r="B960" s="4" t="s">
        <v>1092</v>
      </c>
      <c r="C960" s="4" t="s">
        <v>26</v>
      </c>
      <c r="D960" s="4">
        <v>5115033660</v>
      </c>
      <c r="E960" s="4" t="s">
        <v>1495</v>
      </c>
      <c r="F960" s="4" t="s">
        <v>14</v>
      </c>
      <c r="G960" s="5">
        <v>12755626</v>
      </c>
      <c r="H960" s="5">
        <v>0</v>
      </c>
      <c r="I960" s="5">
        <v>0</v>
      </c>
      <c r="J960" s="5" t="s">
        <v>14</v>
      </c>
      <c r="K960" s="5">
        <v>12755626</v>
      </c>
    </row>
    <row r="961" spans="1:11" x14ac:dyDescent="0.25">
      <c r="A961" s="4" t="s">
        <v>11</v>
      </c>
      <c r="B961" s="4" t="s">
        <v>1092</v>
      </c>
      <c r="C961" s="4" t="s">
        <v>26</v>
      </c>
      <c r="D961" s="4">
        <v>5115033670</v>
      </c>
      <c r="E961" s="4" t="s">
        <v>1497</v>
      </c>
      <c r="F961" s="4" t="s">
        <v>14</v>
      </c>
      <c r="G961" s="5">
        <v>14412927</v>
      </c>
      <c r="H961" s="5">
        <v>1441293</v>
      </c>
      <c r="I961" s="5">
        <v>0</v>
      </c>
      <c r="J961" s="5" t="s">
        <v>14</v>
      </c>
      <c r="K961" s="5">
        <v>15854220</v>
      </c>
    </row>
    <row r="962" spans="1:11" x14ac:dyDescent="0.25">
      <c r="A962" s="4" t="s">
        <v>11</v>
      </c>
      <c r="B962" s="4" t="s">
        <v>1092</v>
      </c>
      <c r="C962" s="4" t="s">
        <v>26</v>
      </c>
      <c r="D962" s="4">
        <v>5115033675</v>
      </c>
      <c r="E962" s="4" t="s">
        <v>1499</v>
      </c>
      <c r="F962" s="4" t="s">
        <v>14</v>
      </c>
      <c r="G962" s="5">
        <v>23597935</v>
      </c>
      <c r="H962" s="5">
        <v>2042450</v>
      </c>
      <c r="I962" s="5">
        <v>0</v>
      </c>
      <c r="J962" s="5" t="s">
        <v>14</v>
      </c>
      <c r="K962" s="5">
        <v>25640385</v>
      </c>
    </row>
    <row r="963" spans="1:11" x14ac:dyDescent="0.25">
      <c r="A963" s="4" t="s">
        <v>11</v>
      </c>
      <c r="B963" s="4" t="s">
        <v>1092</v>
      </c>
      <c r="C963" s="4" t="s">
        <v>26</v>
      </c>
      <c r="D963" s="4">
        <v>5115033690</v>
      </c>
      <c r="E963" s="4" t="s">
        <v>1501</v>
      </c>
      <c r="F963" s="4" t="s">
        <v>14</v>
      </c>
      <c r="G963" s="5">
        <v>1905738</v>
      </c>
      <c r="H963" s="5">
        <v>0</v>
      </c>
      <c r="I963" s="5">
        <v>0</v>
      </c>
      <c r="J963" s="5" t="s">
        <v>14</v>
      </c>
      <c r="K963" s="5">
        <v>1905738</v>
      </c>
    </row>
    <row r="964" spans="1:11" x14ac:dyDescent="0.25">
      <c r="A964" s="4" t="s">
        <v>11</v>
      </c>
      <c r="B964" s="4" t="s">
        <v>1092</v>
      </c>
      <c r="C964" s="4" t="s">
        <v>26</v>
      </c>
      <c r="D964" s="4">
        <v>5115033695</v>
      </c>
      <c r="E964" s="4" t="s">
        <v>1244</v>
      </c>
      <c r="F964" s="4" t="s">
        <v>14</v>
      </c>
      <c r="G964" s="5">
        <v>70067</v>
      </c>
      <c r="H964" s="5">
        <v>0</v>
      </c>
      <c r="I964" s="5">
        <v>0</v>
      </c>
      <c r="J964" s="5" t="s">
        <v>14</v>
      </c>
      <c r="K964" s="5">
        <v>70067</v>
      </c>
    </row>
    <row r="965" spans="1:11" x14ac:dyDescent="0.25">
      <c r="A965" s="4" t="s">
        <v>11</v>
      </c>
      <c r="B965" s="4" t="s">
        <v>1092</v>
      </c>
      <c r="C965" s="4" t="s">
        <v>26</v>
      </c>
      <c r="D965" s="4">
        <v>5115033699</v>
      </c>
      <c r="E965" s="4" t="s">
        <v>1504</v>
      </c>
      <c r="F965" s="4" t="s">
        <v>14</v>
      </c>
      <c r="G965" s="5">
        <v>3693562</v>
      </c>
      <c r="H965" s="5">
        <v>0</v>
      </c>
      <c r="I965" s="5">
        <v>0</v>
      </c>
      <c r="J965" s="5" t="s">
        <v>14</v>
      </c>
      <c r="K965" s="5">
        <v>3693562</v>
      </c>
    </row>
    <row r="966" spans="1:11" x14ac:dyDescent="0.25">
      <c r="A966" s="4" t="s">
        <v>11</v>
      </c>
      <c r="B966" s="4" t="s">
        <v>1092</v>
      </c>
      <c r="C966" s="4" t="s">
        <v>23</v>
      </c>
      <c r="D966" s="4">
        <v>51150340</v>
      </c>
      <c r="E966" s="4" t="s">
        <v>1246</v>
      </c>
      <c r="F966" s="4" t="s">
        <v>14</v>
      </c>
      <c r="G966" s="5">
        <v>327250</v>
      </c>
      <c r="H966" s="5">
        <v>0</v>
      </c>
      <c r="I966" s="5">
        <v>0</v>
      </c>
      <c r="J966" s="5" t="s">
        <v>14</v>
      </c>
      <c r="K966" s="5">
        <v>327250</v>
      </c>
    </row>
    <row r="967" spans="1:11" x14ac:dyDescent="0.25">
      <c r="A967" s="4" t="s">
        <v>11</v>
      </c>
      <c r="B967" s="4" t="s">
        <v>1092</v>
      </c>
      <c r="C967" s="4" t="s">
        <v>26</v>
      </c>
      <c r="D967" s="4">
        <v>5115034005</v>
      </c>
      <c r="E967" s="4" t="s">
        <v>1246</v>
      </c>
      <c r="F967" s="4" t="s">
        <v>14</v>
      </c>
      <c r="G967" s="5">
        <v>40000</v>
      </c>
      <c r="H967" s="5">
        <v>0</v>
      </c>
      <c r="I967" s="5">
        <v>0</v>
      </c>
      <c r="J967" s="5" t="s">
        <v>14</v>
      </c>
      <c r="K967" s="5">
        <v>40000</v>
      </c>
    </row>
    <row r="968" spans="1:11" x14ac:dyDescent="0.25">
      <c r="A968" s="4" t="s">
        <v>11</v>
      </c>
      <c r="B968" s="4" t="s">
        <v>1092</v>
      </c>
      <c r="C968" s="4" t="s">
        <v>26</v>
      </c>
      <c r="D968" s="4">
        <v>5115034010</v>
      </c>
      <c r="E968" s="4" t="s">
        <v>1249</v>
      </c>
      <c r="F968" s="4" t="s">
        <v>14</v>
      </c>
      <c r="G968" s="5">
        <v>235000</v>
      </c>
      <c r="H968" s="5">
        <v>0</v>
      </c>
      <c r="I968" s="5">
        <v>0</v>
      </c>
      <c r="J968" s="5" t="s">
        <v>14</v>
      </c>
      <c r="K968" s="5">
        <v>235000</v>
      </c>
    </row>
    <row r="969" spans="1:11" x14ac:dyDescent="0.25">
      <c r="A969" s="4" t="s">
        <v>11</v>
      </c>
      <c r="B969" s="4" t="s">
        <v>1092</v>
      </c>
      <c r="C969" s="4" t="s">
        <v>26</v>
      </c>
      <c r="D969" s="4">
        <v>5115034025</v>
      </c>
      <c r="E969" s="4" t="s">
        <v>1253</v>
      </c>
      <c r="F969" s="4" t="s">
        <v>14</v>
      </c>
      <c r="G969" s="5">
        <v>44650</v>
      </c>
      <c r="H969" s="5">
        <v>0</v>
      </c>
      <c r="I969" s="5">
        <v>0</v>
      </c>
      <c r="J969" s="5" t="s">
        <v>14</v>
      </c>
      <c r="K969" s="5">
        <v>44650</v>
      </c>
    </row>
    <row r="970" spans="1:11" x14ac:dyDescent="0.25">
      <c r="A970" s="4" t="s">
        <v>11</v>
      </c>
      <c r="B970" s="4" t="s">
        <v>1092</v>
      </c>
      <c r="C970" s="4" t="s">
        <v>26</v>
      </c>
      <c r="D970" s="4">
        <v>5115034030</v>
      </c>
      <c r="E970" s="4" t="s">
        <v>1255</v>
      </c>
      <c r="F970" s="4" t="s">
        <v>14</v>
      </c>
      <c r="G970" s="5">
        <v>7600</v>
      </c>
      <c r="H970" s="5">
        <v>0</v>
      </c>
      <c r="I970" s="5">
        <v>0</v>
      </c>
      <c r="J970" s="5" t="s">
        <v>14</v>
      </c>
      <c r="K970" s="5">
        <v>7600</v>
      </c>
    </row>
    <row r="971" spans="1:11" x14ac:dyDescent="0.25">
      <c r="A971" s="4" t="s">
        <v>11</v>
      </c>
      <c r="B971" s="4" t="s">
        <v>1092</v>
      </c>
      <c r="C971" s="4" t="s">
        <v>23</v>
      </c>
      <c r="D971" s="4">
        <v>51150345</v>
      </c>
      <c r="E971" s="4" t="s">
        <v>1257</v>
      </c>
      <c r="F971" s="4" t="s">
        <v>14</v>
      </c>
      <c r="G971" s="5">
        <v>161146237</v>
      </c>
      <c r="H971" s="5">
        <v>8331696</v>
      </c>
      <c r="I971" s="5">
        <v>0</v>
      </c>
      <c r="J971" s="5" t="s">
        <v>14</v>
      </c>
      <c r="K971" s="5">
        <v>169477933</v>
      </c>
    </row>
    <row r="972" spans="1:11" x14ac:dyDescent="0.25">
      <c r="A972" s="4" t="s">
        <v>11</v>
      </c>
      <c r="B972" s="4" t="s">
        <v>1092</v>
      </c>
      <c r="C972" s="4" t="s">
        <v>26</v>
      </c>
      <c r="D972" s="4">
        <v>5115034505</v>
      </c>
      <c r="E972" s="4" t="s">
        <v>1512</v>
      </c>
      <c r="F972" s="4" t="s">
        <v>14</v>
      </c>
      <c r="G972" s="5">
        <v>4100000</v>
      </c>
      <c r="H972" s="5">
        <v>0</v>
      </c>
      <c r="I972" s="5">
        <v>0</v>
      </c>
      <c r="J972" s="5" t="s">
        <v>14</v>
      </c>
      <c r="K972" s="5">
        <v>4100000</v>
      </c>
    </row>
    <row r="973" spans="1:11" x14ac:dyDescent="0.25">
      <c r="A973" s="4" t="s">
        <v>11</v>
      </c>
      <c r="B973" s="4" t="s">
        <v>1092</v>
      </c>
      <c r="C973" s="4" t="s">
        <v>26</v>
      </c>
      <c r="D973" s="4">
        <v>5115034510</v>
      </c>
      <c r="E973" s="4" t="s">
        <v>1514</v>
      </c>
      <c r="F973" s="4" t="s">
        <v>14</v>
      </c>
      <c r="G973" s="5">
        <v>54561449</v>
      </c>
      <c r="H973" s="5">
        <v>6200148</v>
      </c>
      <c r="I973" s="5">
        <v>0</v>
      </c>
      <c r="J973" s="5" t="s">
        <v>14</v>
      </c>
      <c r="K973" s="5">
        <v>60761597</v>
      </c>
    </row>
    <row r="974" spans="1:11" x14ac:dyDescent="0.25">
      <c r="A974" s="4" t="s">
        <v>11</v>
      </c>
      <c r="B974" s="4" t="s">
        <v>1092</v>
      </c>
      <c r="C974" s="4" t="s">
        <v>26</v>
      </c>
      <c r="D974" s="4">
        <v>5115034515</v>
      </c>
      <c r="E974" s="4" t="s">
        <v>1516</v>
      </c>
      <c r="F974" s="4" t="s">
        <v>14</v>
      </c>
      <c r="G974" s="5">
        <v>44687814</v>
      </c>
      <c r="H974" s="5">
        <v>370680</v>
      </c>
      <c r="I974" s="5">
        <v>0</v>
      </c>
      <c r="J974" s="5" t="s">
        <v>14</v>
      </c>
      <c r="K974" s="5">
        <v>45058494</v>
      </c>
    </row>
    <row r="975" spans="1:11" x14ac:dyDescent="0.25">
      <c r="A975" s="4" t="s">
        <v>11</v>
      </c>
      <c r="B975" s="4" t="s">
        <v>1092</v>
      </c>
      <c r="C975" s="4" t="s">
        <v>26</v>
      </c>
      <c r="D975" s="4">
        <v>5115034520</v>
      </c>
      <c r="E975" s="4" t="s">
        <v>1518</v>
      </c>
      <c r="F975" s="4" t="s">
        <v>14</v>
      </c>
      <c r="G975" s="5">
        <v>6632159</v>
      </c>
      <c r="H975" s="5">
        <v>0</v>
      </c>
      <c r="I975" s="5">
        <v>0</v>
      </c>
      <c r="J975" s="5" t="s">
        <v>14</v>
      </c>
      <c r="K975" s="5">
        <v>6632159</v>
      </c>
    </row>
    <row r="976" spans="1:11" x14ac:dyDescent="0.25">
      <c r="A976" s="4" t="s">
        <v>11</v>
      </c>
      <c r="B976" s="4" t="s">
        <v>1092</v>
      </c>
      <c r="C976" s="4" t="s">
        <v>26</v>
      </c>
      <c r="D976" s="4">
        <v>5115034530</v>
      </c>
      <c r="E976" s="4" t="s">
        <v>1520</v>
      </c>
      <c r="F976" s="4" t="s">
        <v>14</v>
      </c>
      <c r="G976" s="5">
        <v>12947035</v>
      </c>
      <c r="H976" s="5">
        <v>1035998</v>
      </c>
      <c r="I976" s="5">
        <v>0</v>
      </c>
      <c r="J976" s="5" t="s">
        <v>14</v>
      </c>
      <c r="K976" s="5">
        <v>13983033</v>
      </c>
    </row>
    <row r="977" spans="1:11" x14ac:dyDescent="0.25">
      <c r="A977" s="4" t="s">
        <v>11</v>
      </c>
      <c r="B977" s="4" t="s">
        <v>1092</v>
      </c>
      <c r="C977" s="4" t="s">
        <v>26</v>
      </c>
      <c r="D977" s="4">
        <v>5115034540</v>
      </c>
      <c r="E977" s="4" t="s">
        <v>1522</v>
      </c>
      <c r="F977" s="4" t="s">
        <v>14</v>
      </c>
      <c r="G977" s="5">
        <v>15246523</v>
      </c>
      <c r="H977" s="5">
        <v>0</v>
      </c>
      <c r="I977" s="5">
        <v>0</v>
      </c>
      <c r="J977" s="5" t="s">
        <v>14</v>
      </c>
      <c r="K977" s="5">
        <v>15246523</v>
      </c>
    </row>
    <row r="978" spans="1:11" x14ac:dyDescent="0.25">
      <c r="A978" s="4" t="s">
        <v>11</v>
      </c>
      <c r="B978" s="4" t="s">
        <v>1092</v>
      </c>
      <c r="C978" s="4" t="s">
        <v>26</v>
      </c>
      <c r="D978" s="4">
        <v>5115034550</v>
      </c>
      <c r="E978" s="4" t="s">
        <v>1524</v>
      </c>
      <c r="F978" s="4" t="s">
        <v>14</v>
      </c>
      <c r="G978" s="5">
        <v>779000</v>
      </c>
      <c r="H978" s="5">
        <v>0</v>
      </c>
      <c r="I978" s="5">
        <v>0</v>
      </c>
      <c r="J978" s="5" t="s">
        <v>14</v>
      </c>
      <c r="K978" s="5">
        <v>779000</v>
      </c>
    </row>
    <row r="979" spans="1:11" x14ac:dyDescent="0.25">
      <c r="A979" s="4" t="s">
        <v>11</v>
      </c>
      <c r="B979" s="4" t="s">
        <v>1092</v>
      </c>
      <c r="C979" s="4" t="s">
        <v>26</v>
      </c>
      <c r="D979" s="4">
        <v>5115034555</v>
      </c>
      <c r="E979" s="4" t="s">
        <v>1526</v>
      </c>
      <c r="F979" s="4" t="s">
        <v>14</v>
      </c>
      <c r="G979" s="5">
        <v>8909188</v>
      </c>
      <c r="H979" s="5">
        <v>457601</v>
      </c>
      <c r="I979" s="5">
        <v>0</v>
      </c>
      <c r="J979" s="5" t="s">
        <v>14</v>
      </c>
      <c r="K979" s="5">
        <v>9366789</v>
      </c>
    </row>
    <row r="980" spans="1:11" x14ac:dyDescent="0.25">
      <c r="A980" s="4" t="s">
        <v>11</v>
      </c>
      <c r="B980" s="4" t="s">
        <v>1092</v>
      </c>
      <c r="C980" s="4" t="s">
        <v>26</v>
      </c>
      <c r="D980" s="4">
        <v>5115034560</v>
      </c>
      <c r="E980" s="4" t="s">
        <v>1528</v>
      </c>
      <c r="F980" s="4" t="s">
        <v>14</v>
      </c>
      <c r="G980" s="5">
        <v>8490685</v>
      </c>
      <c r="H980" s="5">
        <v>70429</v>
      </c>
      <c r="I980" s="5">
        <v>0</v>
      </c>
      <c r="J980" s="5" t="s">
        <v>14</v>
      </c>
      <c r="K980" s="5">
        <v>8561114</v>
      </c>
    </row>
    <row r="981" spans="1:11" x14ac:dyDescent="0.25">
      <c r="A981" s="4" t="s">
        <v>11</v>
      </c>
      <c r="B981" s="4" t="s">
        <v>1092</v>
      </c>
      <c r="C981" s="4" t="s">
        <v>26</v>
      </c>
      <c r="D981" s="4">
        <v>5115034565</v>
      </c>
      <c r="E981" s="4" t="s">
        <v>1530</v>
      </c>
      <c r="F981" s="4" t="s">
        <v>14</v>
      </c>
      <c r="G981" s="5">
        <v>21970</v>
      </c>
      <c r="H981" s="5">
        <v>0</v>
      </c>
      <c r="I981" s="5">
        <v>0</v>
      </c>
      <c r="J981" s="5" t="s">
        <v>14</v>
      </c>
      <c r="K981" s="5">
        <v>21970</v>
      </c>
    </row>
    <row r="982" spans="1:11" x14ac:dyDescent="0.25">
      <c r="A982" s="4" t="s">
        <v>11</v>
      </c>
      <c r="B982" s="4" t="s">
        <v>1092</v>
      </c>
      <c r="C982" s="4" t="s">
        <v>26</v>
      </c>
      <c r="D982" s="4">
        <v>5115034575</v>
      </c>
      <c r="E982" s="4" t="s">
        <v>1532</v>
      </c>
      <c r="F982" s="4" t="s">
        <v>14</v>
      </c>
      <c r="G982" s="5">
        <v>2257912</v>
      </c>
      <c r="H982" s="5">
        <v>196840</v>
      </c>
      <c r="I982" s="5">
        <v>0</v>
      </c>
      <c r="J982" s="5" t="s">
        <v>14</v>
      </c>
      <c r="K982" s="5">
        <v>2454752</v>
      </c>
    </row>
    <row r="983" spans="1:11" x14ac:dyDescent="0.25">
      <c r="A983" s="4" t="s">
        <v>11</v>
      </c>
      <c r="B983" s="4" t="s">
        <v>1092</v>
      </c>
      <c r="C983" s="4" t="s">
        <v>26</v>
      </c>
      <c r="D983" s="4">
        <v>5115034590</v>
      </c>
      <c r="E983" s="4" t="s">
        <v>1534</v>
      </c>
      <c r="F983" s="4" t="s">
        <v>14</v>
      </c>
      <c r="G983" s="5">
        <v>2512502</v>
      </c>
      <c r="H983" s="5">
        <v>0</v>
      </c>
      <c r="I983" s="5">
        <v>0</v>
      </c>
      <c r="J983" s="5" t="s">
        <v>14</v>
      </c>
      <c r="K983" s="5">
        <v>2512502</v>
      </c>
    </row>
    <row r="984" spans="1:11" x14ac:dyDescent="0.25">
      <c r="A984" s="4" t="s">
        <v>11</v>
      </c>
      <c r="B984" s="4" t="s">
        <v>1092</v>
      </c>
      <c r="C984" s="4" t="s">
        <v>23</v>
      </c>
      <c r="D984" s="4">
        <v>51150355</v>
      </c>
      <c r="E984" s="4" t="s">
        <v>1263</v>
      </c>
      <c r="F984" s="4" t="s">
        <v>14</v>
      </c>
      <c r="G984" s="5">
        <v>102603930.86</v>
      </c>
      <c r="H984" s="5">
        <v>0</v>
      </c>
      <c r="I984" s="5">
        <v>0</v>
      </c>
      <c r="J984" s="5" t="s">
        <v>14</v>
      </c>
      <c r="K984" s="5">
        <v>102603930.86</v>
      </c>
    </row>
    <row r="985" spans="1:11" x14ac:dyDescent="0.25">
      <c r="A985" s="4" t="s">
        <v>11</v>
      </c>
      <c r="B985" s="4" t="s">
        <v>1092</v>
      </c>
      <c r="C985" s="4" t="s">
        <v>26</v>
      </c>
      <c r="D985" s="4">
        <v>5115035510</v>
      </c>
      <c r="E985" s="4" t="s">
        <v>1265</v>
      </c>
      <c r="F985" s="4" t="s">
        <v>14</v>
      </c>
      <c r="G985" s="5">
        <v>26072064.710000001</v>
      </c>
      <c r="H985" s="5">
        <v>0</v>
      </c>
      <c r="I985" s="5">
        <v>0</v>
      </c>
      <c r="J985" s="5" t="s">
        <v>14</v>
      </c>
      <c r="K985" s="5">
        <v>26072064.710000001</v>
      </c>
    </row>
    <row r="986" spans="1:11" x14ac:dyDescent="0.25">
      <c r="A986" s="4" t="s">
        <v>11</v>
      </c>
      <c r="B986" s="4" t="s">
        <v>1092</v>
      </c>
      <c r="C986" s="4" t="s">
        <v>26</v>
      </c>
      <c r="D986" s="4">
        <v>5115035515</v>
      </c>
      <c r="E986" s="4" t="s">
        <v>1538</v>
      </c>
      <c r="F986" s="4" t="s">
        <v>14</v>
      </c>
      <c r="G986" s="5">
        <v>730221.48</v>
      </c>
      <c r="H986" s="5">
        <v>0</v>
      </c>
      <c r="I986" s="5">
        <v>0</v>
      </c>
      <c r="J986" s="5" t="s">
        <v>14</v>
      </c>
      <c r="K986" s="5">
        <v>730221.48</v>
      </c>
    </row>
    <row r="987" spans="1:11" x14ac:dyDescent="0.25">
      <c r="A987" s="4" t="s">
        <v>11</v>
      </c>
      <c r="B987" s="4" t="s">
        <v>1092</v>
      </c>
      <c r="C987" s="4" t="s">
        <v>26</v>
      </c>
      <c r="D987" s="4">
        <v>5115035520</v>
      </c>
      <c r="E987" s="4" t="s">
        <v>1267</v>
      </c>
      <c r="F987" s="4" t="s">
        <v>14</v>
      </c>
      <c r="G987" s="5">
        <v>54773493.729999997</v>
      </c>
      <c r="H987" s="5">
        <v>0</v>
      </c>
      <c r="I987" s="5">
        <v>0</v>
      </c>
      <c r="J987" s="5" t="s">
        <v>14</v>
      </c>
      <c r="K987" s="5">
        <v>54773493.729999997</v>
      </c>
    </row>
    <row r="988" spans="1:11" x14ac:dyDescent="0.25">
      <c r="A988" s="4" t="s">
        <v>11</v>
      </c>
      <c r="B988" s="4" t="s">
        <v>1092</v>
      </c>
      <c r="C988" s="4" t="s">
        <v>26</v>
      </c>
      <c r="D988" s="4">
        <v>5115035525</v>
      </c>
      <c r="E988" s="4" t="s">
        <v>1269</v>
      </c>
      <c r="F988" s="4" t="s">
        <v>14</v>
      </c>
      <c r="G988" s="5">
        <v>1316011.07</v>
      </c>
      <c r="H988" s="5">
        <v>0</v>
      </c>
      <c r="I988" s="5">
        <v>0</v>
      </c>
      <c r="J988" s="5" t="s">
        <v>14</v>
      </c>
      <c r="K988" s="5">
        <v>1316011.07</v>
      </c>
    </row>
    <row r="989" spans="1:11" x14ac:dyDescent="0.25">
      <c r="A989" s="4" t="s">
        <v>11</v>
      </c>
      <c r="B989" s="4" t="s">
        <v>1092</v>
      </c>
      <c r="C989" s="4" t="s">
        <v>26</v>
      </c>
      <c r="D989" s="4">
        <v>5115035530</v>
      </c>
      <c r="E989" s="4" t="s">
        <v>1542</v>
      </c>
      <c r="F989" s="4" t="s">
        <v>14</v>
      </c>
      <c r="G989" s="5">
        <v>19712139.870000001</v>
      </c>
      <c r="H989" s="5">
        <v>0</v>
      </c>
      <c r="I989" s="5">
        <v>0</v>
      </c>
      <c r="J989" s="5" t="s">
        <v>14</v>
      </c>
      <c r="K989" s="5">
        <v>19712139.870000001</v>
      </c>
    </row>
    <row r="990" spans="1:11" x14ac:dyDescent="0.25">
      <c r="A990" s="4" t="s">
        <v>11</v>
      </c>
      <c r="B990" s="4" t="s">
        <v>1092</v>
      </c>
      <c r="C990" s="4" t="s">
        <v>23</v>
      </c>
      <c r="D990" s="4">
        <v>51150360</v>
      </c>
      <c r="E990" s="4" t="s">
        <v>1273</v>
      </c>
      <c r="F990" s="4" t="s">
        <v>14</v>
      </c>
      <c r="G990" s="5">
        <v>69707092</v>
      </c>
      <c r="H990" s="5">
        <v>9062610</v>
      </c>
      <c r="I990" s="5">
        <v>0</v>
      </c>
      <c r="J990" s="5" t="s">
        <v>14</v>
      </c>
      <c r="K990" s="5">
        <v>78769702</v>
      </c>
    </row>
    <row r="991" spans="1:11" x14ac:dyDescent="0.25">
      <c r="A991" s="4" t="s">
        <v>11</v>
      </c>
      <c r="B991" s="4" t="s">
        <v>1092</v>
      </c>
      <c r="C991" s="4" t="s">
        <v>26</v>
      </c>
      <c r="D991" s="4">
        <v>5115036005</v>
      </c>
      <c r="E991" s="4" t="s">
        <v>1273</v>
      </c>
      <c r="F991" s="4" t="s">
        <v>14</v>
      </c>
      <c r="G991" s="5">
        <v>69707092</v>
      </c>
      <c r="H991" s="5">
        <v>9062610</v>
      </c>
      <c r="I991" s="5">
        <v>0</v>
      </c>
      <c r="J991" s="5" t="s">
        <v>14</v>
      </c>
      <c r="K991" s="5">
        <v>78769702</v>
      </c>
    </row>
    <row r="992" spans="1:11" x14ac:dyDescent="0.25">
      <c r="A992" s="4" t="s">
        <v>11</v>
      </c>
      <c r="B992" s="4" t="s">
        <v>1092</v>
      </c>
      <c r="C992" s="4" t="s">
        <v>23</v>
      </c>
      <c r="D992" s="4">
        <v>51150370</v>
      </c>
      <c r="E992" s="4" t="s">
        <v>1063</v>
      </c>
      <c r="F992" s="4" t="s">
        <v>14</v>
      </c>
      <c r="G992" s="5">
        <v>1725430</v>
      </c>
      <c r="H992" s="5">
        <v>300000</v>
      </c>
      <c r="I992" s="5">
        <v>0</v>
      </c>
      <c r="J992" s="5" t="s">
        <v>14</v>
      </c>
      <c r="K992" s="5">
        <v>2025430</v>
      </c>
    </row>
    <row r="993" spans="1:11" x14ac:dyDescent="0.25">
      <c r="A993" s="4" t="s">
        <v>11</v>
      </c>
      <c r="B993" s="4" t="s">
        <v>1092</v>
      </c>
      <c r="C993" s="4" t="s">
        <v>26</v>
      </c>
      <c r="D993" s="4">
        <v>5115037005</v>
      </c>
      <c r="E993" s="4" t="s">
        <v>1277</v>
      </c>
      <c r="F993" s="4" t="s">
        <v>14</v>
      </c>
      <c r="G993" s="5">
        <v>1299388</v>
      </c>
      <c r="H993" s="5">
        <v>300000</v>
      </c>
      <c r="I993" s="5">
        <v>0</v>
      </c>
      <c r="J993" s="5" t="s">
        <v>14</v>
      </c>
      <c r="K993" s="5">
        <v>1599388</v>
      </c>
    </row>
    <row r="994" spans="1:11" x14ac:dyDescent="0.25">
      <c r="A994" s="4" t="s">
        <v>11</v>
      </c>
      <c r="B994" s="4" t="s">
        <v>1092</v>
      </c>
      <c r="C994" s="4" t="s">
        <v>26</v>
      </c>
      <c r="D994" s="4">
        <v>5115037015</v>
      </c>
      <c r="E994" s="4" t="s">
        <v>1279</v>
      </c>
      <c r="F994" s="4" t="s">
        <v>14</v>
      </c>
      <c r="G994" s="5">
        <v>185875</v>
      </c>
      <c r="H994" s="5">
        <v>0</v>
      </c>
      <c r="I994" s="5">
        <v>0</v>
      </c>
      <c r="J994" s="5" t="s">
        <v>14</v>
      </c>
      <c r="K994" s="5">
        <v>185875</v>
      </c>
    </row>
    <row r="995" spans="1:11" x14ac:dyDescent="0.25">
      <c r="A995" s="4" t="s">
        <v>11</v>
      </c>
      <c r="B995" s="4" t="s">
        <v>1092</v>
      </c>
      <c r="C995" s="4" t="s">
        <v>26</v>
      </c>
      <c r="D995" s="4">
        <v>5115037030</v>
      </c>
      <c r="E995" s="4" t="s">
        <v>1283</v>
      </c>
      <c r="F995" s="4" t="s">
        <v>14</v>
      </c>
      <c r="G995" s="5">
        <v>190772</v>
      </c>
      <c r="H995" s="5">
        <v>0</v>
      </c>
      <c r="I995" s="5">
        <v>0</v>
      </c>
      <c r="J995" s="5" t="s">
        <v>14</v>
      </c>
      <c r="K995" s="5">
        <v>190772</v>
      </c>
    </row>
    <row r="996" spans="1:11" x14ac:dyDescent="0.25">
      <c r="A996" s="4" t="s">
        <v>11</v>
      </c>
      <c r="B996" s="4" t="s">
        <v>1092</v>
      </c>
      <c r="C996" s="4" t="s">
        <v>26</v>
      </c>
      <c r="D996" s="4">
        <v>5115037040</v>
      </c>
      <c r="E996" s="4" t="s">
        <v>1285</v>
      </c>
      <c r="F996" s="4" t="s">
        <v>14</v>
      </c>
      <c r="G996" s="5">
        <v>49395</v>
      </c>
      <c r="H996" s="5">
        <v>0</v>
      </c>
      <c r="I996" s="5">
        <v>0</v>
      </c>
      <c r="J996" s="5" t="s">
        <v>14</v>
      </c>
      <c r="K996" s="5">
        <v>49395</v>
      </c>
    </row>
    <row r="997" spans="1:11" x14ac:dyDescent="0.25">
      <c r="A997" s="4" t="s">
        <v>11</v>
      </c>
      <c r="B997" s="4" t="s">
        <v>1092</v>
      </c>
      <c r="C997" s="4" t="s">
        <v>23</v>
      </c>
      <c r="D997" s="4">
        <v>51150371</v>
      </c>
      <c r="E997" s="4" t="s">
        <v>1289</v>
      </c>
      <c r="F997" s="4" t="s">
        <v>14</v>
      </c>
      <c r="G997" s="5">
        <v>2912023</v>
      </c>
      <c r="H997" s="5">
        <v>85896</v>
      </c>
      <c r="I997" s="5">
        <v>0</v>
      </c>
      <c r="J997" s="5" t="s">
        <v>14</v>
      </c>
      <c r="K997" s="5">
        <v>2997919</v>
      </c>
    </row>
    <row r="998" spans="1:11" x14ac:dyDescent="0.25">
      <c r="A998" s="4" t="s">
        <v>11</v>
      </c>
      <c r="B998" s="4" t="s">
        <v>1092</v>
      </c>
      <c r="C998" s="4" t="s">
        <v>26</v>
      </c>
      <c r="D998" s="4">
        <v>5115037105</v>
      </c>
      <c r="E998" s="4" t="s">
        <v>1291</v>
      </c>
      <c r="F998" s="4" t="s">
        <v>14</v>
      </c>
      <c r="G998" s="5">
        <v>2815500</v>
      </c>
      <c r="H998" s="5">
        <v>81900</v>
      </c>
      <c r="I998" s="5">
        <v>0</v>
      </c>
      <c r="J998" s="5" t="s">
        <v>14</v>
      </c>
      <c r="K998" s="5">
        <v>2897400</v>
      </c>
    </row>
    <row r="999" spans="1:11" x14ac:dyDescent="0.25">
      <c r="A999" s="4" t="s">
        <v>11</v>
      </c>
      <c r="B999" s="4" t="s">
        <v>1092</v>
      </c>
      <c r="C999" s="4" t="s">
        <v>26</v>
      </c>
      <c r="D999" s="4">
        <v>5115037110</v>
      </c>
      <c r="E999" s="4" t="s">
        <v>1293</v>
      </c>
      <c r="F999" s="4" t="s">
        <v>14</v>
      </c>
      <c r="G999" s="5">
        <v>85828</v>
      </c>
      <c r="H999" s="5">
        <v>3358</v>
      </c>
      <c r="I999" s="5">
        <v>0</v>
      </c>
      <c r="J999" s="5" t="s">
        <v>14</v>
      </c>
      <c r="K999" s="5">
        <v>89186</v>
      </c>
    </row>
    <row r="1000" spans="1:11" x14ac:dyDescent="0.25">
      <c r="A1000" s="4" t="s">
        <v>11</v>
      </c>
      <c r="B1000" s="4" t="s">
        <v>1092</v>
      </c>
      <c r="C1000" s="4" t="s">
        <v>26</v>
      </c>
      <c r="D1000" s="4">
        <v>5115037150</v>
      </c>
      <c r="E1000" s="4" t="s">
        <v>1297</v>
      </c>
      <c r="F1000" s="4" t="s">
        <v>14</v>
      </c>
      <c r="G1000" s="5">
        <v>10695</v>
      </c>
      <c r="H1000" s="5">
        <v>638</v>
      </c>
      <c r="I1000" s="5">
        <v>0</v>
      </c>
      <c r="J1000" s="5" t="s">
        <v>14</v>
      </c>
      <c r="K1000" s="5">
        <v>11333</v>
      </c>
    </row>
    <row r="1001" spans="1:11" x14ac:dyDescent="0.25">
      <c r="A1001" s="4" t="s">
        <v>11</v>
      </c>
      <c r="B1001" s="4" t="s">
        <v>1092</v>
      </c>
      <c r="C1001" s="4" t="s">
        <v>18</v>
      </c>
      <c r="D1001" s="4">
        <v>5120</v>
      </c>
      <c r="E1001" s="4" t="s">
        <v>1555</v>
      </c>
      <c r="F1001" s="4" t="s">
        <v>14</v>
      </c>
      <c r="G1001" s="5">
        <v>365569909.91000003</v>
      </c>
      <c r="H1001" s="5">
        <v>544838.5</v>
      </c>
      <c r="I1001" s="5">
        <v>0</v>
      </c>
      <c r="J1001" s="5" t="s">
        <v>14</v>
      </c>
      <c r="K1001" s="5">
        <v>366114748.41000003</v>
      </c>
    </row>
    <row r="1002" spans="1:11" x14ac:dyDescent="0.25">
      <c r="A1002" s="4" t="s">
        <v>11</v>
      </c>
      <c r="B1002" s="4" t="s">
        <v>1092</v>
      </c>
      <c r="C1002" s="4" t="s">
        <v>21</v>
      </c>
      <c r="D1002" s="4">
        <v>512001</v>
      </c>
      <c r="E1002" s="4" t="s">
        <v>1098</v>
      </c>
      <c r="F1002" s="4" t="s">
        <v>14</v>
      </c>
      <c r="G1002" s="5">
        <v>283987.58</v>
      </c>
      <c r="H1002" s="5">
        <v>65900</v>
      </c>
      <c r="I1002" s="5">
        <v>0</v>
      </c>
      <c r="J1002" s="5" t="s">
        <v>14</v>
      </c>
      <c r="K1002" s="5">
        <v>349887.58</v>
      </c>
    </row>
    <row r="1003" spans="1:11" x14ac:dyDescent="0.25">
      <c r="A1003" s="4" t="s">
        <v>11</v>
      </c>
      <c r="B1003" s="4" t="s">
        <v>1092</v>
      </c>
      <c r="C1003" s="4" t="s">
        <v>23</v>
      </c>
      <c r="D1003" s="4">
        <v>51200102</v>
      </c>
      <c r="E1003" s="4" t="s">
        <v>1100</v>
      </c>
      <c r="F1003" s="4" t="s">
        <v>14</v>
      </c>
      <c r="G1003" s="5">
        <v>279387.58</v>
      </c>
      <c r="H1003" s="5">
        <v>0</v>
      </c>
      <c r="I1003" s="5">
        <v>0</v>
      </c>
      <c r="J1003" s="5" t="s">
        <v>14</v>
      </c>
      <c r="K1003" s="5">
        <v>279387.58</v>
      </c>
    </row>
    <row r="1004" spans="1:11" x14ac:dyDescent="0.25">
      <c r="A1004" s="4" t="s">
        <v>11</v>
      </c>
      <c r="B1004" s="4" t="s">
        <v>1092</v>
      </c>
      <c r="C1004" s="4" t="s">
        <v>26</v>
      </c>
      <c r="D1004" s="4">
        <v>5120010205</v>
      </c>
      <c r="E1004" s="4" t="s">
        <v>1100</v>
      </c>
      <c r="F1004" s="4" t="s">
        <v>14</v>
      </c>
      <c r="G1004" s="5">
        <v>279387.58</v>
      </c>
      <c r="H1004" s="5">
        <v>0</v>
      </c>
      <c r="I1004" s="5">
        <v>0</v>
      </c>
      <c r="J1004" s="5" t="s">
        <v>14</v>
      </c>
      <c r="K1004" s="5">
        <v>279387.58</v>
      </c>
    </row>
    <row r="1005" spans="1:11" x14ac:dyDescent="0.25">
      <c r="A1005" s="4" t="s">
        <v>11</v>
      </c>
      <c r="B1005" s="4" t="s">
        <v>1092</v>
      </c>
      <c r="C1005" s="4" t="s">
        <v>23</v>
      </c>
      <c r="D1005" s="4">
        <v>51200103</v>
      </c>
      <c r="E1005" s="4" t="s">
        <v>1103</v>
      </c>
      <c r="F1005" s="4" t="s">
        <v>14</v>
      </c>
      <c r="G1005" s="5">
        <v>4600</v>
      </c>
      <c r="H1005" s="5">
        <v>65900</v>
      </c>
      <c r="I1005" s="5">
        <v>0</v>
      </c>
      <c r="J1005" s="5" t="s">
        <v>14</v>
      </c>
      <c r="K1005" s="5">
        <v>70500</v>
      </c>
    </row>
    <row r="1006" spans="1:11" x14ac:dyDescent="0.25">
      <c r="A1006" s="4" t="s">
        <v>11</v>
      </c>
      <c r="B1006" s="4" t="s">
        <v>1092</v>
      </c>
      <c r="C1006" s="4" t="s">
        <v>26</v>
      </c>
      <c r="D1006" s="4">
        <v>5120010310</v>
      </c>
      <c r="E1006" s="4" t="s">
        <v>1107</v>
      </c>
      <c r="F1006" s="4" t="s">
        <v>14</v>
      </c>
      <c r="G1006" s="5">
        <v>3866</v>
      </c>
      <c r="H1006" s="5">
        <v>0</v>
      </c>
      <c r="I1006" s="5">
        <v>0</v>
      </c>
      <c r="J1006" s="5" t="s">
        <v>14</v>
      </c>
      <c r="K1006" s="5">
        <v>3866</v>
      </c>
    </row>
    <row r="1007" spans="1:11" x14ac:dyDescent="0.25">
      <c r="A1007" s="4" t="s">
        <v>11</v>
      </c>
      <c r="B1007" s="4" t="s">
        <v>1092</v>
      </c>
      <c r="C1007" s="4" t="s">
        <v>26</v>
      </c>
      <c r="D1007" s="4">
        <v>5120010335</v>
      </c>
      <c r="E1007" s="4" t="s">
        <v>1113</v>
      </c>
      <c r="F1007" s="4" t="s">
        <v>14</v>
      </c>
      <c r="G1007" s="5">
        <v>0</v>
      </c>
      <c r="H1007" s="5">
        <v>55378</v>
      </c>
      <c r="I1007" s="5">
        <v>0</v>
      </c>
      <c r="J1007" s="5" t="s">
        <v>14</v>
      </c>
      <c r="K1007" s="5">
        <v>55378</v>
      </c>
    </row>
    <row r="1008" spans="1:11" x14ac:dyDescent="0.25">
      <c r="A1008" s="4" t="s">
        <v>11</v>
      </c>
      <c r="B1008" s="4" t="s">
        <v>1092</v>
      </c>
      <c r="C1008" s="4" t="s">
        <v>26</v>
      </c>
      <c r="D1008" s="4">
        <v>5120010350</v>
      </c>
      <c r="E1008" s="4" t="s">
        <v>1117</v>
      </c>
      <c r="F1008" s="4" t="s">
        <v>14</v>
      </c>
      <c r="G1008" s="5">
        <v>734</v>
      </c>
      <c r="H1008" s="5">
        <v>0</v>
      </c>
      <c r="I1008" s="5">
        <v>0</v>
      </c>
      <c r="J1008" s="5" t="s">
        <v>14</v>
      </c>
      <c r="K1008" s="5">
        <v>734</v>
      </c>
    </row>
    <row r="1009" spans="1:11" x14ac:dyDescent="0.25">
      <c r="A1009" s="4" t="s">
        <v>11</v>
      </c>
      <c r="B1009" s="4" t="s">
        <v>1092</v>
      </c>
      <c r="C1009" s="4" t="s">
        <v>26</v>
      </c>
      <c r="D1009" s="4">
        <v>5120010375</v>
      </c>
      <c r="E1009" s="4" t="s">
        <v>1123</v>
      </c>
      <c r="F1009" s="4" t="s">
        <v>14</v>
      </c>
      <c r="G1009" s="5">
        <v>0</v>
      </c>
      <c r="H1009" s="5">
        <v>10522</v>
      </c>
      <c r="I1009" s="5">
        <v>0</v>
      </c>
      <c r="J1009" s="5" t="s">
        <v>14</v>
      </c>
      <c r="K1009" s="5">
        <v>10522</v>
      </c>
    </row>
    <row r="1010" spans="1:11" x14ac:dyDescent="0.25">
      <c r="A1010" s="4" t="s">
        <v>11</v>
      </c>
      <c r="B1010" s="4" t="s">
        <v>1092</v>
      </c>
      <c r="C1010" s="4" t="s">
        <v>21</v>
      </c>
      <c r="D1010" s="4">
        <v>512002</v>
      </c>
      <c r="E1010" s="4" t="s">
        <v>1125</v>
      </c>
      <c r="F1010" s="4" t="s">
        <v>14</v>
      </c>
      <c r="G1010" s="5">
        <v>356521787</v>
      </c>
      <c r="H1010" s="5">
        <v>0</v>
      </c>
      <c r="I1010" s="5">
        <v>0</v>
      </c>
      <c r="J1010" s="5" t="s">
        <v>14</v>
      </c>
      <c r="K1010" s="5">
        <v>356521787</v>
      </c>
    </row>
    <row r="1011" spans="1:11" x14ac:dyDescent="0.25">
      <c r="A1011" s="4" t="s">
        <v>11</v>
      </c>
      <c r="B1011" s="4" t="s">
        <v>1092</v>
      </c>
      <c r="C1011" s="4" t="s">
        <v>23</v>
      </c>
      <c r="D1011" s="4">
        <v>51200205</v>
      </c>
      <c r="E1011" s="4" t="s">
        <v>1127</v>
      </c>
      <c r="F1011" s="4" t="s">
        <v>14</v>
      </c>
      <c r="G1011" s="5">
        <v>356105287</v>
      </c>
      <c r="H1011" s="5">
        <v>0</v>
      </c>
      <c r="I1011" s="5">
        <v>0</v>
      </c>
      <c r="J1011" s="5" t="s">
        <v>14</v>
      </c>
      <c r="K1011" s="5">
        <v>356105287</v>
      </c>
    </row>
    <row r="1012" spans="1:11" x14ac:dyDescent="0.25">
      <c r="A1012" s="4" t="s">
        <v>11</v>
      </c>
      <c r="B1012" s="4" t="s">
        <v>1092</v>
      </c>
      <c r="C1012" s="4" t="s">
        <v>26</v>
      </c>
      <c r="D1012" s="4">
        <v>5120020501</v>
      </c>
      <c r="E1012" s="4" t="s">
        <v>1129</v>
      </c>
      <c r="F1012" s="4" t="s">
        <v>14</v>
      </c>
      <c r="G1012" s="5">
        <v>206712000</v>
      </c>
      <c r="H1012" s="5">
        <v>0</v>
      </c>
      <c r="I1012" s="5">
        <v>0</v>
      </c>
      <c r="J1012" s="5" t="s">
        <v>14</v>
      </c>
      <c r="K1012" s="5">
        <v>206712000</v>
      </c>
    </row>
    <row r="1013" spans="1:11" x14ac:dyDescent="0.25">
      <c r="A1013" s="4" t="s">
        <v>11</v>
      </c>
      <c r="B1013" s="4" t="s">
        <v>1092</v>
      </c>
      <c r="C1013" s="4" t="s">
        <v>26</v>
      </c>
      <c r="D1013" s="4">
        <v>5120020502</v>
      </c>
      <c r="E1013" s="4" t="s">
        <v>1131</v>
      </c>
      <c r="F1013" s="4" t="s">
        <v>14</v>
      </c>
      <c r="G1013" s="5">
        <v>58548000</v>
      </c>
      <c r="H1013" s="5">
        <v>0</v>
      </c>
      <c r="I1013" s="5">
        <v>0</v>
      </c>
      <c r="J1013" s="5" t="s">
        <v>14</v>
      </c>
      <c r="K1013" s="5">
        <v>58548000</v>
      </c>
    </row>
    <row r="1014" spans="1:11" x14ac:dyDescent="0.25">
      <c r="A1014" s="4" t="s">
        <v>11</v>
      </c>
      <c r="B1014" s="4" t="s">
        <v>1092</v>
      </c>
      <c r="C1014" s="4" t="s">
        <v>26</v>
      </c>
      <c r="D1014" s="4">
        <v>5120020514</v>
      </c>
      <c r="E1014" s="4" t="s">
        <v>224</v>
      </c>
      <c r="F1014" s="4" t="s">
        <v>14</v>
      </c>
      <c r="G1014" s="5">
        <v>1609066</v>
      </c>
      <c r="H1014" s="5">
        <v>0</v>
      </c>
      <c r="I1014" s="5">
        <v>0</v>
      </c>
      <c r="J1014" s="5" t="s">
        <v>14</v>
      </c>
      <c r="K1014" s="5">
        <v>1609066</v>
      </c>
    </row>
    <row r="1015" spans="1:11" x14ac:dyDescent="0.25">
      <c r="A1015" s="4" t="s">
        <v>11</v>
      </c>
      <c r="B1015" s="4" t="s">
        <v>1092</v>
      </c>
      <c r="C1015" s="4" t="s">
        <v>26</v>
      </c>
      <c r="D1015" s="4">
        <v>5120020530</v>
      </c>
      <c r="E1015" s="4" t="s">
        <v>1142</v>
      </c>
      <c r="F1015" s="4" t="s">
        <v>14</v>
      </c>
      <c r="G1015" s="5">
        <v>5352858</v>
      </c>
      <c r="H1015" s="5">
        <v>0</v>
      </c>
      <c r="I1015" s="5">
        <v>0</v>
      </c>
      <c r="J1015" s="5" t="s">
        <v>14</v>
      </c>
      <c r="K1015" s="5">
        <v>5352858</v>
      </c>
    </row>
    <row r="1016" spans="1:11" x14ac:dyDescent="0.25">
      <c r="A1016" s="4" t="s">
        <v>11</v>
      </c>
      <c r="B1016" s="4" t="s">
        <v>1092</v>
      </c>
      <c r="C1016" s="4" t="s">
        <v>26</v>
      </c>
      <c r="D1016" s="4">
        <v>5120020531</v>
      </c>
      <c r="E1016" s="4" t="s">
        <v>673</v>
      </c>
      <c r="F1016" s="4" t="s">
        <v>14</v>
      </c>
      <c r="G1016" s="5">
        <v>642600</v>
      </c>
      <c r="H1016" s="5">
        <v>0</v>
      </c>
      <c r="I1016" s="5">
        <v>0</v>
      </c>
      <c r="J1016" s="5" t="s">
        <v>14</v>
      </c>
      <c r="K1016" s="5">
        <v>642600</v>
      </c>
    </row>
    <row r="1017" spans="1:11" x14ac:dyDescent="0.25">
      <c r="A1017" s="4" t="s">
        <v>11</v>
      </c>
      <c r="B1017" s="4" t="s">
        <v>1092</v>
      </c>
      <c r="C1017" s="4" t="s">
        <v>26</v>
      </c>
      <c r="D1017" s="4">
        <v>5120020532</v>
      </c>
      <c r="E1017" s="4" t="s">
        <v>675</v>
      </c>
      <c r="F1017" s="4" t="s">
        <v>14</v>
      </c>
      <c r="G1017" s="5">
        <v>5352858</v>
      </c>
      <c r="H1017" s="5">
        <v>0</v>
      </c>
      <c r="I1017" s="5">
        <v>0</v>
      </c>
      <c r="J1017" s="5" t="s">
        <v>14</v>
      </c>
      <c r="K1017" s="5">
        <v>5352858</v>
      </c>
    </row>
    <row r="1018" spans="1:11" x14ac:dyDescent="0.25">
      <c r="A1018" s="4" t="s">
        <v>11</v>
      </c>
      <c r="B1018" s="4" t="s">
        <v>1092</v>
      </c>
      <c r="C1018" s="4" t="s">
        <v>26</v>
      </c>
      <c r="D1018" s="4">
        <v>5120020533</v>
      </c>
      <c r="E1018" s="4" t="s">
        <v>1146</v>
      </c>
      <c r="F1018" s="4" t="s">
        <v>14</v>
      </c>
      <c r="G1018" s="5">
        <v>11379642</v>
      </c>
      <c r="H1018" s="5">
        <v>0</v>
      </c>
      <c r="I1018" s="5">
        <v>0</v>
      </c>
      <c r="J1018" s="5" t="s">
        <v>14</v>
      </c>
      <c r="K1018" s="5">
        <v>11379642</v>
      </c>
    </row>
    <row r="1019" spans="1:11" x14ac:dyDescent="0.25">
      <c r="A1019" s="4" t="s">
        <v>11</v>
      </c>
      <c r="B1019" s="4" t="s">
        <v>1092</v>
      </c>
      <c r="C1019" s="4" t="s">
        <v>26</v>
      </c>
      <c r="D1019" s="4">
        <v>5120020540</v>
      </c>
      <c r="E1019" s="4" t="s">
        <v>1148</v>
      </c>
      <c r="F1019" s="4" t="s">
        <v>14</v>
      </c>
      <c r="G1019" s="5">
        <v>17778981</v>
      </c>
      <c r="H1019" s="5">
        <v>0</v>
      </c>
      <c r="I1019" s="5">
        <v>0</v>
      </c>
      <c r="J1019" s="5" t="s">
        <v>14</v>
      </c>
      <c r="K1019" s="5">
        <v>17778981</v>
      </c>
    </row>
    <row r="1020" spans="1:11" x14ac:dyDescent="0.25">
      <c r="A1020" s="4" t="s">
        <v>11</v>
      </c>
      <c r="B1020" s="4" t="s">
        <v>1092</v>
      </c>
      <c r="C1020" s="4" t="s">
        <v>26</v>
      </c>
      <c r="D1020" s="4">
        <v>5120020541</v>
      </c>
      <c r="E1020" s="4" t="s">
        <v>1150</v>
      </c>
      <c r="F1020" s="4" t="s">
        <v>14</v>
      </c>
      <c r="G1020" s="5">
        <v>25099897</v>
      </c>
      <c r="H1020" s="5">
        <v>0</v>
      </c>
      <c r="I1020" s="5">
        <v>0</v>
      </c>
      <c r="J1020" s="5" t="s">
        <v>14</v>
      </c>
      <c r="K1020" s="5">
        <v>25099897</v>
      </c>
    </row>
    <row r="1021" spans="1:11" x14ac:dyDescent="0.25">
      <c r="A1021" s="4" t="s">
        <v>11</v>
      </c>
      <c r="B1021" s="4" t="s">
        <v>1092</v>
      </c>
      <c r="C1021" s="4" t="s">
        <v>26</v>
      </c>
      <c r="D1021" s="4">
        <v>5120020542</v>
      </c>
      <c r="E1021" s="4" t="s">
        <v>1152</v>
      </c>
      <c r="F1021" s="4" t="s">
        <v>14</v>
      </c>
      <c r="G1021" s="5">
        <v>4951329</v>
      </c>
      <c r="H1021" s="5">
        <v>0</v>
      </c>
      <c r="I1021" s="5">
        <v>0</v>
      </c>
      <c r="J1021" s="5" t="s">
        <v>14</v>
      </c>
      <c r="K1021" s="5">
        <v>4951329</v>
      </c>
    </row>
    <row r="1022" spans="1:11" x14ac:dyDescent="0.25">
      <c r="A1022" s="4" t="s">
        <v>11</v>
      </c>
      <c r="B1022" s="4" t="s">
        <v>1092</v>
      </c>
      <c r="C1022" s="4" t="s">
        <v>26</v>
      </c>
      <c r="D1022" s="4">
        <v>5120020550</v>
      </c>
      <c r="E1022" s="4" t="s">
        <v>1154</v>
      </c>
      <c r="F1022" s="4" t="s">
        <v>14</v>
      </c>
      <c r="G1022" s="5">
        <v>8301336</v>
      </c>
      <c r="H1022" s="5">
        <v>0</v>
      </c>
      <c r="I1022" s="5">
        <v>0</v>
      </c>
      <c r="J1022" s="5" t="s">
        <v>14</v>
      </c>
      <c r="K1022" s="5">
        <v>8301336</v>
      </c>
    </row>
    <row r="1023" spans="1:11" x14ac:dyDescent="0.25">
      <c r="A1023" s="4" t="s">
        <v>11</v>
      </c>
      <c r="B1023" s="4" t="s">
        <v>1092</v>
      </c>
      <c r="C1023" s="4" t="s">
        <v>26</v>
      </c>
      <c r="D1023" s="4">
        <v>5120020551</v>
      </c>
      <c r="E1023" s="4" t="s">
        <v>1156</v>
      </c>
      <c r="F1023" s="4" t="s">
        <v>14</v>
      </c>
      <c r="G1023" s="5">
        <v>6225952</v>
      </c>
      <c r="H1023" s="5">
        <v>0</v>
      </c>
      <c r="I1023" s="5">
        <v>0</v>
      </c>
      <c r="J1023" s="5" t="s">
        <v>14</v>
      </c>
      <c r="K1023" s="5">
        <v>6225952</v>
      </c>
    </row>
    <row r="1024" spans="1:11" x14ac:dyDescent="0.25">
      <c r="A1024" s="4" t="s">
        <v>11</v>
      </c>
      <c r="B1024" s="4" t="s">
        <v>1092</v>
      </c>
      <c r="C1024" s="4" t="s">
        <v>26</v>
      </c>
      <c r="D1024" s="4">
        <v>5120020552</v>
      </c>
      <c r="E1024" s="4" t="s">
        <v>1158</v>
      </c>
      <c r="F1024" s="4" t="s">
        <v>14</v>
      </c>
      <c r="G1024" s="5">
        <v>4150768</v>
      </c>
      <c r="H1024" s="5">
        <v>0</v>
      </c>
      <c r="I1024" s="5">
        <v>0</v>
      </c>
      <c r="J1024" s="5" t="s">
        <v>14</v>
      </c>
      <c r="K1024" s="5">
        <v>4150768</v>
      </c>
    </row>
    <row r="1025" spans="1:11" x14ac:dyDescent="0.25">
      <c r="A1025" s="4" t="s">
        <v>11</v>
      </c>
      <c r="B1025" s="4" t="s">
        <v>1092</v>
      </c>
      <c r="C1025" s="4" t="s">
        <v>23</v>
      </c>
      <c r="D1025" s="4">
        <v>51200210</v>
      </c>
      <c r="E1025" s="4" t="s">
        <v>1160</v>
      </c>
      <c r="F1025" s="4" t="s">
        <v>14</v>
      </c>
      <c r="G1025" s="5">
        <v>416500</v>
      </c>
      <c r="H1025" s="5">
        <v>0</v>
      </c>
      <c r="I1025" s="5">
        <v>0</v>
      </c>
      <c r="J1025" s="5" t="s">
        <v>14</v>
      </c>
      <c r="K1025" s="5">
        <v>416500</v>
      </c>
    </row>
    <row r="1026" spans="1:11" x14ac:dyDescent="0.25">
      <c r="A1026" s="4" t="s">
        <v>11</v>
      </c>
      <c r="B1026" s="4" t="s">
        <v>1092</v>
      </c>
      <c r="C1026" s="4" t="s">
        <v>26</v>
      </c>
      <c r="D1026" s="4">
        <v>5120021010</v>
      </c>
      <c r="E1026" s="4" t="s">
        <v>1164</v>
      </c>
      <c r="F1026" s="4" t="s">
        <v>14</v>
      </c>
      <c r="G1026" s="5">
        <v>350000</v>
      </c>
      <c r="H1026" s="5">
        <v>0</v>
      </c>
      <c r="I1026" s="5">
        <v>0</v>
      </c>
      <c r="J1026" s="5" t="s">
        <v>14</v>
      </c>
      <c r="K1026" s="5">
        <v>350000</v>
      </c>
    </row>
    <row r="1027" spans="1:11" x14ac:dyDescent="0.25">
      <c r="A1027" s="4" t="s">
        <v>11</v>
      </c>
      <c r="B1027" s="4" t="s">
        <v>1092</v>
      </c>
      <c r="C1027" s="4" t="s">
        <v>26</v>
      </c>
      <c r="D1027" s="4">
        <v>5120021050</v>
      </c>
      <c r="E1027" s="4" t="s">
        <v>1176</v>
      </c>
      <c r="F1027" s="4" t="s">
        <v>14</v>
      </c>
      <c r="G1027" s="5">
        <v>66500</v>
      </c>
      <c r="H1027" s="5">
        <v>0</v>
      </c>
      <c r="I1027" s="5">
        <v>0</v>
      </c>
      <c r="J1027" s="5" t="s">
        <v>14</v>
      </c>
      <c r="K1027" s="5">
        <v>66500</v>
      </c>
    </row>
    <row r="1028" spans="1:11" x14ac:dyDescent="0.25">
      <c r="A1028" s="4" t="s">
        <v>11</v>
      </c>
      <c r="B1028" s="4" t="s">
        <v>1092</v>
      </c>
      <c r="C1028" s="4" t="s">
        <v>21</v>
      </c>
      <c r="D1028" s="4">
        <v>512003</v>
      </c>
      <c r="E1028" s="4" t="s">
        <v>1178</v>
      </c>
      <c r="F1028" s="4" t="s">
        <v>14</v>
      </c>
      <c r="G1028" s="5">
        <v>8764135.3300000001</v>
      </c>
      <c r="H1028" s="5">
        <v>478938.5</v>
      </c>
      <c r="I1028" s="5">
        <v>0</v>
      </c>
      <c r="J1028" s="5" t="s">
        <v>14</v>
      </c>
      <c r="K1028" s="5">
        <v>9243073.8300000001</v>
      </c>
    </row>
    <row r="1029" spans="1:11" x14ac:dyDescent="0.25">
      <c r="A1029" s="4" t="s">
        <v>11</v>
      </c>
      <c r="B1029" s="4" t="s">
        <v>1092</v>
      </c>
      <c r="C1029" s="4" t="s">
        <v>23</v>
      </c>
      <c r="D1029" s="4">
        <v>51200315</v>
      </c>
      <c r="E1029" s="4" t="s">
        <v>1189</v>
      </c>
      <c r="F1029" s="4" t="s">
        <v>14</v>
      </c>
      <c r="G1029" s="5">
        <v>108715</v>
      </c>
      <c r="H1029" s="5">
        <v>21743</v>
      </c>
      <c r="I1029" s="5">
        <v>0</v>
      </c>
      <c r="J1029" s="5" t="s">
        <v>14</v>
      </c>
      <c r="K1029" s="5">
        <v>130458</v>
      </c>
    </row>
    <row r="1030" spans="1:11" x14ac:dyDescent="0.25">
      <c r="A1030" s="4" t="s">
        <v>11</v>
      </c>
      <c r="B1030" s="4" t="s">
        <v>1092</v>
      </c>
      <c r="C1030" s="4" t="s">
        <v>26</v>
      </c>
      <c r="D1030" s="4">
        <v>5120031510</v>
      </c>
      <c r="E1030" s="4" t="s">
        <v>439</v>
      </c>
      <c r="F1030" s="4" t="s">
        <v>14</v>
      </c>
      <c r="G1030" s="5">
        <v>108715</v>
      </c>
      <c r="H1030" s="5">
        <v>21743</v>
      </c>
      <c r="I1030" s="5">
        <v>0</v>
      </c>
      <c r="J1030" s="5" t="s">
        <v>14</v>
      </c>
      <c r="K1030" s="5">
        <v>130458</v>
      </c>
    </row>
    <row r="1031" spans="1:11" x14ac:dyDescent="0.25">
      <c r="A1031" s="4" t="s">
        <v>11</v>
      </c>
      <c r="B1031" s="4" t="s">
        <v>1092</v>
      </c>
      <c r="C1031" s="4" t="s">
        <v>23</v>
      </c>
      <c r="D1031" s="4">
        <v>51200320</v>
      </c>
      <c r="E1031" s="4" t="s">
        <v>227</v>
      </c>
      <c r="F1031" s="4" t="s">
        <v>14</v>
      </c>
      <c r="G1031" s="5">
        <v>532602</v>
      </c>
      <c r="H1031" s="5">
        <v>0</v>
      </c>
      <c r="I1031" s="5">
        <v>0</v>
      </c>
      <c r="J1031" s="5" t="s">
        <v>14</v>
      </c>
      <c r="K1031" s="5">
        <v>532602</v>
      </c>
    </row>
    <row r="1032" spans="1:11" x14ac:dyDescent="0.25">
      <c r="A1032" s="4" t="s">
        <v>11</v>
      </c>
      <c r="B1032" s="4" t="s">
        <v>1092</v>
      </c>
      <c r="C1032" s="4" t="s">
        <v>26</v>
      </c>
      <c r="D1032" s="4">
        <v>5120032010</v>
      </c>
      <c r="E1032" s="4" t="s">
        <v>1195</v>
      </c>
      <c r="F1032" s="4" t="s">
        <v>14</v>
      </c>
      <c r="G1032" s="5">
        <v>447564</v>
      </c>
      <c r="H1032" s="5">
        <v>0</v>
      </c>
      <c r="I1032" s="5">
        <v>0</v>
      </c>
      <c r="J1032" s="5" t="s">
        <v>14</v>
      </c>
      <c r="K1032" s="5">
        <v>447564</v>
      </c>
    </row>
    <row r="1033" spans="1:11" x14ac:dyDescent="0.25">
      <c r="A1033" s="4" t="s">
        <v>11</v>
      </c>
      <c r="B1033" s="4" t="s">
        <v>1092</v>
      </c>
      <c r="C1033" s="4" t="s">
        <v>26</v>
      </c>
      <c r="D1033" s="4">
        <v>5120032045</v>
      </c>
      <c r="E1033" s="4" t="s">
        <v>1197</v>
      </c>
      <c r="F1033" s="4" t="s">
        <v>14</v>
      </c>
      <c r="G1033" s="5">
        <v>85038</v>
      </c>
      <c r="H1033" s="5">
        <v>0</v>
      </c>
      <c r="I1033" s="5">
        <v>0</v>
      </c>
      <c r="J1033" s="5" t="s">
        <v>14</v>
      </c>
      <c r="K1033" s="5">
        <v>85038</v>
      </c>
    </row>
    <row r="1034" spans="1:11" x14ac:dyDescent="0.25">
      <c r="A1034" s="4" t="s">
        <v>11</v>
      </c>
      <c r="B1034" s="4" t="s">
        <v>1092</v>
      </c>
      <c r="C1034" s="4" t="s">
        <v>23</v>
      </c>
      <c r="D1034" s="4">
        <v>51200330</v>
      </c>
      <c r="E1034" s="4" t="s">
        <v>437</v>
      </c>
      <c r="F1034" s="4" t="s">
        <v>14</v>
      </c>
      <c r="G1034" s="5">
        <v>1256110</v>
      </c>
      <c r="H1034" s="5">
        <v>0</v>
      </c>
      <c r="I1034" s="5">
        <v>0</v>
      </c>
      <c r="J1034" s="5" t="s">
        <v>14</v>
      </c>
      <c r="K1034" s="5">
        <v>1256110</v>
      </c>
    </row>
    <row r="1035" spans="1:11" x14ac:dyDescent="0.25">
      <c r="A1035" s="4" t="s">
        <v>11</v>
      </c>
      <c r="B1035" s="4" t="s">
        <v>1092</v>
      </c>
      <c r="C1035" s="4" t="s">
        <v>26</v>
      </c>
      <c r="D1035" s="4">
        <v>5120033010</v>
      </c>
      <c r="E1035" s="4" t="s">
        <v>1212</v>
      </c>
      <c r="F1035" s="4" t="s">
        <v>14</v>
      </c>
      <c r="G1035" s="5">
        <v>281480</v>
      </c>
      <c r="H1035" s="5">
        <v>0</v>
      </c>
      <c r="I1035" s="5">
        <v>0</v>
      </c>
      <c r="J1035" s="5" t="s">
        <v>14</v>
      </c>
      <c r="K1035" s="5">
        <v>281480</v>
      </c>
    </row>
    <row r="1036" spans="1:11" x14ac:dyDescent="0.25">
      <c r="A1036" s="4" t="s">
        <v>11</v>
      </c>
      <c r="B1036" s="4" t="s">
        <v>1092</v>
      </c>
      <c r="C1036" s="4" t="s">
        <v>26</v>
      </c>
      <c r="D1036" s="4">
        <v>5120033015</v>
      </c>
      <c r="E1036" s="4" t="s">
        <v>1214</v>
      </c>
      <c r="F1036" s="4" t="s">
        <v>14</v>
      </c>
      <c r="G1036" s="5">
        <v>974630</v>
      </c>
      <c r="H1036" s="5">
        <v>0</v>
      </c>
      <c r="I1036" s="5">
        <v>0</v>
      </c>
      <c r="J1036" s="5" t="s">
        <v>14</v>
      </c>
      <c r="K1036" s="5">
        <v>974630</v>
      </c>
    </row>
    <row r="1037" spans="1:11" x14ac:dyDescent="0.25">
      <c r="A1037" s="4" t="s">
        <v>11</v>
      </c>
      <c r="B1037" s="4" t="s">
        <v>1092</v>
      </c>
      <c r="C1037" s="4" t="s">
        <v>23</v>
      </c>
      <c r="D1037" s="4">
        <v>51200335</v>
      </c>
      <c r="E1037" s="4" t="s">
        <v>566</v>
      </c>
      <c r="F1037" s="4" t="s">
        <v>14</v>
      </c>
      <c r="G1037" s="5">
        <v>2288617.7799999998</v>
      </c>
      <c r="H1037" s="5">
        <v>299321.5</v>
      </c>
      <c r="I1037" s="5">
        <v>0</v>
      </c>
      <c r="J1037" s="5" t="s">
        <v>14</v>
      </c>
      <c r="K1037" s="5">
        <v>2587939.2799999998</v>
      </c>
    </row>
    <row r="1038" spans="1:11" x14ac:dyDescent="0.25">
      <c r="A1038" s="4" t="s">
        <v>11</v>
      </c>
      <c r="B1038" s="4" t="s">
        <v>1092</v>
      </c>
      <c r="C1038" s="4" t="s">
        <v>26</v>
      </c>
      <c r="D1038" s="4">
        <v>5120033520</v>
      </c>
      <c r="E1038" s="4" t="s">
        <v>1225</v>
      </c>
      <c r="F1038" s="4" t="s">
        <v>14</v>
      </c>
      <c r="G1038" s="5">
        <v>450543.02</v>
      </c>
      <c r="H1038" s="5">
        <v>44044.160000000003</v>
      </c>
      <c r="I1038" s="5">
        <v>0</v>
      </c>
      <c r="J1038" s="5" t="s">
        <v>14</v>
      </c>
      <c r="K1038" s="5">
        <v>494587.18</v>
      </c>
    </row>
    <row r="1039" spans="1:11" x14ac:dyDescent="0.25">
      <c r="A1039" s="4" t="s">
        <v>11</v>
      </c>
      <c r="B1039" s="4" t="s">
        <v>1092</v>
      </c>
      <c r="C1039" s="4" t="s">
        <v>26</v>
      </c>
      <c r="D1039" s="4">
        <v>5120033525</v>
      </c>
      <c r="E1039" s="4" t="s">
        <v>1227</v>
      </c>
      <c r="F1039" s="4" t="s">
        <v>14</v>
      </c>
      <c r="G1039" s="5">
        <v>492312.5</v>
      </c>
      <c r="H1039" s="5">
        <v>56673.57</v>
      </c>
      <c r="I1039" s="5">
        <v>0</v>
      </c>
      <c r="J1039" s="5" t="s">
        <v>14</v>
      </c>
      <c r="K1039" s="5">
        <v>548986.06999999995</v>
      </c>
    </row>
    <row r="1040" spans="1:11" x14ac:dyDescent="0.25">
      <c r="A1040" s="4" t="s">
        <v>11</v>
      </c>
      <c r="B1040" s="4" t="s">
        <v>1092</v>
      </c>
      <c r="C1040" s="4" t="s">
        <v>26</v>
      </c>
      <c r="D1040" s="4">
        <v>5120033530</v>
      </c>
      <c r="E1040" s="4" t="s">
        <v>1229</v>
      </c>
      <c r="F1040" s="4" t="s">
        <v>14</v>
      </c>
      <c r="G1040" s="5">
        <v>82818.2</v>
      </c>
      <c r="H1040" s="5">
        <v>8513.31</v>
      </c>
      <c r="I1040" s="5">
        <v>0</v>
      </c>
      <c r="J1040" s="5" t="s">
        <v>14</v>
      </c>
      <c r="K1040" s="5">
        <v>91331.51</v>
      </c>
    </row>
    <row r="1041" spans="1:11" x14ac:dyDescent="0.25">
      <c r="A1041" s="4" t="s">
        <v>11</v>
      </c>
      <c r="B1041" s="4" t="s">
        <v>1092</v>
      </c>
      <c r="C1041" s="4" t="s">
        <v>26</v>
      </c>
      <c r="D1041" s="4">
        <v>5120033535</v>
      </c>
      <c r="E1041" s="4" t="s">
        <v>1231</v>
      </c>
      <c r="F1041" s="4" t="s">
        <v>14</v>
      </c>
      <c r="G1041" s="5">
        <v>960056</v>
      </c>
      <c r="H1041" s="5">
        <v>148485</v>
      </c>
      <c r="I1041" s="5">
        <v>0</v>
      </c>
      <c r="J1041" s="5" t="s">
        <v>14</v>
      </c>
      <c r="K1041" s="5">
        <v>1108541</v>
      </c>
    </row>
    <row r="1042" spans="1:11" x14ac:dyDescent="0.25">
      <c r="A1042" s="4" t="s">
        <v>11</v>
      </c>
      <c r="B1042" s="4" t="s">
        <v>1092</v>
      </c>
      <c r="C1042" s="4" t="s">
        <v>26</v>
      </c>
      <c r="D1042" s="4">
        <v>5120033550</v>
      </c>
      <c r="E1042" s="4" t="s">
        <v>1233</v>
      </c>
      <c r="F1042" s="4" t="s">
        <v>14</v>
      </c>
      <c r="G1042" s="5">
        <v>93925.3</v>
      </c>
      <c r="H1042" s="5">
        <v>10436.43</v>
      </c>
      <c r="I1042" s="5">
        <v>0</v>
      </c>
      <c r="J1042" s="5" t="s">
        <v>14</v>
      </c>
      <c r="K1042" s="5">
        <v>104361.73</v>
      </c>
    </row>
    <row r="1043" spans="1:11" x14ac:dyDescent="0.25">
      <c r="A1043" s="4" t="s">
        <v>11</v>
      </c>
      <c r="B1043" s="4" t="s">
        <v>1092</v>
      </c>
      <c r="C1043" s="4" t="s">
        <v>26</v>
      </c>
      <c r="D1043" s="4">
        <v>5120033560</v>
      </c>
      <c r="E1043" s="4" t="s">
        <v>1235</v>
      </c>
      <c r="F1043" s="4" t="s">
        <v>14</v>
      </c>
      <c r="G1043" s="5">
        <v>15802.76</v>
      </c>
      <c r="H1043" s="5">
        <v>1528.03</v>
      </c>
      <c r="I1043" s="5">
        <v>0</v>
      </c>
      <c r="J1043" s="5" t="s">
        <v>14</v>
      </c>
      <c r="K1043" s="5">
        <v>17330.79</v>
      </c>
    </row>
    <row r="1044" spans="1:11" x14ac:dyDescent="0.25">
      <c r="A1044" s="4" t="s">
        <v>11</v>
      </c>
      <c r="B1044" s="4" t="s">
        <v>1092</v>
      </c>
      <c r="C1044" s="4" t="s">
        <v>26</v>
      </c>
      <c r="D1044" s="4">
        <v>5120033565</v>
      </c>
      <c r="E1044" s="4" t="s">
        <v>1237</v>
      </c>
      <c r="F1044" s="4" t="s">
        <v>14</v>
      </c>
      <c r="G1044" s="5">
        <v>193160</v>
      </c>
      <c r="H1044" s="5">
        <v>29641</v>
      </c>
      <c r="I1044" s="5">
        <v>0</v>
      </c>
      <c r="J1044" s="5" t="s">
        <v>14</v>
      </c>
      <c r="K1044" s="5">
        <v>222801</v>
      </c>
    </row>
    <row r="1045" spans="1:11" x14ac:dyDescent="0.25">
      <c r="A1045" s="4" t="s">
        <v>11</v>
      </c>
      <c r="B1045" s="4" t="s">
        <v>1092</v>
      </c>
      <c r="C1045" s="4" t="s">
        <v>23</v>
      </c>
      <c r="D1045" s="4">
        <v>51200355</v>
      </c>
      <c r="E1045" s="4" t="s">
        <v>1263</v>
      </c>
      <c r="F1045" s="4" t="s">
        <v>14</v>
      </c>
      <c r="G1045" s="5">
        <v>3516294.55</v>
      </c>
      <c r="H1045" s="5">
        <v>0</v>
      </c>
      <c r="I1045" s="5">
        <v>0</v>
      </c>
      <c r="J1045" s="5" t="s">
        <v>14</v>
      </c>
      <c r="K1045" s="5">
        <v>3516294.55</v>
      </c>
    </row>
    <row r="1046" spans="1:11" x14ac:dyDescent="0.25">
      <c r="A1046" s="4" t="s">
        <v>11</v>
      </c>
      <c r="B1046" s="4" t="s">
        <v>1092</v>
      </c>
      <c r="C1046" s="4" t="s">
        <v>26</v>
      </c>
      <c r="D1046" s="4">
        <v>5120035510</v>
      </c>
      <c r="E1046" s="4" t="s">
        <v>1265</v>
      </c>
      <c r="F1046" s="4" t="s">
        <v>14</v>
      </c>
      <c r="G1046" s="5">
        <v>811053.15</v>
      </c>
      <c r="H1046" s="5">
        <v>0</v>
      </c>
      <c r="I1046" s="5">
        <v>0</v>
      </c>
      <c r="J1046" s="5" t="s">
        <v>14</v>
      </c>
      <c r="K1046" s="5">
        <v>811053.15</v>
      </c>
    </row>
    <row r="1047" spans="1:11" x14ac:dyDescent="0.25">
      <c r="A1047" s="4" t="s">
        <v>11</v>
      </c>
      <c r="B1047" s="4" t="s">
        <v>1092</v>
      </c>
      <c r="C1047" s="4" t="s">
        <v>26</v>
      </c>
      <c r="D1047" s="4">
        <v>5120035520</v>
      </c>
      <c r="E1047" s="4" t="s">
        <v>1267</v>
      </c>
      <c r="F1047" s="4" t="s">
        <v>14</v>
      </c>
      <c r="G1047" s="5">
        <v>2689054.26</v>
      </c>
      <c r="H1047" s="5">
        <v>0</v>
      </c>
      <c r="I1047" s="5">
        <v>0</v>
      </c>
      <c r="J1047" s="5" t="s">
        <v>14</v>
      </c>
      <c r="K1047" s="5">
        <v>2689054.26</v>
      </c>
    </row>
    <row r="1048" spans="1:11" x14ac:dyDescent="0.25">
      <c r="A1048" s="4" t="s">
        <v>11</v>
      </c>
      <c r="B1048" s="4" t="s">
        <v>1092</v>
      </c>
      <c r="C1048" s="4" t="s">
        <v>26</v>
      </c>
      <c r="D1048" s="4">
        <v>5120035525</v>
      </c>
      <c r="E1048" s="4" t="s">
        <v>1269</v>
      </c>
      <c r="F1048" s="4" t="s">
        <v>14</v>
      </c>
      <c r="G1048" s="5">
        <v>16187.14</v>
      </c>
      <c r="H1048" s="5">
        <v>0</v>
      </c>
      <c r="I1048" s="5">
        <v>0</v>
      </c>
      <c r="J1048" s="5" t="s">
        <v>14</v>
      </c>
      <c r="K1048" s="5">
        <v>16187.14</v>
      </c>
    </row>
    <row r="1049" spans="1:11" x14ac:dyDescent="0.25">
      <c r="A1049" s="4" t="s">
        <v>11</v>
      </c>
      <c r="B1049" s="4" t="s">
        <v>1092</v>
      </c>
      <c r="C1049" s="4" t="s">
        <v>23</v>
      </c>
      <c r="D1049" s="4">
        <v>51200360</v>
      </c>
      <c r="E1049" s="4" t="s">
        <v>1273</v>
      </c>
      <c r="F1049" s="4" t="s">
        <v>14</v>
      </c>
      <c r="G1049" s="5">
        <v>1041796</v>
      </c>
      <c r="H1049" s="5">
        <v>157874</v>
      </c>
      <c r="I1049" s="5">
        <v>0</v>
      </c>
      <c r="J1049" s="5" t="s">
        <v>14</v>
      </c>
      <c r="K1049" s="5">
        <v>1199670</v>
      </c>
    </row>
    <row r="1050" spans="1:11" x14ac:dyDescent="0.25">
      <c r="A1050" s="4" t="s">
        <v>11</v>
      </c>
      <c r="B1050" s="4" t="s">
        <v>1092</v>
      </c>
      <c r="C1050" s="4" t="s">
        <v>26</v>
      </c>
      <c r="D1050" s="4">
        <v>5120036005</v>
      </c>
      <c r="E1050" s="4" t="s">
        <v>1273</v>
      </c>
      <c r="F1050" s="4" t="s">
        <v>14</v>
      </c>
      <c r="G1050" s="5">
        <v>1041796</v>
      </c>
      <c r="H1050" s="5">
        <v>157874</v>
      </c>
      <c r="I1050" s="5">
        <v>0</v>
      </c>
      <c r="J1050" s="5" t="s">
        <v>14</v>
      </c>
      <c r="K1050" s="5">
        <v>1199670</v>
      </c>
    </row>
    <row r="1051" spans="1:11" x14ac:dyDescent="0.25">
      <c r="A1051" s="4" t="s">
        <v>11</v>
      </c>
      <c r="B1051" s="4" t="s">
        <v>1092</v>
      </c>
      <c r="C1051" s="4" t="s">
        <v>23</v>
      </c>
      <c r="D1051" s="4">
        <v>51200371</v>
      </c>
      <c r="E1051" s="4" t="s">
        <v>1289</v>
      </c>
      <c r="F1051" s="4" t="s">
        <v>14</v>
      </c>
      <c r="G1051" s="5">
        <v>20000</v>
      </c>
      <c r="H1051" s="5">
        <v>0</v>
      </c>
      <c r="I1051" s="5">
        <v>0</v>
      </c>
      <c r="J1051" s="5" t="s">
        <v>14</v>
      </c>
      <c r="K1051" s="5">
        <v>20000</v>
      </c>
    </row>
    <row r="1052" spans="1:11" x14ac:dyDescent="0.25">
      <c r="A1052" s="4" t="s">
        <v>11</v>
      </c>
      <c r="B1052" s="4" t="s">
        <v>1092</v>
      </c>
      <c r="C1052" s="4" t="s">
        <v>26</v>
      </c>
      <c r="D1052" s="4">
        <v>5120037105</v>
      </c>
      <c r="E1052" s="4" t="s">
        <v>1291</v>
      </c>
      <c r="F1052" s="4" t="s">
        <v>14</v>
      </c>
      <c r="G1052" s="5">
        <v>20000</v>
      </c>
      <c r="H1052" s="5">
        <v>0</v>
      </c>
      <c r="I1052" s="5">
        <v>0</v>
      </c>
      <c r="J1052" s="5" t="s">
        <v>14</v>
      </c>
      <c r="K1052" s="5">
        <v>20000</v>
      </c>
    </row>
    <row r="1053" spans="1:11" x14ac:dyDescent="0.25">
      <c r="A1053" s="4" t="s">
        <v>11</v>
      </c>
      <c r="B1053" s="4" t="s">
        <v>1092</v>
      </c>
      <c r="C1053" s="4" t="s">
        <v>15</v>
      </c>
      <c r="D1053" s="4">
        <v>53</v>
      </c>
      <c r="E1053" s="4" t="s">
        <v>1608</v>
      </c>
      <c r="F1053" s="4" t="s">
        <v>14</v>
      </c>
      <c r="G1053" s="5">
        <v>1625519503.29</v>
      </c>
      <c r="H1053" s="5">
        <v>82445620.620000005</v>
      </c>
      <c r="I1053" s="5">
        <v>36003.99</v>
      </c>
      <c r="J1053" s="5" t="s">
        <v>14</v>
      </c>
      <c r="K1053" s="5">
        <v>1707929119.9200001</v>
      </c>
    </row>
    <row r="1054" spans="1:11" x14ac:dyDescent="0.25">
      <c r="A1054" s="4" t="s">
        <v>11</v>
      </c>
      <c r="B1054" s="4" t="s">
        <v>1092</v>
      </c>
      <c r="C1054" s="4" t="s">
        <v>18</v>
      </c>
      <c r="D1054" s="4">
        <v>5305</v>
      </c>
      <c r="E1054" s="4" t="s">
        <v>1610</v>
      </c>
      <c r="F1054" s="4" t="s">
        <v>14</v>
      </c>
      <c r="G1054" s="5">
        <v>1165958214.51</v>
      </c>
      <c r="H1054" s="5">
        <v>32890040.859999999</v>
      </c>
      <c r="I1054" s="5">
        <v>36000</v>
      </c>
      <c r="J1054" s="5" t="s">
        <v>14</v>
      </c>
      <c r="K1054" s="5">
        <v>1198812255.3699999</v>
      </c>
    </row>
    <row r="1055" spans="1:11" x14ac:dyDescent="0.25">
      <c r="A1055" s="4" t="s">
        <v>11</v>
      </c>
      <c r="B1055" s="4" t="s">
        <v>1092</v>
      </c>
      <c r="C1055" s="4" t="s">
        <v>21</v>
      </c>
      <c r="D1055" s="4">
        <v>530505</v>
      </c>
      <c r="E1055" s="4" t="s">
        <v>1610</v>
      </c>
      <c r="F1055" s="4" t="s">
        <v>14</v>
      </c>
      <c r="G1055" s="5">
        <v>1165958214.51</v>
      </c>
      <c r="H1055" s="5">
        <v>32890040.859999999</v>
      </c>
      <c r="I1055" s="5">
        <v>36000</v>
      </c>
      <c r="J1055" s="5" t="s">
        <v>14</v>
      </c>
      <c r="K1055" s="5">
        <v>1198812255.3699999</v>
      </c>
    </row>
    <row r="1056" spans="1:11" x14ac:dyDescent="0.25">
      <c r="A1056" s="4" t="s">
        <v>11</v>
      </c>
      <c r="B1056" s="4" t="s">
        <v>1092</v>
      </c>
      <c r="C1056" s="4" t="s">
        <v>23</v>
      </c>
      <c r="D1056" s="4">
        <v>53050505</v>
      </c>
      <c r="E1056" s="4" t="s">
        <v>1613</v>
      </c>
      <c r="F1056" s="4" t="s">
        <v>14</v>
      </c>
      <c r="G1056" s="5">
        <v>243357311.61000001</v>
      </c>
      <c r="H1056" s="5">
        <v>1225505.22</v>
      </c>
      <c r="I1056" s="5">
        <v>0</v>
      </c>
      <c r="J1056" s="5" t="s">
        <v>14</v>
      </c>
      <c r="K1056" s="5">
        <v>244582816.83000001</v>
      </c>
    </row>
    <row r="1057" spans="1:11" x14ac:dyDescent="0.25">
      <c r="A1057" s="4" t="s">
        <v>11</v>
      </c>
      <c r="B1057" s="4" t="s">
        <v>1092</v>
      </c>
      <c r="C1057" s="4" t="s">
        <v>26</v>
      </c>
      <c r="D1057" s="4">
        <v>5305050505</v>
      </c>
      <c r="E1057" s="4" t="s">
        <v>1615</v>
      </c>
      <c r="F1057" s="4" t="s">
        <v>14</v>
      </c>
      <c r="G1057" s="5">
        <v>3653706.15</v>
      </c>
      <c r="H1057" s="5">
        <v>238.02</v>
      </c>
      <c r="I1057" s="5">
        <v>0</v>
      </c>
      <c r="J1057" s="5" t="s">
        <v>14</v>
      </c>
      <c r="K1057" s="5">
        <v>3653944.17</v>
      </c>
    </row>
    <row r="1058" spans="1:11" x14ac:dyDescent="0.25">
      <c r="A1058" s="4" t="s">
        <v>11</v>
      </c>
      <c r="B1058" s="4" t="s">
        <v>1092</v>
      </c>
      <c r="C1058" s="4" t="s">
        <v>26</v>
      </c>
      <c r="D1058" s="4">
        <v>5305050510</v>
      </c>
      <c r="E1058" s="4" t="s">
        <v>1617</v>
      </c>
      <c r="F1058" s="4" t="s">
        <v>14</v>
      </c>
      <c r="G1058" s="5">
        <v>16462029.390000001</v>
      </c>
      <c r="H1058" s="5">
        <v>1225267.2</v>
      </c>
      <c r="I1058" s="5">
        <v>0</v>
      </c>
      <c r="J1058" s="5" t="s">
        <v>14</v>
      </c>
      <c r="K1058" s="5">
        <v>17687296.59</v>
      </c>
    </row>
    <row r="1059" spans="1:11" x14ac:dyDescent="0.25">
      <c r="A1059" s="4" t="s">
        <v>11</v>
      </c>
      <c r="B1059" s="4" t="s">
        <v>1092</v>
      </c>
      <c r="C1059" s="4" t="s">
        <v>26</v>
      </c>
      <c r="D1059" s="4">
        <v>5305050515</v>
      </c>
      <c r="E1059" s="4" t="s">
        <v>1619</v>
      </c>
      <c r="F1059" s="4" t="s">
        <v>14</v>
      </c>
      <c r="G1059" s="5">
        <v>1660127.9</v>
      </c>
      <c r="H1059" s="5">
        <v>0</v>
      </c>
      <c r="I1059" s="5">
        <v>0</v>
      </c>
      <c r="J1059" s="5" t="s">
        <v>14</v>
      </c>
      <c r="K1059" s="5">
        <v>1660127.9</v>
      </c>
    </row>
    <row r="1060" spans="1:11" x14ac:dyDescent="0.25">
      <c r="A1060" s="4" t="s">
        <v>11</v>
      </c>
      <c r="B1060" s="4" t="s">
        <v>1092</v>
      </c>
      <c r="C1060" s="4" t="s">
        <v>26</v>
      </c>
      <c r="D1060" s="4">
        <v>5305050535</v>
      </c>
      <c r="E1060" s="4" t="s">
        <v>1621</v>
      </c>
      <c r="F1060" s="4" t="s">
        <v>14</v>
      </c>
      <c r="G1060" s="5">
        <v>221581448.16999999</v>
      </c>
      <c r="H1060" s="5">
        <v>0</v>
      </c>
      <c r="I1060" s="5">
        <v>0</v>
      </c>
      <c r="J1060" s="5" t="s">
        <v>14</v>
      </c>
      <c r="K1060" s="5">
        <v>221581448.16999999</v>
      </c>
    </row>
    <row r="1061" spans="1:11" x14ac:dyDescent="0.25">
      <c r="A1061" s="4" t="s">
        <v>11</v>
      </c>
      <c r="B1061" s="4" t="s">
        <v>1092</v>
      </c>
      <c r="C1061" s="4" t="s">
        <v>23</v>
      </c>
      <c r="D1061" s="4">
        <v>53050510</v>
      </c>
      <c r="E1061" s="4" t="s">
        <v>1623</v>
      </c>
      <c r="F1061" s="4" t="s">
        <v>14</v>
      </c>
      <c r="G1061" s="5">
        <v>4551763</v>
      </c>
      <c r="H1061" s="5">
        <v>0</v>
      </c>
      <c r="I1061" s="5">
        <v>0</v>
      </c>
      <c r="J1061" s="5" t="s">
        <v>14</v>
      </c>
      <c r="K1061" s="5">
        <v>4551763</v>
      </c>
    </row>
    <row r="1062" spans="1:11" x14ac:dyDescent="0.25">
      <c r="A1062" s="4" t="s">
        <v>11</v>
      </c>
      <c r="B1062" s="4" t="s">
        <v>1092</v>
      </c>
      <c r="C1062" s="4" t="s">
        <v>26</v>
      </c>
      <c r="D1062" s="4">
        <v>5305051030</v>
      </c>
      <c r="E1062" s="4" t="s">
        <v>1621</v>
      </c>
      <c r="F1062" s="4" t="s">
        <v>14</v>
      </c>
      <c r="G1062" s="5">
        <v>4551763</v>
      </c>
      <c r="H1062" s="5">
        <v>0</v>
      </c>
      <c r="I1062" s="5">
        <v>0</v>
      </c>
      <c r="J1062" s="5" t="s">
        <v>14</v>
      </c>
      <c r="K1062" s="5">
        <v>4551763</v>
      </c>
    </row>
    <row r="1063" spans="1:11" x14ac:dyDescent="0.25">
      <c r="A1063" s="4" t="s">
        <v>11</v>
      </c>
      <c r="B1063" s="4" t="s">
        <v>1092</v>
      </c>
      <c r="C1063" s="4" t="s">
        <v>23</v>
      </c>
      <c r="D1063" s="4">
        <v>53050515</v>
      </c>
      <c r="E1063" s="4" t="s">
        <v>1021</v>
      </c>
      <c r="F1063" s="4" t="s">
        <v>14</v>
      </c>
      <c r="G1063" s="5">
        <v>766382495.89999998</v>
      </c>
      <c r="H1063" s="5">
        <v>31664535.640000001</v>
      </c>
      <c r="I1063" s="5">
        <v>36000</v>
      </c>
      <c r="J1063" s="5" t="s">
        <v>14</v>
      </c>
      <c r="K1063" s="5">
        <v>798011031.53999996</v>
      </c>
    </row>
    <row r="1064" spans="1:11" x14ac:dyDescent="0.25">
      <c r="A1064" s="4" t="s">
        <v>11</v>
      </c>
      <c r="B1064" s="4" t="s">
        <v>1092</v>
      </c>
      <c r="C1064" s="4" t="s">
        <v>26</v>
      </c>
      <c r="D1064" s="4">
        <v>5305051505</v>
      </c>
      <c r="E1064" s="4" t="s">
        <v>1627</v>
      </c>
      <c r="F1064" s="4" t="s">
        <v>14</v>
      </c>
      <c r="G1064" s="5">
        <v>765479244.79999995</v>
      </c>
      <c r="H1064" s="5">
        <v>28605535.640000001</v>
      </c>
      <c r="I1064" s="5">
        <v>0</v>
      </c>
      <c r="J1064" s="5" t="s">
        <v>14</v>
      </c>
      <c r="K1064" s="5">
        <v>794084780.44000006</v>
      </c>
    </row>
    <row r="1065" spans="1:11" x14ac:dyDescent="0.25">
      <c r="A1065" s="4" t="s">
        <v>11</v>
      </c>
      <c r="B1065" s="4" t="s">
        <v>1092</v>
      </c>
      <c r="C1065" s="4" t="s">
        <v>26</v>
      </c>
      <c r="D1065" s="4">
        <v>5305051510</v>
      </c>
      <c r="E1065" s="4" t="s">
        <v>1629</v>
      </c>
      <c r="F1065" s="4" t="s">
        <v>14</v>
      </c>
      <c r="G1065" s="5">
        <v>903251.1</v>
      </c>
      <c r="H1065" s="5">
        <v>3059000</v>
      </c>
      <c r="I1065" s="5">
        <v>36000</v>
      </c>
      <c r="J1065" s="5" t="s">
        <v>14</v>
      </c>
      <c r="K1065" s="5">
        <v>3926251.1</v>
      </c>
    </row>
    <row r="1066" spans="1:11" x14ac:dyDescent="0.25">
      <c r="A1066" s="4" t="s">
        <v>11</v>
      </c>
      <c r="B1066" s="4" t="s">
        <v>1092</v>
      </c>
      <c r="C1066" s="4" t="s">
        <v>23</v>
      </c>
      <c r="D1066" s="4">
        <v>53050520</v>
      </c>
      <c r="E1066" s="4" t="s">
        <v>1033</v>
      </c>
      <c r="F1066" s="4" t="s">
        <v>14</v>
      </c>
      <c r="G1066" s="5">
        <v>6688853</v>
      </c>
      <c r="H1066" s="5">
        <v>0</v>
      </c>
      <c r="I1066" s="5">
        <v>0</v>
      </c>
      <c r="J1066" s="5" t="s">
        <v>14</v>
      </c>
      <c r="K1066" s="5">
        <v>6688853</v>
      </c>
    </row>
    <row r="1067" spans="1:11" x14ac:dyDescent="0.25">
      <c r="A1067" s="4" t="s">
        <v>11</v>
      </c>
      <c r="B1067" s="4" t="s">
        <v>1092</v>
      </c>
      <c r="C1067" s="4" t="s">
        <v>26</v>
      </c>
      <c r="D1067" s="4">
        <v>5305052005</v>
      </c>
      <c r="E1067" s="4" t="s">
        <v>1033</v>
      </c>
      <c r="F1067" s="4" t="s">
        <v>14</v>
      </c>
      <c r="G1067" s="5">
        <v>6688853</v>
      </c>
      <c r="H1067" s="5">
        <v>0</v>
      </c>
      <c r="I1067" s="5">
        <v>0</v>
      </c>
      <c r="J1067" s="5" t="s">
        <v>14</v>
      </c>
      <c r="K1067" s="5">
        <v>6688853</v>
      </c>
    </row>
    <row r="1068" spans="1:11" x14ac:dyDescent="0.25">
      <c r="A1068" s="4" t="s">
        <v>11</v>
      </c>
      <c r="B1068" s="4" t="s">
        <v>1092</v>
      </c>
      <c r="C1068" s="4" t="s">
        <v>23</v>
      </c>
      <c r="D1068" s="4">
        <v>53050525</v>
      </c>
      <c r="E1068" s="4" t="s">
        <v>1036</v>
      </c>
      <c r="F1068" s="4" t="s">
        <v>14</v>
      </c>
      <c r="G1068" s="5">
        <v>144977791</v>
      </c>
      <c r="H1068" s="5">
        <v>0</v>
      </c>
      <c r="I1068" s="5">
        <v>0</v>
      </c>
      <c r="J1068" s="5" t="s">
        <v>14</v>
      </c>
      <c r="K1068" s="5">
        <v>144977791</v>
      </c>
    </row>
    <row r="1069" spans="1:11" x14ac:dyDescent="0.25">
      <c r="A1069" s="4" t="s">
        <v>11</v>
      </c>
      <c r="B1069" s="4" t="s">
        <v>1092</v>
      </c>
      <c r="C1069" s="4" t="s">
        <v>26</v>
      </c>
      <c r="D1069" s="4">
        <v>5305052505</v>
      </c>
      <c r="E1069" s="4" t="s">
        <v>1036</v>
      </c>
      <c r="F1069" s="4" t="s">
        <v>14</v>
      </c>
      <c r="G1069" s="5">
        <v>144977791</v>
      </c>
      <c r="H1069" s="5">
        <v>0</v>
      </c>
      <c r="I1069" s="5">
        <v>0</v>
      </c>
      <c r="J1069" s="5" t="s">
        <v>14</v>
      </c>
      <c r="K1069" s="5">
        <v>144977791</v>
      </c>
    </row>
    <row r="1070" spans="1:11" x14ac:dyDescent="0.25">
      <c r="A1070" s="4" t="s">
        <v>11</v>
      </c>
      <c r="B1070" s="4" t="s">
        <v>1092</v>
      </c>
      <c r="C1070" s="4" t="s">
        <v>18</v>
      </c>
      <c r="D1070" s="4">
        <v>5310</v>
      </c>
      <c r="E1070" s="4" t="s">
        <v>1635</v>
      </c>
      <c r="F1070" s="4" t="s">
        <v>14</v>
      </c>
      <c r="G1070" s="5">
        <v>12996240.289999999</v>
      </c>
      <c r="H1070" s="5">
        <v>2855640.76</v>
      </c>
      <c r="I1070" s="5">
        <v>0</v>
      </c>
      <c r="J1070" s="5" t="s">
        <v>14</v>
      </c>
      <c r="K1070" s="5">
        <v>15851881.050000001</v>
      </c>
    </row>
    <row r="1071" spans="1:11" x14ac:dyDescent="0.25">
      <c r="A1071" s="4" t="s">
        <v>11</v>
      </c>
      <c r="B1071" s="4" t="s">
        <v>1092</v>
      </c>
      <c r="C1071" s="4" t="s">
        <v>21</v>
      </c>
      <c r="D1071" s="4">
        <v>531010</v>
      </c>
      <c r="E1071" s="4" t="s">
        <v>1635</v>
      </c>
      <c r="F1071" s="4" t="s">
        <v>14</v>
      </c>
      <c r="G1071" s="5">
        <v>12996240.289999999</v>
      </c>
      <c r="H1071" s="5">
        <v>2855640.76</v>
      </c>
      <c r="I1071" s="5">
        <v>0</v>
      </c>
      <c r="J1071" s="5" t="s">
        <v>14</v>
      </c>
      <c r="K1071" s="5">
        <v>15851881.050000001</v>
      </c>
    </row>
    <row r="1072" spans="1:11" x14ac:dyDescent="0.25">
      <c r="A1072" s="4" t="s">
        <v>11</v>
      </c>
      <c r="B1072" s="4" t="s">
        <v>1092</v>
      </c>
      <c r="C1072" s="4" t="s">
        <v>23</v>
      </c>
      <c r="D1072" s="4">
        <v>53101030</v>
      </c>
      <c r="E1072" s="4" t="s">
        <v>1638</v>
      </c>
      <c r="F1072" s="4" t="s">
        <v>14</v>
      </c>
      <c r="G1072" s="5">
        <v>12996240.289999999</v>
      </c>
      <c r="H1072" s="5">
        <v>2838298.76</v>
      </c>
      <c r="I1072" s="5">
        <v>0</v>
      </c>
      <c r="J1072" s="5" t="s">
        <v>14</v>
      </c>
      <c r="K1072" s="5">
        <v>15834539.050000001</v>
      </c>
    </row>
    <row r="1073" spans="1:11" x14ac:dyDescent="0.25">
      <c r="A1073" s="4" t="s">
        <v>11</v>
      </c>
      <c r="B1073" s="4" t="s">
        <v>1092</v>
      </c>
      <c r="C1073" s="4" t="s">
        <v>26</v>
      </c>
      <c r="D1073" s="4">
        <v>5310103005</v>
      </c>
      <c r="E1073" s="4" t="s">
        <v>1640</v>
      </c>
      <c r="F1073" s="4" t="s">
        <v>14</v>
      </c>
      <c r="G1073" s="5">
        <v>12996240.289999999</v>
      </c>
      <c r="H1073" s="5">
        <v>2838298.76</v>
      </c>
      <c r="I1073" s="5">
        <v>0</v>
      </c>
      <c r="J1073" s="5" t="s">
        <v>14</v>
      </c>
      <c r="K1073" s="5">
        <v>15834539.050000001</v>
      </c>
    </row>
    <row r="1074" spans="1:11" x14ac:dyDescent="0.25">
      <c r="A1074" s="4" t="s">
        <v>11</v>
      </c>
      <c r="B1074" s="4" t="s">
        <v>1092</v>
      </c>
      <c r="C1074" s="4" t="s">
        <v>23</v>
      </c>
      <c r="D1074" s="4">
        <v>53101035</v>
      </c>
      <c r="E1074" s="4" t="s">
        <v>1642</v>
      </c>
      <c r="F1074" s="4" t="s">
        <v>14</v>
      </c>
      <c r="G1074" s="5">
        <v>0</v>
      </c>
      <c r="H1074" s="5">
        <v>17342</v>
      </c>
      <c r="I1074" s="5">
        <v>0</v>
      </c>
      <c r="J1074" s="5" t="s">
        <v>14</v>
      </c>
      <c r="K1074" s="5">
        <v>17342</v>
      </c>
    </row>
    <row r="1075" spans="1:11" x14ac:dyDescent="0.25">
      <c r="A1075" s="4" t="s">
        <v>11</v>
      </c>
      <c r="B1075" s="4" t="s">
        <v>1092</v>
      </c>
      <c r="C1075" s="4" t="s">
        <v>26</v>
      </c>
      <c r="D1075" s="4">
        <v>5310103510</v>
      </c>
      <c r="E1075" s="4" t="s">
        <v>1644</v>
      </c>
      <c r="F1075" s="4" t="s">
        <v>14</v>
      </c>
      <c r="G1075" s="5">
        <v>0</v>
      </c>
      <c r="H1075" s="5">
        <v>17342</v>
      </c>
      <c r="I1075" s="5">
        <v>0</v>
      </c>
      <c r="J1075" s="5" t="s">
        <v>14</v>
      </c>
      <c r="K1075" s="5">
        <v>17342</v>
      </c>
    </row>
    <row r="1076" spans="1:11" x14ac:dyDescent="0.25">
      <c r="A1076" s="4" t="s">
        <v>11</v>
      </c>
      <c r="B1076" s="4" t="s">
        <v>1092</v>
      </c>
      <c r="C1076" s="4" t="s">
        <v>18</v>
      </c>
      <c r="D1076" s="4">
        <v>5315</v>
      </c>
      <c r="E1076" s="4" t="s">
        <v>1646</v>
      </c>
      <c r="F1076" s="4" t="s">
        <v>14</v>
      </c>
      <c r="G1076" s="5">
        <v>410153419</v>
      </c>
      <c r="H1076" s="5">
        <v>46699939</v>
      </c>
      <c r="I1076" s="5">
        <v>0</v>
      </c>
      <c r="J1076" s="5" t="s">
        <v>14</v>
      </c>
      <c r="K1076" s="5">
        <v>456853358</v>
      </c>
    </row>
    <row r="1077" spans="1:11" x14ac:dyDescent="0.25">
      <c r="A1077" s="4" t="s">
        <v>11</v>
      </c>
      <c r="B1077" s="4" t="s">
        <v>1092</v>
      </c>
      <c r="C1077" s="4" t="s">
        <v>21</v>
      </c>
      <c r="D1077" s="4">
        <v>531515</v>
      </c>
      <c r="E1077" s="4" t="s">
        <v>1646</v>
      </c>
      <c r="F1077" s="4" t="s">
        <v>14</v>
      </c>
      <c r="G1077" s="5">
        <v>410153419</v>
      </c>
      <c r="H1077" s="5">
        <v>46699939</v>
      </c>
      <c r="I1077" s="5">
        <v>0</v>
      </c>
      <c r="J1077" s="5" t="s">
        <v>14</v>
      </c>
      <c r="K1077" s="5">
        <v>456853358</v>
      </c>
    </row>
    <row r="1078" spans="1:11" x14ac:dyDescent="0.25">
      <c r="A1078" s="4" t="s">
        <v>11</v>
      </c>
      <c r="B1078" s="4" t="s">
        <v>1092</v>
      </c>
      <c r="C1078" s="4" t="s">
        <v>23</v>
      </c>
      <c r="D1078" s="4">
        <v>53151505</v>
      </c>
      <c r="E1078" s="4" t="s">
        <v>719</v>
      </c>
      <c r="F1078" s="4" t="s">
        <v>14</v>
      </c>
      <c r="G1078" s="5">
        <v>409553950</v>
      </c>
      <c r="H1078" s="5">
        <v>46699939</v>
      </c>
      <c r="I1078" s="5">
        <v>0</v>
      </c>
      <c r="J1078" s="5" t="s">
        <v>14</v>
      </c>
      <c r="K1078" s="5">
        <v>456253889</v>
      </c>
    </row>
    <row r="1079" spans="1:11" x14ac:dyDescent="0.25">
      <c r="A1079" s="4" t="s">
        <v>11</v>
      </c>
      <c r="B1079" s="4" t="s">
        <v>1092</v>
      </c>
      <c r="C1079" s="4" t="s">
        <v>26</v>
      </c>
      <c r="D1079" s="4">
        <v>5315150505</v>
      </c>
      <c r="E1079" s="4" t="s">
        <v>1650</v>
      </c>
      <c r="F1079" s="4" t="s">
        <v>14</v>
      </c>
      <c r="G1079" s="5">
        <v>409553950</v>
      </c>
      <c r="H1079" s="5">
        <v>46699939</v>
      </c>
      <c r="I1079" s="5">
        <v>0</v>
      </c>
      <c r="J1079" s="5" t="s">
        <v>14</v>
      </c>
      <c r="K1079" s="5">
        <v>456253889</v>
      </c>
    </row>
    <row r="1080" spans="1:11" x14ac:dyDescent="0.25">
      <c r="A1080" s="4" t="s">
        <v>11</v>
      </c>
      <c r="B1080" s="4" t="s">
        <v>1092</v>
      </c>
      <c r="C1080" s="4" t="s">
        <v>23</v>
      </c>
      <c r="D1080" s="4">
        <v>53151510</v>
      </c>
      <c r="E1080" s="4" t="s">
        <v>1652</v>
      </c>
      <c r="F1080" s="4" t="s">
        <v>14</v>
      </c>
      <c r="G1080" s="5">
        <v>599469</v>
      </c>
      <c r="H1080" s="5">
        <v>0</v>
      </c>
      <c r="I1080" s="5">
        <v>0</v>
      </c>
      <c r="J1080" s="5" t="s">
        <v>14</v>
      </c>
      <c r="K1080" s="5">
        <v>599469</v>
      </c>
    </row>
    <row r="1081" spans="1:11" x14ac:dyDescent="0.25">
      <c r="A1081" s="4" t="s">
        <v>11</v>
      </c>
      <c r="B1081" s="4" t="s">
        <v>1092</v>
      </c>
      <c r="C1081" s="4" t="s">
        <v>26</v>
      </c>
      <c r="D1081" s="4">
        <v>5315151005</v>
      </c>
      <c r="E1081" s="4" t="s">
        <v>1654</v>
      </c>
      <c r="F1081" s="4" t="s">
        <v>14</v>
      </c>
      <c r="G1081" s="5">
        <v>599469</v>
      </c>
      <c r="H1081" s="5">
        <v>0</v>
      </c>
      <c r="I1081" s="5">
        <v>0</v>
      </c>
      <c r="J1081" s="5" t="s">
        <v>14</v>
      </c>
      <c r="K1081" s="5">
        <v>599469</v>
      </c>
    </row>
    <row r="1082" spans="1:11" x14ac:dyDescent="0.25">
      <c r="A1082" s="4" t="s">
        <v>11</v>
      </c>
      <c r="B1082" s="4" t="s">
        <v>1092</v>
      </c>
      <c r="C1082" s="4" t="s">
        <v>18</v>
      </c>
      <c r="D1082" s="4">
        <v>5350</v>
      </c>
      <c r="E1082" s="4" t="s">
        <v>1656</v>
      </c>
      <c r="F1082" s="4" t="s">
        <v>14</v>
      </c>
      <c r="G1082" s="5">
        <v>36411629.490000002</v>
      </c>
      <c r="H1082" s="5">
        <v>0</v>
      </c>
      <c r="I1082" s="5">
        <v>3.99</v>
      </c>
      <c r="J1082" s="5" t="s">
        <v>14</v>
      </c>
      <c r="K1082" s="5">
        <v>36411625.5</v>
      </c>
    </row>
    <row r="1083" spans="1:11" x14ac:dyDescent="0.25">
      <c r="A1083" s="4" t="s">
        <v>11</v>
      </c>
      <c r="B1083" s="4" t="s">
        <v>1092</v>
      </c>
      <c r="C1083" s="4" t="s">
        <v>21</v>
      </c>
      <c r="D1083" s="4">
        <v>535050</v>
      </c>
      <c r="E1083" s="4" t="s">
        <v>1656</v>
      </c>
      <c r="F1083" s="4" t="s">
        <v>14</v>
      </c>
      <c r="G1083" s="5">
        <v>36411629.490000002</v>
      </c>
      <c r="H1083" s="5">
        <v>0</v>
      </c>
      <c r="I1083" s="5">
        <v>3.99</v>
      </c>
      <c r="J1083" s="5" t="s">
        <v>14</v>
      </c>
      <c r="K1083" s="5">
        <v>36411625.5</v>
      </c>
    </row>
    <row r="1084" spans="1:11" x14ac:dyDescent="0.25">
      <c r="A1084" s="4" t="s">
        <v>11</v>
      </c>
      <c r="B1084" s="4" t="s">
        <v>1092</v>
      </c>
      <c r="C1084" s="4" t="s">
        <v>23</v>
      </c>
      <c r="D1084" s="4">
        <v>53505020</v>
      </c>
      <c r="E1084" s="4" t="s">
        <v>1659</v>
      </c>
      <c r="F1084" s="4" t="s">
        <v>14</v>
      </c>
      <c r="G1084" s="5">
        <v>36411273.520000003</v>
      </c>
      <c r="H1084" s="5">
        <v>0</v>
      </c>
      <c r="I1084" s="5">
        <v>0</v>
      </c>
      <c r="J1084" s="5" t="s">
        <v>14</v>
      </c>
      <c r="K1084" s="5">
        <v>36411273.520000003</v>
      </c>
    </row>
    <row r="1085" spans="1:11" x14ac:dyDescent="0.25">
      <c r="A1085" s="4" t="s">
        <v>11</v>
      </c>
      <c r="B1085" s="4" t="s">
        <v>1092</v>
      </c>
      <c r="C1085" s="4" t="s">
        <v>26</v>
      </c>
      <c r="D1085" s="4">
        <v>5350502005</v>
      </c>
      <c r="E1085" s="4" t="s">
        <v>1659</v>
      </c>
      <c r="F1085" s="4" t="s">
        <v>14</v>
      </c>
      <c r="G1085" s="5">
        <v>36411273.520000003</v>
      </c>
      <c r="H1085" s="5">
        <v>0</v>
      </c>
      <c r="I1085" s="5">
        <v>0</v>
      </c>
      <c r="J1085" s="5" t="s">
        <v>14</v>
      </c>
      <c r="K1085" s="5">
        <v>36411273.520000003</v>
      </c>
    </row>
    <row r="1086" spans="1:11" x14ac:dyDescent="0.25">
      <c r="A1086" s="4" t="s">
        <v>11</v>
      </c>
      <c r="B1086" s="4" t="s">
        <v>1092</v>
      </c>
      <c r="C1086" s="4" t="s">
        <v>23</v>
      </c>
      <c r="D1086" s="4">
        <v>53505025</v>
      </c>
      <c r="E1086" s="4" t="s">
        <v>1071</v>
      </c>
      <c r="F1086" s="4" t="s">
        <v>14</v>
      </c>
      <c r="G1086" s="5">
        <v>355.97</v>
      </c>
      <c r="H1086" s="5">
        <v>0</v>
      </c>
      <c r="I1086" s="5">
        <v>3.99</v>
      </c>
      <c r="J1086" s="5" t="s">
        <v>14</v>
      </c>
      <c r="K1086" s="5">
        <v>351.98</v>
      </c>
    </row>
    <row r="1087" spans="1:11" x14ac:dyDescent="0.25">
      <c r="A1087" s="4" t="s">
        <v>11</v>
      </c>
      <c r="B1087" s="4" t="s">
        <v>1092</v>
      </c>
      <c r="C1087" s="4" t="s">
        <v>26</v>
      </c>
      <c r="D1087" s="4">
        <v>5350502505</v>
      </c>
      <c r="E1087" s="4" t="s">
        <v>1071</v>
      </c>
      <c r="F1087" s="4" t="s">
        <v>14</v>
      </c>
      <c r="G1087" s="5">
        <v>355.97</v>
      </c>
      <c r="H1087" s="5">
        <v>0</v>
      </c>
      <c r="I1087" s="5">
        <v>3.99</v>
      </c>
      <c r="J1087" s="5" t="s">
        <v>14</v>
      </c>
      <c r="K1087" s="5">
        <v>351.98</v>
      </c>
    </row>
    <row r="1088" spans="1:11" x14ac:dyDescent="0.25">
      <c r="A1088" s="4" t="s">
        <v>11</v>
      </c>
      <c r="B1088" s="4" t="s">
        <v>1092</v>
      </c>
      <c r="C1088" s="4" t="s">
        <v>15</v>
      </c>
      <c r="D1088" s="4">
        <v>55</v>
      </c>
      <c r="E1088" s="4" t="s">
        <v>1664</v>
      </c>
      <c r="F1088" s="4" t="s">
        <v>14</v>
      </c>
      <c r="G1088" s="5">
        <v>700000000</v>
      </c>
      <c r="H1088" s="5">
        <v>70000000</v>
      </c>
      <c r="I1088" s="5">
        <v>0</v>
      </c>
      <c r="J1088" s="5" t="s">
        <v>14</v>
      </c>
      <c r="K1088" s="5">
        <v>770000000</v>
      </c>
    </row>
    <row r="1089" spans="1:11" x14ac:dyDescent="0.25">
      <c r="A1089" s="4" t="s">
        <v>11</v>
      </c>
      <c r="B1089" s="4" t="s">
        <v>1092</v>
      </c>
      <c r="C1089" s="4" t="s">
        <v>18</v>
      </c>
      <c r="D1089" s="4">
        <v>5505</v>
      </c>
      <c r="E1089" s="4" t="s">
        <v>1666</v>
      </c>
      <c r="F1089" s="4" t="s">
        <v>14</v>
      </c>
      <c r="G1089" s="5">
        <v>700000000</v>
      </c>
      <c r="H1089" s="5">
        <v>70000000</v>
      </c>
      <c r="I1089" s="5">
        <v>0</v>
      </c>
      <c r="J1089" s="5" t="s">
        <v>14</v>
      </c>
      <c r="K1089" s="5">
        <v>770000000</v>
      </c>
    </row>
    <row r="1090" spans="1:11" x14ac:dyDescent="0.25">
      <c r="A1090" s="4" t="s">
        <v>11</v>
      </c>
      <c r="B1090" s="4" t="s">
        <v>1092</v>
      </c>
      <c r="C1090" s="4" t="s">
        <v>21</v>
      </c>
      <c r="D1090" s="4">
        <v>550515</v>
      </c>
      <c r="E1090" s="4" t="s">
        <v>1668</v>
      </c>
      <c r="F1090" s="4" t="s">
        <v>14</v>
      </c>
      <c r="G1090" s="5">
        <v>700000000</v>
      </c>
      <c r="H1090" s="5">
        <v>70000000</v>
      </c>
      <c r="I1090" s="5">
        <v>0</v>
      </c>
      <c r="J1090" s="5" t="s">
        <v>14</v>
      </c>
      <c r="K1090" s="5">
        <v>770000000</v>
      </c>
    </row>
    <row r="1091" spans="1:11" x14ac:dyDescent="0.25">
      <c r="A1091" s="4" t="s">
        <v>11</v>
      </c>
      <c r="B1091" s="4" t="s">
        <v>1092</v>
      </c>
      <c r="C1091" s="4" t="s">
        <v>23</v>
      </c>
      <c r="D1091" s="4">
        <v>55051505</v>
      </c>
      <c r="E1091" s="4" t="s">
        <v>1670</v>
      </c>
      <c r="F1091" s="4" t="s">
        <v>14</v>
      </c>
      <c r="G1091" s="5">
        <v>700000000</v>
      </c>
      <c r="H1091" s="5">
        <v>70000000</v>
      </c>
      <c r="I1091" s="5">
        <v>0</v>
      </c>
      <c r="J1091" s="5" t="s">
        <v>14</v>
      </c>
      <c r="K1091" s="5">
        <v>770000000</v>
      </c>
    </row>
    <row r="1092" spans="1:11" x14ac:dyDescent="0.25">
      <c r="A1092" s="4" t="s">
        <v>11</v>
      </c>
      <c r="B1092" s="4" t="s">
        <v>1092</v>
      </c>
      <c r="C1092" s="4" t="s">
        <v>26</v>
      </c>
      <c r="D1092" s="4">
        <v>5505150502</v>
      </c>
      <c r="E1092" s="4" t="s">
        <v>1670</v>
      </c>
      <c r="F1092" s="4" t="s">
        <v>14</v>
      </c>
      <c r="G1092" s="5">
        <v>700000000</v>
      </c>
      <c r="H1092" s="5">
        <v>70000000</v>
      </c>
      <c r="I1092" s="5">
        <v>0</v>
      </c>
      <c r="J1092" s="5" t="s">
        <v>14</v>
      </c>
      <c r="K1092" s="5">
        <v>770000000</v>
      </c>
    </row>
    <row r="1093" spans="1:11" x14ac:dyDescent="0.25">
      <c r="A1093" s="4" t="s">
        <v>11</v>
      </c>
      <c r="B1093" s="4" t="s">
        <v>1672</v>
      </c>
      <c r="C1093" s="4" t="s">
        <v>13</v>
      </c>
      <c r="D1093" s="4">
        <v>6</v>
      </c>
      <c r="E1093" s="4" t="s">
        <v>1673</v>
      </c>
      <c r="F1093" s="4" t="s">
        <v>14</v>
      </c>
      <c r="G1093" s="5">
        <v>43038375623.709999</v>
      </c>
      <c r="H1093" s="5">
        <v>1033697565.8200001</v>
      </c>
      <c r="I1093" s="5">
        <v>130757976.26000001</v>
      </c>
      <c r="J1093" s="5" t="s">
        <v>14</v>
      </c>
      <c r="K1093" s="5">
        <v>43941315213.269997</v>
      </c>
    </row>
    <row r="1094" spans="1:11" x14ac:dyDescent="0.25">
      <c r="A1094" s="4" t="s">
        <v>11</v>
      </c>
      <c r="B1094" s="4" t="s">
        <v>1672</v>
      </c>
      <c r="C1094" s="4" t="s">
        <v>15</v>
      </c>
      <c r="D1094" s="4">
        <v>61</v>
      </c>
      <c r="E1094" s="4" t="s">
        <v>1675</v>
      </c>
      <c r="F1094" s="4" t="s">
        <v>14</v>
      </c>
      <c r="G1094" s="5">
        <v>43038375623.709999</v>
      </c>
      <c r="H1094" s="5">
        <v>1033697565.8200001</v>
      </c>
      <c r="I1094" s="5">
        <v>130757976.26000001</v>
      </c>
      <c r="J1094" s="5" t="s">
        <v>14</v>
      </c>
      <c r="K1094" s="5">
        <v>43941315213.269997</v>
      </c>
    </row>
    <row r="1095" spans="1:11" x14ac:dyDescent="0.25">
      <c r="A1095" s="4" t="s">
        <v>11</v>
      </c>
      <c r="B1095" s="4" t="s">
        <v>1672</v>
      </c>
      <c r="C1095" s="4" t="s">
        <v>18</v>
      </c>
      <c r="D1095" s="4">
        <v>6105</v>
      </c>
      <c r="E1095" s="4" t="s">
        <v>777</v>
      </c>
      <c r="F1095" s="4" t="s">
        <v>14</v>
      </c>
      <c r="G1095" s="5">
        <v>5284103251.3599997</v>
      </c>
      <c r="H1095" s="5">
        <v>66311287.009999998</v>
      </c>
      <c r="I1095" s="5">
        <v>5417853</v>
      </c>
      <c r="J1095" s="5" t="s">
        <v>14</v>
      </c>
      <c r="K1095" s="5">
        <v>5344996685.3699999</v>
      </c>
    </row>
    <row r="1096" spans="1:11" x14ac:dyDescent="0.25">
      <c r="A1096" s="4" t="s">
        <v>11</v>
      </c>
      <c r="B1096" s="4" t="s">
        <v>1672</v>
      </c>
      <c r="C1096" s="4" t="s">
        <v>21</v>
      </c>
      <c r="D1096" s="4">
        <v>610501</v>
      </c>
      <c r="E1096" s="4" t="s">
        <v>1098</v>
      </c>
      <c r="F1096" s="4" t="s">
        <v>14</v>
      </c>
      <c r="G1096" s="5">
        <v>881675982.48000002</v>
      </c>
      <c r="H1096" s="5">
        <v>60330624.200000003</v>
      </c>
      <c r="I1096" s="5">
        <v>5417853</v>
      </c>
      <c r="J1096" s="5" t="s">
        <v>14</v>
      </c>
      <c r="K1096" s="5">
        <v>936588753.67999995</v>
      </c>
    </row>
    <row r="1097" spans="1:11" x14ac:dyDescent="0.25">
      <c r="A1097" s="4" t="s">
        <v>11</v>
      </c>
      <c r="B1097" s="4" t="s">
        <v>1672</v>
      </c>
      <c r="C1097" s="4" t="s">
        <v>23</v>
      </c>
      <c r="D1097" s="4">
        <v>61050101</v>
      </c>
      <c r="E1097" s="4" t="s">
        <v>1679</v>
      </c>
      <c r="F1097" s="4" t="s">
        <v>14</v>
      </c>
      <c r="G1097" s="5">
        <v>796495813</v>
      </c>
      <c r="H1097" s="5">
        <v>52789248</v>
      </c>
      <c r="I1097" s="5">
        <v>5377253</v>
      </c>
      <c r="J1097" s="5" t="s">
        <v>14</v>
      </c>
      <c r="K1097" s="5">
        <v>843907808</v>
      </c>
    </row>
    <row r="1098" spans="1:11" x14ac:dyDescent="0.25">
      <c r="A1098" s="4" t="s">
        <v>11</v>
      </c>
      <c r="B1098" s="4" t="s">
        <v>1672</v>
      </c>
      <c r="C1098" s="4" t="s">
        <v>26</v>
      </c>
      <c r="D1098" s="4">
        <v>6105010105</v>
      </c>
      <c r="E1098" s="4" t="s">
        <v>237</v>
      </c>
      <c r="F1098" s="4" t="s">
        <v>14</v>
      </c>
      <c r="G1098" s="5">
        <v>411172698</v>
      </c>
      <c r="H1098" s="5">
        <v>26449106</v>
      </c>
      <c r="I1098" s="5">
        <v>3541590</v>
      </c>
      <c r="J1098" s="5" t="s">
        <v>14</v>
      </c>
      <c r="K1098" s="5">
        <v>434080214</v>
      </c>
    </row>
    <row r="1099" spans="1:11" x14ac:dyDescent="0.25">
      <c r="A1099" s="4" t="s">
        <v>11</v>
      </c>
      <c r="B1099" s="4" t="s">
        <v>1672</v>
      </c>
      <c r="C1099" s="4" t="s">
        <v>26</v>
      </c>
      <c r="D1099" s="4">
        <v>6105010110</v>
      </c>
      <c r="E1099" s="4" t="s">
        <v>246</v>
      </c>
      <c r="F1099" s="4" t="s">
        <v>14</v>
      </c>
      <c r="G1099" s="5">
        <v>358620241</v>
      </c>
      <c r="H1099" s="5">
        <v>26340142</v>
      </c>
      <c r="I1099" s="5">
        <v>1835663</v>
      </c>
      <c r="J1099" s="5" t="s">
        <v>14</v>
      </c>
      <c r="K1099" s="5">
        <v>383124720</v>
      </c>
    </row>
    <row r="1100" spans="1:11" x14ac:dyDescent="0.25">
      <c r="A1100" s="4" t="s">
        <v>11</v>
      </c>
      <c r="B1100" s="4" t="s">
        <v>1672</v>
      </c>
      <c r="C1100" s="4" t="s">
        <v>26</v>
      </c>
      <c r="D1100" s="4">
        <v>6105010130</v>
      </c>
      <c r="E1100" s="4" t="s">
        <v>1683</v>
      </c>
      <c r="F1100" s="4" t="s">
        <v>14</v>
      </c>
      <c r="G1100" s="5">
        <v>26701914</v>
      </c>
      <c r="H1100" s="5">
        <v>0</v>
      </c>
      <c r="I1100" s="5">
        <v>0</v>
      </c>
      <c r="J1100" s="5" t="s">
        <v>14</v>
      </c>
      <c r="K1100" s="5">
        <v>26701914</v>
      </c>
    </row>
    <row r="1101" spans="1:11" x14ac:dyDescent="0.25">
      <c r="A1101" s="4" t="s">
        <v>11</v>
      </c>
      <c r="B1101" s="4" t="s">
        <v>1672</v>
      </c>
      <c r="C1101" s="4" t="s">
        <v>26</v>
      </c>
      <c r="D1101" s="4">
        <v>6105010150</v>
      </c>
      <c r="E1101" s="4" t="s">
        <v>1685</v>
      </c>
      <c r="F1101" s="4" t="s">
        <v>14</v>
      </c>
      <c r="G1101" s="5">
        <v>960</v>
      </c>
      <c r="H1101" s="5">
        <v>0</v>
      </c>
      <c r="I1101" s="5">
        <v>0</v>
      </c>
      <c r="J1101" s="5" t="s">
        <v>14</v>
      </c>
      <c r="K1101" s="5">
        <v>960</v>
      </c>
    </row>
    <row r="1102" spans="1:11" x14ac:dyDescent="0.25">
      <c r="A1102" s="4" t="s">
        <v>11</v>
      </c>
      <c r="B1102" s="4" t="s">
        <v>1672</v>
      </c>
      <c r="C1102" s="4" t="s">
        <v>23</v>
      </c>
      <c r="D1102" s="4">
        <v>61050102</v>
      </c>
      <c r="E1102" s="4" t="s">
        <v>1100</v>
      </c>
      <c r="F1102" s="4" t="s">
        <v>14</v>
      </c>
      <c r="G1102" s="5">
        <v>77530442.480000004</v>
      </c>
      <c r="H1102" s="5">
        <v>6757716.2000000002</v>
      </c>
      <c r="I1102" s="5">
        <v>40600</v>
      </c>
      <c r="J1102" s="5" t="s">
        <v>14</v>
      </c>
      <c r="K1102" s="5">
        <v>84247558.680000007</v>
      </c>
    </row>
    <row r="1103" spans="1:11" x14ac:dyDescent="0.25">
      <c r="A1103" s="4" t="s">
        <v>11</v>
      </c>
      <c r="B1103" s="4" t="s">
        <v>1672</v>
      </c>
      <c r="C1103" s="4" t="s">
        <v>26</v>
      </c>
      <c r="D1103" s="4">
        <v>6105010205</v>
      </c>
      <c r="E1103" s="4" t="s">
        <v>1100</v>
      </c>
      <c r="F1103" s="4" t="s">
        <v>14</v>
      </c>
      <c r="G1103" s="5">
        <v>77530442.480000004</v>
      </c>
      <c r="H1103" s="5">
        <v>6757716.2000000002</v>
      </c>
      <c r="I1103" s="5">
        <v>40600</v>
      </c>
      <c r="J1103" s="5" t="s">
        <v>14</v>
      </c>
      <c r="K1103" s="5">
        <v>84247558.680000007</v>
      </c>
    </row>
    <row r="1104" spans="1:11" x14ac:dyDescent="0.25">
      <c r="A1104" s="4" t="s">
        <v>11</v>
      </c>
      <c r="B1104" s="4" t="s">
        <v>1672</v>
      </c>
      <c r="C1104" s="4" t="s">
        <v>23</v>
      </c>
      <c r="D1104" s="4">
        <v>61050103</v>
      </c>
      <c r="E1104" s="4" t="s">
        <v>1103</v>
      </c>
      <c r="F1104" s="4" t="s">
        <v>14</v>
      </c>
      <c r="G1104" s="5">
        <v>7649727</v>
      </c>
      <c r="H1104" s="5">
        <v>783660</v>
      </c>
      <c r="I1104" s="5">
        <v>0</v>
      </c>
      <c r="J1104" s="5" t="s">
        <v>14</v>
      </c>
      <c r="K1104" s="5">
        <v>8433387</v>
      </c>
    </row>
    <row r="1105" spans="1:11" x14ac:dyDescent="0.25">
      <c r="A1105" s="4" t="s">
        <v>11</v>
      </c>
      <c r="B1105" s="4" t="s">
        <v>1672</v>
      </c>
      <c r="C1105" s="4" t="s">
        <v>26</v>
      </c>
      <c r="D1105" s="4">
        <v>6105010330</v>
      </c>
      <c r="E1105" s="4" t="s">
        <v>1111</v>
      </c>
      <c r="F1105" s="4" t="s">
        <v>14</v>
      </c>
      <c r="G1105" s="5">
        <v>4807</v>
      </c>
      <c r="H1105" s="5">
        <v>0</v>
      </c>
      <c r="I1105" s="5">
        <v>0</v>
      </c>
      <c r="J1105" s="5" t="s">
        <v>14</v>
      </c>
      <c r="K1105" s="5">
        <v>4807</v>
      </c>
    </row>
    <row r="1106" spans="1:11" x14ac:dyDescent="0.25">
      <c r="A1106" s="4" t="s">
        <v>11</v>
      </c>
      <c r="B1106" s="4" t="s">
        <v>1672</v>
      </c>
      <c r="C1106" s="4" t="s">
        <v>26</v>
      </c>
      <c r="D1106" s="4">
        <v>6105010335</v>
      </c>
      <c r="E1106" s="4" t="s">
        <v>1113</v>
      </c>
      <c r="F1106" s="4" t="s">
        <v>14</v>
      </c>
      <c r="G1106" s="5">
        <v>6453846</v>
      </c>
      <c r="H1106" s="5">
        <v>658547</v>
      </c>
      <c r="I1106" s="5">
        <v>0</v>
      </c>
      <c r="J1106" s="5" t="s">
        <v>14</v>
      </c>
      <c r="K1106" s="5">
        <v>7112393</v>
      </c>
    </row>
    <row r="1107" spans="1:11" x14ac:dyDescent="0.25">
      <c r="A1107" s="4" t="s">
        <v>11</v>
      </c>
      <c r="B1107" s="4" t="s">
        <v>1672</v>
      </c>
      <c r="C1107" s="4" t="s">
        <v>26</v>
      </c>
      <c r="D1107" s="4">
        <v>6105010370</v>
      </c>
      <c r="E1107" s="4" t="s">
        <v>1692</v>
      </c>
      <c r="F1107" s="4" t="s">
        <v>14</v>
      </c>
      <c r="G1107" s="5">
        <v>913</v>
      </c>
      <c r="H1107" s="5">
        <v>0</v>
      </c>
      <c r="I1107" s="5">
        <v>0</v>
      </c>
      <c r="J1107" s="5" t="s">
        <v>14</v>
      </c>
      <c r="K1107" s="5">
        <v>913</v>
      </c>
    </row>
    <row r="1108" spans="1:11" x14ac:dyDescent="0.25">
      <c r="A1108" s="4" t="s">
        <v>11</v>
      </c>
      <c r="B1108" s="4" t="s">
        <v>1672</v>
      </c>
      <c r="C1108" s="4" t="s">
        <v>26</v>
      </c>
      <c r="D1108" s="4">
        <v>6105010375</v>
      </c>
      <c r="E1108" s="4" t="s">
        <v>1123</v>
      </c>
      <c r="F1108" s="4" t="s">
        <v>14</v>
      </c>
      <c r="G1108" s="5">
        <v>1190161</v>
      </c>
      <c r="H1108" s="5">
        <v>125113</v>
      </c>
      <c r="I1108" s="5">
        <v>0</v>
      </c>
      <c r="J1108" s="5" t="s">
        <v>14</v>
      </c>
      <c r="K1108" s="5">
        <v>1315274</v>
      </c>
    </row>
    <row r="1109" spans="1:11" x14ac:dyDescent="0.25">
      <c r="A1109" s="4" t="s">
        <v>11</v>
      </c>
      <c r="B1109" s="4" t="s">
        <v>1672</v>
      </c>
      <c r="C1109" s="4" t="s">
        <v>21</v>
      </c>
      <c r="D1109" s="4">
        <v>610502</v>
      </c>
      <c r="E1109" s="4" t="s">
        <v>1125</v>
      </c>
      <c r="F1109" s="4" t="s">
        <v>14</v>
      </c>
      <c r="G1109" s="5">
        <v>4273395431.79</v>
      </c>
      <c r="H1109" s="5">
        <v>1144678</v>
      </c>
      <c r="I1109" s="5">
        <v>0</v>
      </c>
      <c r="J1109" s="5" t="s">
        <v>14</v>
      </c>
      <c r="K1109" s="5">
        <v>4274540109.79</v>
      </c>
    </row>
    <row r="1110" spans="1:11" x14ac:dyDescent="0.25">
      <c r="A1110" s="4" t="s">
        <v>11</v>
      </c>
      <c r="B1110" s="4" t="s">
        <v>1672</v>
      </c>
      <c r="C1110" s="4" t="s">
        <v>23</v>
      </c>
      <c r="D1110" s="4">
        <v>61050205</v>
      </c>
      <c r="E1110" s="4" t="s">
        <v>1127</v>
      </c>
      <c r="F1110" s="4" t="s">
        <v>14</v>
      </c>
      <c r="G1110" s="5">
        <v>3937305617.79</v>
      </c>
      <c r="H1110" s="5">
        <v>0</v>
      </c>
      <c r="I1110" s="5">
        <v>0</v>
      </c>
      <c r="J1110" s="5" t="s">
        <v>14</v>
      </c>
      <c r="K1110" s="5">
        <v>3937305617.79</v>
      </c>
    </row>
    <row r="1111" spans="1:11" x14ac:dyDescent="0.25">
      <c r="A1111" s="4" t="s">
        <v>11</v>
      </c>
      <c r="B1111" s="4" t="s">
        <v>1672</v>
      </c>
      <c r="C1111" s="4" t="s">
        <v>26</v>
      </c>
      <c r="D1111" s="4">
        <v>6105020501</v>
      </c>
      <c r="E1111" s="4" t="s">
        <v>1129</v>
      </c>
      <c r="F1111" s="4" t="s">
        <v>14</v>
      </c>
      <c r="G1111" s="5">
        <v>1180826401</v>
      </c>
      <c r="H1111" s="5">
        <v>0</v>
      </c>
      <c r="I1111" s="5">
        <v>0</v>
      </c>
      <c r="J1111" s="5" t="s">
        <v>14</v>
      </c>
      <c r="K1111" s="5">
        <v>1180826401</v>
      </c>
    </row>
    <row r="1112" spans="1:11" x14ac:dyDescent="0.25">
      <c r="A1112" s="4" t="s">
        <v>11</v>
      </c>
      <c r="B1112" s="4" t="s">
        <v>1672</v>
      </c>
      <c r="C1112" s="4" t="s">
        <v>26</v>
      </c>
      <c r="D1112" s="4">
        <v>6105020502</v>
      </c>
      <c r="E1112" s="4" t="s">
        <v>1131</v>
      </c>
      <c r="F1112" s="4" t="s">
        <v>14</v>
      </c>
      <c r="G1112" s="5">
        <v>1162827485</v>
      </c>
      <c r="H1112" s="5">
        <v>0</v>
      </c>
      <c r="I1112" s="5">
        <v>0</v>
      </c>
      <c r="J1112" s="5" t="s">
        <v>14</v>
      </c>
      <c r="K1112" s="5">
        <v>1162827485</v>
      </c>
    </row>
    <row r="1113" spans="1:11" x14ac:dyDescent="0.25">
      <c r="A1113" s="4" t="s">
        <v>11</v>
      </c>
      <c r="B1113" s="4" t="s">
        <v>1672</v>
      </c>
      <c r="C1113" s="4" t="s">
        <v>26</v>
      </c>
      <c r="D1113" s="4">
        <v>6105020505</v>
      </c>
      <c r="E1113" s="4" t="s">
        <v>1416</v>
      </c>
      <c r="F1113" s="4" t="s">
        <v>14</v>
      </c>
      <c r="G1113" s="5">
        <v>785989</v>
      </c>
      <c r="H1113" s="5">
        <v>0</v>
      </c>
      <c r="I1113" s="5">
        <v>0</v>
      </c>
      <c r="J1113" s="5" t="s">
        <v>14</v>
      </c>
      <c r="K1113" s="5">
        <v>785989</v>
      </c>
    </row>
    <row r="1114" spans="1:11" x14ac:dyDescent="0.25">
      <c r="A1114" s="4" t="s">
        <v>11</v>
      </c>
      <c r="B1114" s="4" t="s">
        <v>1672</v>
      </c>
      <c r="C1114" s="4" t="s">
        <v>26</v>
      </c>
      <c r="D1114" s="4">
        <v>6105020510</v>
      </c>
      <c r="E1114" s="4" t="s">
        <v>1315</v>
      </c>
      <c r="F1114" s="4" t="s">
        <v>14</v>
      </c>
      <c r="G1114" s="5">
        <v>83064167</v>
      </c>
      <c r="H1114" s="5">
        <v>0</v>
      </c>
      <c r="I1114" s="5">
        <v>0</v>
      </c>
      <c r="J1114" s="5" t="s">
        <v>14</v>
      </c>
      <c r="K1114" s="5">
        <v>83064167</v>
      </c>
    </row>
    <row r="1115" spans="1:11" x14ac:dyDescent="0.25">
      <c r="A1115" s="4" t="s">
        <v>11</v>
      </c>
      <c r="B1115" s="4" t="s">
        <v>1672</v>
      </c>
      <c r="C1115" s="4" t="s">
        <v>26</v>
      </c>
      <c r="D1115" s="4">
        <v>6105020511</v>
      </c>
      <c r="E1115" s="4" t="s">
        <v>1135</v>
      </c>
      <c r="F1115" s="4" t="s">
        <v>14</v>
      </c>
      <c r="G1115" s="5">
        <v>159447802</v>
      </c>
      <c r="H1115" s="5">
        <v>0</v>
      </c>
      <c r="I1115" s="5">
        <v>0</v>
      </c>
      <c r="J1115" s="5" t="s">
        <v>14</v>
      </c>
      <c r="K1115" s="5">
        <v>159447802</v>
      </c>
    </row>
    <row r="1116" spans="1:11" x14ac:dyDescent="0.25">
      <c r="A1116" s="4" t="s">
        <v>11</v>
      </c>
      <c r="B1116" s="4" t="s">
        <v>1672</v>
      </c>
      <c r="C1116" s="4" t="s">
        <v>26</v>
      </c>
      <c r="D1116" s="4">
        <v>6105020512</v>
      </c>
      <c r="E1116" s="4" t="s">
        <v>1318</v>
      </c>
      <c r="F1116" s="4" t="s">
        <v>14</v>
      </c>
      <c r="G1116" s="5">
        <v>115254132</v>
      </c>
      <c r="H1116" s="5">
        <v>0</v>
      </c>
      <c r="I1116" s="5">
        <v>0</v>
      </c>
      <c r="J1116" s="5" t="s">
        <v>14</v>
      </c>
      <c r="K1116" s="5">
        <v>115254132</v>
      </c>
    </row>
    <row r="1117" spans="1:11" x14ac:dyDescent="0.25">
      <c r="A1117" s="4" t="s">
        <v>11</v>
      </c>
      <c r="B1117" s="4" t="s">
        <v>1672</v>
      </c>
      <c r="C1117" s="4" t="s">
        <v>26</v>
      </c>
      <c r="D1117" s="4">
        <v>6105020514</v>
      </c>
      <c r="E1117" s="4" t="s">
        <v>224</v>
      </c>
      <c r="F1117" s="4" t="s">
        <v>14</v>
      </c>
      <c r="G1117" s="5">
        <v>10942899</v>
      </c>
      <c r="H1117" s="5">
        <v>0</v>
      </c>
      <c r="I1117" s="5">
        <v>0</v>
      </c>
      <c r="J1117" s="5" t="s">
        <v>14</v>
      </c>
      <c r="K1117" s="5">
        <v>10942899</v>
      </c>
    </row>
    <row r="1118" spans="1:11" x14ac:dyDescent="0.25">
      <c r="A1118" s="4" t="s">
        <v>11</v>
      </c>
      <c r="B1118" s="4" t="s">
        <v>1672</v>
      </c>
      <c r="C1118" s="4" t="s">
        <v>26</v>
      </c>
      <c r="D1118" s="4">
        <v>6105020515</v>
      </c>
      <c r="E1118" s="4" t="s">
        <v>1422</v>
      </c>
      <c r="F1118" s="4" t="s">
        <v>14</v>
      </c>
      <c r="G1118" s="5">
        <v>2460000</v>
      </c>
      <c r="H1118" s="5">
        <v>0</v>
      </c>
      <c r="I1118" s="5">
        <v>0</v>
      </c>
      <c r="J1118" s="5" t="s">
        <v>14</v>
      </c>
      <c r="K1118" s="5">
        <v>2460000</v>
      </c>
    </row>
    <row r="1119" spans="1:11" x14ac:dyDescent="0.25">
      <c r="A1119" s="4" t="s">
        <v>11</v>
      </c>
      <c r="B1119" s="4" t="s">
        <v>1672</v>
      </c>
      <c r="C1119" s="4" t="s">
        <v>26</v>
      </c>
      <c r="D1119" s="4">
        <v>6105020516</v>
      </c>
      <c r="E1119" s="4" t="s">
        <v>1138</v>
      </c>
      <c r="F1119" s="4" t="s">
        <v>14</v>
      </c>
      <c r="G1119" s="5">
        <v>16221600</v>
      </c>
      <c r="H1119" s="5">
        <v>0</v>
      </c>
      <c r="I1119" s="5">
        <v>0</v>
      </c>
      <c r="J1119" s="5" t="s">
        <v>14</v>
      </c>
      <c r="K1119" s="5">
        <v>16221600</v>
      </c>
    </row>
    <row r="1120" spans="1:11" x14ac:dyDescent="0.25">
      <c r="A1120" s="4" t="s">
        <v>11</v>
      </c>
      <c r="B1120" s="4" t="s">
        <v>1672</v>
      </c>
      <c r="C1120" s="4" t="s">
        <v>26</v>
      </c>
      <c r="D1120" s="4">
        <v>6105020520</v>
      </c>
      <c r="E1120" s="4" t="s">
        <v>1140</v>
      </c>
      <c r="F1120" s="4" t="s">
        <v>14</v>
      </c>
      <c r="G1120" s="5">
        <v>5446</v>
      </c>
      <c r="H1120" s="5">
        <v>0</v>
      </c>
      <c r="I1120" s="5">
        <v>0</v>
      </c>
      <c r="J1120" s="5" t="s">
        <v>14</v>
      </c>
      <c r="K1120" s="5">
        <v>5446</v>
      </c>
    </row>
    <row r="1121" spans="1:11" x14ac:dyDescent="0.25">
      <c r="A1121" s="4" t="s">
        <v>11</v>
      </c>
      <c r="B1121" s="4" t="s">
        <v>1672</v>
      </c>
      <c r="C1121" s="4" t="s">
        <v>26</v>
      </c>
      <c r="D1121" s="4">
        <v>6105020530</v>
      </c>
      <c r="E1121" s="4" t="s">
        <v>1142</v>
      </c>
      <c r="F1121" s="4" t="s">
        <v>14</v>
      </c>
      <c r="G1121" s="5">
        <v>133723030</v>
      </c>
      <c r="H1121" s="5">
        <v>0</v>
      </c>
      <c r="I1121" s="5">
        <v>0</v>
      </c>
      <c r="J1121" s="5" t="s">
        <v>14</v>
      </c>
      <c r="K1121" s="5">
        <v>133723030</v>
      </c>
    </row>
    <row r="1122" spans="1:11" x14ac:dyDescent="0.25">
      <c r="A1122" s="4" t="s">
        <v>11</v>
      </c>
      <c r="B1122" s="4" t="s">
        <v>1672</v>
      </c>
      <c r="C1122" s="4" t="s">
        <v>26</v>
      </c>
      <c r="D1122" s="4">
        <v>6105020531</v>
      </c>
      <c r="E1122" s="4" t="s">
        <v>673</v>
      </c>
      <c r="F1122" s="4" t="s">
        <v>14</v>
      </c>
      <c r="G1122" s="5">
        <v>16053179</v>
      </c>
      <c r="H1122" s="5">
        <v>0</v>
      </c>
      <c r="I1122" s="5">
        <v>0</v>
      </c>
      <c r="J1122" s="5" t="s">
        <v>14</v>
      </c>
      <c r="K1122" s="5">
        <v>16053179</v>
      </c>
    </row>
    <row r="1123" spans="1:11" x14ac:dyDescent="0.25">
      <c r="A1123" s="4" t="s">
        <v>11</v>
      </c>
      <c r="B1123" s="4" t="s">
        <v>1672</v>
      </c>
      <c r="C1123" s="4" t="s">
        <v>26</v>
      </c>
      <c r="D1123" s="4">
        <v>6105020532</v>
      </c>
      <c r="E1123" s="4" t="s">
        <v>675</v>
      </c>
      <c r="F1123" s="4" t="s">
        <v>14</v>
      </c>
      <c r="G1123" s="5">
        <v>135976041</v>
      </c>
      <c r="H1123" s="5">
        <v>0</v>
      </c>
      <c r="I1123" s="5">
        <v>0</v>
      </c>
      <c r="J1123" s="5" t="s">
        <v>14</v>
      </c>
      <c r="K1123" s="5">
        <v>135976041</v>
      </c>
    </row>
    <row r="1124" spans="1:11" x14ac:dyDescent="0.25">
      <c r="A1124" s="4" t="s">
        <v>11</v>
      </c>
      <c r="B1124" s="4" t="s">
        <v>1672</v>
      </c>
      <c r="C1124" s="4" t="s">
        <v>26</v>
      </c>
      <c r="D1124" s="4">
        <v>6105020533</v>
      </c>
      <c r="E1124" s="4" t="s">
        <v>1146</v>
      </c>
      <c r="F1124" s="4" t="s">
        <v>14</v>
      </c>
      <c r="G1124" s="5">
        <v>125422366.20999999</v>
      </c>
      <c r="H1124" s="5">
        <v>0</v>
      </c>
      <c r="I1124" s="5">
        <v>0</v>
      </c>
      <c r="J1124" s="5" t="s">
        <v>14</v>
      </c>
      <c r="K1124" s="5">
        <v>125422366.20999999</v>
      </c>
    </row>
    <row r="1125" spans="1:11" x14ac:dyDescent="0.25">
      <c r="A1125" s="4" t="s">
        <v>11</v>
      </c>
      <c r="B1125" s="4" t="s">
        <v>1672</v>
      </c>
      <c r="C1125" s="4" t="s">
        <v>26</v>
      </c>
      <c r="D1125" s="4">
        <v>6105020540</v>
      </c>
      <c r="E1125" s="4" t="s">
        <v>1148</v>
      </c>
      <c r="F1125" s="4" t="s">
        <v>14</v>
      </c>
      <c r="G1125" s="5">
        <v>212578166</v>
      </c>
      <c r="H1125" s="5">
        <v>0</v>
      </c>
      <c r="I1125" s="5">
        <v>0</v>
      </c>
      <c r="J1125" s="5" t="s">
        <v>14</v>
      </c>
      <c r="K1125" s="5">
        <v>212578166</v>
      </c>
    </row>
    <row r="1126" spans="1:11" x14ac:dyDescent="0.25">
      <c r="A1126" s="4" t="s">
        <v>11</v>
      </c>
      <c r="B1126" s="4" t="s">
        <v>1672</v>
      </c>
      <c r="C1126" s="4" t="s">
        <v>26</v>
      </c>
      <c r="D1126" s="4">
        <v>6105020541</v>
      </c>
      <c r="E1126" s="4" t="s">
        <v>1150</v>
      </c>
      <c r="F1126" s="4" t="s">
        <v>14</v>
      </c>
      <c r="G1126" s="5">
        <v>300674470</v>
      </c>
      <c r="H1126" s="5">
        <v>0</v>
      </c>
      <c r="I1126" s="5">
        <v>0</v>
      </c>
      <c r="J1126" s="5" t="s">
        <v>14</v>
      </c>
      <c r="K1126" s="5">
        <v>300674470</v>
      </c>
    </row>
    <row r="1127" spans="1:11" x14ac:dyDescent="0.25">
      <c r="A1127" s="4" t="s">
        <v>11</v>
      </c>
      <c r="B1127" s="4" t="s">
        <v>1672</v>
      </c>
      <c r="C1127" s="4" t="s">
        <v>26</v>
      </c>
      <c r="D1127" s="4">
        <v>6105020542</v>
      </c>
      <c r="E1127" s="4" t="s">
        <v>1152</v>
      </c>
      <c r="F1127" s="4" t="s">
        <v>14</v>
      </c>
      <c r="G1127" s="5">
        <v>57176082</v>
      </c>
      <c r="H1127" s="5">
        <v>0</v>
      </c>
      <c r="I1127" s="5">
        <v>0</v>
      </c>
      <c r="J1127" s="5" t="s">
        <v>14</v>
      </c>
      <c r="K1127" s="5">
        <v>57176082</v>
      </c>
    </row>
    <row r="1128" spans="1:11" x14ac:dyDescent="0.25">
      <c r="A1128" s="4" t="s">
        <v>11</v>
      </c>
      <c r="B1128" s="4" t="s">
        <v>1672</v>
      </c>
      <c r="C1128" s="4" t="s">
        <v>26</v>
      </c>
      <c r="D1128" s="4">
        <v>6105020550</v>
      </c>
      <c r="E1128" s="4" t="s">
        <v>1154</v>
      </c>
      <c r="F1128" s="4" t="s">
        <v>14</v>
      </c>
      <c r="G1128" s="5">
        <v>99493093.579999998</v>
      </c>
      <c r="H1128" s="5">
        <v>0</v>
      </c>
      <c r="I1128" s="5">
        <v>0</v>
      </c>
      <c r="J1128" s="5" t="s">
        <v>14</v>
      </c>
      <c r="K1128" s="5">
        <v>99493093.579999998</v>
      </c>
    </row>
    <row r="1129" spans="1:11" x14ac:dyDescent="0.25">
      <c r="A1129" s="4" t="s">
        <v>11</v>
      </c>
      <c r="B1129" s="4" t="s">
        <v>1672</v>
      </c>
      <c r="C1129" s="4" t="s">
        <v>26</v>
      </c>
      <c r="D1129" s="4">
        <v>6105020551</v>
      </c>
      <c r="E1129" s="4" t="s">
        <v>1156</v>
      </c>
      <c r="F1129" s="4" t="s">
        <v>14</v>
      </c>
      <c r="G1129" s="5">
        <v>74608400</v>
      </c>
      <c r="H1129" s="5">
        <v>0</v>
      </c>
      <c r="I1129" s="5">
        <v>0</v>
      </c>
      <c r="J1129" s="5" t="s">
        <v>14</v>
      </c>
      <c r="K1129" s="5">
        <v>74608400</v>
      </c>
    </row>
    <row r="1130" spans="1:11" x14ac:dyDescent="0.25">
      <c r="A1130" s="4" t="s">
        <v>11</v>
      </c>
      <c r="B1130" s="4" t="s">
        <v>1672</v>
      </c>
      <c r="C1130" s="4" t="s">
        <v>26</v>
      </c>
      <c r="D1130" s="4">
        <v>6105020552</v>
      </c>
      <c r="E1130" s="4" t="s">
        <v>1158</v>
      </c>
      <c r="F1130" s="4" t="s">
        <v>14</v>
      </c>
      <c r="G1130" s="5">
        <v>49764869</v>
      </c>
      <c r="H1130" s="5">
        <v>0</v>
      </c>
      <c r="I1130" s="5">
        <v>0</v>
      </c>
      <c r="J1130" s="5" t="s">
        <v>14</v>
      </c>
      <c r="K1130" s="5">
        <v>49764869</v>
      </c>
    </row>
    <row r="1131" spans="1:11" x14ac:dyDescent="0.25">
      <c r="A1131" s="4" t="s">
        <v>11</v>
      </c>
      <c r="B1131" s="4" t="s">
        <v>1672</v>
      </c>
      <c r="C1131" s="4" t="s">
        <v>23</v>
      </c>
      <c r="D1131" s="4">
        <v>61050215</v>
      </c>
      <c r="E1131" s="4" t="s">
        <v>1445</v>
      </c>
      <c r="F1131" s="4" t="s">
        <v>14</v>
      </c>
      <c r="G1131" s="5">
        <v>336089814</v>
      </c>
      <c r="H1131" s="5">
        <v>1144678</v>
      </c>
      <c r="I1131" s="5">
        <v>0</v>
      </c>
      <c r="J1131" s="5" t="s">
        <v>14</v>
      </c>
      <c r="K1131" s="5">
        <v>337234492</v>
      </c>
    </row>
    <row r="1132" spans="1:11" x14ac:dyDescent="0.25">
      <c r="A1132" s="4" t="s">
        <v>11</v>
      </c>
      <c r="B1132" s="4" t="s">
        <v>1672</v>
      </c>
      <c r="C1132" s="4" t="s">
        <v>26</v>
      </c>
      <c r="D1132" s="4">
        <v>6105021505</v>
      </c>
      <c r="E1132" s="4" t="s">
        <v>554</v>
      </c>
      <c r="F1132" s="4" t="s">
        <v>14</v>
      </c>
      <c r="G1132" s="5">
        <v>334661814</v>
      </c>
      <c r="H1132" s="5">
        <v>1144678</v>
      </c>
      <c r="I1132" s="5">
        <v>0</v>
      </c>
      <c r="J1132" s="5" t="s">
        <v>14</v>
      </c>
      <c r="K1132" s="5">
        <v>335806492</v>
      </c>
    </row>
    <row r="1133" spans="1:11" x14ac:dyDescent="0.25">
      <c r="A1133" s="4" t="s">
        <v>11</v>
      </c>
      <c r="B1133" s="4" t="s">
        <v>1672</v>
      </c>
      <c r="C1133" s="4" t="s">
        <v>26</v>
      </c>
      <c r="D1133" s="4">
        <v>6105021510</v>
      </c>
      <c r="E1133" s="4" t="s">
        <v>1447</v>
      </c>
      <c r="F1133" s="4" t="s">
        <v>14</v>
      </c>
      <c r="G1133" s="5">
        <v>1428000</v>
      </c>
      <c r="H1133" s="5">
        <v>0</v>
      </c>
      <c r="I1133" s="5">
        <v>0</v>
      </c>
      <c r="J1133" s="5" t="s">
        <v>14</v>
      </c>
      <c r="K1133" s="5">
        <v>1428000</v>
      </c>
    </row>
    <row r="1134" spans="1:11" x14ac:dyDescent="0.25">
      <c r="A1134" s="4" t="s">
        <v>11</v>
      </c>
      <c r="B1134" s="4" t="s">
        <v>1672</v>
      </c>
      <c r="C1134" s="4" t="s">
        <v>21</v>
      </c>
      <c r="D1134" s="4">
        <v>610503</v>
      </c>
      <c r="E1134" s="4" t="s">
        <v>1720</v>
      </c>
      <c r="F1134" s="4" t="s">
        <v>14</v>
      </c>
      <c r="G1134" s="5">
        <v>129031837.09</v>
      </c>
      <c r="H1134" s="5">
        <v>4835984.8099999996</v>
      </c>
      <c r="I1134" s="5">
        <v>0</v>
      </c>
      <c r="J1134" s="5" t="s">
        <v>14</v>
      </c>
      <c r="K1134" s="5">
        <v>133867821.90000001</v>
      </c>
    </row>
    <row r="1135" spans="1:11" x14ac:dyDescent="0.25">
      <c r="A1135" s="4" t="s">
        <v>11</v>
      </c>
      <c r="B1135" s="4" t="s">
        <v>1672</v>
      </c>
      <c r="C1135" s="4" t="s">
        <v>23</v>
      </c>
      <c r="D1135" s="4">
        <v>61050315</v>
      </c>
      <c r="E1135" s="4" t="s">
        <v>1189</v>
      </c>
      <c r="F1135" s="4" t="s">
        <v>14</v>
      </c>
      <c r="G1135" s="5">
        <v>3772165</v>
      </c>
      <c r="H1135" s="5">
        <v>754433</v>
      </c>
      <c r="I1135" s="5">
        <v>0</v>
      </c>
      <c r="J1135" s="5" t="s">
        <v>14</v>
      </c>
      <c r="K1135" s="5">
        <v>4526598</v>
      </c>
    </row>
    <row r="1136" spans="1:11" x14ac:dyDescent="0.25">
      <c r="A1136" s="4" t="s">
        <v>11</v>
      </c>
      <c r="B1136" s="4" t="s">
        <v>1672</v>
      </c>
      <c r="C1136" s="4" t="s">
        <v>26</v>
      </c>
      <c r="D1136" s="4">
        <v>6105031510</v>
      </c>
      <c r="E1136" s="4" t="s">
        <v>439</v>
      </c>
      <c r="F1136" s="4" t="s">
        <v>14</v>
      </c>
      <c r="G1136" s="5">
        <v>3772165</v>
      </c>
      <c r="H1136" s="5">
        <v>754433</v>
      </c>
      <c r="I1136" s="5">
        <v>0</v>
      </c>
      <c r="J1136" s="5" t="s">
        <v>14</v>
      </c>
      <c r="K1136" s="5">
        <v>4526598</v>
      </c>
    </row>
    <row r="1137" spans="1:11" x14ac:dyDescent="0.25">
      <c r="A1137" s="4" t="s">
        <v>11</v>
      </c>
      <c r="B1137" s="4" t="s">
        <v>1672</v>
      </c>
      <c r="C1137" s="4" t="s">
        <v>23</v>
      </c>
      <c r="D1137" s="4">
        <v>61050320</v>
      </c>
      <c r="E1137" s="4" t="s">
        <v>227</v>
      </c>
      <c r="F1137" s="4" t="s">
        <v>14</v>
      </c>
      <c r="G1137" s="5">
        <v>14124051</v>
      </c>
      <c r="H1137" s="5">
        <v>0</v>
      </c>
      <c r="I1137" s="5">
        <v>0</v>
      </c>
      <c r="J1137" s="5" t="s">
        <v>14</v>
      </c>
      <c r="K1137" s="5">
        <v>14124051</v>
      </c>
    </row>
    <row r="1138" spans="1:11" x14ac:dyDescent="0.25">
      <c r="A1138" s="4" t="s">
        <v>11</v>
      </c>
      <c r="B1138" s="4" t="s">
        <v>1672</v>
      </c>
      <c r="C1138" s="4" t="s">
        <v>26</v>
      </c>
      <c r="D1138" s="4">
        <v>6105032010</v>
      </c>
      <c r="E1138" s="4" t="s">
        <v>1195</v>
      </c>
      <c r="F1138" s="4" t="s">
        <v>14</v>
      </c>
      <c r="G1138" s="5">
        <v>11868949</v>
      </c>
      <c r="H1138" s="5">
        <v>0</v>
      </c>
      <c r="I1138" s="5">
        <v>0</v>
      </c>
      <c r="J1138" s="5" t="s">
        <v>14</v>
      </c>
      <c r="K1138" s="5">
        <v>11868949</v>
      </c>
    </row>
    <row r="1139" spans="1:11" x14ac:dyDescent="0.25">
      <c r="A1139" s="4" t="s">
        <v>11</v>
      </c>
      <c r="B1139" s="4" t="s">
        <v>1672</v>
      </c>
      <c r="C1139" s="4" t="s">
        <v>26</v>
      </c>
      <c r="D1139" s="4">
        <v>6105032045</v>
      </c>
      <c r="E1139" s="4" t="s">
        <v>1197</v>
      </c>
      <c r="F1139" s="4" t="s">
        <v>14</v>
      </c>
      <c r="G1139" s="5">
        <v>2255102</v>
      </c>
      <c r="H1139" s="5">
        <v>0</v>
      </c>
      <c r="I1139" s="5">
        <v>0</v>
      </c>
      <c r="J1139" s="5" t="s">
        <v>14</v>
      </c>
      <c r="K1139" s="5">
        <v>2255102</v>
      </c>
    </row>
    <row r="1140" spans="1:11" x14ac:dyDescent="0.25">
      <c r="A1140" s="4" t="s">
        <v>11</v>
      </c>
      <c r="B1140" s="4" t="s">
        <v>1672</v>
      </c>
      <c r="C1140" s="4" t="s">
        <v>23</v>
      </c>
      <c r="D1140" s="4">
        <v>61050330</v>
      </c>
      <c r="E1140" s="4" t="s">
        <v>437</v>
      </c>
      <c r="F1140" s="4" t="s">
        <v>14</v>
      </c>
      <c r="G1140" s="5">
        <v>24452570</v>
      </c>
      <c r="H1140" s="5">
        <v>0</v>
      </c>
      <c r="I1140" s="5">
        <v>0</v>
      </c>
      <c r="J1140" s="5" t="s">
        <v>14</v>
      </c>
      <c r="K1140" s="5">
        <v>24452570</v>
      </c>
    </row>
    <row r="1141" spans="1:11" x14ac:dyDescent="0.25">
      <c r="A1141" s="4" t="s">
        <v>11</v>
      </c>
      <c r="B1141" s="4" t="s">
        <v>1672</v>
      </c>
      <c r="C1141" s="4" t="s">
        <v>26</v>
      </c>
      <c r="D1141" s="4">
        <v>6105033010</v>
      </c>
      <c r="E1141" s="4" t="s">
        <v>1212</v>
      </c>
      <c r="F1141" s="4" t="s">
        <v>14</v>
      </c>
      <c r="G1141" s="5">
        <v>5447420</v>
      </c>
      <c r="H1141" s="5">
        <v>0</v>
      </c>
      <c r="I1141" s="5">
        <v>0</v>
      </c>
      <c r="J1141" s="5" t="s">
        <v>14</v>
      </c>
      <c r="K1141" s="5">
        <v>5447420</v>
      </c>
    </row>
    <row r="1142" spans="1:11" x14ac:dyDescent="0.25">
      <c r="A1142" s="4" t="s">
        <v>11</v>
      </c>
      <c r="B1142" s="4" t="s">
        <v>1672</v>
      </c>
      <c r="C1142" s="4" t="s">
        <v>26</v>
      </c>
      <c r="D1142" s="4">
        <v>6105033015</v>
      </c>
      <c r="E1142" s="4" t="s">
        <v>1214</v>
      </c>
      <c r="F1142" s="4" t="s">
        <v>14</v>
      </c>
      <c r="G1142" s="5">
        <v>19005150</v>
      </c>
      <c r="H1142" s="5">
        <v>0</v>
      </c>
      <c r="I1142" s="5">
        <v>0</v>
      </c>
      <c r="J1142" s="5" t="s">
        <v>14</v>
      </c>
      <c r="K1142" s="5">
        <v>19005150</v>
      </c>
    </row>
    <row r="1143" spans="1:11" x14ac:dyDescent="0.25">
      <c r="A1143" s="4" t="s">
        <v>11</v>
      </c>
      <c r="B1143" s="4" t="s">
        <v>1672</v>
      </c>
      <c r="C1143" s="4" t="s">
        <v>23</v>
      </c>
      <c r="D1143" s="4">
        <v>61050335</v>
      </c>
      <c r="E1143" s="4" t="s">
        <v>566</v>
      </c>
      <c r="F1143" s="4" t="s">
        <v>14</v>
      </c>
      <c r="G1143" s="5">
        <v>32523866.699999999</v>
      </c>
      <c r="H1143" s="5">
        <v>3071289.81</v>
      </c>
      <c r="I1143" s="5">
        <v>0</v>
      </c>
      <c r="J1143" s="5" t="s">
        <v>14</v>
      </c>
      <c r="K1143" s="5">
        <v>35595156.509999998</v>
      </c>
    </row>
    <row r="1144" spans="1:11" x14ac:dyDescent="0.25">
      <c r="A1144" s="4" t="s">
        <v>11</v>
      </c>
      <c r="B1144" s="4" t="s">
        <v>1672</v>
      </c>
      <c r="C1144" s="4" t="s">
        <v>26</v>
      </c>
      <c r="D1144" s="4">
        <v>6105033505</v>
      </c>
      <c r="E1144" s="4" t="s">
        <v>1219</v>
      </c>
      <c r="F1144" s="4" t="s">
        <v>14</v>
      </c>
      <c r="G1144" s="5">
        <v>6619004.4800000004</v>
      </c>
      <c r="H1144" s="5">
        <v>480826.97</v>
      </c>
      <c r="I1144" s="5">
        <v>0</v>
      </c>
      <c r="J1144" s="5" t="s">
        <v>14</v>
      </c>
      <c r="K1144" s="5">
        <v>7099831.4500000002</v>
      </c>
    </row>
    <row r="1145" spans="1:11" x14ac:dyDescent="0.25">
      <c r="A1145" s="4" t="s">
        <v>11</v>
      </c>
      <c r="B1145" s="4" t="s">
        <v>1672</v>
      </c>
      <c r="C1145" s="4" t="s">
        <v>26</v>
      </c>
      <c r="D1145" s="4">
        <v>6105033520</v>
      </c>
      <c r="E1145" s="4" t="s">
        <v>1225</v>
      </c>
      <c r="F1145" s="4" t="s">
        <v>14</v>
      </c>
      <c r="G1145" s="5">
        <v>19685263.850000001</v>
      </c>
      <c r="H1145" s="5">
        <v>1924390.81</v>
      </c>
      <c r="I1145" s="5">
        <v>0</v>
      </c>
      <c r="J1145" s="5" t="s">
        <v>14</v>
      </c>
      <c r="K1145" s="5">
        <v>21609654.66</v>
      </c>
    </row>
    <row r="1146" spans="1:11" x14ac:dyDescent="0.25">
      <c r="A1146" s="4" t="s">
        <v>11</v>
      </c>
      <c r="B1146" s="4" t="s">
        <v>1672</v>
      </c>
      <c r="C1146" s="4" t="s">
        <v>26</v>
      </c>
      <c r="D1146" s="4">
        <v>6105033525</v>
      </c>
      <c r="E1146" s="4" t="s">
        <v>1227</v>
      </c>
      <c r="F1146" s="4" t="s">
        <v>14</v>
      </c>
      <c r="G1146" s="5">
        <v>2460479.15</v>
      </c>
      <c r="H1146" s="5">
        <v>284684.56</v>
      </c>
      <c r="I1146" s="5">
        <v>0</v>
      </c>
      <c r="J1146" s="5" t="s">
        <v>14</v>
      </c>
      <c r="K1146" s="5">
        <v>2745163.71</v>
      </c>
    </row>
    <row r="1147" spans="1:11" x14ac:dyDescent="0.25">
      <c r="A1147" s="4" t="s">
        <v>11</v>
      </c>
      <c r="B1147" s="4" t="s">
        <v>1672</v>
      </c>
      <c r="C1147" s="4" t="s">
        <v>26</v>
      </c>
      <c r="D1147" s="4">
        <v>6105033530</v>
      </c>
      <c r="E1147" s="4" t="s">
        <v>1229</v>
      </c>
      <c r="F1147" s="4" t="s">
        <v>14</v>
      </c>
      <c r="G1147" s="5">
        <v>249249.74</v>
      </c>
      <c r="H1147" s="5">
        <v>25539.93</v>
      </c>
      <c r="I1147" s="5">
        <v>0</v>
      </c>
      <c r="J1147" s="5" t="s">
        <v>14</v>
      </c>
      <c r="K1147" s="5">
        <v>274789.67</v>
      </c>
    </row>
    <row r="1148" spans="1:11" x14ac:dyDescent="0.25">
      <c r="A1148" s="4" t="s">
        <v>11</v>
      </c>
      <c r="B1148" s="4" t="s">
        <v>1672</v>
      </c>
      <c r="C1148" s="4" t="s">
        <v>26</v>
      </c>
      <c r="D1148" s="4">
        <v>6105033535</v>
      </c>
      <c r="E1148" s="4" t="s">
        <v>1231</v>
      </c>
      <c r="F1148" s="4" t="s">
        <v>14</v>
      </c>
      <c r="G1148" s="5">
        <v>2483286</v>
      </c>
      <c r="H1148" s="5">
        <v>247009</v>
      </c>
      <c r="I1148" s="5">
        <v>0</v>
      </c>
      <c r="J1148" s="5" t="s">
        <v>14</v>
      </c>
      <c r="K1148" s="5">
        <v>2730295</v>
      </c>
    </row>
    <row r="1149" spans="1:11" x14ac:dyDescent="0.25">
      <c r="A1149" s="4" t="s">
        <v>11</v>
      </c>
      <c r="B1149" s="4" t="s">
        <v>1672</v>
      </c>
      <c r="C1149" s="4" t="s">
        <v>26</v>
      </c>
      <c r="D1149" s="4">
        <v>6105033550</v>
      </c>
      <c r="E1149" s="4" t="s">
        <v>1233</v>
      </c>
      <c r="F1149" s="4" t="s">
        <v>14</v>
      </c>
      <c r="G1149" s="5">
        <v>476466.48</v>
      </c>
      <c r="H1149" s="5">
        <v>54171.16</v>
      </c>
      <c r="I1149" s="5">
        <v>0</v>
      </c>
      <c r="J1149" s="5" t="s">
        <v>14</v>
      </c>
      <c r="K1149" s="5">
        <v>530637.64</v>
      </c>
    </row>
    <row r="1150" spans="1:11" x14ac:dyDescent="0.25">
      <c r="A1150" s="4" t="s">
        <v>11</v>
      </c>
      <c r="B1150" s="4" t="s">
        <v>1672</v>
      </c>
      <c r="C1150" s="4" t="s">
        <v>26</v>
      </c>
      <c r="D1150" s="4">
        <v>6105033560</v>
      </c>
      <c r="E1150" s="4" t="s">
        <v>1235</v>
      </c>
      <c r="F1150" s="4" t="s">
        <v>14</v>
      </c>
      <c r="G1150" s="5">
        <v>48757</v>
      </c>
      <c r="H1150" s="5">
        <v>4802.38</v>
      </c>
      <c r="I1150" s="5">
        <v>0</v>
      </c>
      <c r="J1150" s="5" t="s">
        <v>14</v>
      </c>
      <c r="K1150" s="5">
        <v>53559.38</v>
      </c>
    </row>
    <row r="1151" spans="1:11" x14ac:dyDescent="0.25">
      <c r="A1151" s="4" t="s">
        <v>11</v>
      </c>
      <c r="B1151" s="4" t="s">
        <v>1672</v>
      </c>
      <c r="C1151" s="4" t="s">
        <v>26</v>
      </c>
      <c r="D1151" s="4">
        <v>6105033565</v>
      </c>
      <c r="E1151" s="4" t="s">
        <v>1237</v>
      </c>
      <c r="F1151" s="4" t="s">
        <v>14</v>
      </c>
      <c r="G1151" s="5">
        <v>501360</v>
      </c>
      <c r="H1151" s="5">
        <v>49865</v>
      </c>
      <c r="I1151" s="5">
        <v>0</v>
      </c>
      <c r="J1151" s="5" t="s">
        <v>14</v>
      </c>
      <c r="K1151" s="5">
        <v>551225</v>
      </c>
    </row>
    <row r="1152" spans="1:11" x14ac:dyDescent="0.25">
      <c r="A1152" s="4" t="s">
        <v>11</v>
      </c>
      <c r="B1152" s="4" t="s">
        <v>1672</v>
      </c>
      <c r="C1152" s="4" t="s">
        <v>23</v>
      </c>
      <c r="D1152" s="4">
        <v>61050336</v>
      </c>
      <c r="E1152" s="4" t="s">
        <v>1239</v>
      </c>
      <c r="F1152" s="4" t="s">
        <v>14</v>
      </c>
      <c r="G1152" s="5">
        <v>560000</v>
      </c>
      <c r="H1152" s="5">
        <v>0</v>
      </c>
      <c r="I1152" s="5">
        <v>0</v>
      </c>
      <c r="J1152" s="5" t="s">
        <v>14</v>
      </c>
      <c r="K1152" s="5">
        <v>560000</v>
      </c>
    </row>
    <row r="1153" spans="1:11" x14ac:dyDescent="0.25">
      <c r="A1153" s="4" t="s">
        <v>11</v>
      </c>
      <c r="B1153" s="4" t="s">
        <v>1672</v>
      </c>
      <c r="C1153" s="4" t="s">
        <v>26</v>
      </c>
      <c r="D1153" s="4">
        <v>6105033640</v>
      </c>
      <c r="E1153" s="4" t="s">
        <v>1239</v>
      </c>
      <c r="F1153" s="4" t="s">
        <v>14</v>
      </c>
      <c r="G1153" s="5">
        <v>560000</v>
      </c>
      <c r="H1153" s="5">
        <v>0</v>
      </c>
      <c r="I1153" s="5">
        <v>0</v>
      </c>
      <c r="J1153" s="5" t="s">
        <v>14</v>
      </c>
      <c r="K1153" s="5">
        <v>560000</v>
      </c>
    </row>
    <row r="1154" spans="1:11" x14ac:dyDescent="0.25">
      <c r="A1154" s="4" t="s">
        <v>11</v>
      </c>
      <c r="B1154" s="4" t="s">
        <v>1672</v>
      </c>
      <c r="C1154" s="4" t="s">
        <v>23</v>
      </c>
      <c r="D1154" s="4">
        <v>61050345</v>
      </c>
      <c r="E1154" s="4" t="s">
        <v>1257</v>
      </c>
      <c r="F1154" s="4" t="s">
        <v>14</v>
      </c>
      <c r="G1154" s="5">
        <v>416000</v>
      </c>
      <c r="H1154" s="5">
        <v>750000</v>
      </c>
      <c r="I1154" s="5">
        <v>0</v>
      </c>
      <c r="J1154" s="5" t="s">
        <v>14</v>
      </c>
      <c r="K1154" s="5">
        <v>1166000</v>
      </c>
    </row>
    <row r="1155" spans="1:11" x14ac:dyDescent="0.25">
      <c r="A1155" s="4" t="s">
        <v>11</v>
      </c>
      <c r="B1155" s="4" t="s">
        <v>1672</v>
      </c>
      <c r="C1155" s="4" t="s">
        <v>26</v>
      </c>
      <c r="D1155" s="4">
        <v>6105034520</v>
      </c>
      <c r="E1155" s="4" t="s">
        <v>1518</v>
      </c>
      <c r="F1155" s="4" t="s">
        <v>14</v>
      </c>
      <c r="G1155" s="5">
        <v>0</v>
      </c>
      <c r="H1155" s="5">
        <v>750000</v>
      </c>
      <c r="I1155" s="5">
        <v>0</v>
      </c>
      <c r="J1155" s="5" t="s">
        <v>14</v>
      </c>
      <c r="K1155" s="5">
        <v>750000</v>
      </c>
    </row>
    <row r="1156" spans="1:11" x14ac:dyDescent="0.25">
      <c r="A1156" s="4" t="s">
        <v>11</v>
      </c>
      <c r="B1156" s="4" t="s">
        <v>1672</v>
      </c>
      <c r="C1156" s="4" t="s">
        <v>26</v>
      </c>
      <c r="D1156" s="4">
        <v>6105034535</v>
      </c>
      <c r="E1156" s="4" t="s">
        <v>1743</v>
      </c>
      <c r="F1156" s="4" t="s">
        <v>14</v>
      </c>
      <c r="G1156" s="5">
        <v>416000</v>
      </c>
      <c r="H1156" s="5">
        <v>0</v>
      </c>
      <c r="I1156" s="5">
        <v>0</v>
      </c>
      <c r="J1156" s="5" t="s">
        <v>14</v>
      </c>
      <c r="K1156" s="5">
        <v>416000</v>
      </c>
    </row>
    <row r="1157" spans="1:11" x14ac:dyDescent="0.25">
      <c r="A1157" s="4" t="s">
        <v>11</v>
      </c>
      <c r="B1157" s="4" t="s">
        <v>1672</v>
      </c>
      <c r="C1157" s="4" t="s">
        <v>23</v>
      </c>
      <c r="D1157" s="4">
        <v>61050355</v>
      </c>
      <c r="E1157" s="4" t="s">
        <v>1263</v>
      </c>
      <c r="F1157" s="4" t="s">
        <v>14</v>
      </c>
      <c r="G1157" s="5">
        <v>51181212.390000001</v>
      </c>
      <c r="H1157" s="5">
        <v>0</v>
      </c>
      <c r="I1157" s="5">
        <v>0</v>
      </c>
      <c r="J1157" s="5" t="s">
        <v>14</v>
      </c>
      <c r="K1157" s="5">
        <v>51181212.390000001</v>
      </c>
    </row>
    <row r="1158" spans="1:11" x14ac:dyDescent="0.25">
      <c r="A1158" s="4" t="s">
        <v>11</v>
      </c>
      <c r="B1158" s="4" t="s">
        <v>1672</v>
      </c>
      <c r="C1158" s="4" t="s">
        <v>26</v>
      </c>
      <c r="D1158" s="4">
        <v>6105035510</v>
      </c>
      <c r="E1158" s="4" t="s">
        <v>1265</v>
      </c>
      <c r="F1158" s="4" t="s">
        <v>14</v>
      </c>
      <c r="G1158" s="5">
        <v>16783345.140000001</v>
      </c>
      <c r="H1158" s="5">
        <v>0</v>
      </c>
      <c r="I1158" s="5">
        <v>0</v>
      </c>
      <c r="J1158" s="5" t="s">
        <v>14</v>
      </c>
      <c r="K1158" s="5">
        <v>16783345.140000001</v>
      </c>
    </row>
    <row r="1159" spans="1:11" x14ac:dyDescent="0.25">
      <c r="A1159" s="4" t="s">
        <v>11</v>
      </c>
      <c r="B1159" s="4" t="s">
        <v>1672</v>
      </c>
      <c r="C1159" s="4" t="s">
        <v>26</v>
      </c>
      <c r="D1159" s="4">
        <v>6105035515</v>
      </c>
      <c r="E1159" s="4" t="s">
        <v>1538</v>
      </c>
      <c r="F1159" s="4" t="s">
        <v>14</v>
      </c>
      <c r="G1159" s="5">
        <v>21810955.879999999</v>
      </c>
      <c r="H1159" s="5">
        <v>0</v>
      </c>
      <c r="I1159" s="5">
        <v>0</v>
      </c>
      <c r="J1159" s="5" t="s">
        <v>14</v>
      </c>
      <c r="K1159" s="5">
        <v>21810955.879999999</v>
      </c>
    </row>
    <row r="1160" spans="1:11" x14ac:dyDescent="0.25">
      <c r="A1160" s="4" t="s">
        <v>11</v>
      </c>
      <c r="B1160" s="4" t="s">
        <v>1672</v>
      </c>
      <c r="C1160" s="4" t="s">
        <v>26</v>
      </c>
      <c r="D1160" s="4">
        <v>6105035520</v>
      </c>
      <c r="E1160" s="4" t="s">
        <v>1267</v>
      </c>
      <c r="F1160" s="4" t="s">
        <v>14</v>
      </c>
      <c r="G1160" s="5">
        <v>4412899.16</v>
      </c>
      <c r="H1160" s="5">
        <v>0</v>
      </c>
      <c r="I1160" s="5">
        <v>0</v>
      </c>
      <c r="J1160" s="5" t="s">
        <v>14</v>
      </c>
      <c r="K1160" s="5">
        <v>4412899.16</v>
      </c>
    </row>
    <row r="1161" spans="1:11" x14ac:dyDescent="0.25">
      <c r="A1161" s="4" t="s">
        <v>11</v>
      </c>
      <c r="B1161" s="4" t="s">
        <v>1672</v>
      </c>
      <c r="C1161" s="4" t="s">
        <v>26</v>
      </c>
      <c r="D1161" s="4">
        <v>6105035525</v>
      </c>
      <c r="E1161" s="4" t="s">
        <v>1269</v>
      </c>
      <c r="F1161" s="4" t="s">
        <v>14</v>
      </c>
      <c r="G1161" s="5">
        <v>7988031.5</v>
      </c>
      <c r="H1161" s="5">
        <v>0</v>
      </c>
      <c r="I1161" s="5">
        <v>0</v>
      </c>
      <c r="J1161" s="5" t="s">
        <v>14</v>
      </c>
      <c r="K1161" s="5">
        <v>7988031.5</v>
      </c>
    </row>
    <row r="1162" spans="1:11" x14ac:dyDescent="0.25">
      <c r="A1162" s="4" t="s">
        <v>11</v>
      </c>
      <c r="B1162" s="4" t="s">
        <v>1672</v>
      </c>
      <c r="C1162" s="4" t="s">
        <v>26</v>
      </c>
      <c r="D1162" s="4">
        <v>6105035530</v>
      </c>
      <c r="E1162" s="4" t="s">
        <v>1542</v>
      </c>
      <c r="F1162" s="4" t="s">
        <v>14</v>
      </c>
      <c r="G1162" s="5">
        <v>185980.71</v>
      </c>
      <c r="H1162" s="5">
        <v>0</v>
      </c>
      <c r="I1162" s="5">
        <v>0</v>
      </c>
      <c r="J1162" s="5" t="s">
        <v>14</v>
      </c>
      <c r="K1162" s="5">
        <v>185980.71</v>
      </c>
    </row>
    <row r="1163" spans="1:11" x14ac:dyDescent="0.25">
      <c r="A1163" s="4" t="s">
        <v>11</v>
      </c>
      <c r="B1163" s="4" t="s">
        <v>1672</v>
      </c>
      <c r="C1163" s="4" t="s">
        <v>23</v>
      </c>
      <c r="D1163" s="4">
        <v>61050360</v>
      </c>
      <c r="E1163" s="4" t="s">
        <v>1273</v>
      </c>
      <c r="F1163" s="4" t="s">
        <v>14</v>
      </c>
      <c r="G1163" s="5">
        <v>1931972</v>
      </c>
      <c r="H1163" s="5">
        <v>260262</v>
      </c>
      <c r="I1163" s="5">
        <v>0</v>
      </c>
      <c r="J1163" s="5" t="s">
        <v>14</v>
      </c>
      <c r="K1163" s="5">
        <v>2192234</v>
      </c>
    </row>
    <row r="1164" spans="1:11" x14ac:dyDescent="0.25">
      <c r="A1164" s="4" t="s">
        <v>11</v>
      </c>
      <c r="B1164" s="4" t="s">
        <v>1672</v>
      </c>
      <c r="C1164" s="4" t="s">
        <v>26</v>
      </c>
      <c r="D1164" s="4">
        <v>6105036005</v>
      </c>
      <c r="E1164" s="4" t="s">
        <v>1273</v>
      </c>
      <c r="F1164" s="4" t="s">
        <v>14</v>
      </c>
      <c r="G1164" s="5">
        <v>1931972</v>
      </c>
      <c r="H1164" s="5">
        <v>260262</v>
      </c>
      <c r="I1164" s="5">
        <v>0</v>
      </c>
      <c r="J1164" s="5" t="s">
        <v>14</v>
      </c>
      <c r="K1164" s="5">
        <v>2192234</v>
      </c>
    </row>
    <row r="1165" spans="1:11" x14ac:dyDescent="0.25">
      <c r="A1165" s="4" t="s">
        <v>11</v>
      </c>
      <c r="B1165" s="4" t="s">
        <v>1672</v>
      </c>
      <c r="C1165" s="4" t="s">
        <v>23</v>
      </c>
      <c r="D1165" s="4">
        <v>61050370</v>
      </c>
      <c r="E1165" s="4" t="s">
        <v>1063</v>
      </c>
      <c r="F1165" s="4" t="s">
        <v>14</v>
      </c>
      <c r="G1165" s="5">
        <v>70000</v>
      </c>
      <c r="H1165" s="5">
        <v>0</v>
      </c>
      <c r="I1165" s="5">
        <v>0</v>
      </c>
      <c r="J1165" s="5" t="s">
        <v>14</v>
      </c>
      <c r="K1165" s="5">
        <v>70000</v>
      </c>
    </row>
    <row r="1166" spans="1:11" x14ac:dyDescent="0.25">
      <c r="A1166" s="4" t="s">
        <v>11</v>
      </c>
      <c r="B1166" s="4" t="s">
        <v>1672</v>
      </c>
      <c r="C1166" s="4" t="s">
        <v>26</v>
      </c>
      <c r="D1166" s="4">
        <v>6105037020</v>
      </c>
      <c r="E1166" s="4" t="s">
        <v>1281</v>
      </c>
      <c r="F1166" s="4" t="s">
        <v>14</v>
      </c>
      <c r="G1166" s="5">
        <v>70000</v>
      </c>
      <c r="H1166" s="5">
        <v>0</v>
      </c>
      <c r="I1166" s="5">
        <v>0</v>
      </c>
      <c r="J1166" s="5" t="s">
        <v>14</v>
      </c>
      <c r="K1166" s="5">
        <v>70000</v>
      </c>
    </row>
    <row r="1167" spans="1:11" x14ac:dyDescent="0.25">
      <c r="A1167" s="4" t="s">
        <v>11</v>
      </c>
      <c r="B1167" s="4" t="s">
        <v>1672</v>
      </c>
      <c r="C1167" s="4" t="s">
        <v>18</v>
      </c>
      <c r="D1167" s="4">
        <v>6110</v>
      </c>
      <c r="E1167" s="4" t="s">
        <v>840</v>
      </c>
      <c r="F1167" s="4" t="s">
        <v>14</v>
      </c>
      <c r="G1167" s="5">
        <v>1295468346.1900001</v>
      </c>
      <c r="H1167" s="5">
        <v>21664632.66</v>
      </c>
      <c r="I1167" s="5">
        <v>43326</v>
      </c>
      <c r="J1167" s="5" t="s">
        <v>14</v>
      </c>
      <c r="K1167" s="5">
        <v>1317089652.8499999</v>
      </c>
    </row>
    <row r="1168" spans="1:11" x14ac:dyDescent="0.25">
      <c r="A1168" s="4" t="s">
        <v>11</v>
      </c>
      <c r="B1168" s="4" t="s">
        <v>1672</v>
      </c>
      <c r="C1168" s="4" t="s">
        <v>21</v>
      </c>
      <c r="D1168" s="4">
        <v>611001</v>
      </c>
      <c r="E1168" s="4" t="s">
        <v>1098</v>
      </c>
      <c r="F1168" s="4" t="s">
        <v>14</v>
      </c>
      <c r="G1168" s="5">
        <v>46903889.869999997</v>
      </c>
      <c r="H1168" s="5">
        <v>3066559.66</v>
      </c>
      <c r="I1168" s="5">
        <v>43326</v>
      </c>
      <c r="J1168" s="5" t="s">
        <v>14</v>
      </c>
      <c r="K1168" s="5">
        <v>49927123.530000001</v>
      </c>
    </row>
    <row r="1169" spans="1:11" x14ac:dyDescent="0.25">
      <c r="A1169" s="4" t="s">
        <v>11</v>
      </c>
      <c r="B1169" s="4" t="s">
        <v>1672</v>
      </c>
      <c r="C1169" s="4" t="s">
        <v>23</v>
      </c>
      <c r="D1169" s="4">
        <v>61100101</v>
      </c>
      <c r="E1169" s="4" t="s">
        <v>1679</v>
      </c>
      <c r="F1169" s="4" t="s">
        <v>14</v>
      </c>
      <c r="G1169" s="5">
        <v>30560186</v>
      </c>
      <c r="H1169" s="5">
        <v>1176891</v>
      </c>
      <c r="I1169" s="5">
        <v>43326</v>
      </c>
      <c r="J1169" s="5" t="s">
        <v>14</v>
      </c>
      <c r="K1169" s="5">
        <v>31693751</v>
      </c>
    </row>
    <row r="1170" spans="1:11" x14ac:dyDescent="0.25">
      <c r="A1170" s="4" t="s">
        <v>11</v>
      </c>
      <c r="B1170" s="4" t="s">
        <v>1672</v>
      </c>
      <c r="C1170" s="4" t="s">
        <v>26</v>
      </c>
      <c r="D1170" s="4">
        <v>6110010105</v>
      </c>
      <c r="E1170" s="4" t="s">
        <v>237</v>
      </c>
      <c r="F1170" s="4" t="s">
        <v>14</v>
      </c>
      <c r="G1170" s="5">
        <v>8286494</v>
      </c>
      <c r="H1170" s="5">
        <v>551074</v>
      </c>
      <c r="I1170" s="5">
        <v>2750</v>
      </c>
      <c r="J1170" s="5" t="s">
        <v>14</v>
      </c>
      <c r="K1170" s="5">
        <v>8834818</v>
      </c>
    </row>
    <row r="1171" spans="1:11" x14ac:dyDescent="0.25">
      <c r="A1171" s="4" t="s">
        <v>11</v>
      </c>
      <c r="B1171" s="4" t="s">
        <v>1672</v>
      </c>
      <c r="C1171" s="4" t="s">
        <v>26</v>
      </c>
      <c r="D1171" s="4">
        <v>6110010110</v>
      </c>
      <c r="E1171" s="4" t="s">
        <v>246</v>
      </c>
      <c r="F1171" s="4" t="s">
        <v>14</v>
      </c>
      <c r="G1171" s="5">
        <v>11070127</v>
      </c>
      <c r="H1171" s="5">
        <v>625817</v>
      </c>
      <c r="I1171" s="5">
        <v>40576</v>
      </c>
      <c r="J1171" s="5" t="s">
        <v>14</v>
      </c>
      <c r="K1171" s="5">
        <v>11655368</v>
      </c>
    </row>
    <row r="1172" spans="1:11" x14ac:dyDescent="0.25">
      <c r="A1172" s="4" t="s">
        <v>11</v>
      </c>
      <c r="B1172" s="4" t="s">
        <v>1672</v>
      </c>
      <c r="C1172" s="4" t="s">
        <v>26</v>
      </c>
      <c r="D1172" s="4">
        <v>6110010130</v>
      </c>
      <c r="E1172" s="4" t="s">
        <v>1683</v>
      </c>
      <c r="F1172" s="4" t="s">
        <v>14</v>
      </c>
      <c r="G1172" s="5">
        <v>11203565</v>
      </c>
      <c r="H1172" s="5">
        <v>0</v>
      </c>
      <c r="I1172" s="5">
        <v>0</v>
      </c>
      <c r="J1172" s="5" t="s">
        <v>14</v>
      </c>
      <c r="K1172" s="5">
        <v>11203565</v>
      </c>
    </row>
    <row r="1173" spans="1:11" x14ac:dyDescent="0.25">
      <c r="A1173" s="4" t="s">
        <v>11</v>
      </c>
      <c r="B1173" s="4" t="s">
        <v>1672</v>
      </c>
      <c r="C1173" s="4" t="s">
        <v>23</v>
      </c>
      <c r="D1173" s="4">
        <v>61100102</v>
      </c>
      <c r="E1173" s="4" t="s">
        <v>1100</v>
      </c>
      <c r="F1173" s="4" t="s">
        <v>14</v>
      </c>
      <c r="G1173" s="5">
        <v>12530863.369999999</v>
      </c>
      <c r="H1173" s="5">
        <v>1712068.66</v>
      </c>
      <c r="I1173" s="5">
        <v>0</v>
      </c>
      <c r="J1173" s="5" t="s">
        <v>14</v>
      </c>
      <c r="K1173" s="5">
        <v>14242932.029999999</v>
      </c>
    </row>
    <row r="1174" spans="1:11" x14ac:dyDescent="0.25">
      <c r="A1174" s="4" t="s">
        <v>11</v>
      </c>
      <c r="B1174" s="4" t="s">
        <v>1672</v>
      </c>
      <c r="C1174" s="4" t="s">
        <v>26</v>
      </c>
      <c r="D1174" s="4">
        <v>6110010205</v>
      </c>
      <c r="E1174" s="4" t="s">
        <v>1100</v>
      </c>
      <c r="F1174" s="4" t="s">
        <v>14</v>
      </c>
      <c r="G1174" s="5">
        <v>12530863.369999999</v>
      </c>
      <c r="H1174" s="5">
        <v>1712068.66</v>
      </c>
      <c r="I1174" s="5">
        <v>0</v>
      </c>
      <c r="J1174" s="5" t="s">
        <v>14</v>
      </c>
      <c r="K1174" s="5">
        <v>14242932.029999999</v>
      </c>
    </row>
    <row r="1175" spans="1:11" x14ac:dyDescent="0.25">
      <c r="A1175" s="4" t="s">
        <v>11</v>
      </c>
      <c r="B1175" s="4" t="s">
        <v>1672</v>
      </c>
      <c r="C1175" s="4" t="s">
        <v>23</v>
      </c>
      <c r="D1175" s="4">
        <v>61100103</v>
      </c>
      <c r="E1175" s="4" t="s">
        <v>1103</v>
      </c>
      <c r="F1175" s="4" t="s">
        <v>14</v>
      </c>
      <c r="G1175" s="5">
        <v>3812840.5</v>
      </c>
      <c r="H1175" s="5">
        <v>177600</v>
      </c>
      <c r="I1175" s="5">
        <v>0</v>
      </c>
      <c r="J1175" s="5" t="s">
        <v>14</v>
      </c>
      <c r="K1175" s="5">
        <v>3990440.5</v>
      </c>
    </row>
    <row r="1176" spans="1:11" x14ac:dyDescent="0.25">
      <c r="A1176" s="4" t="s">
        <v>11</v>
      </c>
      <c r="B1176" s="4" t="s">
        <v>1672</v>
      </c>
      <c r="C1176" s="4" t="s">
        <v>26</v>
      </c>
      <c r="D1176" s="4">
        <v>6110010305</v>
      </c>
      <c r="E1176" s="4" t="s">
        <v>1105</v>
      </c>
      <c r="F1176" s="4" t="s">
        <v>14</v>
      </c>
      <c r="G1176" s="5">
        <v>108333</v>
      </c>
      <c r="H1176" s="5">
        <v>0</v>
      </c>
      <c r="I1176" s="5">
        <v>0</v>
      </c>
      <c r="J1176" s="5" t="s">
        <v>14</v>
      </c>
      <c r="K1176" s="5">
        <v>108333</v>
      </c>
    </row>
    <row r="1177" spans="1:11" x14ac:dyDescent="0.25">
      <c r="A1177" s="4" t="s">
        <v>11</v>
      </c>
      <c r="B1177" s="4" t="s">
        <v>1672</v>
      </c>
      <c r="C1177" s="4" t="s">
        <v>26</v>
      </c>
      <c r="D1177" s="4">
        <v>6110010335</v>
      </c>
      <c r="E1177" s="4" t="s">
        <v>1113</v>
      </c>
      <c r="F1177" s="4" t="s">
        <v>14</v>
      </c>
      <c r="G1177" s="5">
        <v>3445324.67</v>
      </c>
      <c r="H1177" s="5">
        <v>149242</v>
      </c>
      <c r="I1177" s="5">
        <v>0</v>
      </c>
      <c r="J1177" s="5" t="s">
        <v>14</v>
      </c>
      <c r="K1177" s="5">
        <v>3594566.67</v>
      </c>
    </row>
    <row r="1178" spans="1:11" x14ac:dyDescent="0.25">
      <c r="A1178" s="4" t="s">
        <v>11</v>
      </c>
      <c r="B1178" s="4" t="s">
        <v>1672</v>
      </c>
      <c r="C1178" s="4" t="s">
        <v>26</v>
      </c>
      <c r="D1178" s="4">
        <v>6110010375</v>
      </c>
      <c r="E1178" s="4" t="s">
        <v>1123</v>
      </c>
      <c r="F1178" s="4" t="s">
        <v>14</v>
      </c>
      <c r="G1178" s="5">
        <v>259182.83</v>
      </c>
      <c r="H1178" s="5">
        <v>28358</v>
      </c>
      <c r="I1178" s="5">
        <v>0</v>
      </c>
      <c r="J1178" s="5" t="s">
        <v>14</v>
      </c>
      <c r="K1178" s="5">
        <v>287540.83</v>
      </c>
    </row>
    <row r="1179" spans="1:11" x14ac:dyDescent="0.25">
      <c r="A1179" s="4" t="s">
        <v>11</v>
      </c>
      <c r="B1179" s="4" t="s">
        <v>1672</v>
      </c>
      <c r="C1179" s="4" t="s">
        <v>21</v>
      </c>
      <c r="D1179" s="4">
        <v>611002</v>
      </c>
      <c r="E1179" s="4" t="s">
        <v>1125</v>
      </c>
      <c r="F1179" s="4" t="s">
        <v>14</v>
      </c>
      <c r="G1179" s="5">
        <v>984644575.73000002</v>
      </c>
      <c r="H1179" s="5">
        <v>6470917.5</v>
      </c>
      <c r="I1179" s="5">
        <v>0</v>
      </c>
      <c r="J1179" s="5" t="s">
        <v>14</v>
      </c>
      <c r="K1179" s="5">
        <v>991115493.23000002</v>
      </c>
    </row>
    <row r="1180" spans="1:11" x14ac:dyDescent="0.25">
      <c r="A1180" s="4" t="s">
        <v>11</v>
      </c>
      <c r="B1180" s="4" t="s">
        <v>1672</v>
      </c>
      <c r="C1180" s="4" t="s">
        <v>23</v>
      </c>
      <c r="D1180" s="4">
        <v>61100205</v>
      </c>
      <c r="E1180" s="4" t="s">
        <v>1127</v>
      </c>
      <c r="F1180" s="4" t="s">
        <v>14</v>
      </c>
      <c r="G1180" s="5">
        <v>524866699.73000002</v>
      </c>
      <c r="H1180" s="5">
        <v>258150.5</v>
      </c>
      <c r="I1180" s="5">
        <v>0</v>
      </c>
      <c r="J1180" s="5" t="s">
        <v>14</v>
      </c>
      <c r="K1180" s="5">
        <v>525124850.23000002</v>
      </c>
    </row>
    <row r="1181" spans="1:11" x14ac:dyDescent="0.25">
      <c r="A1181" s="4" t="s">
        <v>11</v>
      </c>
      <c r="B1181" s="4" t="s">
        <v>1672</v>
      </c>
      <c r="C1181" s="4" t="s">
        <v>26</v>
      </c>
      <c r="D1181" s="4">
        <v>6110020502</v>
      </c>
      <c r="E1181" s="4" t="s">
        <v>1131</v>
      </c>
      <c r="F1181" s="4" t="s">
        <v>14</v>
      </c>
      <c r="G1181" s="5">
        <v>314614012</v>
      </c>
      <c r="H1181" s="5">
        <v>60000</v>
      </c>
      <c r="I1181" s="5">
        <v>0</v>
      </c>
      <c r="J1181" s="5" t="s">
        <v>14</v>
      </c>
      <c r="K1181" s="5">
        <v>314674012</v>
      </c>
    </row>
    <row r="1182" spans="1:11" x14ac:dyDescent="0.25">
      <c r="A1182" s="4" t="s">
        <v>11</v>
      </c>
      <c r="B1182" s="4" t="s">
        <v>1672</v>
      </c>
      <c r="C1182" s="4" t="s">
        <v>26</v>
      </c>
      <c r="D1182" s="4">
        <v>6110020504</v>
      </c>
      <c r="E1182" s="4" t="s">
        <v>1133</v>
      </c>
      <c r="F1182" s="4" t="s">
        <v>14</v>
      </c>
      <c r="G1182" s="5">
        <v>6261667</v>
      </c>
      <c r="H1182" s="5">
        <v>0</v>
      </c>
      <c r="I1182" s="5">
        <v>0</v>
      </c>
      <c r="J1182" s="5" t="s">
        <v>14</v>
      </c>
      <c r="K1182" s="5">
        <v>6261667</v>
      </c>
    </row>
    <row r="1183" spans="1:11" x14ac:dyDescent="0.25">
      <c r="A1183" s="4" t="s">
        <v>11</v>
      </c>
      <c r="B1183" s="4" t="s">
        <v>1672</v>
      </c>
      <c r="C1183" s="4" t="s">
        <v>26</v>
      </c>
      <c r="D1183" s="4">
        <v>6110020510</v>
      </c>
      <c r="E1183" s="4" t="s">
        <v>1315</v>
      </c>
      <c r="F1183" s="4" t="s">
        <v>14</v>
      </c>
      <c r="G1183" s="5">
        <v>397174</v>
      </c>
      <c r="H1183" s="5">
        <v>0</v>
      </c>
      <c r="I1183" s="5">
        <v>0</v>
      </c>
      <c r="J1183" s="5" t="s">
        <v>14</v>
      </c>
      <c r="K1183" s="5">
        <v>397174</v>
      </c>
    </row>
    <row r="1184" spans="1:11" x14ac:dyDescent="0.25">
      <c r="A1184" s="4" t="s">
        <v>11</v>
      </c>
      <c r="B1184" s="4" t="s">
        <v>1672</v>
      </c>
      <c r="C1184" s="4" t="s">
        <v>26</v>
      </c>
      <c r="D1184" s="4">
        <v>6110020511</v>
      </c>
      <c r="E1184" s="4" t="s">
        <v>1135</v>
      </c>
      <c r="F1184" s="4" t="s">
        <v>14</v>
      </c>
      <c r="G1184" s="5">
        <v>1059144</v>
      </c>
      <c r="H1184" s="5">
        <v>0</v>
      </c>
      <c r="I1184" s="5">
        <v>0</v>
      </c>
      <c r="J1184" s="5" t="s">
        <v>14</v>
      </c>
      <c r="K1184" s="5">
        <v>1059144</v>
      </c>
    </row>
    <row r="1185" spans="1:11" x14ac:dyDescent="0.25">
      <c r="A1185" s="4" t="s">
        <v>11</v>
      </c>
      <c r="B1185" s="4" t="s">
        <v>1672</v>
      </c>
      <c r="C1185" s="4" t="s">
        <v>26</v>
      </c>
      <c r="D1185" s="4">
        <v>6110020512</v>
      </c>
      <c r="E1185" s="4" t="s">
        <v>1318</v>
      </c>
      <c r="F1185" s="4" t="s">
        <v>14</v>
      </c>
      <c r="G1185" s="5">
        <v>328696</v>
      </c>
      <c r="H1185" s="5">
        <v>0</v>
      </c>
      <c r="I1185" s="5">
        <v>0</v>
      </c>
      <c r="J1185" s="5" t="s">
        <v>14</v>
      </c>
      <c r="K1185" s="5">
        <v>328696</v>
      </c>
    </row>
    <row r="1186" spans="1:11" x14ac:dyDescent="0.25">
      <c r="A1186" s="4" t="s">
        <v>11</v>
      </c>
      <c r="B1186" s="4" t="s">
        <v>1672</v>
      </c>
      <c r="C1186" s="4" t="s">
        <v>26</v>
      </c>
      <c r="D1186" s="4">
        <v>6110020514</v>
      </c>
      <c r="E1186" s="4" t="s">
        <v>224</v>
      </c>
      <c r="F1186" s="4" t="s">
        <v>14</v>
      </c>
      <c r="G1186" s="5">
        <v>2754884</v>
      </c>
      <c r="H1186" s="5">
        <v>86667</v>
      </c>
      <c r="I1186" s="5">
        <v>0</v>
      </c>
      <c r="J1186" s="5" t="s">
        <v>14</v>
      </c>
      <c r="K1186" s="5">
        <v>2841551</v>
      </c>
    </row>
    <row r="1187" spans="1:11" x14ac:dyDescent="0.25">
      <c r="A1187" s="4" t="s">
        <v>11</v>
      </c>
      <c r="B1187" s="4" t="s">
        <v>1672</v>
      </c>
      <c r="C1187" s="4" t="s">
        <v>26</v>
      </c>
      <c r="D1187" s="4">
        <v>6110020516</v>
      </c>
      <c r="E1187" s="4" t="s">
        <v>1138</v>
      </c>
      <c r="F1187" s="4" t="s">
        <v>14</v>
      </c>
      <c r="G1187" s="5">
        <v>9547200</v>
      </c>
      <c r="H1187" s="5">
        <v>5400</v>
      </c>
      <c r="I1187" s="5">
        <v>0</v>
      </c>
      <c r="J1187" s="5" t="s">
        <v>14</v>
      </c>
      <c r="K1187" s="5">
        <v>9552600</v>
      </c>
    </row>
    <row r="1188" spans="1:11" x14ac:dyDescent="0.25">
      <c r="A1188" s="4" t="s">
        <v>11</v>
      </c>
      <c r="B1188" s="4" t="s">
        <v>1672</v>
      </c>
      <c r="C1188" s="4" t="s">
        <v>26</v>
      </c>
      <c r="D1188" s="4">
        <v>6110020520</v>
      </c>
      <c r="E1188" s="4" t="s">
        <v>1140</v>
      </c>
      <c r="F1188" s="4" t="s">
        <v>14</v>
      </c>
      <c r="G1188" s="5">
        <v>5334</v>
      </c>
      <c r="H1188" s="5">
        <v>0</v>
      </c>
      <c r="I1188" s="5">
        <v>0</v>
      </c>
      <c r="J1188" s="5" t="s">
        <v>14</v>
      </c>
      <c r="K1188" s="5">
        <v>5334</v>
      </c>
    </row>
    <row r="1189" spans="1:11" x14ac:dyDescent="0.25">
      <c r="A1189" s="4" t="s">
        <v>11</v>
      </c>
      <c r="B1189" s="4" t="s">
        <v>1672</v>
      </c>
      <c r="C1189" s="4" t="s">
        <v>26</v>
      </c>
      <c r="D1189" s="4">
        <v>6110020530</v>
      </c>
      <c r="E1189" s="4" t="s">
        <v>1142</v>
      </c>
      <c r="F1189" s="4" t="s">
        <v>14</v>
      </c>
      <c r="G1189" s="5">
        <v>28318421</v>
      </c>
      <c r="H1189" s="5">
        <v>0</v>
      </c>
      <c r="I1189" s="5">
        <v>0</v>
      </c>
      <c r="J1189" s="5" t="s">
        <v>14</v>
      </c>
      <c r="K1189" s="5">
        <v>28318421</v>
      </c>
    </row>
    <row r="1190" spans="1:11" x14ac:dyDescent="0.25">
      <c r="A1190" s="4" t="s">
        <v>11</v>
      </c>
      <c r="B1190" s="4" t="s">
        <v>1672</v>
      </c>
      <c r="C1190" s="4" t="s">
        <v>26</v>
      </c>
      <c r="D1190" s="4">
        <v>6110020531</v>
      </c>
      <c r="E1190" s="4" t="s">
        <v>673</v>
      </c>
      <c r="F1190" s="4" t="s">
        <v>14</v>
      </c>
      <c r="G1190" s="5">
        <v>3399566</v>
      </c>
      <c r="H1190" s="5">
        <v>0</v>
      </c>
      <c r="I1190" s="5">
        <v>0</v>
      </c>
      <c r="J1190" s="5" t="s">
        <v>14</v>
      </c>
      <c r="K1190" s="5">
        <v>3399566</v>
      </c>
    </row>
    <row r="1191" spans="1:11" x14ac:dyDescent="0.25">
      <c r="A1191" s="4" t="s">
        <v>11</v>
      </c>
      <c r="B1191" s="4" t="s">
        <v>1672</v>
      </c>
      <c r="C1191" s="4" t="s">
        <v>26</v>
      </c>
      <c r="D1191" s="4">
        <v>6110020532</v>
      </c>
      <c r="E1191" s="4" t="s">
        <v>675</v>
      </c>
      <c r="F1191" s="4" t="s">
        <v>14</v>
      </c>
      <c r="G1191" s="5">
        <v>28451301</v>
      </c>
      <c r="H1191" s="5">
        <v>0</v>
      </c>
      <c r="I1191" s="5">
        <v>0</v>
      </c>
      <c r="J1191" s="5" t="s">
        <v>14</v>
      </c>
      <c r="K1191" s="5">
        <v>28451301</v>
      </c>
    </row>
    <row r="1192" spans="1:11" x14ac:dyDescent="0.25">
      <c r="A1192" s="4" t="s">
        <v>11</v>
      </c>
      <c r="B1192" s="4" t="s">
        <v>1672</v>
      </c>
      <c r="C1192" s="4" t="s">
        <v>26</v>
      </c>
      <c r="D1192" s="4">
        <v>6110020533</v>
      </c>
      <c r="E1192" s="4" t="s">
        <v>1146</v>
      </c>
      <c r="F1192" s="4" t="s">
        <v>14</v>
      </c>
      <c r="G1192" s="5">
        <v>16709591.73</v>
      </c>
      <c r="H1192" s="5">
        <v>0</v>
      </c>
      <c r="I1192" s="5">
        <v>0</v>
      </c>
      <c r="J1192" s="5" t="s">
        <v>14</v>
      </c>
      <c r="K1192" s="5">
        <v>16709591.73</v>
      </c>
    </row>
    <row r="1193" spans="1:11" x14ac:dyDescent="0.25">
      <c r="A1193" s="4" t="s">
        <v>11</v>
      </c>
      <c r="B1193" s="4" t="s">
        <v>1672</v>
      </c>
      <c r="C1193" s="4" t="s">
        <v>26</v>
      </c>
      <c r="D1193" s="4">
        <v>6110020540</v>
      </c>
      <c r="E1193" s="4" t="s">
        <v>1148</v>
      </c>
      <c r="F1193" s="4" t="s">
        <v>14</v>
      </c>
      <c r="G1193" s="5">
        <v>30852027</v>
      </c>
      <c r="H1193" s="5">
        <v>12467</v>
      </c>
      <c r="I1193" s="5">
        <v>0</v>
      </c>
      <c r="J1193" s="5" t="s">
        <v>14</v>
      </c>
      <c r="K1193" s="5">
        <v>30864494</v>
      </c>
    </row>
    <row r="1194" spans="1:11" x14ac:dyDescent="0.25">
      <c r="A1194" s="4" t="s">
        <v>11</v>
      </c>
      <c r="B1194" s="4" t="s">
        <v>1672</v>
      </c>
      <c r="C1194" s="4" t="s">
        <v>26</v>
      </c>
      <c r="D1194" s="4">
        <v>6110020541</v>
      </c>
      <c r="E1194" s="4" t="s">
        <v>1150</v>
      </c>
      <c r="F1194" s="4" t="s">
        <v>14</v>
      </c>
      <c r="G1194" s="5">
        <v>42327675</v>
      </c>
      <c r="H1194" s="5">
        <v>17600</v>
      </c>
      <c r="I1194" s="5">
        <v>0</v>
      </c>
      <c r="J1194" s="5" t="s">
        <v>14</v>
      </c>
      <c r="K1194" s="5">
        <v>42345275</v>
      </c>
    </row>
    <row r="1195" spans="1:11" x14ac:dyDescent="0.25">
      <c r="A1195" s="4" t="s">
        <v>11</v>
      </c>
      <c r="B1195" s="4" t="s">
        <v>1672</v>
      </c>
      <c r="C1195" s="4" t="s">
        <v>26</v>
      </c>
      <c r="D1195" s="4">
        <v>6110020542</v>
      </c>
      <c r="E1195" s="4" t="s">
        <v>1152</v>
      </c>
      <c r="F1195" s="4" t="s">
        <v>14</v>
      </c>
      <c r="G1195" s="5">
        <v>8079928</v>
      </c>
      <c r="H1195" s="5">
        <v>1462</v>
      </c>
      <c r="I1195" s="5">
        <v>0</v>
      </c>
      <c r="J1195" s="5" t="s">
        <v>14</v>
      </c>
      <c r="K1195" s="5">
        <v>8081390</v>
      </c>
    </row>
    <row r="1196" spans="1:11" x14ac:dyDescent="0.25">
      <c r="A1196" s="4" t="s">
        <v>11</v>
      </c>
      <c r="B1196" s="4" t="s">
        <v>1672</v>
      </c>
      <c r="C1196" s="4" t="s">
        <v>26</v>
      </c>
      <c r="D1196" s="4">
        <v>6110020550</v>
      </c>
      <c r="E1196" s="4" t="s">
        <v>1154</v>
      </c>
      <c r="F1196" s="4" t="s">
        <v>14</v>
      </c>
      <c r="G1196" s="5">
        <v>14025922</v>
      </c>
      <c r="H1196" s="5">
        <v>71554.5</v>
      </c>
      <c r="I1196" s="5">
        <v>0</v>
      </c>
      <c r="J1196" s="5" t="s">
        <v>14</v>
      </c>
      <c r="K1196" s="5">
        <v>14097476.5</v>
      </c>
    </row>
    <row r="1197" spans="1:11" x14ac:dyDescent="0.25">
      <c r="A1197" s="4" t="s">
        <v>11</v>
      </c>
      <c r="B1197" s="4" t="s">
        <v>1672</v>
      </c>
      <c r="C1197" s="4" t="s">
        <v>26</v>
      </c>
      <c r="D1197" s="4">
        <v>6110020551</v>
      </c>
      <c r="E1197" s="4" t="s">
        <v>1156</v>
      </c>
      <c r="F1197" s="4" t="s">
        <v>14</v>
      </c>
      <c r="G1197" s="5">
        <v>10645561</v>
      </c>
      <c r="H1197" s="5">
        <v>1800</v>
      </c>
      <c r="I1197" s="5">
        <v>0</v>
      </c>
      <c r="J1197" s="5" t="s">
        <v>14</v>
      </c>
      <c r="K1197" s="5">
        <v>10647361</v>
      </c>
    </row>
    <row r="1198" spans="1:11" x14ac:dyDescent="0.25">
      <c r="A1198" s="4" t="s">
        <v>11</v>
      </c>
      <c r="B1198" s="4" t="s">
        <v>1672</v>
      </c>
      <c r="C1198" s="4" t="s">
        <v>26</v>
      </c>
      <c r="D1198" s="4">
        <v>6110020552</v>
      </c>
      <c r="E1198" s="4" t="s">
        <v>1158</v>
      </c>
      <c r="F1198" s="4" t="s">
        <v>14</v>
      </c>
      <c r="G1198" s="5">
        <v>7088596</v>
      </c>
      <c r="H1198" s="5">
        <v>1200</v>
      </c>
      <c r="I1198" s="5">
        <v>0</v>
      </c>
      <c r="J1198" s="5" t="s">
        <v>14</v>
      </c>
      <c r="K1198" s="5">
        <v>7089796</v>
      </c>
    </row>
    <row r="1199" spans="1:11" x14ac:dyDescent="0.25">
      <c r="A1199" s="4" t="s">
        <v>11</v>
      </c>
      <c r="B1199" s="4" t="s">
        <v>1672</v>
      </c>
      <c r="C1199" s="4" t="s">
        <v>23</v>
      </c>
      <c r="D1199" s="4">
        <v>61100215</v>
      </c>
      <c r="E1199" s="4" t="s">
        <v>1445</v>
      </c>
      <c r="F1199" s="4" t="s">
        <v>14</v>
      </c>
      <c r="G1199" s="5">
        <v>459777876</v>
      </c>
      <c r="H1199" s="5">
        <v>6212767</v>
      </c>
      <c r="I1199" s="5">
        <v>0</v>
      </c>
      <c r="J1199" s="5" t="s">
        <v>14</v>
      </c>
      <c r="K1199" s="5">
        <v>465990643</v>
      </c>
    </row>
    <row r="1200" spans="1:11" x14ac:dyDescent="0.25">
      <c r="A1200" s="4" t="s">
        <v>11</v>
      </c>
      <c r="B1200" s="4" t="s">
        <v>1672</v>
      </c>
      <c r="C1200" s="4" t="s">
        <v>26</v>
      </c>
      <c r="D1200" s="4">
        <v>6110021505</v>
      </c>
      <c r="E1200" s="4" t="s">
        <v>554</v>
      </c>
      <c r="F1200" s="4" t="s">
        <v>14</v>
      </c>
      <c r="G1200" s="5">
        <v>459777876</v>
      </c>
      <c r="H1200" s="5">
        <v>6212767</v>
      </c>
      <c r="I1200" s="5">
        <v>0</v>
      </c>
      <c r="J1200" s="5" t="s">
        <v>14</v>
      </c>
      <c r="K1200" s="5">
        <v>465990643</v>
      </c>
    </row>
    <row r="1201" spans="1:11" x14ac:dyDescent="0.25">
      <c r="A1201" s="4" t="s">
        <v>11</v>
      </c>
      <c r="B1201" s="4" t="s">
        <v>1672</v>
      </c>
      <c r="C1201" s="4" t="s">
        <v>21</v>
      </c>
      <c r="D1201" s="4">
        <v>611003</v>
      </c>
      <c r="E1201" s="4" t="s">
        <v>1720</v>
      </c>
      <c r="F1201" s="4" t="s">
        <v>14</v>
      </c>
      <c r="G1201" s="5">
        <v>263919880.59</v>
      </c>
      <c r="H1201" s="5">
        <v>12127155.5</v>
      </c>
      <c r="I1201" s="5">
        <v>0</v>
      </c>
      <c r="J1201" s="5" t="s">
        <v>14</v>
      </c>
      <c r="K1201" s="5">
        <v>276047036.08999997</v>
      </c>
    </row>
    <row r="1202" spans="1:11" x14ac:dyDescent="0.25">
      <c r="A1202" s="4" t="s">
        <v>11</v>
      </c>
      <c r="B1202" s="4" t="s">
        <v>1672</v>
      </c>
      <c r="C1202" s="4" t="s">
        <v>23</v>
      </c>
      <c r="D1202" s="4">
        <v>61100315</v>
      </c>
      <c r="E1202" s="4" t="s">
        <v>1189</v>
      </c>
      <c r="F1202" s="4" t="s">
        <v>14</v>
      </c>
      <c r="G1202" s="5">
        <v>7272495</v>
      </c>
      <c r="H1202" s="5">
        <v>1883687</v>
      </c>
      <c r="I1202" s="5">
        <v>0</v>
      </c>
      <c r="J1202" s="5" t="s">
        <v>14</v>
      </c>
      <c r="K1202" s="5">
        <v>9156182</v>
      </c>
    </row>
    <row r="1203" spans="1:11" x14ac:dyDescent="0.25">
      <c r="A1203" s="4" t="s">
        <v>11</v>
      </c>
      <c r="B1203" s="4" t="s">
        <v>1672</v>
      </c>
      <c r="C1203" s="4" t="s">
        <v>26</v>
      </c>
      <c r="D1203" s="4">
        <v>6110031510</v>
      </c>
      <c r="E1203" s="4" t="s">
        <v>439</v>
      </c>
      <c r="F1203" s="4" t="s">
        <v>14</v>
      </c>
      <c r="G1203" s="5">
        <v>7272495</v>
      </c>
      <c r="H1203" s="5">
        <v>1883687</v>
      </c>
      <c r="I1203" s="5">
        <v>0</v>
      </c>
      <c r="J1203" s="5" t="s">
        <v>14</v>
      </c>
      <c r="K1203" s="5">
        <v>9156182</v>
      </c>
    </row>
    <row r="1204" spans="1:11" x14ac:dyDescent="0.25">
      <c r="A1204" s="4" t="s">
        <v>11</v>
      </c>
      <c r="B1204" s="4" t="s">
        <v>1672</v>
      </c>
      <c r="C1204" s="4" t="s">
        <v>23</v>
      </c>
      <c r="D1204" s="4">
        <v>61100320</v>
      </c>
      <c r="E1204" s="4" t="s">
        <v>227</v>
      </c>
      <c r="F1204" s="4" t="s">
        <v>14</v>
      </c>
      <c r="G1204" s="5">
        <v>8021675</v>
      </c>
      <c r="H1204" s="5">
        <v>0</v>
      </c>
      <c r="I1204" s="5">
        <v>0</v>
      </c>
      <c r="J1204" s="5" t="s">
        <v>14</v>
      </c>
      <c r="K1204" s="5">
        <v>8021675</v>
      </c>
    </row>
    <row r="1205" spans="1:11" x14ac:dyDescent="0.25">
      <c r="A1205" s="4" t="s">
        <v>11</v>
      </c>
      <c r="B1205" s="4" t="s">
        <v>1672</v>
      </c>
      <c r="C1205" s="4" t="s">
        <v>26</v>
      </c>
      <c r="D1205" s="4">
        <v>6110032010</v>
      </c>
      <c r="E1205" s="4" t="s">
        <v>1195</v>
      </c>
      <c r="F1205" s="4" t="s">
        <v>14</v>
      </c>
      <c r="G1205" s="5">
        <v>6740902</v>
      </c>
      <c r="H1205" s="5">
        <v>0</v>
      </c>
      <c r="I1205" s="5">
        <v>0</v>
      </c>
      <c r="J1205" s="5" t="s">
        <v>14</v>
      </c>
      <c r="K1205" s="5">
        <v>6740902</v>
      </c>
    </row>
    <row r="1206" spans="1:11" x14ac:dyDescent="0.25">
      <c r="A1206" s="4" t="s">
        <v>11</v>
      </c>
      <c r="B1206" s="4" t="s">
        <v>1672</v>
      </c>
      <c r="C1206" s="4" t="s">
        <v>26</v>
      </c>
      <c r="D1206" s="4">
        <v>6110032045</v>
      </c>
      <c r="E1206" s="4" t="s">
        <v>1197</v>
      </c>
      <c r="F1206" s="4" t="s">
        <v>14</v>
      </c>
      <c r="G1206" s="5">
        <v>1280773</v>
      </c>
      <c r="H1206" s="5">
        <v>0</v>
      </c>
      <c r="I1206" s="5">
        <v>0</v>
      </c>
      <c r="J1206" s="5" t="s">
        <v>14</v>
      </c>
      <c r="K1206" s="5">
        <v>1280773</v>
      </c>
    </row>
    <row r="1207" spans="1:11" x14ac:dyDescent="0.25">
      <c r="A1207" s="4" t="s">
        <v>11</v>
      </c>
      <c r="B1207" s="4" t="s">
        <v>1672</v>
      </c>
      <c r="C1207" s="4" t="s">
        <v>23</v>
      </c>
      <c r="D1207" s="4">
        <v>61100330</v>
      </c>
      <c r="E1207" s="4" t="s">
        <v>437</v>
      </c>
      <c r="F1207" s="4" t="s">
        <v>14</v>
      </c>
      <c r="G1207" s="5">
        <v>3761940</v>
      </c>
      <c r="H1207" s="5">
        <v>0</v>
      </c>
      <c r="I1207" s="5">
        <v>0</v>
      </c>
      <c r="J1207" s="5" t="s">
        <v>14</v>
      </c>
      <c r="K1207" s="5">
        <v>3761940</v>
      </c>
    </row>
    <row r="1208" spans="1:11" x14ac:dyDescent="0.25">
      <c r="A1208" s="4" t="s">
        <v>11</v>
      </c>
      <c r="B1208" s="4" t="s">
        <v>1672</v>
      </c>
      <c r="C1208" s="4" t="s">
        <v>26</v>
      </c>
      <c r="D1208" s="4">
        <v>6110033010</v>
      </c>
      <c r="E1208" s="4" t="s">
        <v>1212</v>
      </c>
      <c r="F1208" s="4" t="s">
        <v>14</v>
      </c>
      <c r="G1208" s="5">
        <v>838080</v>
      </c>
      <c r="H1208" s="5">
        <v>0</v>
      </c>
      <c r="I1208" s="5">
        <v>0</v>
      </c>
      <c r="J1208" s="5" t="s">
        <v>14</v>
      </c>
      <c r="K1208" s="5">
        <v>838080</v>
      </c>
    </row>
    <row r="1209" spans="1:11" x14ac:dyDescent="0.25">
      <c r="A1209" s="4" t="s">
        <v>11</v>
      </c>
      <c r="B1209" s="4" t="s">
        <v>1672</v>
      </c>
      <c r="C1209" s="4" t="s">
        <v>26</v>
      </c>
      <c r="D1209" s="4">
        <v>6110033015</v>
      </c>
      <c r="E1209" s="4" t="s">
        <v>1214</v>
      </c>
      <c r="F1209" s="4" t="s">
        <v>14</v>
      </c>
      <c r="G1209" s="5">
        <v>2923860</v>
      </c>
      <c r="H1209" s="5">
        <v>0</v>
      </c>
      <c r="I1209" s="5">
        <v>0</v>
      </c>
      <c r="J1209" s="5" t="s">
        <v>14</v>
      </c>
      <c r="K1209" s="5">
        <v>2923860</v>
      </c>
    </row>
    <row r="1210" spans="1:11" x14ac:dyDescent="0.25">
      <c r="A1210" s="4" t="s">
        <v>11</v>
      </c>
      <c r="B1210" s="4" t="s">
        <v>1672</v>
      </c>
      <c r="C1210" s="4" t="s">
        <v>23</v>
      </c>
      <c r="D1210" s="4">
        <v>61100335</v>
      </c>
      <c r="E1210" s="4" t="s">
        <v>566</v>
      </c>
      <c r="F1210" s="4" t="s">
        <v>14</v>
      </c>
      <c r="G1210" s="5">
        <v>81534051.230000004</v>
      </c>
      <c r="H1210" s="5">
        <v>8489886.5</v>
      </c>
      <c r="I1210" s="5">
        <v>0</v>
      </c>
      <c r="J1210" s="5" t="s">
        <v>14</v>
      </c>
      <c r="K1210" s="5">
        <v>90023937.730000004</v>
      </c>
    </row>
    <row r="1211" spans="1:11" x14ac:dyDescent="0.25">
      <c r="A1211" s="4" t="s">
        <v>11</v>
      </c>
      <c r="B1211" s="4" t="s">
        <v>1672</v>
      </c>
      <c r="C1211" s="4" t="s">
        <v>26</v>
      </c>
      <c r="D1211" s="4">
        <v>6110033505</v>
      </c>
      <c r="E1211" s="4" t="s">
        <v>1219</v>
      </c>
      <c r="F1211" s="4" t="s">
        <v>14</v>
      </c>
      <c r="G1211" s="5">
        <v>14767714.65</v>
      </c>
      <c r="H1211" s="5">
        <v>1337514.1399999999</v>
      </c>
      <c r="I1211" s="5">
        <v>0</v>
      </c>
      <c r="J1211" s="5" t="s">
        <v>14</v>
      </c>
      <c r="K1211" s="5">
        <v>16105228.789999999</v>
      </c>
    </row>
    <row r="1212" spans="1:11" x14ac:dyDescent="0.25">
      <c r="A1212" s="4" t="s">
        <v>11</v>
      </c>
      <c r="B1212" s="4" t="s">
        <v>1672</v>
      </c>
      <c r="C1212" s="4" t="s">
        <v>26</v>
      </c>
      <c r="D1212" s="4">
        <v>6110033510</v>
      </c>
      <c r="E1212" s="4" t="s">
        <v>1221</v>
      </c>
      <c r="F1212" s="4" t="s">
        <v>14</v>
      </c>
      <c r="G1212" s="5">
        <v>6328784.54</v>
      </c>
      <c r="H1212" s="5">
        <v>761040.73</v>
      </c>
      <c r="I1212" s="5">
        <v>0</v>
      </c>
      <c r="J1212" s="5" t="s">
        <v>14</v>
      </c>
      <c r="K1212" s="5">
        <v>7089825.2699999996</v>
      </c>
    </row>
    <row r="1213" spans="1:11" x14ac:dyDescent="0.25">
      <c r="A1213" s="4" t="s">
        <v>11</v>
      </c>
      <c r="B1213" s="4" t="s">
        <v>1672</v>
      </c>
      <c r="C1213" s="4" t="s">
        <v>26</v>
      </c>
      <c r="D1213" s="4">
        <v>6110033515</v>
      </c>
      <c r="E1213" s="4" t="s">
        <v>1223</v>
      </c>
      <c r="F1213" s="4" t="s">
        <v>14</v>
      </c>
      <c r="G1213" s="5">
        <v>39800</v>
      </c>
      <c r="H1213" s="5">
        <v>4030</v>
      </c>
      <c r="I1213" s="5">
        <v>0</v>
      </c>
      <c r="J1213" s="5" t="s">
        <v>14</v>
      </c>
      <c r="K1213" s="5">
        <v>43830</v>
      </c>
    </row>
    <row r="1214" spans="1:11" x14ac:dyDescent="0.25">
      <c r="A1214" s="4" t="s">
        <v>11</v>
      </c>
      <c r="B1214" s="4" t="s">
        <v>1672</v>
      </c>
      <c r="C1214" s="4" t="s">
        <v>26</v>
      </c>
      <c r="D1214" s="4">
        <v>6110033520</v>
      </c>
      <c r="E1214" s="4" t="s">
        <v>1225</v>
      </c>
      <c r="F1214" s="4" t="s">
        <v>14</v>
      </c>
      <c r="G1214" s="5">
        <v>39202717.109999999</v>
      </c>
      <c r="H1214" s="5">
        <v>3845679.84</v>
      </c>
      <c r="I1214" s="5">
        <v>0</v>
      </c>
      <c r="J1214" s="5" t="s">
        <v>14</v>
      </c>
      <c r="K1214" s="5">
        <v>43048396.950000003</v>
      </c>
    </row>
    <row r="1215" spans="1:11" x14ac:dyDescent="0.25">
      <c r="A1215" s="4" t="s">
        <v>11</v>
      </c>
      <c r="B1215" s="4" t="s">
        <v>1672</v>
      </c>
      <c r="C1215" s="4" t="s">
        <v>26</v>
      </c>
      <c r="D1215" s="4">
        <v>6110033525</v>
      </c>
      <c r="E1215" s="4" t="s">
        <v>1227</v>
      </c>
      <c r="F1215" s="4" t="s">
        <v>14</v>
      </c>
      <c r="G1215" s="5">
        <v>12964682.109999999</v>
      </c>
      <c r="H1215" s="5">
        <v>1632904.23</v>
      </c>
      <c r="I1215" s="5">
        <v>0</v>
      </c>
      <c r="J1215" s="5" t="s">
        <v>14</v>
      </c>
      <c r="K1215" s="5">
        <v>14597586.34</v>
      </c>
    </row>
    <row r="1216" spans="1:11" x14ac:dyDescent="0.25">
      <c r="A1216" s="4" t="s">
        <v>11</v>
      </c>
      <c r="B1216" s="4" t="s">
        <v>1672</v>
      </c>
      <c r="C1216" s="4" t="s">
        <v>26</v>
      </c>
      <c r="D1216" s="4">
        <v>6110033530</v>
      </c>
      <c r="E1216" s="4" t="s">
        <v>1229</v>
      </c>
      <c r="F1216" s="4" t="s">
        <v>14</v>
      </c>
      <c r="G1216" s="5">
        <v>1656847.46</v>
      </c>
      <c r="H1216" s="5">
        <v>169829.62</v>
      </c>
      <c r="I1216" s="5">
        <v>0</v>
      </c>
      <c r="J1216" s="5" t="s">
        <v>14</v>
      </c>
      <c r="K1216" s="5">
        <v>1826677.08</v>
      </c>
    </row>
    <row r="1217" spans="1:11" x14ac:dyDescent="0.25">
      <c r="A1217" s="4" t="s">
        <v>11</v>
      </c>
      <c r="B1217" s="4" t="s">
        <v>1672</v>
      </c>
      <c r="C1217" s="4" t="s">
        <v>26</v>
      </c>
      <c r="D1217" s="4">
        <v>6110033535</v>
      </c>
      <c r="E1217" s="4" t="s">
        <v>1231</v>
      </c>
      <c r="F1217" s="4" t="s">
        <v>14</v>
      </c>
      <c r="G1217" s="5">
        <v>3131798</v>
      </c>
      <c r="H1217" s="5">
        <v>329428</v>
      </c>
      <c r="I1217" s="5">
        <v>0</v>
      </c>
      <c r="J1217" s="5" t="s">
        <v>14</v>
      </c>
      <c r="K1217" s="5">
        <v>3461226</v>
      </c>
    </row>
    <row r="1218" spans="1:11" x14ac:dyDescent="0.25">
      <c r="A1218" s="4" t="s">
        <v>11</v>
      </c>
      <c r="B1218" s="4" t="s">
        <v>1672</v>
      </c>
      <c r="C1218" s="4" t="s">
        <v>26</v>
      </c>
      <c r="D1218" s="4">
        <v>6110033550</v>
      </c>
      <c r="E1218" s="4" t="s">
        <v>1233</v>
      </c>
      <c r="F1218" s="4" t="s">
        <v>14</v>
      </c>
      <c r="G1218" s="5">
        <v>2475096.94</v>
      </c>
      <c r="H1218" s="5">
        <v>311009.02</v>
      </c>
      <c r="I1218" s="5">
        <v>0</v>
      </c>
      <c r="J1218" s="5" t="s">
        <v>14</v>
      </c>
      <c r="K1218" s="5">
        <v>2786105.96</v>
      </c>
    </row>
    <row r="1219" spans="1:11" x14ac:dyDescent="0.25">
      <c r="A1219" s="4" t="s">
        <v>11</v>
      </c>
      <c r="B1219" s="4" t="s">
        <v>1672</v>
      </c>
      <c r="C1219" s="4" t="s">
        <v>26</v>
      </c>
      <c r="D1219" s="4">
        <v>6110033555</v>
      </c>
      <c r="E1219" s="4" t="s">
        <v>1807</v>
      </c>
      <c r="F1219" s="4" t="s">
        <v>14</v>
      </c>
      <c r="G1219" s="5">
        <v>9204</v>
      </c>
      <c r="H1219" s="5">
        <v>0</v>
      </c>
      <c r="I1219" s="5">
        <v>0</v>
      </c>
      <c r="J1219" s="5" t="s">
        <v>14</v>
      </c>
      <c r="K1219" s="5">
        <v>9204</v>
      </c>
    </row>
    <row r="1220" spans="1:11" x14ac:dyDescent="0.25">
      <c r="A1220" s="4" t="s">
        <v>11</v>
      </c>
      <c r="B1220" s="4" t="s">
        <v>1672</v>
      </c>
      <c r="C1220" s="4" t="s">
        <v>26</v>
      </c>
      <c r="D1220" s="4">
        <v>6110033560</v>
      </c>
      <c r="E1220" s="4" t="s">
        <v>1235</v>
      </c>
      <c r="F1220" s="4" t="s">
        <v>14</v>
      </c>
      <c r="G1220" s="5">
        <v>328435.42</v>
      </c>
      <c r="H1220" s="5">
        <v>32306.92</v>
      </c>
      <c r="I1220" s="5">
        <v>0</v>
      </c>
      <c r="J1220" s="5" t="s">
        <v>14</v>
      </c>
      <c r="K1220" s="5">
        <v>360742.34</v>
      </c>
    </row>
    <row r="1221" spans="1:11" x14ac:dyDescent="0.25">
      <c r="A1221" s="4" t="s">
        <v>11</v>
      </c>
      <c r="B1221" s="4" t="s">
        <v>1672</v>
      </c>
      <c r="C1221" s="4" t="s">
        <v>26</v>
      </c>
      <c r="D1221" s="4">
        <v>6110033565</v>
      </c>
      <c r="E1221" s="4" t="s">
        <v>1237</v>
      </c>
      <c r="F1221" s="4" t="s">
        <v>14</v>
      </c>
      <c r="G1221" s="5">
        <v>628971</v>
      </c>
      <c r="H1221" s="5">
        <v>66144</v>
      </c>
      <c r="I1221" s="5">
        <v>0</v>
      </c>
      <c r="J1221" s="5" t="s">
        <v>14</v>
      </c>
      <c r="K1221" s="5">
        <v>695115</v>
      </c>
    </row>
    <row r="1222" spans="1:11" x14ac:dyDescent="0.25">
      <c r="A1222" s="4" t="s">
        <v>11</v>
      </c>
      <c r="B1222" s="4" t="s">
        <v>1672</v>
      </c>
      <c r="C1222" s="4" t="s">
        <v>23</v>
      </c>
      <c r="D1222" s="4">
        <v>61100336</v>
      </c>
      <c r="E1222" s="4" t="s">
        <v>1239</v>
      </c>
      <c r="F1222" s="4" t="s">
        <v>14</v>
      </c>
      <c r="G1222" s="5">
        <v>133370527</v>
      </c>
      <c r="H1222" s="5">
        <v>357000</v>
      </c>
      <c r="I1222" s="5">
        <v>0</v>
      </c>
      <c r="J1222" s="5" t="s">
        <v>14</v>
      </c>
      <c r="K1222" s="5">
        <v>133727527</v>
      </c>
    </row>
    <row r="1223" spans="1:11" x14ac:dyDescent="0.25">
      <c r="A1223" s="4" t="s">
        <v>11</v>
      </c>
      <c r="B1223" s="4" t="s">
        <v>1672</v>
      </c>
      <c r="C1223" s="4" t="s">
        <v>26</v>
      </c>
      <c r="D1223" s="4">
        <v>6110033615</v>
      </c>
      <c r="E1223" s="4" t="s">
        <v>1487</v>
      </c>
      <c r="F1223" s="4" t="s">
        <v>14</v>
      </c>
      <c r="G1223" s="5">
        <v>600000</v>
      </c>
      <c r="H1223" s="5">
        <v>300000</v>
      </c>
      <c r="I1223" s="5">
        <v>0</v>
      </c>
      <c r="J1223" s="5" t="s">
        <v>14</v>
      </c>
      <c r="K1223" s="5">
        <v>900000</v>
      </c>
    </row>
    <row r="1224" spans="1:11" x14ac:dyDescent="0.25">
      <c r="A1224" s="4" t="s">
        <v>11</v>
      </c>
      <c r="B1224" s="4" t="s">
        <v>1672</v>
      </c>
      <c r="C1224" s="4" t="s">
        <v>26</v>
      </c>
      <c r="D1224" s="4">
        <v>6110033625</v>
      </c>
      <c r="E1224" s="4" t="s">
        <v>1489</v>
      </c>
      <c r="F1224" s="4" t="s">
        <v>14</v>
      </c>
      <c r="G1224" s="5">
        <v>129958400</v>
      </c>
      <c r="H1224" s="5">
        <v>0</v>
      </c>
      <c r="I1224" s="5">
        <v>0</v>
      </c>
      <c r="J1224" s="5" t="s">
        <v>14</v>
      </c>
      <c r="K1224" s="5">
        <v>129958400</v>
      </c>
    </row>
    <row r="1225" spans="1:11" x14ac:dyDescent="0.25">
      <c r="A1225" s="4" t="s">
        <v>11</v>
      </c>
      <c r="B1225" s="4" t="s">
        <v>1672</v>
      </c>
      <c r="C1225" s="4" t="s">
        <v>26</v>
      </c>
      <c r="D1225" s="4">
        <v>6110033660</v>
      </c>
      <c r="E1225" s="4" t="s">
        <v>1495</v>
      </c>
      <c r="F1225" s="4" t="s">
        <v>14</v>
      </c>
      <c r="G1225" s="5">
        <v>2698127</v>
      </c>
      <c r="H1225" s="5">
        <v>0</v>
      </c>
      <c r="I1225" s="5">
        <v>0</v>
      </c>
      <c r="J1225" s="5" t="s">
        <v>14</v>
      </c>
      <c r="K1225" s="5">
        <v>2698127</v>
      </c>
    </row>
    <row r="1226" spans="1:11" x14ac:dyDescent="0.25">
      <c r="A1226" s="4" t="s">
        <v>11</v>
      </c>
      <c r="B1226" s="4" t="s">
        <v>1672</v>
      </c>
      <c r="C1226" s="4" t="s">
        <v>26</v>
      </c>
      <c r="D1226" s="4">
        <v>6110033699</v>
      </c>
      <c r="E1226" s="4" t="s">
        <v>1504</v>
      </c>
      <c r="F1226" s="4" t="s">
        <v>14</v>
      </c>
      <c r="G1226" s="5">
        <v>114000</v>
      </c>
      <c r="H1226" s="5">
        <v>57000</v>
      </c>
      <c r="I1226" s="5">
        <v>0</v>
      </c>
      <c r="J1226" s="5" t="s">
        <v>14</v>
      </c>
      <c r="K1226" s="5">
        <v>171000</v>
      </c>
    </row>
    <row r="1227" spans="1:11" x14ac:dyDescent="0.25">
      <c r="A1227" s="4" t="s">
        <v>11</v>
      </c>
      <c r="B1227" s="4" t="s">
        <v>1672</v>
      </c>
      <c r="C1227" s="4" t="s">
        <v>23</v>
      </c>
      <c r="D1227" s="4">
        <v>61100340</v>
      </c>
      <c r="E1227" s="4" t="s">
        <v>1246</v>
      </c>
      <c r="F1227" s="4" t="s">
        <v>14</v>
      </c>
      <c r="G1227" s="5">
        <v>20900</v>
      </c>
      <c r="H1227" s="5">
        <v>0</v>
      </c>
      <c r="I1227" s="5">
        <v>0</v>
      </c>
      <c r="J1227" s="5" t="s">
        <v>14</v>
      </c>
      <c r="K1227" s="5">
        <v>20900</v>
      </c>
    </row>
    <row r="1228" spans="1:11" x14ac:dyDescent="0.25">
      <c r="A1228" s="4" t="s">
        <v>11</v>
      </c>
      <c r="B1228" s="4" t="s">
        <v>1672</v>
      </c>
      <c r="C1228" s="4" t="s">
        <v>26</v>
      </c>
      <c r="D1228" s="4">
        <v>6110034010</v>
      </c>
      <c r="E1228" s="4" t="s">
        <v>1249</v>
      </c>
      <c r="F1228" s="4" t="s">
        <v>14</v>
      </c>
      <c r="G1228" s="5">
        <v>20900</v>
      </c>
      <c r="H1228" s="5">
        <v>0</v>
      </c>
      <c r="I1228" s="5">
        <v>0</v>
      </c>
      <c r="J1228" s="5" t="s">
        <v>14</v>
      </c>
      <c r="K1228" s="5">
        <v>20900</v>
      </c>
    </row>
    <row r="1229" spans="1:11" x14ac:dyDescent="0.25">
      <c r="A1229" s="4" t="s">
        <v>11</v>
      </c>
      <c r="B1229" s="4" t="s">
        <v>1672</v>
      </c>
      <c r="C1229" s="4" t="s">
        <v>23</v>
      </c>
      <c r="D1229" s="4">
        <v>61100345</v>
      </c>
      <c r="E1229" s="4" t="s">
        <v>1257</v>
      </c>
      <c r="F1229" s="4" t="s">
        <v>14</v>
      </c>
      <c r="G1229" s="5">
        <v>13132597</v>
      </c>
      <c r="H1229" s="5">
        <v>778672</v>
      </c>
      <c r="I1229" s="5">
        <v>0</v>
      </c>
      <c r="J1229" s="5" t="s">
        <v>14</v>
      </c>
      <c r="K1229" s="5">
        <v>13911269</v>
      </c>
    </row>
    <row r="1230" spans="1:11" x14ac:dyDescent="0.25">
      <c r="A1230" s="4" t="s">
        <v>11</v>
      </c>
      <c r="B1230" s="4" t="s">
        <v>1672</v>
      </c>
      <c r="C1230" s="4" t="s">
        <v>26</v>
      </c>
      <c r="D1230" s="4">
        <v>6110034510</v>
      </c>
      <c r="E1230" s="4" t="s">
        <v>1514</v>
      </c>
      <c r="F1230" s="4" t="s">
        <v>14</v>
      </c>
      <c r="G1230" s="5">
        <v>10523282</v>
      </c>
      <c r="H1230" s="5">
        <v>654346</v>
      </c>
      <c r="I1230" s="5">
        <v>0</v>
      </c>
      <c r="J1230" s="5" t="s">
        <v>14</v>
      </c>
      <c r="K1230" s="5">
        <v>11177628</v>
      </c>
    </row>
    <row r="1231" spans="1:11" x14ac:dyDescent="0.25">
      <c r="A1231" s="4" t="s">
        <v>11</v>
      </c>
      <c r="B1231" s="4" t="s">
        <v>1672</v>
      </c>
      <c r="C1231" s="4" t="s">
        <v>26</v>
      </c>
      <c r="D1231" s="4">
        <v>6110034525</v>
      </c>
      <c r="E1231" s="4" t="s">
        <v>1820</v>
      </c>
      <c r="F1231" s="4" t="s">
        <v>14</v>
      </c>
      <c r="G1231" s="5">
        <v>512512</v>
      </c>
      <c r="H1231" s="5">
        <v>0</v>
      </c>
      <c r="I1231" s="5">
        <v>0</v>
      </c>
      <c r="J1231" s="5" t="s">
        <v>14</v>
      </c>
      <c r="K1231" s="5">
        <v>512512</v>
      </c>
    </row>
    <row r="1232" spans="1:11" x14ac:dyDescent="0.25">
      <c r="A1232" s="4" t="s">
        <v>11</v>
      </c>
      <c r="B1232" s="4" t="s">
        <v>1672</v>
      </c>
      <c r="C1232" s="4" t="s">
        <v>26</v>
      </c>
      <c r="D1232" s="4">
        <v>6110034555</v>
      </c>
      <c r="E1232" s="4" t="s">
        <v>1526</v>
      </c>
      <c r="F1232" s="4" t="s">
        <v>14</v>
      </c>
      <c r="G1232" s="5">
        <v>1999426</v>
      </c>
      <c r="H1232" s="5">
        <v>124326</v>
      </c>
      <c r="I1232" s="5">
        <v>0</v>
      </c>
      <c r="J1232" s="5" t="s">
        <v>14</v>
      </c>
      <c r="K1232" s="5">
        <v>2123752</v>
      </c>
    </row>
    <row r="1233" spans="1:11" x14ac:dyDescent="0.25">
      <c r="A1233" s="4" t="s">
        <v>11</v>
      </c>
      <c r="B1233" s="4" t="s">
        <v>1672</v>
      </c>
      <c r="C1233" s="4" t="s">
        <v>26</v>
      </c>
      <c r="D1233" s="4">
        <v>6110034570</v>
      </c>
      <c r="E1233" s="4" t="s">
        <v>1823</v>
      </c>
      <c r="F1233" s="4" t="s">
        <v>14</v>
      </c>
      <c r="G1233" s="5">
        <v>97377</v>
      </c>
      <c r="H1233" s="5">
        <v>0</v>
      </c>
      <c r="I1233" s="5">
        <v>0</v>
      </c>
      <c r="J1233" s="5" t="s">
        <v>14</v>
      </c>
      <c r="K1233" s="5">
        <v>97377</v>
      </c>
    </row>
    <row r="1234" spans="1:11" x14ac:dyDescent="0.25">
      <c r="A1234" s="4" t="s">
        <v>11</v>
      </c>
      <c r="B1234" s="4" t="s">
        <v>1672</v>
      </c>
      <c r="C1234" s="4" t="s">
        <v>23</v>
      </c>
      <c r="D1234" s="4">
        <v>61100355</v>
      </c>
      <c r="E1234" s="4" t="s">
        <v>1263</v>
      </c>
      <c r="F1234" s="4" t="s">
        <v>14</v>
      </c>
      <c r="G1234" s="5">
        <v>7229678.3600000003</v>
      </c>
      <c r="H1234" s="5">
        <v>0</v>
      </c>
      <c r="I1234" s="5">
        <v>0</v>
      </c>
      <c r="J1234" s="5" t="s">
        <v>14</v>
      </c>
      <c r="K1234" s="5">
        <v>7229678.3600000003</v>
      </c>
    </row>
    <row r="1235" spans="1:11" x14ac:dyDescent="0.25">
      <c r="A1235" s="4" t="s">
        <v>11</v>
      </c>
      <c r="B1235" s="4" t="s">
        <v>1672</v>
      </c>
      <c r="C1235" s="4" t="s">
        <v>26</v>
      </c>
      <c r="D1235" s="4">
        <v>6110035510</v>
      </c>
      <c r="E1235" s="4" t="s">
        <v>1265</v>
      </c>
      <c r="F1235" s="4" t="s">
        <v>14</v>
      </c>
      <c r="G1235" s="5">
        <v>2433143.5</v>
      </c>
      <c r="H1235" s="5">
        <v>0</v>
      </c>
      <c r="I1235" s="5">
        <v>0</v>
      </c>
      <c r="J1235" s="5" t="s">
        <v>14</v>
      </c>
      <c r="K1235" s="5">
        <v>2433143.5</v>
      </c>
    </row>
    <row r="1236" spans="1:11" x14ac:dyDescent="0.25">
      <c r="A1236" s="4" t="s">
        <v>11</v>
      </c>
      <c r="B1236" s="4" t="s">
        <v>1672</v>
      </c>
      <c r="C1236" s="4" t="s">
        <v>26</v>
      </c>
      <c r="D1236" s="4">
        <v>6110035515</v>
      </c>
      <c r="E1236" s="4" t="s">
        <v>1538</v>
      </c>
      <c r="F1236" s="4" t="s">
        <v>14</v>
      </c>
      <c r="G1236" s="5">
        <v>92589.15</v>
      </c>
      <c r="H1236" s="5">
        <v>0</v>
      </c>
      <c r="I1236" s="5">
        <v>0</v>
      </c>
      <c r="J1236" s="5" t="s">
        <v>14</v>
      </c>
      <c r="K1236" s="5">
        <v>92589.15</v>
      </c>
    </row>
    <row r="1237" spans="1:11" x14ac:dyDescent="0.25">
      <c r="A1237" s="4" t="s">
        <v>11</v>
      </c>
      <c r="B1237" s="4" t="s">
        <v>1672</v>
      </c>
      <c r="C1237" s="4" t="s">
        <v>26</v>
      </c>
      <c r="D1237" s="4">
        <v>6110035520</v>
      </c>
      <c r="E1237" s="4" t="s">
        <v>1267</v>
      </c>
      <c r="F1237" s="4" t="s">
        <v>14</v>
      </c>
      <c r="G1237" s="5">
        <v>3290005.56</v>
      </c>
      <c r="H1237" s="5">
        <v>0</v>
      </c>
      <c r="I1237" s="5">
        <v>0</v>
      </c>
      <c r="J1237" s="5" t="s">
        <v>14</v>
      </c>
      <c r="K1237" s="5">
        <v>3290005.56</v>
      </c>
    </row>
    <row r="1238" spans="1:11" x14ac:dyDescent="0.25">
      <c r="A1238" s="4" t="s">
        <v>11</v>
      </c>
      <c r="B1238" s="4" t="s">
        <v>1672</v>
      </c>
      <c r="C1238" s="4" t="s">
        <v>26</v>
      </c>
      <c r="D1238" s="4">
        <v>6110035530</v>
      </c>
      <c r="E1238" s="4" t="s">
        <v>1542</v>
      </c>
      <c r="F1238" s="4" t="s">
        <v>14</v>
      </c>
      <c r="G1238" s="5">
        <v>1413940.15</v>
      </c>
      <c r="H1238" s="5">
        <v>0</v>
      </c>
      <c r="I1238" s="5">
        <v>0</v>
      </c>
      <c r="J1238" s="5" t="s">
        <v>14</v>
      </c>
      <c r="K1238" s="5">
        <v>1413940.15</v>
      </c>
    </row>
    <row r="1239" spans="1:11" x14ac:dyDescent="0.25">
      <c r="A1239" s="4" t="s">
        <v>11</v>
      </c>
      <c r="B1239" s="4" t="s">
        <v>1672</v>
      </c>
      <c r="C1239" s="4" t="s">
        <v>23</v>
      </c>
      <c r="D1239" s="4">
        <v>61100360</v>
      </c>
      <c r="E1239" s="4" t="s">
        <v>1273</v>
      </c>
      <c r="F1239" s="4" t="s">
        <v>14</v>
      </c>
      <c r="G1239" s="5">
        <v>9447497</v>
      </c>
      <c r="H1239" s="5">
        <v>592910</v>
      </c>
      <c r="I1239" s="5">
        <v>0</v>
      </c>
      <c r="J1239" s="5" t="s">
        <v>14</v>
      </c>
      <c r="K1239" s="5">
        <v>10040407</v>
      </c>
    </row>
    <row r="1240" spans="1:11" x14ac:dyDescent="0.25">
      <c r="A1240" s="4" t="s">
        <v>11</v>
      </c>
      <c r="B1240" s="4" t="s">
        <v>1672</v>
      </c>
      <c r="C1240" s="4" t="s">
        <v>26</v>
      </c>
      <c r="D1240" s="4">
        <v>6110036005</v>
      </c>
      <c r="E1240" s="4" t="s">
        <v>1273</v>
      </c>
      <c r="F1240" s="4" t="s">
        <v>14</v>
      </c>
      <c r="G1240" s="5">
        <v>8692802</v>
      </c>
      <c r="H1240" s="5">
        <v>592910</v>
      </c>
      <c r="I1240" s="5">
        <v>0</v>
      </c>
      <c r="J1240" s="5" t="s">
        <v>14</v>
      </c>
      <c r="K1240" s="5">
        <v>9285712</v>
      </c>
    </row>
    <row r="1241" spans="1:11" x14ac:dyDescent="0.25">
      <c r="A1241" s="4" t="s">
        <v>11</v>
      </c>
      <c r="B1241" s="4" t="s">
        <v>1672</v>
      </c>
      <c r="C1241" s="4" t="s">
        <v>26</v>
      </c>
      <c r="D1241" s="4">
        <v>6110036010</v>
      </c>
      <c r="E1241" s="4" t="s">
        <v>1832</v>
      </c>
      <c r="F1241" s="4" t="s">
        <v>14</v>
      </c>
      <c r="G1241" s="5">
        <v>754695</v>
      </c>
      <c r="H1241" s="5">
        <v>0</v>
      </c>
      <c r="I1241" s="5">
        <v>0</v>
      </c>
      <c r="J1241" s="5" t="s">
        <v>14</v>
      </c>
      <c r="K1241" s="5">
        <v>754695</v>
      </c>
    </row>
    <row r="1242" spans="1:11" x14ac:dyDescent="0.25">
      <c r="A1242" s="4" t="s">
        <v>11</v>
      </c>
      <c r="B1242" s="4" t="s">
        <v>1672</v>
      </c>
      <c r="C1242" s="4" t="s">
        <v>23</v>
      </c>
      <c r="D1242" s="4">
        <v>61100371</v>
      </c>
      <c r="E1242" s="4" t="s">
        <v>1289</v>
      </c>
      <c r="F1242" s="4" t="s">
        <v>14</v>
      </c>
      <c r="G1242" s="5">
        <v>128520</v>
      </c>
      <c r="H1242" s="5">
        <v>25000</v>
      </c>
      <c r="I1242" s="5">
        <v>0</v>
      </c>
      <c r="J1242" s="5" t="s">
        <v>14</v>
      </c>
      <c r="K1242" s="5">
        <v>153520</v>
      </c>
    </row>
    <row r="1243" spans="1:11" x14ac:dyDescent="0.25">
      <c r="A1243" s="4" t="s">
        <v>11</v>
      </c>
      <c r="B1243" s="4" t="s">
        <v>1672</v>
      </c>
      <c r="C1243" s="4" t="s">
        <v>26</v>
      </c>
      <c r="D1243" s="4">
        <v>6110037105</v>
      </c>
      <c r="E1243" s="4" t="s">
        <v>1291</v>
      </c>
      <c r="F1243" s="4" t="s">
        <v>14</v>
      </c>
      <c r="G1243" s="5">
        <v>0</v>
      </c>
      <c r="H1243" s="5">
        <v>25000</v>
      </c>
      <c r="I1243" s="5">
        <v>0</v>
      </c>
      <c r="J1243" s="5" t="s">
        <v>14</v>
      </c>
      <c r="K1243" s="5">
        <v>25000</v>
      </c>
    </row>
    <row r="1244" spans="1:11" x14ac:dyDescent="0.25">
      <c r="A1244" s="4" t="s">
        <v>11</v>
      </c>
      <c r="B1244" s="4" t="s">
        <v>1672</v>
      </c>
      <c r="C1244" s="4" t="s">
        <v>26</v>
      </c>
      <c r="D1244" s="4">
        <v>6110037110</v>
      </c>
      <c r="E1244" s="4" t="s">
        <v>1293</v>
      </c>
      <c r="F1244" s="4" t="s">
        <v>14</v>
      </c>
      <c r="G1244" s="5">
        <v>108000</v>
      </c>
      <c r="H1244" s="5">
        <v>0</v>
      </c>
      <c r="I1244" s="5">
        <v>0</v>
      </c>
      <c r="J1244" s="5" t="s">
        <v>14</v>
      </c>
      <c r="K1244" s="5">
        <v>108000</v>
      </c>
    </row>
    <row r="1245" spans="1:11" x14ac:dyDescent="0.25">
      <c r="A1245" s="4" t="s">
        <v>11</v>
      </c>
      <c r="B1245" s="4" t="s">
        <v>1672</v>
      </c>
      <c r="C1245" s="4" t="s">
        <v>26</v>
      </c>
      <c r="D1245" s="4">
        <v>6110037150</v>
      </c>
      <c r="E1245" s="4" t="s">
        <v>1297</v>
      </c>
      <c r="F1245" s="4" t="s">
        <v>14</v>
      </c>
      <c r="G1245" s="5">
        <v>20520</v>
      </c>
      <c r="H1245" s="5">
        <v>0</v>
      </c>
      <c r="I1245" s="5">
        <v>0</v>
      </c>
      <c r="J1245" s="5" t="s">
        <v>14</v>
      </c>
      <c r="K1245" s="5">
        <v>20520</v>
      </c>
    </row>
    <row r="1246" spans="1:11" x14ac:dyDescent="0.25">
      <c r="A1246" s="4" t="s">
        <v>11</v>
      </c>
      <c r="B1246" s="4" t="s">
        <v>1672</v>
      </c>
      <c r="C1246" s="4" t="s">
        <v>18</v>
      </c>
      <c r="D1246" s="4">
        <v>6115</v>
      </c>
      <c r="E1246" s="4" t="s">
        <v>862</v>
      </c>
      <c r="F1246" s="4" t="s">
        <v>14</v>
      </c>
      <c r="G1246" s="5">
        <v>15415487517.959999</v>
      </c>
      <c r="H1246" s="5">
        <v>388579092.10000002</v>
      </c>
      <c r="I1246" s="5">
        <v>27445547.289999999</v>
      </c>
      <c r="J1246" s="5" t="s">
        <v>14</v>
      </c>
      <c r="K1246" s="5">
        <v>15776621062.77</v>
      </c>
    </row>
    <row r="1247" spans="1:11" x14ac:dyDescent="0.25">
      <c r="A1247" s="4" t="s">
        <v>11</v>
      </c>
      <c r="B1247" s="4" t="s">
        <v>1672</v>
      </c>
      <c r="C1247" s="4" t="s">
        <v>21</v>
      </c>
      <c r="D1247" s="4">
        <v>611501</v>
      </c>
      <c r="E1247" s="4" t="s">
        <v>1098</v>
      </c>
      <c r="F1247" s="4" t="s">
        <v>14</v>
      </c>
      <c r="G1247" s="5">
        <v>3924408846.7199998</v>
      </c>
      <c r="H1247" s="5">
        <v>283614049.35000002</v>
      </c>
      <c r="I1247" s="5">
        <v>27445547.289999999</v>
      </c>
      <c r="J1247" s="5" t="s">
        <v>14</v>
      </c>
      <c r="K1247" s="5">
        <v>4180577348.7800002</v>
      </c>
    </row>
    <row r="1248" spans="1:11" x14ac:dyDescent="0.25">
      <c r="A1248" s="4" t="s">
        <v>11</v>
      </c>
      <c r="B1248" s="4" t="s">
        <v>1672</v>
      </c>
      <c r="C1248" s="4" t="s">
        <v>23</v>
      </c>
      <c r="D1248" s="4">
        <v>61150101</v>
      </c>
      <c r="E1248" s="4" t="s">
        <v>1679</v>
      </c>
      <c r="F1248" s="4" t="s">
        <v>14</v>
      </c>
      <c r="G1248" s="5">
        <v>3171778774.73</v>
      </c>
      <c r="H1248" s="5">
        <v>239083317</v>
      </c>
      <c r="I1248" s="5">
        <v>25937552</v>
      </c>
      <c r="J1248" s="5" t="s">
        <v>14</v>
      </c>
      <c r="K1248" s="5">
        <v>3384924539.73</v>
      </c>
    </row>
    <row r="1249" spans="1:11" x14ac:dyDescent="0.25">
      <c r="A1249" s="4" t="s">
        <v>11</v>
      </c>
      <c r="B1249" s="4" t="s">
        <v>1672</v>
      </c>
      <c r="C1249" s="4" t="s">
        <v>26</v>
      </c>
      <c r="D1249" s="4">
        <v>6115010105</v>
      </c>
      <c r="E1249" s="4" t="s">
        <v>237</v>
      </c>
      <c r="F1249" s="4" t="s">
        <v>14</v>
      </c>
      <c r="G1249" s="5">
        <v>1828943881.73</v>
      </c>
      <c r="H1249" s="5">
        <v>143265361</v>
      </c>
      <c r="I1249" s="5">
        <v>16533200</v>
      </c>
      <c r="J1249" s="5" t="s">
        <v>14</v>
      </c>
      <c r="K1249" s="5">
        <v>1955676042.73</v>
      </c>
    </row>
    <row r="1250" spans="1:11" x14ac:dyDescent="0.25">
      <c r="A1250" s="4" t="s">
        <v>11</v>
      </c>
      <c r="B1250" s="4" t="s">
        <v>1672</v>
      </c>
      <c r="C1250" s="4" t="s">
        <v>26</v>
      </c>
      <c r="D1250" s="4">
        <v>6115010110</v>
      </c>
      <c r="E1250" s="4" t="s">
        <v>246</v>
      </c>
      <c r="F1250" s="4" t="s">
        <v>14</v>
      </c>
      <c r="G1250" s="5">
        <v>1184876134</v>
      </c>
      <c r="H1250" s="5">
        <v>95817956</v>
      </c>
      <c r="I1250" s="5">
        <v>9404352</v>
      </c>
      <c r="J1250" s="5" t="s">
        <v>14</v>
      </c>
      <c r="K1250" s="5">
        <v>1271289738</v>
      </c>
    </row>
    <row r="1251" spans="1:11" x14ac:dyDescent="0.25">
      <c r="A1251" s="4" t="s">
        <v>11</v>
      </c>
      <c r="B1251" s="4" t="s">
        <v>1672</v>
      </c>
      <c r="C1251" s="4" t="s">
        <v>26</v>
      </c>
      <c r="D1251" s="4">
        <v>6115010130</v>
      </c>
      <c r="E1251" s="4" t="s">
        <v>1683</v>
      </c>
      <c r="F1251" s="4" t="s">
        <v>14</v>
      </c>
      <c r="G1251" s="5">
        <v>157958759</v>
      </c>
      <c r="H1251" s="5">
        <v>0</v>
      </c>
      <c r="I1251" s="5">
        <v>0</v>
      </c>
      <c r="J1251" s="5" t="s">
        <v>14</v>
      </c>
      <c r="K1251" s="5">
        <v>157958759</v>
      </c>
    </row>
    <row r="1252" spans="1:11" x14ac:dyDescent="0.25">
      <c r="A1252" s="4" t="s">
        <v>11</v>
      </c>
      <c r="B1252" s="4" t="s">
        <v>1672</v>
      </c>
      <c r="C1252" s="4" t="s">
        <v>23</v>
      </c>
      <c r="D1252" s="4">
        <v>61150102</v>
      </c>
      <c r="E1252" s="4" t="s">
        <v>1100</v>
      </c>
      <c r="F1252" s="4" t="s">
        <v>14</v>
      </c>
      <c r="G1252" s="5">
        <v>291952999.66000003</v>
      </c>
      <c r="H1252" s="5">
        <v>17448174.350000001</v>
      </c>
      <c r="I1252" s="5">
        <v>1507995.29</v>
      </c>
      <c r="J1252" s="5" t="s">
        <v>14</v>
      </c>
      <c r="K1252" s="5">
        <v>307893178.72000003</v>
      </c>
    </row>
    <row r="1253" spans="1:11" x14ac:dyDescent="0.25">
      <c r="A1253" s="4" t="s">
        <v>11</v>
      </c>
      <c r="B1253" s="4" t="s">
        <v>1672</v>
      </c>
      <c r="C1253" s="4" t="s">
        <v>26</v>
      </c>
      <c r="D1253" s="4">
        <v>6115010205</v>
      </c>
      <c r="E1253" s="4" t="s">
        <v>1100</v>
      </c>
      <c r="F1253" s="4" t="s">
        <v>14</v>
      </c>
      <c r="G1253" s="5">
        <v>291952999.66000003</v>
      </c>
      <c r="H1253" s="5">
        <v>17448174.350000001</v>
      </c>
      <c r="I1253" s="5">
        <v>1507995.29</v>
      </c>
      <c r="J1253" s="5" t="s">
        <v>14</v>
      </c>
      <c r="K1253" s="5">
        <v>307893178.72000003</v>
      </c>
    </row>
    <row r="1254" spans="1:11" x14ac:dyDescent="0.25">
      <c r="A1254" s="4" t="s">
        <v>11</v>
      </c>
      <c r="B1254" s="4" t="s">
        <v>1672</v>
      </c>
      <c r="C1254" s="4" t="s">
        <v>23</v>
      </c>
      <c r="D1254" s="4">
        <v>61150103</v>
      </c>
      <c r="E1254" s="4" t="s">
        <v>1103</v>
      </c>
      <c r="F1254" s="4" t="s">
        <v>14</v>
      </c>
      <c r="G1254" s="5">
        <v>460677072.32999998</v>
      </c>
      <c r="H1254" s="5">
        <v>27082558</v>
      </c>
      <c r="I1254" s="5">
        <v>0</v>
      </c>
      <c r="J1254" s="5" t="s">
        <v>14</v>
      </c>
      <c r="K1254" s="5">
        <v>487759630.32999998</v>
      </c>
    </row>
    <row r="1255" spans="1:11" x14ac:dyDescent="0.25">
      <c r="A1255" s="4" t="s">
        <v>11</v>
      </c>
      <c r="B1255" s="4" t="s">
        <v>1672</v>
      </c>
      <c r="C1255" s="4" t="s">
        <v>26</v>
      </c>
      <c r="D1255" s="4">
        <v>6115010305</v>
      </c>
      <c r="E1255" s="4" t="s">
        <v>1105</v>
      </c>
      <c r="F1255" s="4" t="s">
        <v>14</v>
      </c>
      <c r="G1255" s="5">
        <v>42891</v>
      </c>
      <c r="H1255" s="5">
        <v>16900</v>
      </c>
      <c r="I1255" s="5">
        <v>0</v>
      </c>
      <c r="J1255" s="5" t="s">
        <v>14</v>
      </c>
      <c r="K1255" s="5">
        <v>59791</v>
      </c>
    </row>
    <row r="1256" spans="1:11" x14ac:dyDescent="0.25">
      <c r="A1256" s="4" t="s">
        <v>11</v>
      </c>
      <c r="B1256" s="4" t="s">
        <v>1672</v>
      </c>
      <c r="C1256" s="4" t="s">
        <v>26</v>
      </c>
      <c r="D1256" s="4">
        <v>6115010310</v>
      </c>
      <c r="E1256" s="4" t="s">
        <v>1107</v>
      </c>
      <c r="F1256" s="4" t="s">
        <v>14</v>
      </c>
      <c r="G1256" s="5">
        <v>351666455.30000001</v>
      </c>
      <c r="H1256" s="5">
        <v>23643220</v>
      </c>
      <c r="I1256" s="5">
        <v>0</v>
      </c>
      <c r="J1256" s="5" t="s">
        <v>14</v>
      </c>
      <c r="K1256" s="5">
        <v>375309675.30000001</v>
      </c>
    </row>
    <row r="1257" spans="1:11" x14ac:dyDescent="0.25">
      <c r="A1257" s="4" t="s">
        <v>11</v>
      </c>
      <c r="B1257" s="4" t="s">
        <v>1672</v>
      </c>
      <c r="C1257" s="4" t="s">
        <v>26</v>
      </c>
      <c r="D1257" s="4">
        <v>6115010315</v>
      </c>
      <c r="E1257" s="4" t="s">
        <v>264</v>
      </c>
      <c r="F1257" s="4" t="s">
        <v>14</v>
      </c>
      <c r="G1257" s="5">
        <v>19162497</v>
      </c>
      <c r="H1257" s="5">
        <v>1148944</v>
      </c>
      <c r="I1257" s="5">
        <v>0</v>
      </c>
      <c r="J1257" s="5" t="s">
        <v>14</v>
      </c>
      <c r="K1257" s="5">
        <v>20311441</v>
      </c>
    </row>
    <row r="1258" spans="1:11" x14ac:dyDescent="0.25">
      <c r="A1258" s="4" t="s">
        <v>11</v>
      </c>
      <c r="B1258" s="4" t="s">
        <v>1672</v>
      </c>
      <c r="C1258" s="4" t="s">
        <v>26</v>
      </c>
      <c r="D1258" s="4">
        <v>6115010325</v>
      </c>
      <c r="E1258" s="4" t="s">
        <v>258</v>
      </c>
      <c r="F1258" s="4" t="s">
        <v>14</v>
      </c>
      <c r="G1258" s="5">
        <v>5054603.93</v>
      </c>
      <c r="H1258" s="5">
        <v>698893</v>
      </c>
      <c r="I1258" s="5">
        <v>0</v>
      </c>
      <c r="J1258" s="5" t="s">
        <v>14</v>
      </c>
      <c r="K1258" s="5">
        <v>5753496.9299999997</v>
      </c>
    </row>
    <row r="1259" spans="1:11" x14ac:dyDescent="0.25">
      <c r="A1259" s="4" t="s">
        <v>11</v>
      </c>
      <c r="B1259" s="4" t="s">
        <v>1672</v>
      </c>
      <c r="C1259" s="4" t="s">
        <v>26</v>
      </c>
      <c r="D1259" s="4">
        <v>6115010330</v>
      </c>
      <c r="E1259" s="4" t="s">
        <v>1111</v>
      </c>
      <c r="F1259" s="4" t="s">
        <v>14</v>
      </c>
      <c r="G1259" s="5">
        <v>17750271.170000002</v>
      </c>
      <c r="H1259" s="5">
        <v>240000</v>
      </c>
      <c r="I1259" s="5">
        <v>0</v>
      </c>
      <c r="J1259" s="5" t="s">
        <v>14</v>
      </c>
      <c r="K1259" s="5">
        <v>17990271.170000002</v>
      </c>
    </row>
    <row r="1260" spans="1:11" x14ac:dyDescent="0.25">
      <c r="A1260" s="4" t="s">
        <v>11</v>
      </c>
      <c r="B1260" s="4" t="s">
        <v>1672</v>
      </c>
      <c r="C1260" s="4" t="s">
        <v>26</v>
      </c>
      <c r="D1260" s="4">
        <v>6115010335</v>
      </c>
      <c r="E1260" s="4" t="s">
        <v>1113</v>
      </c>
      <c r="F1260" s="4" t="s">
        <v>14</v>
      </c>
      <c r="G1260" s="5">
        <v>41708774.159999996</v>
      </c>
      <c r="H1260" s="5">
        <v>508446</v>
      </c>
      <c r="I1260" s="5">
        <v>0</v>
      </c>
      <c r="J1260" s="5" t="s">
        <v>14</v>
      </c>
      <c r="K1260" s="5">
        <v>42217220.159999996</v>
      </c>
    </row>
    <row r="1261" spans="1:11" x14ac:dyDescent="0.25">
      <c r="A1261" s="4" t="s">
        <v>11</v>
      </c>
      <c r="B1261" s="4" t="s">
        <v>1672</v>
      </c>
      <c r="C1261" s="4" t="s">
        <v>26</v>
      </c>
      <c r="D1261" s="4">
        <v>6115010345</v>
      </c>
      <c r="E1261" s="4" t="s">
        <v>1115</v>
      </c>
      <c r="F1261" s="4" t="s">
        <v>14</v>
      </c>
      <c r="G1261" s="5">
        <v>8149</v>
      </c>
      <c r="H1261" s="5">
        <v>0</v>
      </c>
      <c r="I1261" s="5">
        <v>0</v>
      </c>
      <c r="J1261" s="5" t="s">
        <v>14</v>
      </c>
      <c r="K1261" s="5">
        <v>8149</v>
      </c>
    </row>
    <row r="1262" spans="1:11" x14ac:dyDescent="0.25">
      <c r="A1262" s="4" t="s">
        <v>11</v>
      </c>
      <c r="B1262" s="4" t="s">
        <v>1672</v>
      </c>
      <c r="C1262" s="4" t="s">
        <v>26</v>
      </c>
      <c r="D1262" s="4">
        <v>6115010350</v>
      </c>
      <c r="E1262" s="4" t="s">
        <v>1117</v>
      </c>
      <c r="F1262" s="4" t="s">
        <v>14</v>
      </c>
      <c r="G1262" s="5">
        <v>12099955.710000001</v>
      </c>
      <c r="H1262" s="5">
        <v>645678</v>
      </c>
      <c r="I1262" s="5">
        <v>0</v>
      </c>
      <c r="J1262" s="5" t="s">
        <v>14</v>
      </c>
      <c r="K1262" s="5">
        <v>12745633.710000001</v>
      </c>
    </row>
    <row r="1263" spans="1:11" x14ac:dyDescent="0.25">
      <c r="A1263" s="4" t="s">
        <v>11</v>
      </c>
      <c r="B1263" s="4" t="s">
        <v>1672</v>
      </c>
      <c r="C1263" s="4" t="s">
        <v>26</v>
      </c>
      <c r="D1263" s="4">
        <v>6115010355</v>
      </c>
      <c r="E1263" s="4" t="s">
        <v>1119</v>
      </c>
      <c r="F1263" s="4" t="s">
        <v>14</v>
      </c>
      <c r="G1263" s="5">
        <v>2643848</v>
      </c>
      <c r="H1263" s="5">
        <v>82678</v>
      </c>
      <c r="I1263" s="5">
        <v>0</v>
      </c>
      <c r="J1263" s="5" t="s">
        <v>14</v>
      </c>
      <c r="K1263" s="5">
        <v>2726526</v>
      </c>
    </row>
    <row r="1264" spans="1:11" x14ac:dyDescent="0.25">
      <c r="A1264" s="4" t="s">
        <v>11</v>
      </c>
      <c r="B1264" s="4" t="s">
        <v>1672</v>
      </c>
      <c r="C1264" s="4" t="s">
        <v>26</v>
      </c>
      <c r="D1264" s="4">
        <v>6115010365</v>
      </c>
      <c r="E1264" s="4" t="s">
        <v>1121</v>
      </c>
      <c r="F1264" s="4" t="s">
        <v>14</v>
      </c>
      <c r="G1264" s="5">
        <v>189849.06</v>
      </c>
      <c r="H1264" s="5">
        <v>23995</v>
      </c>
      <c r="I1264" s="5">
        <v>0</v>
      </c>
      <c r="J1264" s="5" t="s">
        <v>14</v>
      </c>
      <c r="K1264" s="5">
        <v>213844.06</v>
      </c>
    </row>
    <row r="1265" spans="1:11" x14ac:dyDescent="0.25">
      <c r="A1265" s="4" t="s">
        <v>11</v>
      </c>
      <c r="B1265" s="4" t="s">
        <v>1672</v>
      </c>
      <c r="C1265" s="4" t="s">
        <v>26</v>
      </c>
      <c r="D1265" s="4">
        <v>6115010370</v>
      </c>
      <c r="E1265" s="4" t="s">
        <v>1692</v>
      </c>
      <c r="F1265" s="4" t="s">
        <v>14</v>
      </c>
      <c r="G1265" s="5">
        <v>2604000</v>
      </c>
      <c r="H1265" s="5">
        <v>0</v>
      </c>
      <c r="I1265" s="5">
        <v>0</v>
      </c>
      <c r="J1265" s="5" t="s">
        <v>14</v>
      </c>
      <c r="K1265" s="5">
        <v>2604000</v>
      </c>
    </row>
    <row r="1266" spans="1:11" x14ac:dyDescent="0.25">
      <c r="A1266" s="4" t="s">
        <v>11</v>
      </c>
      <c r="B1266" s="4" t="s">
        <v>1672</v>
      </c>
      <c r="C1266" s="4" t="s">
        <v>26</v>
      </c>
      <c r="D1266" s="4">
        <v>6115010375</v>
      </c>
      <c r="E1266" s="4" t="s">
        <v>1123</v>
      </c>
      <c r="F1266" s="4" t="s">
        <v>14</v>
      </c>
      <c r="G1266" s="5">
        <v>7745778</v>
      </c>
      <c r="H1266" s="5">
        <v>73804</v>
      </c>
      <c r="I1266" s="5">
        <v>0</v>
      </c>
      <c r="J1266" s="5" t="s">
        <v>14</v>
      </c>
      <c r="K1266" s="5">
        <v>7819582</v>
      </c>
    </row>
    <row r="1267" spans="1:11" x14ac:dyDescent="0.25">
      <c r="A1267" s="4" t="s">
        <v>11</v>
      </c>
      <c r="B1267" s="4" t="s">
        <v>1672</v>
      </c>
      <c r="C1267" s="4" t="s">
        <v>21</v>
      </c>
      <c r="D1267" s="4">
        <v>611502</v>
      </c>
      <c r="E1267" s="4" t="s">
        <v>1125</v>
      </c>
      <c r="F1267" s="4" t="s">
        <v>14</v>
      </c>
      <c r="G1267" s="5">
        <v>10238823343.85</v>
      </c>
      <c r="H1267" s="5">
        <v>18847516.170000002</v>
      </c>
      <c r="I1267" s="5">
        <v>0</v>
      </c>
      <c r="J1267" s="5" t="s">
        <v>14</v>
      </c>
      <c r="K1267" s="5">
        <v>10257670860.02</v>
      </c>
    </row>
    <row r="1268" spans="1:11" x14ac:dyDescent="0.25">
      <c r="A1268" s="4" t="s">
        <v>11</v>
      </c>
      <c r="B1268" s="4" t="s">
        <v>1672</v>
      </c>
      <c r="C1268" s="4" t="s">
        <v>23</v>
      </c>
      <c r="D1268" s="4">
        <v>61150205</v>
      </c>
      <c r="E1268" s="4" t="s">
        <v>1127</v>
      </c>
      <c r="F1268" s="4" t="s">
        <v>14</v>
      </c>
      <c r="G1268" s="5">
        <v>9260272878.8500004</v>
      </c>
      <c r="H1268" s="5">
        <v>2256901.17</v>
      </c>
      <c r="I1268" s="5">
        <v>0</v>
      </c>
      <c r="J1268" s="5" t="s">
        <v>14</v>
      </c>
      <c r="K1268" s="5">
        <v>9262529780.0200005</v>
      </c>
    </row>
    <row r="1269" spans="1:11" x14ac:dyDescent="0.25">
      <c r="A1269" s="4" t="s">
        <v>11</v>
      </c>
      <c r="B1269" s="4" t="s">
        <v>1672</v>
      </c>
      <c r="C1269" s="4" t="s">
        <v>26</v>
      </c>
      <c r="D1269" s="4">
        <v>6115020501</v>
      </c>
      <c r="E1269" s="4" t="s">
        <v>1129</v>
      </c>
      <c r="F1269" s="4" t="s">
        <v>14</v>
      </c>
      <c r="G1269" s="5">
        <v>1867928538</v>
      </c>
      <c r="H1269" s="5">
        <v>0</v>
      </c>
      <c r="I1269" s="5">
        <v>0</v>
      </c>
      <c r="J1269" s="5" t="s">
        <v>14</v>
      </c>
      <c r="K1269" s="5">
        <v>1867928538</v>
      </c>
    </row>
    <row r="1270" spans="1:11" x14ac:dyDescent="0.25">
      <c r="A1270" s="4" t="s">
        <v>11</v>
      </c>
      <c r="B1270" s="4" t="s">
        <v>1672</v>
      </c>
      <c r="C1270" s="4" t="s">
        <v>26</v>
      </c>
      <c r="D1270" s="4">
        <v>6115020502</v>
      </c>
      <c r="E1270" s="4" t="s">
        <v>1131</v>
      </c>
      <c r="F1270" s="4" t="s">
        <v>14</v>
      </c>
      <c r="G1270" s="5">
        <v>3309423478</v>
      </c>
      <c r="H1270" s="5">
        <v>820000</v>
      </c>
      <c r="I1270" s="5">
        <v>0</v>
      </c>
      <c r="J1270" s="5" t="s">
        <v>14</v>
      </c>
      <c r="K1270" s="5">
        <v>3310243478</v>
      </c>
    </row>
    <row r="1271" spans="1:11" x14ac:dyDescent="0.25">
      <c r="A1271" s="4" t="s">
        <v>11</v>
      </c>
      <c r="B1271" s="4" t="s">
        <v>1672</v>
      </c>
      <c r="C1271" s="4" t="s">
        <v>26</v>
      </c>
      <c r="D1271" s="4">
        <v>6115020504</v>
      </c>
      <c r="E1271" s="4" t="s">
        <v>1133</v>
      </c>
      <c r="F1271" s="4" t="s">
        <v>14</v>
      </c>
      <c r="G1271" s="5">
        <v>52227501</v>
      </c>
      <c r="H1271" s="5">
        <v>0</v>
      </c>
      <c r="I1271" s="5">
        <v>0</v>
      </c>
      <c r="J1271" s="5" t="s">
        <v>14</v>
      </c>
      <c r="K1271" s="5">
        <v>52227501</v>
      </c>
    </row>
    <row r="1272" spans="1:11" x14ac:dyDescent="0.25">
      <c r="A1272" s="4" t="s">
        <v>11</v>
      </c>
      <c r="B1272" s="4" t="s">
        <v>1672</v>
      </c>
      <c r="C1272" s="4" t="s">
        <v>26</v>
      </c>
      <c r="D1272" s="4">
        <v>6115020505</v>
      </c>
      <c r="E1272" s="4" t="s">
        <v>1416</v>
      </c>
      <c r="F1272" s="4" t="s">
        <v>14</v>
      </c>
      <c r="G1272" s="5">
        <v>6768872</v>
      </c>
      <c r="H1272" s="5">
        <v>0</v>
      </c>
      <c r="I1272" s="5">
        <v>0</v>
      </c>
      <c r="J1272" s="5" t="s">
        <v>14</v>
      </c>
      <c r="K1272" s="5">
        <v>6768872</v>
      </c>
    </row>
    <row r="1273" spans="1:11" x14ac:dyDescent="0.25">
      <c r="A1273" s="4" t="s">
        <v>11</v>
      </c>
      <c r="B1273" s="4" t="s">
        <v>1672</v>
      </c>
      <c r="C1273" s="4" t="s">
        <v>26</v>
      </c>
      <c r="D1273" s="4">
        <v>6115020510</v>
      </c>
      <c r="E1273" s="4" t="s">
        <v>1315</v>
      </c>
      <c r="F1273" s="4" t="s">
        <v>14</v>
      </c>
      <c r="G1273" s="5">
        <v>195467111</v>
      </c>
      <c r="H1273" s="5">
        <v>74870</v>
      </c>
      <c r="I1273" s="5">
        <v>0</v>
      </c>
      <c r="J1273" s="5" t="s">
        <v>14</v>
      </c>
      <c r="K1273" s="5">
        <v>195541981</v>
      </c>
    </row>
    <row r="1274" spans="1:11" x14ac:dyDescent="0.25">
      <c r="A1274" s="4" t="s">
        <v>11</v>
      </c>
      <c r="B1274" s="4" t="s">
        <v>1672</v>
      </c>
      <c r="C1274" s="4" t="s">
        <v>26</v>
      </c>
      <c r="D1274" s="4">
        <v>6115020511</v>
      </c>
      <c r="E1274" s="4" t="s">
        <v>1135</v>
      </c>
      <c r="F1274" s="4" t="s">
        <v>14</v>
      </c>
      <c r="G1274" s="5">
        <v>418969855</v>
      </c>
      <c r="H1274" s="5">
        <v>124783</v>
      </c>
      <c r="I1274" s="5">
        <v>0</v>
      </c>
      <c r="J1274" s="5" t="s">
        <v>14</v>
      </c>
      <c r="K1274" s="5">
        <v>419094638</v>
      </c>
    </row>
    <row r="1275" spans="1:11" x14ac:dyDescent="0.25">
      <c r="A1275" s="4" t="s">
        <v>11</v>
      </c>
      <c r="B1275" s="4" t="s">
        <v>1672</v>
      </c>
      <c r="C1275" s="4" t="s">
        <v>26</v>
      </c>
      <c r="D1275" s="4">
        <v>6115020512</v>
      </c>
      <c r="E1275" s="4" t="s">
        <v>1318</v>
      </c>
      <c r="F1275" s="4" t="s">
        <v>14</v>
      </c>
      <c r="G1275" s="5">
        <v>259958561</v>
      </c>
      <c r="H1275" s="5">
        <v>561522</v>
      </c>
      <c r="I1275" s="5">
        <v>0</v>
      </c>
      <c r="J1275" s="5" t="s">
        <v>14</v>
      </c>
      <c r="K1275" s="5">
        <v>260520083</v>
      </c>
    </row>
    <row r="1276" spans="1:11" x14ac:dyDescent="0.25">
      <c r="A1276" s="4" t="s">
        <v>11</v>
      </c>
      <c r="B1276" s="4" t="s">
        <v>1672</v>
      </c>
      <c r="C1276" s="4" t="s">
        <v>26</v>
      </c>
      <c r="D1276" s="4">
        <v>6115020514</v>
      </c>
      <c r="E1276" s="4" t="s">
        <v>224</v>
      </c>
      <c r="F1276" s="4" t="s">
        <v>14</v>
      </c>
      <c r="G1276" s="5">
        <v>33687893</v>
      </c>
      <c r="H1276" s="5">
        <v>0</v>
      </c>
      <c r="I1276" s="5">
        <v>0</v>
      </c>
      <c r="J1276" s="5" t="s">
        <v>14</v>
      </c>
      <c r="K1276" s="5">
        <v>33687893</v>
      </c>
    </row>
    <row r="1277" spans="1:11" x14ac:dyDescent="0.25">
      <c r="A1277" s="4" t="s">
        <v>11</v>
      </c>
      <c r="B1277" s="4" t="s">
        <v>1672</v>
      </c>
      <c r="C1277" s="4" t="s">
        <v>26</v>
      </c>
      <c r="D1277" s="4">
        <v>6115020515</v>
      </c>
      <c r="E1277" s="4" t="s">
        <v>1422</v>
      </c>
      <c r="F1277" s="4" t="s">
        <v>14</v>
      </c>
      <c r="G1277" s="5">
        <v>32615269</v>
      </c>
      <c r="H1277" s="5">
        <v>0</v>
      </c>
      <c r="I1277" s="5">
        <v>0</v>
      </c>
      <c r="J1277" s="5" t="s">
        <v>14</v>
      </c>
      <c r="K1277" s="5">
        <v>32615269</v>
      </c>
    </row>
    <row r="1278" spans="1:11" x14ac:dyDescent="0.25">
      <c r="A1278" s="4" t="s">
        <v>11</v>
      </c>
      <c r="B1278" s="4" t="s">
        <v>1672</v>
      </c>
      <c r="C1278" s="4" t="s">
        <v>26</v>
      </c>
      <c r="D1278" s="4">
        <v>6115020516</v>
      </c>
      <c r="E1278" s="4" t="s">
        <v>1138</v>
      </c>
      <c r="F1278" s="4" t="s">
        <v>14</v>
      </c>
      <c r="G1278" s="5">
        <v>88047000</v>
      </c>
      <c r="H1278" s="5">
        <v>0</v>
      </c>
      <c r="I1278" s="5">
        <v>0</v>
      </c>
      <c r="J1278" s="5" t="s">
        <v>14</v>
      </c>
      <c r="K1278" s="5">
        <v>88047000</v>
      </c>
    </row>
    <row r="1279" spans="1:11" x14ac:dyDescent="0.25">
      <c r="A1279" s="4" t="s">
        <v>11</v>
      </c>
      <c r="B1279" s="4" t="s">
        <v>1672</v>
      </c>
      <c r="C1279" s="4" t="s">
        <v>26</v>
      </c>
      <c r="D1279" s="4">
        <v>6115020518</v>
      </c>
      <c r="E1279" s="4" t="s">
        <v>1425</v>
      </c>
      <c r="F1279" s="4" t="s">
        <v>14</v>
      </c>
      <c r="G1279" s="5">
        <v>36516000</v>
      </c>
      <c r="H1279" s="5">
        <v>0</v>
      </c>
      <c r="I1279" s="5">
        <v>0</v>
      </c>
      <c r="J1279" s="5" t="s">
        <v>14</v>
      </c>
      <c r="K1279" s="5">
        <v>36516000</v>
      </c>
    </row>
    <row r="1280" spans="1:11" x14ac:dyDescent="0.25">
      <c r="A1280" s="4" t="s">
        <v>11</v>
      </c>
      <c r="B1280" s="4" t="s">
        <v>1672</v>
      </c>
      <c r="C1280" s="4" t="s">
        <v>26</v>
      </c>
      <c r="D1280" s="4">
        <v>6115020520</v>
      </c>
      <c r="E1280" s="4" t="s">
        <v>1140</v>
      </c>
      <c r="F1280" s="4" t="s">
        <v>14</v>
      </c>
      <c r="G1280" s="5">
        <v>56766</v>
      </c>
      <c r="H1280" s="5">
        <v>0</v>
      </c>
      <c r="I1280" s="5">
        <v>0</v>
      </c>
      <c r="J1280" s="5" t="s">
        <v>14</v>
      </c>
      <c r="K1280" s="5">
        <v>56766</v>
      </c>
    </row>
    <row r="1281" spans="1:11" x14ac:dyDescent="0.25">
      <c r="A1281" s="4" t="s">
        <v>11</v>
      </c>
      <c r="B1281" s="4" t="s">
        <v>1672</v>
      </c>
      <c r="C1281" s="4" t="s">
        <v>26</v>
      </c>
      <c r="D1281" s="4">
        <v>6115020530</v>
      </c>
      <c r="E1281" s="4" t="s">
        <v>1142</v>
      </c>
      <c r="F1281" s="4" t="s">
        <v>14</v>
      </c>
      <c r="G1281" s="5">
        <v>375002372</v>
      </c>
      <c r="H1281" s="5">
        <v>0</v>
      </c>
      <c r="I1281" s="5">
        <v>0</v>
      </c>
      <c r="J1281" s="5" t="s">
        <v>14</v>
      </c>
      <c r="K1281" s="5">
        <v>375002372</v>
      </c>
    </row>
    <row r="1282" spans="1:11" x14ac:dyDescent="0.25">
      <c r="A1282" s="4" t="s">
        <v>11</v>
      </c>
      <c r="B1282" s="4" t="s">
        <v>1672</v>
      </c>
      <c r="C1282" s="4" t="s">
        <v>26</v>
      </c>
      <c r="D1282" s="4">
        <v>6115020531</v>
      </c>
      <c r="E1282" s="4" t="s">
        <v>673</v>
      </c>
      <c r="F1282" s="4" t="s">
        <v>14</v>
      </c>
      <c r="G1282" s="5">
        <v>45018276</v>
      </c>
      <c r="H1282" s="5">
        <v>0</v>
      </c>
      <c r="I1282" s="5">
        <v>0</v>
      </c>
      <c r="J1282" s="5" t="s">
        <v>14</v>
      </c>
      <c r="K1282" s="5">
        <v>45018276</v>
      </c>
    </row>
    <row r="1283" spans="1:11" x14ac:dyDescent="0.25">
      <c r="A1283" s="4" t="s">
        <v>11</v>
      </c>
      <c r="B1283" s="4" t="s">
        <v>1672</v>
      </c>
      <c r="C1283" s="4" t="s">
        <v>26</v>
      </c>
      <c r="D1283" s="4">
        <v>6115020532</v>
      </c>
      <c r="E1283" s="4" t="s">
        <v>675</v>
      </c>
      <c r="F1283" s="4" t="s">
        <v>14</v>
      </c>
      <c r="G1283" s="5">
        <v>379883973</v>
      </c>
      <c r="H1283" s="5">
        <v>0</v>
      </c>
      <c r="I1283" s="5">
        <v>0</v>
      </c>
      <c r="J1283" s="5" t="s">
        <v>14</v>
      </c>
      <c r="K1283" s="5">
        <v>379883973</v>
      </c>
    </row>
    <row r="1284" spans="1:11" x14ac:dyDescent="0.25">
      <c r="A1284" s="4" t="s">
        <v>11</v>
      </c>
      <c r="B1284" s="4" t="s">
        <v>1672</v>
      </c>
      <c r="C1284" s="4" t="s">
        <v>26</v>
      </c>
      <c r="D1284" s="4">
        <v>6115020533</v>
      </c>
      <c r="E1284" s="4" t="s">
        <v>1146</v>
      </c>
      <c r="F1284" s="4" t="s">
        <v>14</v>
      </c>
      <c r="G1284" s="5">
        <v>269236581.19999999</v>
      </c>
      <c r="H1284" s="5">
        <v>0</v>
      </c>
      <c r="I1284" s="5">
        <v>0</v>
      </c>
      <c r="J1284" s="5" t="s">
        <v>14</v>
      </c>
      <c r="K1284" s="5">
        <v>269236581.19999999</v>
      </c>
    </row>
    <row r="1285" spans="1:11" x14ac:dyDescent="0.25">
      <c r="A1285" s="4" t="s">
        <v>11</v>
      </c>
      <c r="B1285" s="4" t="s">
        <v>1672</v>
      </c>
      <c r="C1285" s="4" t="s">
        <v>26</v>
      </c>
      <c r="D1285" s="4">
        <v>6115020540</v>
      </c>
      <c r="E1285" s="4" t="s">
        <v>1148</v>
      </c>
      <c r="F1285" s="4" t="s">
        <v>14</v>
      </c>
      <c r="G1285" s="5">
        <v>512487333</v>
      </c>
      <c r="H1285" s="5">
        <v>134400</v>
      </c>
      <c r="I1285" s="5">
        <v>0</v>
      </c>
      <c r="J1285" s="5" t="s">
        <v>14</v>
      </c>
      <c r="K1285" s="5">
        <v>512621733</v>
      </c>
    </row>
    <row r="1286" spans="1:11" x14ac:dyDescent="0.25">
      <c r="A1286" s="4" t="s">
        <v>11</v>
      </c>
      <c r="B1286" s="4" t="s">
        <v>1672</v>
      </c>
      <c r="C1286" s="4" t="s">
        <v>26</v>
      </c>
      <c r="D1286" s="4">
        <v>6115020541</v>
      </c>
      <c r="E1286" s="4" t="s">
        <v>1150</v>
      </c>
      <c r="F1286" s="4" t="s">
        <v>14</v>
      </c>
      <c r="G1286" s="5">
        <v>711946752</v>
      </c>
      <c r="H1286" s="5">
        <v>189741</v>
      </c>
      <c r="I1286" s="5">
        <v>0</v>
      </c>
      <c r="J1286" s="5" t="s">
        <v>14</v>
      </c>
      <c r="K1286" s="5">
        <v>712136493</v>
      </c>
    </row>
    <row r="1287" spans="1:11" x14ac:dyDescent="0.25">
      <c r="A1287" s="4" t="s">
        <v>11</v>
      </c>
      <c r="B1287" s="4" t="s">
        <v>1672</v>
      </c>
      <c r="C1287" s="4" t="s">
        <v>26</v>
      </c>
      <c r="D1287" s="4">
        <v>6115020542</v>
      </c>
      <c r="E1287" s="4" t="s">
        <v>1152</v>
      </c>
      <c r="F1287" s="4" t="s">
        <v>14</v>
      </c>
      <c r="G1287" s="5">
        <v>135186304</v>
      </c>
      <c r="H1287" s="5">
        <v>38517</v>
      </c>
      <c r="I1287" s="5">
        <v>0</v>
      </c>
      <c r="J1287" s="5" t="s">
        <v>14</v>
      </c>
      <c r="K1287" s="5">
        <v>135224821</v>
      </c>
    </row>
    <row r="1288" spans="1:11" x14ac:dyDescent="0.25">
      <c r="A1288" s="4" t="s">
        <v>11</v>
      </c>
      <c r="B1288" s="4" t="s">
        <v>1672</v>
      </c>
      <c r="C1288" s="4" t="s">
        <v>26</v>
      </c>
      <c r="D1288" s="4">
        <v>6115020550</v>
      </c>
      <c r="E1288" s="4" t="s">
        <v>1154</v>
      </c>
      <c r="F1288" s="4" t="s">
        <v>14</v>
      </c>
      <c r="G1288" s="5">
        <v>235069180.65000001</v>
      </c>
      <c r="H1288" s="5">
        <v>234009.17</v>
      </c>
      <c r="I1288" s="5">
        <v>0</v>
      </c>
      <c r="J1288" s="5" t="s">
        <v>14</v>
      </c>
      <c r="K1288" s="5">
        <v>235303189.81999999</v>
      </c>
    </row>
    <row r="1289" spans="1:11" x14ac:dyDescent="0.25">
      <c r="A1289" s="4" t="s">
        <v>11</v>
      </c>
      <c r="B1289" s="4" t="s">
        <v>1672</v>
      </c>
      <c r="C1289" s="4" t="s">
        <v>26</v>
      </c>
      <c r="D1289" s="4">
        <v>6115020551</v>
      </c>
      <c r="E1289" s="4" t="s">
        <v>1156</v>
      </c>
      <c r="F1289" s="4" t="s">
        <v>14</v>
      </c>
      <c r="G1289" s="5">
        <v>176841632</v>
      </c>
      <c r="H1289" s="5">
        <v>47435</v>
      </c>
      <c r="I1289" s="5">
        <v>0</v>
      </c>
      <c r="J1289" s="5" t="s">
        <v>14</v>
      </c>
      <c r="K1289" s="5">
        <v>176889067</v>
      </c>
    </row>
    <row r="1290" spans="1:11" x14ac:dyDescent="0.25">
      <c r="A1290" s="4" t="s">
        <v>11</v>
      </c>
      <c r="B1290" s="4" t="s">
        <v>1672</v>
      </c>
      <c r="C1290" s="4" t="s">
        <v>26</v>
      </c>
      <c r="D1290" s="4">
        <v>6115020552</v>
      </c>
      <c r="E1290" s="4" t="s">
        <v>1158</v>
      </c>
      <c r="F1290" s="4" t="s">
        <v>14</v>
      </c>
      <c r="G1290" s="5">
        <v>117933631</v>
      </c>
      <c r="H1290" s="5">
        <v>31624</v>
      </c>
      <c r="I1290" s="5">
        <v>0</v>
      </c>
      <c r="J1290" s="5" t="s">
        <v>14</v>
      </c>
      <c r="K1290" s="5">
        <v>117965255</v>
      </c>
    </row>
    <row r="1291" spans="1:11" x14ac:dyDescent="0.25">
      <c r="A1291" s="4" t="s">
        <v>11</v>
      </c>
      <c r="B1291" s="4" t="s">
        <v>1672</v>
      </c>
      <c r="C1291" s="4" t="s">
        <v>23</v>
      </c>
      <c r="D1291" s="4">
        <v>61150215</v>
      </c>
      <c r="E1291" s="4" t="s">
        <v>1445</v>
      </c>
      <c r="F1291" s="4" t="s">
        <v>14</v>
      </c>
      <c r="G1291" s="5">
        <v>978550465</v>
      </c>
      <c r="H1291" s="5">
        <v>16590615</v>
      </c>
      <c r="I1291" s="5">
        <v>0</v>
      </c>
      <c r="J1291" s="5" t="s">
        <v>14</v>
      </c>
      <c r="K1291" s="5">
        <v>995141080</v>
      </c>
    </row>
    <row r="1292" spans="1:11" x14ac:dyDescent="0.25">
      <c r="A1292" s="4" t="s">
        <v>11</v>
      </c>
      <c r="B1292" s="4" t="s">
        <v>1672</v>
      </c>
      <c r="C1292" s="4" t="s">
        <v>26</v>
      </c>
      <c r="D1292" s="4">
        <v>6115021505</v>
      </c>
      <c r="E1292" s="4" t="s">
        <v>554</v>
      </c>
      <c r="F1292" s="4" t="s">
        <v>14</v>
      </c>
      <c r="G1292" s="5">
        <v>978425465</v>
      </c>
      <c r="H1292" s="5">
        <v>16590615</v>
      </c>
      <c r="I1292" s="5">
        <v>0</v>
      </c>
      <c r="J1292" s="5" t="s">
        <v>14</v>
      </c>
      <c r="K1292" s="5">
        <v>995016080</v>
      </c>
    </row>
    <row r="1293" spans="1:11" x14ac:dyDescent="0.25">
      <c r="A1293" s="4" t="s">
        <v>11</v>
      </c>
      <c r="B1293" s="4" t="s">
        <v>1672</v>
      </c>
      <c r="C1293" s="4" t="s">
        <v>26</v>
      </c>
      <c r="D1293" s="4">
        <v>6115021510</v>
      </c>
      <c r="E1293" s="4" t="s">
        <v>1447</v>
      </c>
      <c r="F1293" s="4" t="s">
        <v>14</v>
      </c>
      <c r="G1293" s="5">
        <v>125000</v>
      </c>
      <c r="H1293" s="5">
        <v>0</v>
      </c>
      <c r="I1293" s="5">
        <v>0</v>
      </c>
      <c r="J1293" s="5" t="s">
        <v>14</v>
      </c>
      <c r="K1293" s="5">
        <v>125000</v>
      </c>
    </row>
    <row r="1294" spans="1:11" x14ac:dyDescent="0.25">
      <c r="A1294" s="4" t="s">
        <v>11</v>
      </c>
      <c r="B1294" s="4" t="s">
        <v>1672</v>
      </c>
      <c r="C1294" s="4" t="s">
        <v>21</v>
      </c>
      <c r="D1294" s="4">
        <v>611503</v>
      </c>
      <c r="E1294" s="4" t="s">
        <v>1720</v>
      </c>
      <c r="F1294" s="4" t="s">
        <v>14</v>
      </c>
      <c r="G1294" s="5">
        <v>1252255327.3900001</v>
      </c>
      <c r="H1294" s="5">
        <v>86117526.579999998</v>
      </c>
      <c r="I1294" s="5">
        <v>0</v>
      </c>
      <c r="J1294" s="5" t="s">
        <v>14</v>
      </c>
      <c r="K1294" s="5">
        <v>1338372853.97</v>
      </c>
    </row>
    <row r="1295" spans="1:11" x14ac:dyDescent="0.25">
      <c r="A1295" s="4" t="s">
        <v>11</v>
      </c>
      <c r="B1295" s="4" t="s">
        <v>1672</v>
      </c>
      <c r="C1295" s="4" t="s">
        <v>23</v>
      </c>
      <c r="D1295" s="4">
        <v>61150315</v>
      </c>
      <c r="E1295" s="4" t="s">
        <v>1189</v>
      </c>
      <c r="F1295" s="4" t="s">
        <v>14</v>
      </c>
      <c r="G1295" s="5">
        <v>29317015</v>
      </c>
      <c r="H1295" s="5">
        <v>5863403</v>
      </c>
      <c r="I1295" s="5">
        <v>0</v>
      </c>
      <c r="J1295" s="5" t="s">
        <v>14</v>
      </c>
      <c r="K1295" s="5">
        <v>35180418</v>
      </c>
    </row>
    <row r="1296" spans="1:11" x14ac:dyDescent="0.25">
      <c r="A1296" s="4" t="s">
        <v>11</v>
      </c>
      <c r="B1296" s="4" t="s">
        <v>1672</v>
      </c>
      <c r="C1296" s="4" t="s">
        <v>26</v>
      </c>
      <c r="D1296" s="4">
        <v>6115031510</v>
      </c>
      <c r="E1296" s="4" t="s">
        <v>439</v>
      </c>
      <c r="F1296" s="4" t="s">
        <v>14</v>
      </c>
      <c r="G1296" s="5">
        <v>29317015</v>
      </c>
      <c r="H1296" s="5">
        <v>5863403</v>
      </c>
      <c r="I1296" s="5">
        <v>0</v>
      </c>
      <c r="J1296" s="5" t="s">
        <v>14</v>
      </c>
      <c r="K1296" s="5">
        <v>35180418</v>
      </c>
    </row>
    <row r="1297" spans="1:11" x14ac:dyDescent="0.25">
      <c r="A1297" s="4" t="s">
        <v>11</v>
      </c>
      <c r="B1297" s="4" t="s">
        <v>1672</v>
      </c>
      <c r="C1297" s="4" t="s">
        <v>23</v>
      </c>
      <c r="D1297" s="4">
        <v>61150320</v>
      </c>
      <c r="E1297" s="4" t="s">
        <v>227</v>
      </c>
      <c r="F1297" s="4" t="s">
        <v>14</v>
      </c>
      <c r="G1297" s="5">
        <v>33703873</v>
      </c>
      <c r="H1297" s="5">
        <v>3329050</v>
      </c>
      <c r="I1297" s="5">
        <v>0</v>
      </c>
      <c r="J1297" s="5" t="s">
        <v>14</v>
      </c>
      <c r="K1297" s="5">
        <v>37032923</v>
      </c>
    </row>
    <row r="1298" spans="1:11" x14ac:dyDescent="0.25">
      <c r="A1298" s="4" t="s">
        <v>11</v>
      </c>
      <c r="B1298" s="4" t="s">
        <v>1672</v>
      </c>
      <c r="C1298" s="4" t="s">
        <v>26</v>
      </c>
      <c r="D1298" s="4">
        <v>6115032010</v>
      </c>
      <c r="E1298" s="4" t="s">
        <v>1195</v>
      </c>
      <c r="F1298" s="4" t="s">
        <v>14</v>
      </c>
      <c r="G1298" s="5">
        <v>6279197</v>
      </c>
      <c r="H1298" s="5">
        <v>0</v>
      </c>
      <c r="I1298" s="5">
        <v>0</v>
      </c>
      <c r="J1298" s="5" t="s">
        <v>14</v>
      </c>
      <c r="K1298" s="5">
        <v>6279197</v>
      </c>
    </row>
    <row r="1299" spans="1:11" x14ac:dyDescent="0.25">
      <c r="A1299" s="4" t="s">
        <v>11</v>
      </c>
      <c r="B1299" s="4" t="s">
        <v>1672</v>
      </c>
      <c r="C1299" s="4" t="s">
        <v>26</v>
      </c>
      <c r="D1299" s="4">
        <v>6115032015</v>
      </c>
      <c r="E1299" s="4" t="s">
        <v>1461</v>
      </c>
      <c r="F1299" s="4" t="s">
        <v>14</v>
      </c>
      <c r="G1299" s="5">
        <v>22193271</v>
      </c>
      <c r="H1299" s="5">
        <v>2797520</v>
      </c>
      <c r="I1299" s="5">
        <v>0</v>
      </c>
      <c r="J1299" s="5" t="s">
        <v>14</v>
      </c>
      <c r="K1299" s="5">
        <v>24990791</v>
      </c>
    </row>
    <row r="1300" spans="1:11" x14ac:dyDescent="0.25">
      <c r="A1300" s="4" t="s">
        <v>11</v>
      </c>
      <c r="B1300" s="4" t="s">
        <v>1672</v>
      </c>
      <c r="C1300" s="4" t="s">
        <v>26</v>
      </c>
      <c r="D1300" s="4">
        <v>6115032040</v>
      </c>
      <c r="E1300" s="4" t="s">
        <v>1463</v>
      </c>
      <c r="F1300" s="4" t="s">
        <v>14</v>
      </c>
      <c r="G1300" s="5">
        <v>4039619</v>
      </c>
      <c r="H1300" s="5">
        <v>531530</v>
      </c>
      <c r="I1300" s="5">
        <v>0</v>
      </c>
      <c r="J1300" s="5" t="s">
        <v>14</v>
      </c>
      <c r="K1300" s="5">
        <v>4571149</v>
      </c>
    </row>
    <row r="1301" spans="1:11" x14ac:dyDescent="0.25">
      <c r="A1301" s="4" t="s">
        <v>11</v>
      </c>
      <c r="B1301" s="4" t="s">
        <v>1672</v>
      </c>
      <c r="C1301" s="4" t="s">
        <v>26</v>
      </c>
      <c r="D1301" s="4">
        <v>6115032045</v>
      </c>
      <c r="E1301" s="4" t="s">
        <v>1197</v>
      </c>
      <c r="F1301" s="4" t="s">
        <v>14</v>
      </c>
      <c r="G1301" s="5">
        <v>1191786</v>
      </c>
      <c r="H1301" s="5">
        <v>0</v>
      </c>
      <c r="I1301" s="5">
        <v>0</v>
      </c>
      <c r="J1301" s="5" t="s">
        <v>14</v>
      </c>
      <c r="K1301" s="5">
        <v>1191786</v>
      </c>
    </row>
    <row r="1302" spans="1:11" x14ac:dyDescent="0.25">
      <c r="A1302" s="4" t="s">
        <v>11</v>
      </c>
      <c r="B1302" s="4" t="s">
        <v>1672</v>
      </c>
      <c r="C1302" s="4" t="s">
        <v>23</v>
      </c>
      <c r="D1302" s="4">
        <v>61150330</v>
      </c>
      <c r="E1302" s="4" t="s">
        <v>437</v>
      </c>
      <c r="F1302" s="4" t="s">
        <v>14</v>
      </c>
      <c r="G1302" s="5">
        <v>101573780</v>
      </c>
      <c r="H1302" s="5">
        <v>0</v>
      </c>
      <c r="I1302" s="5">
        <v>0</v>
      </c>
      <c r="J1302" s="5" t="s">
        <v>14</v>
      </c>
      <c r="K1302" s="5">
        <v>101573780</v>
      </c>
    </row>
    <row r="1303" spans="1:11" x14ac:dyDescent="0.25">
      <c r="A1303" s="4" t="s">
        <v>11</v>
      </c>
      <c r="B1303" s="4" t="s">
        <v>1672</v>
      </c>
      <c r="C1303" s="4" t="s">
        <v>26</v>
      </c>
      <c r="D1303" s="4">
        <v>6115033010</v>
      </c>
      <c r="E1303" s="4" t="s">
        <v>1212</v>
      </c>
      <c r="F1303" s="4" t="s">
        <v>14</v>
      </c>
      <c r="G1303" s="5">
        <v>22627750</v>
      </c>
      <c r="H1303" s="5">
        <v>0</v>
      </c>
      <c r="I1303" s="5">
        <v>0</v>
      </c>
      <c r="J1303" s="5" t="s">
        <v>14</v>
      </c>
      <c r="K1303" s="5">
        <v>22627750</v>
      </c>
    </row>
    <row r="1304" spans="1:11" x14ac:dyDescent="0.25">
      <c r="A1304" s="4" t="s">
        <v>11</v>
      </c>
      <c r="B1304" s="4" t="s">
        <v>1672</v>
      </c>
      <c r="C1304" s="4" t="s">
        <v>26</v>
      </c>
      <c r="D1304" s="4">
        <v>6115033015</v>
      </c>
      <c r="E1304" s="4" t="s">
        <v>1214</v>
      </c>
      <c r="F1304" s="4" t="s">
        <v>14</v>
      </c>
      <c r="G1304" s="5">
        <v>78946030</v>
      </c>
      <c r="H1304" s="5">
        <v>0</v>
      </c>
      <c r="I1304" s="5">
        <v>0</v>
      </c>
      <c r="J1304" s="5" t="s">
        <v>14</v>
      </c>
      <c r="K1304" s="5">
        <v>78946030</v>
      </c>
    </row>
    <row r="1305" spans="1:11" x14ac:dyDescent="0.25">
      <c r="A1305" s="4" t="s">
        <v>11</v>
      </c>
      <c r="B1305" s="4" t="s">
        <v>1672</v>
      </c>
      <c r="C1305" s="4" t="s">
        <v>23</v>
      </c>
      <c r="D1305" s="4">
        <v>61150335</v>
      </c>
      <c r="E1305" s="4" t="s">
        <v>566</v>
      </c>
      <c r="F1305" s="4" t="s">
        <v>14</v>
      </c>
      <c r="G1305" s="5">
        <v>453645944.44999999</v>
      </c>
      <c r="H1305" s="5">
        <v>45022826.579999998</v>
      </c>
      <c r="I1305" s="5">
        <v>0</v>
      </c>
      <c r="J1305" s="5" t="s">
        <v>14</v>
      </c>
      <c r="K1305" s="5">
        <v>498668771.02999997</v>
      </c>
    </row>
    <row r="1306" spans="1:11" x14ac:dyDescent="0.25">
      <c r="A1306" s="4" t="s">
        <v>11</v>
      </c>
      <c r="B1306" s="4" t="s">
        <v>1672</v>
      </c>
      <c r="C1306" s="4" t="s">
        <v>26</v>
      </c>
      <c r="D1306" s="4">
        <v>6115033505</v>
      </c>
      <c r="E1306" s="4" t="s">
        <v>1219</v>
      </c>
      <c r="F1306" s="4" t="s">
        <v>14</v>
      </c>
      <c r="G1306" s="5">
        <v>51509958.850000001</v>
      </c>
      <c r="H1306" s="5">
        <v>3365789.49</v>
      </c>
      <c r="I1306" s="5">
        <v>0</v>
      </c>
      <c r="J1306" s="5" t="s">
        <v>14</v>
      </c>
      <c r="K1306" s="5">
        <v>54875748.340000004</v>
      </c>
    </row>
    <row r="1307" spans="1:11" x14ac:dyDescent="0.25">
      <c r="A1307" s="4" t="s">
        <v>11</v>
      </c>
      <c r="B1307" s="4" t="s">
        <v>1672</v>
      </c>
      <c r="C1307" s="4" t="s">
        <v>26</v>
      </c>
      <c r="D1307" s="4">
        <v>6115033510</v>
      </c>
      <c r="E1307" s="4" t="s">
        <v>1221</v>
      </c>
      <c r="F1307" s="4" t="s">
        <v>14</v>
      </c>
      <c r="G1307" s="5">
        <v>12992212.529999999</v>
      </c>
      <c r="H1307" s="5">
        <v>1492378.37</v>
      </c>
      <c r="I1307" s="5">
        <v>0</v>
      </c>
      <c r="J1307" s="5" t="s">
        <v>14</v>
      </c>
      <c r="K1307" s="5">
        <v>14484590.9</v>
      </c>
    </row>
    <row r="1308" spans="1:11" x14ac:dyDescent="0.25">
      <c r="A1308" s="4" t="s">
        <v>11</v>
      </c>
      <c r="B1308" s="4" t="s">
        <v>1672</v>
      </c>
      <c r="C1308" s="4" t="s">
        <v>26</v>
      </c>
      <c r="D1308" s="4">
        <v>6115033515</v>
      </c>
      <c r="E1308" s="4" t="s">
        <v>1223</v>
      </c>
      <c r="F1308" s="4" t="s">
        <v>14</v>
      </c>
      <c r="G1308" s="5">
        <v>165243420</v>
      </c>
      <c r="H1308" s="5">
        <v>17989600</v>
      </c>
      <c r="I1308" s="5">
        <v>0</v>
      </c>
      <c r="J1308" s="5" t="s">
        <v>14</v>
      </c>
      <c r="K1308" s="5">
        <v>183233020</v>
      </c>
    </row>
    <row r="1309" spans="1:11" x14ac:dyDescent="0.25">
      <c r="A1309" s="4" t="s">
        <v>11</v>
      </c>
      <c r="B1309" s="4" t="s">
        <v>1672</v>
      </c>
      <c r="C1309" s="4" t="s">
        <v>26</v>
      </c>
      <c r="D1309" s="4">
        <v>6115033520</v>
      </c>
      <c r="E1309" s="4" t="s">
        <v>1225</v>
      </c>
      <c r="F1309" s="4" t="s">
        <v>14</v>
      </c>
      <c r="G1309" s="5">
        <v>173043174.97999999</v>
      </c>
      <c r="H1309" s="5">
        <v>16916343.91</v>
      </c>
      <c r="I1309" s="5">
        <v>0</v>
      </c>
      <c r="J1309" s="5" t="s">
        <v>14</v>
      </c>
      <c r="K1309" s="5">
        <v>189959518.88999999</v>
      </c>
    </row>
    <row r="1310" spans="1:11" x14ac:dyDescent="0.25">
      <c r="A1310" s="4" t="s">
        <v>11</v>
      </c>
      <c r="B1310" s="4" t="s">
        <v>1672</v>
      </c>
      <c r="C1310" s="4" t="s">
        <v>26</v>
      </c>
      <c r="D1310" s="4">
        <v>6115033525</v>
      </c>
      <c r="E1310" s="4" t="s">
        <v>1227</v>
      </c>
      <c r="F1310" s="4" t="s">
        <v>14</v>
      </c>
      <c r="G1310" s="5">
        <v>8368799.5800000001</v>
      </c>
      <c r="H1310" s="5">
        <v>968531.94</v>
      </c>
      <c r="I1310" s="5">
        <v>0</v>
      </c>
      <c r="J1310" s="5" t="s">
        <v>14</v>
      </c>
      <c r="K1310" s="5">
        <v>9337331.5199999996</v>
      </c>
    </row>
    <row r="1311" spans="1:11" x14ac:dyDescent="0.25">
      <c r="A1311" s="4" t="s">
        <v>11</v>
      </c>
      <c r="B1311" s="4" t="s">
        <v>1672</v>
      </c>
      <c r="C1311" s="4" t="s">
        <v>26</v>
      </c>
      <c r="D1311" s="4">
        <v>6115033530</v>
      </c>
      <c r="E1311" s="4" t="s">
        <v>1229</v>
      </c>
      <c r="F1311" s="4" t="s">
        <v>14</v>
      </c>
      <c r="G1311" s="5">
        <v>8621941.9199999999</v>
      </c>
      <c r="H1311" s="5">
        <v>883856.21</v>
      </c>
      <c r="I1311" s="5">
        <v>0</v>
      </c>
      <c r="J1311" s="5" t="s">
        <v>14</v>
      </c>
      <c r="K1311" s="5">
        <v>9505798.1300000008</v>
      </c>
    </row>
    <row r="1312" spans="1:11" x14ac:dyDescent="0.25">
      <c r="A1312" s="4" t="s">
        <v>11</v>
      </c>
      <c r="B1312" s="4" t="s">
        <v>1672</v>
      </c>
      <c r="C1312" s="4" t="s">
        <v>26</v>
      </c>
      <c r="D1312" s="4">
        <v>6115033535</v>
      </c>
      <c r="E1312" s="4" t="s">
        <v>1231</v>
      </c>
      <c r="F1312" s="4" t="s">
        <v>14</v>
      </c>
      <c r="G1312" s="5">
        <v>6608012</v>
      </c>
      <c r="H1312" s="5">
        <v>658690</v>
      </c>
      <c r="I1312" s="5">
        <v>0</v>
      </c>
      <c r="J1312" s="5" t="s">
        <v>14</v>
      </c>
      <c r="K1312" s="5">
        <v>7266702</v>
      </c>
    </row>
    <row r="1313" spans="1:11" x14ac:dyDescent="0.25">
      <c r="A1313" s="4" t="s">
        <v>11</v>
      </c>
      <c r="B1313" s="4" t="s">
        <v>1672</v>
      </c>
      <c r="C1313" s="4" t="s">
        <v>26</v>
      </c>
      <c r="D1313" s="4">
        <v>6115033540</v>
      </c>
      <c r="E1313" s="4" t="s">
        <v>1905</v>
      </c>
      <c r="F1313" s="4" t="s">
        <v>14</v>
      </c>
      <c r="G1313" s="5">
        <v>19029404.16</v>
      </c>
      <c r="H1313" s="5">
        <v>1902954.7</v>
      </c>
      <c r="I1313" s="5">
        <v>0</v>
      </c>
      <c r="J1313" s="5" t="s">
        <v>14</v>
      </c>
      <c r="K1313" s="5">
        <v>20932358.859999999</v>
      </c>
    </row>
    <row r="1314" spans="1:11" x14ac:dyDescent="0.25">
      <c r="A1314" s="4" t="s">
        <v>11</v>
      </c>
      <c r="B1314" s="4" t="s">
        <v>1672</v>
      </c>
      <c r="C1314" s="4" t="s">
        <v>26</v>
      </c>
      <c r="D1314" s="4">
        <v>6115033550</v>
      </c>
      <c r="E1314" s="4" t="s">
        <v>1233</v>
      </c>
      <c r="F1314" s="4" t="s">
        <v>14</v>
      </c>
      <c r="G1314" s="5">
        <v>1632907.45</v>
      </c>
      <c r="H1314" s="5">
        <v>182452.65</v>
      </c>
      <c r="I1314" s="5">
        <v>0</v>
      </c>
      <c r="J1314" s="5" t="s">
        <v>14</v>
      </c>
      <c r="K1314" s="5">
        <v>1815360.1</v>
      </c>
    </row>
    <row r="1315" spans="1:11" x14ac:dyDescent="0.25">
      <c r="A1315" s="4" t="s">
        <v>11</v>
      </c>
      <c r="B1315" s="4" t="s">
        <v>1672</v>
      </c>
      <c r="C1315" s="4" t="s">
        <v>26</v>
      </c>
      <c r="D1315" s="4">
        <v>6115033560</v>
      </c>
      <c r="E1315" s="4" t="s">
        <v>1235</v>
      </c>
      <c r="F1315" s="4" t="s">
        <v>14</v>
      </c>
      <c r="G1315" s="5">
        <v>1707532.14</v>
      </c>
      <c r="H1315" s="5">
        <v>167865.01</v>
      </c>
      <c r="I1315" s="5">
        <v>0</v>
      </c>
      <c r="J1315" s="5" t="s">
        <v>14</v>
      </c>
      <c r="K1315" s="5">
        <v>1875397.15</v>
      </c>
    </row>
    <row r="1316" spans="1:11" x14ac:dyDescent="0.25">
      <c r="A1316" s="4" t="s">
        <v>11</v>
      </c>
      <c r="B1316" s="4" t="s">
        <v>1672</v>
      </c>
      <c r="C1316" s="4" t="s">
        <v>26</v>
      </c>
      <c r="D1316" s="4">
        <v>6115033565</v>
      </c>
      <c r="E1316" s="4" t="s">
        <v>1237</v>
      </c>
      <c r="F1316" s="4" t="s">
        <v>14</v>
      </c>
      <c r="G1316" s="5">
        <v>1333842</v>
      </c>
      <c r="H1316" s="5">
        <v>132975</v>
      </c>
      <c r="I1316" s="5">
        <v>0</v>
      </c>
      <c r="J1316" s="5" t="s">
        <v>14</v>
      </c>
      <c r="K1316" s="5">
        <v>1466817</v>
      </c>
    </row>
    <row r="1317" spans="1:11" x14ac:dyDescent="0.25">
      <c r="A1317" s="4" t="s">
        <v>11</v>
      </c>
      <c r="B1317" s="4" t="s">
        <v>1672</v>
      </c>
      <c r="C1317" s="4" t="s">
        <v>26</v>
      </c>
      <c r="D1317" s="4">
        <v>6115033570</v>
      </c>
      <c r="E1317" s="4" t="s">
        <v>1910</v>
      </c>
      <c r="F1317" s="4" t="s">
        <v>14</v>
      </c>
      <c r="G1317" s="5">
        <v>3554738.84</v>
      </c>
      <c r="H1317" s="5">
        <v>361389.3</v>
      </c>
      <c r="I1317" s="5">
        <v>0</v>
      </c>
      <c r="J1317" s="5" t="s">
        <v>14</v>
      </c>
      <c r="K1317" s="5">
        <v>3916128.14</v>
      </c>
    </row>
    <row r="1318" spans="1:11" x14ac:dyDescent="0.25">
      <c r="A1318" s="4" t="s">
        <v>11</v>
      </c>
      <c r="B1318" s="4" t="s">
        <v>1672</v>
      </c>
      <c r="C1318" s="4" t="s">
        <v>23</v>
      </c>
      <c r="D1318" s="4">
        <v>61150336</v>
      </c>
      <c r="E1318" s="4" t="s">
        <v>1239</v>
      </c>
      <c r="F1318" s="4" t="s">
        <v>14</v>
      </c>
      <c r="G1318" s="5">
        <v>348274651</v>
      </c>
      <c r="H1318" s="5">
        <v>29498053</v>
      </c>
      <c r="I1318" s="5">
        <v>0</v>
      </c>
      <c r="J1318" s="5" t="s">
        <v>14</v>
      </c>
      <c r="K1318" s="5">
        <v>377772704</v>
      </c>
    </row>
    <row r="1319" spans="1:11" x14ac:dyDescent="0.25">
      <c r="A1319" s="4" t="s">
        <v>11</v>
      </c>
      <c r="B1319" s="4" t="s">
        <v>1672</v>
      </c>
      <c r="C1319" s="4" t="s">
        <v>26</v>
      </c>
      <c r="D1319" s="4">
        <v>6115033620</v>
      </c>
      <c r="E1319" s="4" t="s">
        <v>1913</v>
      </c>
      <c r="F1319" s="4" t="s">
        <v>14</v>
      </c>
      <c r="G1319" s="5">
        <v>290394235</v>
      </c>
      <c r="H1319" s="5">
        <v>24788280</v>
      </c>
      <c r="I1319" s="5">
        <v>0</v>
      </c>
      <c r="J1319" s="5" t="s">
        <v>14</v>
      </c>
      <c r="K1319" s="5">
        <v>315182515</v>
      </c>
    </row>
    <row r="1320" spans="1:11" x14ac:dyDescent="0.25">
      <c r="A1320" s="4" t="s">
        <v>11</v>
      </c>
      <c r="B1320" s="4" t="s">
        <v>1672</v>
      </c>
      <c r="C1320" s="4" t="s">
        <v>26</v>
      </c>
      <c r="D1320" s="4">
        <v>6115033640</v>
      </c>
      <c r="E1320" s="4" t="s">
        <v>1239</v>
      </c>
      <c r="F1320" s="4" t="s">
        <v>14</v>
      </c>
      <c r="G1320" s="5">
        <v>789305</v>
      </c>
      <c r="H1320" s="5">
        <v>0</v>
      </c>
      <c r="I1320" s="5">
        <v>0</v>
      </c>
      <c r="J1320" s="5" t="s">
        <v>14</v>
      </c>
      <c r="K1320" s="5">
        <v>789305</v>
      </c>
    </row>
    <row r="1321" spans="1:11" x14ac:dyDescent="0.25">
      <c r="A1321" s="4" t="s">
        <v>11</v>
      </c>
      <c r="B1321" s="4" t="s">
        <v>1672</v>
      </c>
      <c r="C1321" s="4" t="s">
        <v>26</v>
      </c>
      <c r="D1321" s="4">
        <v>6115033680</v>
      </c>
      <c r="E1321" s="4" t="s">
        <v>1916</v>
      </c>
      <c r="F1321" s="4" t="s">
        <v>14</v>
      </c>
      <c r="G1321" s="5">
        <v>56979905</v>
      </c>
      <c r="H1321" s="5">
        <v>4709773</v>
      </c>
      <c r="I1321" s="5">
        <v>0</v>
      </c>
      <c r="J1321" s="5" t="s">
        <v>14</v>
      </c>
      <c r="K1321" s="5">
        <v>61689678</v>
      </c>
    </row>
    <row r="1322" spans="1:11" x14ac:dyDescent="0.25">
      <c r="A1322" s="4" t="s">
        <v>11</v>
      </c>
      <c r="B1322" s="4" t="s">
        <v>1672</v>
      </c>
      <c r="C1322" s="4" t="s">
        <v>26</v>
      </c>
      <c r="D1322" s="4">
        <v>6115033695</v>
      </c>
      <c r="E1322" s="4" t="s">
        <v>1244</v>
      </c>
      <c r="F1322" s="4" t="s">
        <v>14</v>
      </c>
      <c r="G1322" s="5">
        <v>111206</v>
      </c>
      <c r="H1322" s="5">
        <v>0</v>
      </c>
      <c r="I1322" s="5">
        <v>0</v>
      </c>
      <c r="J1322" s="5" t="s">
        <v>14</v>
      </c>
      <c r="K1322" s="5">
        <v>111206</v>
      </c>
    </row>
    <row r="1323" spans="1:11" x14ac:dyDescent="0.25">
      <c r="A1323" s="4" t="s">
        <v>11</v>
      </c>
      <c r="B1323" s="4" t="s">
        <v>1672</v>
      </c>
      <c r="C1323" s="4" t="s">
        <v>23</v>
      </c>
      <c r="D1323" s="4">
        <v>61150345</v>
      </c>
      <c r="E1323" s="4" t="s">
        <v>1257</v>
      </c>
      <c r="F1323" s="4" t="s">
        <v>14</v>
      </c>
      <c r="G1323" s="5">
        <v>11357350</v>
      </c>
      <c r="H1323" s="5">
        <v>1083200</v>
      </c>
      <c r="I1323" s="5">
        <v>0</v>
      </c>
      <c r="J1323" s="5" t="s">
        <v>14</v>
      </c>
      <c r="K1323" s="5">
        <v>12440550</v>
      </c>
    </row>
    <row r="1324" spans="1:11" x14ac:dyDescent="0.25">
      <c r="A1324" s="4" t="s">
        <v>11</v>
      </c>
      <c r="B1324" s="4" t="s">
        <v>1672</v>
      </c>
      <c r="C1324" s="4" t="s">
        <v>26</v>
      </c>
      <c r="D1324" s="4">
        <v>6115034520</v>
      </c>
      <c r="E1324" s="4" t="s">
        <v>1518</v>
      </c>
      <c r="F1324" s="4" t="s">
        <v>14</v>
      </c>
      <c r="G1324" s="5">
        <v>0</v>
      </c>
      <c r="H1324" s="5">
        <v>630253</v>
      </c>
      <c r="I1324" s="5">
        <v>0</v>
      </c>
      <c r="J1324" s="5" t="s">
        <v>14</v>
      </c>
      <c r="K1324" s="5">
        <v>630253</v>
      </c>
    </row>
    <row r="1325" spans="1:11" x14ac:dyDescent="0.25">
      <c r="A1325" s="4" t="s">
        <v>11</v>
      </c>
      <c r="B1325" s="4" t="s">
        <v>1672</v>
      </c>
      <c r="C1325" s="4" t="s">
        <v>26</v>
      </c>
      <c r="D1325" s="4">
        <v>6115034525</v>
      </c>
      <c r="E1325" s="4" t="s">
        <v>1820</v>
      </c>
      <c r="F1325" s="4" t="s">
        <v>14</v>
      </c>
      <c r="G1325" s="5">
        <v>460000</v>
      </c>
      <c r="H1325" s="5">
        <v>0</v>
      </c>
      <c r="I1325" s="5">
        <v>0</v>
      </c>
      <c r="J1325" s="5" t="s">
        <v>14</v>
      </c>
      <c r="K1325" s="5">
        <v>460000</v>
      </c>
    </row>
    <row r="1326" spans="1:11" x14ac:dyDescent="0.25">
      <c r="A1326" s="4" t="s">
        <v>11</v>
      </c>
      <c r="B1326" s="4" t="s">
        <v>1672</v>
      </c>
      <c r="C1326" s="4" t="s">
        <v>26</v>
      </c>
      <c r="D1326" s="4">
        <v>6115034530</v>
      </c>
      <c r="E1326" s="4" t="s">
        <v>1520</v>
      </c>
      <c r="F1326" s="4" t="s">
        <v>14</v>
      </c>
      <c r="G1326" s="5">
        <v>1950000</v>
      </c>
      <c r="H1326" s="5">
        <v>0</v>
      </c>
      <c r="I1326" s="5">
        <v>0</v>
      </c>
      <c r="J1326" s="5" t="s">
        <v>14</v>
      </c>
      <c r="K1326" s="5">
        <v>1950000</v>
      </c>
    </row>
    <row r="1327" spans="1:11" x14ac:dyDescent="0.25">
      <c r="A1327" s="4" t="s">
        <v>11</v>
      </c>
      <c r="B1327" s="4" t="s">
        <v>1672</v>
      </c>
      <c r="C1327" s="4" t="s">
        <v>26</v>
      </c>
      <c r="D1327" s="4">
        <v>6115034535</v>
      </c>
      <c r="E1327" s="4" t="s">
        <v>1743</v>
      </c>
      <c r="F1327" s="4" t="s">
        <v>14</v>
      </c>
      <c r="G1327" s="5">
        <v>2200000</v>
      </c>
      <c r="H1327" s="5">
        <v>280000</v>
      </c>
      <c r="I1327" s="5">
        <v>0</v>
      </c>
      <c r="J1327" s="5" t="s">
        <v>14</v>
      </c>
      <c r="K1327" s="5">
        <v>2480000</v>
      </c>
    </row>
    <row r="1328" spans="1:11" x14ac:dyDescent="0.25">
      <c r="A1328" s="4" t="s">
        <v>11</v>
      </c>
      <c r="B1328" s="4" t="s">
        <v>1672</v>
      </c>
      <c r="C1328" s="4" t="s">
        <v>26</v>
      </c>
      <c r="D1328" s="4">
        <v>6115034540</v>
      </c>
      <c r="E1328" s="4" t="s">
        <v>1522</v>
      </c>
      <c r="F1328" s="4" t="s">
        <v>14</v>
      </c>
      <c r="G1328" s="5">
        <v>5139950</v>
      </c>
      <c r="H1328" s="5">
        <v>0</v>
      </c>
      <c r="I1328" s="5">
        <v>0</v>
      </c>
      <c r="J1328" s="5" t="s">
        <v>14</v>
      </c>
      <c r="K1328" s="5">
        <v>5139950</v>
      </c>
    </row>
    <row r="1329" spans="1:11" x14ac:dyDescent="0.25">
      <c r="A1329" s="4" t="s">
        <v>11</v>
      </c>
      <c r="B1329" s="4" t="s">
        <v>1672</v>
      </c>
      <c r="C1329" s="4" t="s">
        <v>26</v>
      </c>
      <c r="D1329" s="4">
        <v>6115034565</v>
      </c>
      <c r="E1329" s="4" t="s">
        <v>1530</v>
      </c>
      <c r="F1329" s="4" t="s">
        <v>14</v>
      </c>
      <c r="G1329" s="5">
        <v>0</v>
      </c>
      <c r="H1329" s="5">
        <v>119747</v>
      </c>
      <c r="I1329" s="5">
        <v>0</v>
      </c>
      <c r="J1329" s="5" t="s">
        <v>14</v>
      </c>
      <c r="K1329" s="5">
        <v>119747</v>
      </c>
    </row>
    <row r="1330" spans="1:11" x14ac:dyDescent="0.25">
      <c r="A1330" s="4" t="s">
        <v>11</v>
      </c>
      <c r="B1330" s="4" t="s">
        <v>1672</v>
      </c>
      <c r="C1330" s="4" t="s">
        <v>26</v>
      </c>
      <c r="D1330" s="4">
        <v>6115034570</v>
      </c>
      <c r="E1330" s="4" t="s">
        <v>1823</v>
      </c>
      <c r="F1330" s="4" t="s">
        <v>14</v>
      </c>
      <c r="G1330" s="5">
        <v>87400</v>
      </c>
      <c r="H1330" s="5">
        <v>0</v>
      </c>
      <c r="I1330" s="5">
        <v>0</v>
      </c>
      <c r="J1330" s="5" t="s">
        <v>14</v>
      </c>
      <c r="K1330" s="5">
        <v>87400</v>
      </c>
    </row>
    <row r="1331" spans="1:11" x14ac:dyDescent="0.25">
      <c r="A1331" s="4" t="s">
        <v>11</v>
      </c>
      <c r="B1331" s="4" t="s">
        <v>1672</v>
      </c>
      <c r="C1331" s="4" t="s">
        <v>26</v>
      </c>
      <c r="D1331" s="4">
        <v>6115034575</v>
      </c>
      <c r="E1331" s="4" t="s">
        <v>1532</v>
      </c>
      <c r="F1331" s="4" t="s">
        <v>14</v>
      </c>
      <c r="G1331" s="5">
        <v>370500</v>
      </c>
      <c r="H1331" s="5">
        <v>0</v>
      </c>
      <c r="I1331" s="5">
        <v>0</v>
      </c>
      <c r="J1331" s="5" t="s">
        <v>14</v>
      </c>
      <c r="K1331" s="5">
        <v>370500</v>
      </c>
    </row>
    <row r="1332" spans="1:11" x14ac:dyDescent="0.25">
      <c r="A1332" s="4" t="s">
        <v>11</v>
      </c>
      <c r="B1332" s="4" t="s">
        <v>1672</v>
      </c>
      <c r="C1332" s="4" t="s">
        <v>26</v>
      </c>
      <c r="D1332" s="4">
        <v>6115034580</v>
      </c>
      <c r="E1332" s="4" t="s">
        <v>1928</v>
      </c>
      <c r="F1332" s="4" t="s">
        <v>14</v>
      </c>
      <c r="G1332" s="5">
        <v>254600</v>
      </c>
      <c r="H1332" s="5">
        <v>53200</v>
      </c>
      <c r="I1332" s="5">
        <v>0</v>
      </c>
      <c r="J1332" s="5" t="s">
        <v>14</v>
      </c>
      <c r="K1332" s="5">
        <v>307800</v>
      </c>
    </row>
    <row r="1333" spans="1:11" x14ac:dyDescent="0.25">
      <c r="A1333" s="4" t="s">
        <v>11</v>
      </c>
      <c r="B1333" s="4" t="s">
        <v>1672</v>
      </c>
      <c r="C1333" s="4" t="s">
        <v>26</v>
      </c>
      <c r="D1333" s="4">
        <v>6115034585</v>
      </c>
      <c r="E1333" s="4" t="s">
        <v>1261</v>
      </c>
      <c r="F1333" s="4" t="s">
        <v>14</v>
      </c>
      <c r="G1333" s="5">
        <v>243200</v>
      </c>
      <c r="H1333" s="5">
        <v>0</v>
      </c>
      <c r="I1333" s="5">
        <v>0</v>
      </c>
      <c r="J1333" s="5" t="s">
        <v>14</v>
      </c>
      <c r="K1333" s="5">
        <v>243200</v>
      </c>
    </row>
    <row r="1334" spans="1:11" x14ac:dyDescent="0.25">
      <c r="A1334" s="4" t="s">
        <v>11</v>
      </c>
      <c r="B1334" s="4" t="s">
        <v>1672</v>
      </c>
      <c r="C1334" s="4" t="s">
        <v>26</v>
      </c>
      <c r="D1334" s="4">
        <v>6115034590</v>
      </c>
      <c r="E1334" s="4" t="s">
        <v>1534</v>
      </c>
      <c r="F1334" s="4" t="s">
        <v>14</v>
      </c>
      <c r="G1334" s="5">
        <v>651700</v>
      </c>
      <c r="H1334" s="5">
        <v>0</v>
      </c>
      <c r="I1334" s="5">
        <v>0</v>
      </c>
      <c r="J1334" s="5" t="s">
        <v>14</v>
      </c>
      <c r="K1334" s="5">
        <v>651700</v>
      </c>
    </row>
    <row r="1335" spans="1:11" x14ac:dyDescent="0.25">
      <c r="A1335" s="4" t="s">
        <v>11</v>
      </c>
      <c r="B1335" s="4" t="s">
        <v>1672</v>
      </c>
      <c r="C1335" s="4" t="s">
        <v>23</v>
      </c>
      <c r="D1335" s="4">
        <v>61150355</v>
      </c>
      <c r="E1335" s="4" t="s">
        <v>1263</v>
      </c>
      <c r="F1335" s="4" t="s">
        <v>14</v>
      </c>
      <c r="G1335" s="5">
        <v>263984319.94</v>
      </c>
      <c r="H1335" s="5">
        <v>0</v>
      </c>
      <c r="I1335" s="5">
        <v>0</v>
      </c>
      <c r="J1335" s="5" t="s">
        <v>14</v>
      </c>
      <c r="K1335" s="5">
        <v>263984319.94</v>
      </c>
    </row>
    <row r="1336" spans="1:11" x14ac:dyDescent="0.25">
      <c r="A1336" s="4" t="s">
        <v>11</v>
      </c>
      <c r="B1336" s="4" t="s">
        <v>1672</v>
      </c>
      <c r="C1336" s="4" t="s">
        <v>26</v>
      </c>
      <c r="D1336" s="4">
        <v>6115035510</v>
      </c>
      <c r="E1336" s="4" t="s">
        <v>1265</v>
      </c>
      <c r="F1336" s="4" t="s">
        <v>14</v>
      </c>
      <c r="G1336" s="5">
        <v>69724219.680000007</v>
      </c>
      <c r="H1336" s="5">
        <v>0</v>
      </c>
      <c r="I1336" s="5">
        <v>0</v>
      </c>
      <c r="J1336" s="5" t="s">
        <v>14</v>
      </c>
      <c r="K1336" s="5">
        <v>69724219.680000007</v>
      </c>
    </row>
    <row r="1337" spans="1:11" x14ac:dyDescent="0.25">
      <c r="A1337" s="4" t="s">
        <v>11</v>
      </c>
      <c r="B1337" s="4" t="s">
        <v>1672</v>
      </c>
      <c r="C1337" s="4" t="s">
        <v>26</v>
      </c>
      <c r="D1337" s="4">
        <v>6115035515</v>
      </c>
      <c r="E1337" s="4" t="s">
        <v>1538</v>
      </c>
      <c r="F1337" s="4" t="s">
        <v>14</v>
      </c>
      <c r="G1337" s="5">
        <v>86429688.5</v>
      </c>
      <c r="H1337" s="5">
        <v>0</v>
      </c>
      <c r="I1337" s="5">
        <v>0</v>
      </c>
      <c r="J1337" s="5" t="s">
        <v>14</v>
      </c>
      <c r="K1337" s="5">
        <v>86429688.5</v>
      </c>
    </row>
    <row r="1338" spans="1:11" x14ac:dyDescent="0.25">
      <c r="A1338" s="4" t="s">
        <v>11</v>
      </c>
      <c r="B1338" s="4" t="s">
        <v>1672</v>
      </c>
      <c r="C1338" s="4" t="s">
        <v>26</v>
      </c>
      <c r="D1338" s="4">
        <v>6115035520</v>
      </c>
      <c r="E1338" s="4" t="s">
        <v>1267</v>
      </c>
      <c r="F1338" s="4" t="s">
        <v>14</v>
      </c>
      <c r="G1338" s="5">
        <v>5398003.9699999997</v>
      </c>
      <c r="H1338" s="5">
        <v>0</v>
      </c>
      <c r="I1338" s="5">
        <v>0</v>
      </c>
      <c r="J1338" s="5" t="s">
        <v>14</v>
      </c>
      <c r="K1338" s="5">
        <v>5398003.9699999997</v>
      </c>
    </row>
    <row r="1339" spans="1:11" x14ac:dyDescent="0.25">
      <c r="A1339" s="4" t="s">
        <v>11</v>
      </c>
      <c r="B1339" s="4" t="s">
        <v>1672</v>
      </c>
      <c r="C1339" s="4" t="s">
        <v>26</v>
      </c>
      <c r="D1339" s="4">
        <v>6115035525</v>
      </c>
      <c r="E1339" s="4" t="s">
        <v>1269</v>
      </c>
      <c r="F1339" s="4" t="s">
        <v>14</v>
      </c>
      <c r="G1339" s="5">
        <v>94829197.480000004</v>
      </c>
      <c r="H1339" s="5">
        <v>0</v>
      </c>
      <c r="I1339" s="5">
        <v>0</v>
      </c>
      <c r="J1339" s="5" t="s">
        <v>14</v>
      </c>
      <c r="K1339" s="5">
        <v>94829197.480000004</v>
      </c>
    </row>
    <row r="1340" spans="1:11" x14ac:dyDescent="0.25">
      <c r="A1340" s="4" t="s">
        <v>11</v>
      </c>
      <c r="B1340" s="4" t="s">
        <v>1672</v>
      </c>
      <c r="C1340" s="4" t="s">
        <v>26</v>
      </c>
      <c r="D1340" s="4">
        <v>6115035530</v>
      </c>
      <c r="E1340" s="4" t="s">
        <v>1542</v>
      </c>
      <c r="F1340" s="4" t="s">
        <v>14</v>
      </c>
      <c r="G1340" s="5">
        <v>7603210.3099999996</v>
      </c>
      <c r="H1340" s="5">
        <v>0</v>
      </c>
      <c r="I1340" s="5">
        <v>0</v>
      </c>
      <c r="J1340" s="5" t="s">
        <v>14</v>
      </c>
      <c r="K1340" s="5">
        <v>7603210.3099999996</v>
      </c>
    </row>
    <row r="1341" spans="1:11" x14ac:dyDescent="0.25">
      <c r="A1341" s="4" t="s">
        <v>11</v>
      </c>
      <c r="B1341" s="4" t="s">
        <v>1672</v>
      </c>
      <c r="C1341" s="4" t="s">
        <v>23</v>
      </c>
      <c r="D1341" s="4">
        <v>61150360</v>
      </c>
      <c r="E1341" s="4" t="s">
        <v>1273</v>
      </c>
      <c r="F1341" s="4" t="s">
        <v>14</v>
      </c>
      <c r="G1341" s="5">
        <v>10142194</v>
      </c>
      <c r="H1341" s="5">
        <v>1282681</v>
      </c>
      <c r="I1341" s="5">
        <v>0</v>
      </c>
      <c r="J1341" s="5" t="s">
        <v>14</v>
      </c>
      <c r="K1341" s="5">
        <v>11424875</v>
      </c>
    </row>
    <row r="1342" spans="1:11" x14ac:dyDescent="0.25">
      <c r="A1342" s="4" t="s">
        <v>11</v>
      </c>
      <c r="B1342" s="4" t="s">
        <v>1672</v>
      </c>
      <c r="C1342" s="4" t="s">
        <v>26</v>
      </c>
      <c r="D1342" s="4">
        <v>6115036005</v>
      </c>
      <c r="E1342" s="4" t="s">
        <v>1273</v>
      </c>
      <c r="F1342" s="4" t="s">
        <v>14</v>
      </c>
      <c r="G1342" s="5">
        <v>10142194</v>
      </c>
      <c r="H1342" s="5">
        <v>1282681</v>
      </c>
      <c r="I1342" s="5">
        <v>0</v>
      </c>
      <c r="J1342" s="5" t="s">
        <v>14</v>
      </c>
      <c r="K1342" s="5">
        <v>11424875</v>
      </c>
    </row>
    <row r="1343" spans="1:11" x14ac:dyDescent="0.25">
      <c r="A1343" s="4" t="s">
        <v>11</v>
      </c>
      <c r="B1343" s="4" t="s">
        <v>1672</v>
      </c>
      <c r="C1343" s="4" t="s">
        <v>23</v>
      </c>
      <c r="D1343" s="4">
        <v>61150370</v>
      </c>
      <c r="E1343" s="4" t="s">
        <v>1063</v>
      </c>
      <c r="F1343" s="4" t="s">
        <v>14</v>
      </c>
      <c r="G1343" s="5">
        <v>19200</v>
      </c>
      <c r="H1343" s="5">
        <v>0</v>
      </c>
      <c r="I1343" s="5">
        <v>0</v>
      </c>
      <c r="J1343" s="5" t="s">
        <v>14</v>
      </c>
      <c r="K1343" s="5">
        <v>19200</v>
      </c>
    </row>
    <row r="1344" spans="1:11" x14ac:dyDescent="0.25">
      <c r="A1344" s="4" t="s">
        <v>11</v>
      </c>
      <c r="B1344" s="4" t="s">
        <v>1672</v>
      </c>
      <c r="C1344" s="4" t="s">
        <v>26</v>
      </c>
      <c r="D1344" s="4">
        <v>6115037015</v>
      </c>
      <c r="E1344" s="4" t="s">
        <v>1279</v>
      </c>
      <c r="F1344" s="4" t="s">
        <v>14</v>
      </c>
      <c r="G1344" s="5">
        <v>19200</v>
      </c>
      <c r="H1344" s="5">
        <v>0</v>
      </c>
      <c r="I1344" s="5">
        <v>0</v>
      </c>
      <c r="J1344" s="5" t="s">
        <v>14</v>
      </c>
      <c r="K1344" s="5">
        <v>19200</v>
      </c>
    </row>
    <row r="1345" spans="1:11" x14ac:dyDescent="0.25">
      <c r="A1345" s="4" t="s">
        <v>11</v>
      </c>
      <c r="B1345" s="4" t="s">
        <v>1672</v>
      </c>
      <c r="C1345" s="4" t="s">
        <v>23</v>
      </c>
      <c r="D1345" s="4">
        <v>61150371</v>
      </c>
      <c r="E1345" s="4" t="s">
        <v>1289</v>
      </c>
      <c r="F1345" s="4" t="s">
        <v>14</v>
      </c>
      <c r="G1345" s="5">
        <v>237000</v>
      </c>
      <c r="H1345" s="5">
        <v>38313</v>
      </c>
      <c r="I1345" s="5">
        <v>0</v>
      </c>
      <c r="J1345" s="5" t="s">
        <v>14</v>
      </c>
      <c r="K1345" s="5">
        <v>275313</v>
      </c>
    </row>
    <row r="1346" spans="1:11" x14ac:dyDescent="0.25">
      <c r="A1346" s="4" t="s">
        <v>11</v>
      </c>
      <c r="B1346" s="4" t="s">
        <v>1672</v>
      </c>
      <c r="C1346" s="4" t="s">
        <v>26</v>
      </c>
      <c r="D1346" s="4">
        <v>6115037105</v>
      </c>
      <c r="E1346" s="4" t="s">
        <v>1291</v>
      </c>
      <c r="F1346" s="4" t="s">
        <v>14</v>
      </c>
      <c r="G1346" s="5">
        <v>237000</v>
      </c>
      <c r="H1346" s="5">
        <v>38313</v>
      </c>
      <c r="I1346" s="5">
        <v>0</v>
      </c>
      <c r="J1346" s="5" t="s">
        <v>14</v>
      </c>
      <c r="K1346" s="5">
        <v>275313</v>
      </c>
    </row>
    <row r="1347" spans="1:11" x14ac:dyDescent="0.25">
      <c r="A1347" s="4" t="s">
        <v>11</v>
      </c>
      <c r="B1347" s="4" t="s">
        <v>1672</v>
      </c>
      <c r="C1347" s="4" t="s">
        <v>18</v>
      </c>
      <c r="D1347" s="4">
        <v>6120</v>
      </c>
      <c r="E1347" s="4" t="s">
        <v>904</v>
      </c>
      <c r="F1347" s="4" t="s">
        <v>14</v>
      </c>
      <c r="G1347" s="5">
        <v>11282642382.6</v>
      </c>
      <c r="H1347" s="5">
        <v>377321977.38</v>
      </c>
      <c r="I1347" s="5">
        <v>65066968.969999999</v>
      </c>
      <c r="J1347" s="5" t="s">
        <v>14</v>
      </c>
      <c r="K1347" s="5">
        <v>11594897391.01</v>
      </c>
    </row>
    <row r="1348" spans="1:11" x14ac:dyDescent="0.25">
      <c r="A1348" s="4" t="s">
        <v>11</v>
      </c>
      <c r="B1348" s="4" t="s">
        <v>1672</v>
      </c>
      <c r="C1348" s="4" t="s">
        <v>21</v>
      </c>
      <c r="D1348" s="4">
        <v>612001</v>
      </c>
      <c r="E1348" s="4" t="s">
        <v>1098</v>
      </c>
      <c r="F1348" s="4" t="s">
        <v>14</v>
      </c>
      <c r="G1348" s="5">
        <v>4144664263.29</v>
      </c>
      <c r="H1348" s="5">
        <v>206228040.90000001</v>
      </c>
      <c r="I1348" s="5">
        <v>65066968.969999999</v>
      </c>
      <c r="J1348" s="5" t="s">
        <v>14</v>
      </c>
      <c r="K1348" s="5">
        <v>4285825335.2199998</v>
      </c>
    </row>
    <row r="1349" spans="1:11" x14ac:dyDescent="0.25">
      <c r="A1349" s="4" t="s">
        <v>11</v>
      </c>
      <c r="B1349" s="4" t="s">
        <v>1672</v>
      </c>
      <c r="C1349" s="4" t="s">
        <v>23</v>
      </c>
      <c r="D1349" s="4">
        <v>61200101</v>
      </c>
      <c r="E1349" s="4" t="s">
        <v>1679</v>
      </c>
      <c r="F1349" s="4" t="s">
        <v>14</v>
      </c>
      <c r="G1349" s="5">
        <v>3562671347.48</v>
      </c>
      <c r="H1349" s="5">
        <v>179018928</v>
      </c>
      <c r="I1349" s="5">
        <v>63609537</v>
      </c>
      <c r="J1349" s="5" t="s">
        <v>14</v>
      </c>
      <c r="K1349" s="5">
        <v>3678080738.48</v>
      </c>
    </row>
    <row r="1350" spans="1:11" x14ac:dyDescent="0.25">
      <c r="A1350" s="4" t="s">
        <v>11</v>
      </c>
      <c r="B1350" s="4" t="s">
        <v>1672</v>
      </c>
      <c r="C1350" s="4" t="s">
        <v>26</v>
      </c>
      <c r="D1350" s="4">
        <v>6120010105</v>
      </c>
      <c r="E1350" s="4" t="s">
        <v>237</v>
      </c>
      <c r="F1350" s="4" t="s">
        <v>14</v>
      </c>
      <c r="G1350" s="5">
        <v>229958775.40000001</v>
      </c>
      <c r="H1350" s="5">
        <v>17706877</v>
      </c>
      <c r="I1350" s="5">
        <v>4806706</v>
      </c>
      <c r="J1350" s="5" t="s">
        <v>14</v>
      </c>
      <c r="K1350" s="5">
        <v>242858946.40000001</v>
      </c>
    </row>
    <row r="1351" spans="1:11" x14ac:dyDescent="0.25">
      <c r="A1351" s="4" t="s">
        <v>11</v>
      </c>
      <c r="B1351" s="4" t="s">
        <v>1672</v>
      </c>
      <c r="C1351" s="4" t="s">
        <v>26</v>
      </c>
      <c r="D1351" s="4">
        <v>6120010110</v>
      </c>
      <c r="E1351" s="4" t="s">
        <v>246</v>
      </c>
      <c r="F1351" s="4" t="s">
        <v>14</v>
      </c>
      <c r="G1351" s="5">
        <v>720973864.78999996</v>
      </c>
      <c r="H1351" s="5">
        <v>58096652</v>
      </c>
      <c r="I1351" s="5">
        <v>17567520</v>
      </c>
      <c r="J1351" s="5" t="s">
        <v>14</v>
      </c>
      <c r="K1351" s="5">
        <v>761502996.78999996</v>
      </c>
    </row>
    <row r="1352" spans="1:11" x14ac:dyDescent="0.25">
      <c r="A1352" s="4" t="s">
        <v>11</v>
      </c>
      <c r="B1352" s="4" t="s">
        <v>1672</v>
      </c>
      <c r="C1352" s="4" t="s">
        <v>26</v>
      </c>
      <c r="D1352" s="4">
        <v>6120010115</v>
      </c>
      <c r="E1352" s="4" t="s">
        <v>248</v>
      </c>
      <c r="F1352" s="4" t="s">
        <v>14</v>
      </c>
      <c r="G1352" s="5">
        <v>2570938463.29</v>
      </c>
      <c r="H1352" s="5">
        <v>103215399</v>
      </c>
      <c r="I1352" s="5">
        <v>41235311</v>
      </c>
      <c r="J1352" s="5" t="s">
        <v>14</v>
      </c>
      <c r="K1352" s="5">
        <v>2632918551.29</v>
      </c>
    </row>
    <row r="1353" spans="1:11" x14ac:dyDescent="0.25">
      <c r="A1353" s="4" t="s">
        <v>11</v>
      </c>
      <c r="B1353" s="4" t="s">
        <v>1672</v>
      </c>
      <c r="C1353" s="4" t="s">
        <v>26</v>
      </c>
      <c r="D1353" s="4">
        <v>6120010130</v>
      </c>
      <c r="E1353" s="4" t="s">
        <v>1683</v>
      </c>
      <c r="F1353" s="4" t="s">
        <v>14</v>
      </c>
      <c r="G1353" s="5">
        <v>42003082</v>
      </c>
      <c r="H1353" s="5">
        <v>0</v>
      </c>
      <c r="I1353" s="5">
        <v>0</v>
      </c>
      <c r="J1353" s="5" t="s">
        <v>14</v>
      </c>
      <c r="K1353" s="5">
        <v>42003082</v>
      </c>
    </row>
    <row r="1354" spans="1:11" x14ac:dyDescent="0.25">
      <c r="A1354" s="4" t="s">
        <v>11</v>
      </c>
      <c r="B1354" s="4" t="s">
        <v>1672</v>
      </c>
      <c r="C1354" s="4" t="s">
        <v>26</v>
      </c>
      <c r="D1354" s="4">
        <v>6120010140</v>
      </c>
      <c r="E1354" s="4" t="s">
        <v>1951</v>
      </c>
      <c r="F1354" s="4" t="s">
        <v>173</v>
      </c>
      <c r="G1354" s="5">
        <v>-23782</v>
      </c>
      <c r="H1354" s="5">
        <v>0</v>
      </c>
      <c r="I1354" s="5">
        <v>0</v>
      </c>
      <c r="J1354" s="5" t="s">
        <v>173</v>
      </c>
      <c r="K1354" s="5">
        <v>-23782</v>
      </c>
    </row>
    <row r="1355" spans="1:11" x14ac:dyDescent="0.25">
      <c r="A1355" s="4" t="s">
        <v>11</v>
      </c>
      <c r="B1355" s="4" t="s">
        <v>1672</v>
      </c>
      <c r="C1355" s="4" t="s">
        <v>26</v>
      </c>
      <c r="D1355" s="4">
        <v>6120010145</v>
      </c>
      <c r="E1355" s="4" t="s">
        <v>1953</v>
      </c>
      <c r="F1355" s="4" t="s">
        <v>173</v>
      </c>
      <c r="G1355" s="5">
        <v>-1337194</v>
      </c>
      <c r="H1355" s="5">
        <v>0</v>
      </c>
      <c r="I1355" s="5">
        <v>0</v>
      </c>
      <c r="J1355" s="5" t="s">
        <v>173</v>
      </c>
      <c r="K1355" s="5">
        <v>-1337194</v>
      </c>
    </row>
    <row r="1356" spans="1:11" x14ac:dyDescent="0.25">
      <c r="A1356" s="4" t="s">
        <v>11</v>
      </c>
      <c r="B1356" s="4" t="s">
        <v>1672</v>
      </c>
      <c r="C1356" s="4" t="s">
        <v>26</v>
      </c>
      <c r="D1356" s="4">
        <v>6120010150</v>
      </c>
      <c r="E1356" s="4" t="s">
        <v>1685</v>
      </c>
      <c r="F1356" s="4" t="s">
        <v>14</v>
      </c>
      <c r="G1356" s="5">
        <v>158138</v>
      </c>
      <c r="H1356" s="5">
        <v>0</v>
      </c>
      <c r="I1356" s="5">
        <v>0</v>
      </c>
      <c r="J1356" s="5" t="s">
        <v>14</v>
      </c>
      <c r="K1356" s="5">
        <v>158138</v>
      </c>
    </row>
    <row r="1357" spans="1:11" x14ac:dyDescent="0.25">
      <c r="A1357" s="4" t="s">
        <v>11</v>
      </c>
      <c r="B1357" s="4" t="s">
        <v>1672</v>
      </c>
      <c r="C1357" s="4" t="s">
        <v>23</v>
      </c>
      <c r="D1357" s="4">
        <v>61200102</v>
      </c>
      <c r="E1357" s="4" t="s">
        <v>1100</v>
      </c>
      <c r="F1357" s="4" t="s">
        <v>14</v>
      </c>
      <c r="G1357" s="5">
        <v>462724719.94999999</v>
      </c>
      <c r="H1357" s="5">
        <v>22645295.899999999</v>
      </c>
      <c r="I1357" s="5">
        <v>1457431.97</v>
      </c>
      <c r="J1357" s="5" t="s">
        <v>14</v>
      </c>
      <c r="K1357" s="5">
        <v>483912583.88</v>
      </c>
    </row>
    <row r="1358" spans="1:11" x14ac:dyDescent="0.25">
      <c r="A1358" s="4" t="s">
        <v>11</v>
      </c>
      <c r="B1358" s="4" t="s">
        <v>1672</v>
      </c>
      <c r="C1358" s="4" t="s">
        <v>26</v>
      </c>
      <c r="D1358" s="4">
        <v>6120010205</v>
      </c>
      <c r="E1358" s="4" t="s">
        <v>1100</v>
      </c>
      <c r="F1358" s="4" t="s">
        <v>14</v>
      </c>
      <c r="G1358" s="5">
        <v>462724719.94999999</v>
      </c>
      <c r="H1358" s="5">
        <v>22645295.899999999</v>
      </c>
      <c r="I1358" s="5">
        <v>1457431.97</v>
      </c>
      <c r="J1358" s="5" t="s">
        <v>14</v>
      </c>
      <c r="K1358" s="5">
        <v>483912583.88</v>
      </c>
    </row>
    <row r="1359" spans="1:11" x14ac:dyDescent="0.25">
      <c r="A1359" s="4" t="s">
        <v>11</v>
      </c>
      <c r="B1359" s="4" t="s">
        <v>1672</v>
      </c>
      <c r="C1359" s="4" t="s">
        <v>23</v>
      </c>
      <c r="D1359" s="4">
        <v>61200103</v>
      </c>
      <c r="E1359" s="4" t="s">
        <v>1103</v>
      </c>
      <c r="F1359" s="4" t="s">
        <v>14</v>
      </c>
      <c r="G1359" s="5">
        <v>119268195.86</v>
      </c>
      <c r="H1359" s="5">
        <v>4563817</v>
      </c>
      <c r="I1359" s="5">
        <v>0</v>
      </c>
      <c r="J1359" s="5" t="s">
        <v>14</v>
      </c>
      <c r="K1359" s="5">
        <v>123832012.86</v>
      </c>
    </row>
    <row r="1360" spans="1:11" x14ac:dyDescent="0.25">
      <c r="A1360" s="4" t="s">
        <v>11</v>
      </c>
      <c r="B1360" s="4" t="s">
        <v>1672</v>
      </c>
      <c r="C1360" s="4" t="s">
        <v>26</v>
      </c>
      <c r="D1360" s="4">
        <v>6120010305</v>
      </c>
      <c r="E1360" s="4" t="s">
        <v>1105</v>
      </c>
      <c r="F1360" s="4" t="s">
        <v>14</v>
      </c>
      <c r="G1360" s="5">
        <v>197073.39</v>
      </c>
      <c r="H1360" s="5">
        <v>0</v>
      </c>
      <c r="I1360" s="5">
        <v>0</v>
      </c>
      <c r="J1360" s="5" t="s">
        <v>14</v>
      </c>
      <c r="K1360" s="5">
        <v>197073.39</v>
      </c>
    </row>
    <row r="1361" spans="1:11" x14ac:dyDescent="0.25">
      <c r="A1361" s="4" t="s">
        <v>11</v>
      </c>
      <c r="B1361" s="4" t="s">
        <v>1672</v>
      </c>
      <c r="C1361" s="4" t="s">
        <v>26</v>
      </c>
      <c r="D1361" s="4">
        <v>6120010335</v>
      </c>
      <c r="E1361" s="4" t="s">
        <v>1113</v>
      </c>
      <c r="F1361" s="4" t="s">
        <v>14</v>
      </c>
      <c r="G1361" s="5">
        <v>106397218.18000001</v>
      </c>
      <c r="H1361" s="5">
        <v>4512916</v>
      </c>
      <c r="I1361" s="5">
        <v>0</v>
      </c>
      <c r="J1361" s="5" t="s">
        <v>14</v>
      </c>
      <c r="K1361" s="5">
        <v>110910134.18000001</v>
      </c>
    </row>
    <row r="1362" spans="1:11" x14ac:dyDescent="0.25">
      <c r="A1362" s="4" t="s">
        <v>11</v>
      </c>
      <c r="B1362" s="4" t="s">
        <v>1672</v>
      </c>
      <c r="C1362" s="4" t="s">
        <v>26</v>
      </c>
      <c r="D1362" s="4">
        <v>6120010370</v>
      </c>
      <c r="E1362" s="4" t="s">
        <v>1692</v>
      </c>
      <c r="F1362" s="4" t="s">
        <v>14</v>
      </c>
      <c r="G1362" s="5">
        <v>0.39</v>
      </c>
      <c r="H1362" s="5">
        <v>0</v>
      </c>
      <c r="I1362" s="5">
        <v>0</v>
      </c>
      <c r="J1362" s="5" t="s">
        <v>14</v>
      </c>
      <c r="K1362" s="5">
        <v>0.39</v>
      </c>
    </row>
    <row r="1363" spans="1:11" x14ac:dyDescent="0.25">
      <c r="A1363" s="4" t="s">
        <v>11</v>
      </c>
      <c r="B1363" s="4" t="s">
        <v>1672</v>
      </c>
      <c r="C1363" s="4" t="s">
        <v>26</v>
      </c>
      <c r="D1363" s="4">
        <v>6120010375</v>
      </c>
      <c r="E1363" s="4" t="s">
        <v>1123</v>
      </c>
      <c r="F1363" s="4" t="s">
        <v>14</v>
      </c>
      <c r="G1363" s="5">
        <v>12860532.9</v>
      </c>
      <c r="H1363" s="5">
        <v>50901</v>
      </c>
      <c r="I1363" s="5">
        <v>0</v>
      </c>
      <c r="J1363" s="5" t="s">
        <v>14</v>
      </c>
      <c r="K1363" s="5">
        <v>12911433.9</v>
      </c>
    </row>
    <row r="1364" spans="1:11" x14ac:dyDescent="0.25">
      <c r="A1364" s="4" t="s">
        <v>11</v>
      </c>
      <c r="B1364" s="4" t="s">
        <v>1672</v>
      </c>
      <c r="C1364" s="4" t="s">
        <v>26</v>
      </c>
      <c r="D1364" s="4">
        <v>6120010380</v>
      </c>
      <c r="E1364" s="4" t="s">
        <v>1963</v>
      </c>
      <c r="F1364" s="4" t="s">
        <v>173</v>
      </c>
      <c r="G1364" s="5">
        <v>-186629</v>
      </c>
      <c r="H1364" s="5">
        <v>0</v>
      </c>
      <c r="I1364" s="5">
        <v>0</v>
      </c>
      <c r="J1364" s="5" t="s">
        <v>173</v>
      </c>
      <c r="K1364" s="5">
        <v>-186629</v>
      </c>
    </row>
    <row r="1365" spans="1:11" x14ac:dyDescent="0.25">
      <c r="A1365" s="4" t="s">
        <v>11</v>
      </c>
      <c r="B1365" s="4" t="s">
        <v>1672</v>
      </c>
      <c r="C1365" s="4" t="s">
        <v>21</v>
      </c>
      <c r="D1365" s="4">
        <v>612002</v>
      </c>
      <c r="E1365" s="4" t="s">
        <v>1125</v>
      </c>
      <c r="F1365" s="4" t="s">
        <v>14</v>
      </c>
      <c r="G1365" s="5">
        <v>6568418201.2299995</v>
      </c>
      <c r="H1365" s="5">
        <v>145354960</v>
      </c>
      <c r="I1365" s="5">
        <v>0</v>
      </c>
      <c r="J1365" s="5" t="s">
        <v>14</v>
      </c>
      <c r="K1365" s="5">
        <v>6713773161.2299995</v>
      </c>
    </row>
    <row r="1366" spans="1:11" x14ac:dyDescent="0.25">
      <c r="A1366" s="4" t="s">
        <v>11</v>
      </c>
      <c r="B1366" s="4" t="s">
        <v>1672</v>
      </c>
      <c r="C1366" s="4" t="s">
        <v>23</v>
      </c>
      <c r="D1366" s="4">
        <v>61200205</v>
      </c>
      <c r="E1366" s="4" t="s">
        <v>1127</v>
      </c>
      <c r="F1366" s="4" t="s">
        <v>14</v>
      </c>
      <c r="G1366" s="5">
        <v>3599714854.23</v>
      </c>
      <c r="H1366" s="5">
        <v>0</v>
      </c>
      <c r="I1366" s="5">
        <v>0</v>
      </c>
      <c r="J1366" s="5" t="s">
        <v>14</v>
      </c>
      <c r="K1366" s="5">
        <v>3599714854.23</v>
      </c>
    </row>
    <row r="1367" spans="1:11" x14ac:dyDescent="0.25">
      <c r="A1367" s="4" t="s">
        <v>11</v>
      </c>
      <c r="B1367" s="4" t="s">
        <v>1672</v>
      </c>
      <c r="C1367" s="4" t="s">
        <v>26</v>
      </c>
      <c r="D1367" s="4">
        <v>6120020501</v>
      </c>
      <c r="E1367" s="4" t="s">
        <v>1129</v>
      </c>
      <c r="F1367" s="4" t="s">
        <v>14</v>
      </c>
      <c r="G1367" s="5">
        <v>781507971</v>
      </c>
      <c r="H1367" s="5">
        <v>0</v>
      </c>
      <c r="I1367" s="5">
        <v>0</v>
      </c>
      <c r="J1367" s="5" t="s">
        <v>14</v>
      </c>
      <c r="K1367" s="5">
        <v>781507971</v>
      </c>
    </row>
    <row r="1368" spans="1:11" x14ac:dyDescent="0.25">
      <c r="A1368" s="4" t="s">
        <v>11</v>
      </c>
      <c r="B1368" s="4" t="s">
        <v>1672</v>
      </c>
      <c r="C1368" s="4" t="s">
        <v>26</v>
      </c>
      <c r="D1368" s="4">
        <v>6120020502</v>
      </c>
      <c r="E1368" s="4" t="s">
        <v>1131</v>
      </c>
      <c r="F1368" s="4" t="s">
        <v>14</v>
      </c>
      <c r="G1368" s="5">
        <v>1376313805</v>
      </c>
      <c r="H1368" s="5">
        <v>0</v>
      </c>
      <c r="I1368" s="5">
        <v>0</v>
      </c>
      <c r="J1368" s="5" t="s">
        <v>14</v>
      </c>
      <c r="K1368" s="5">
        <v>1376313805</v>
      </c>
    </row>
    <row r="1369" spans="1:11" x14ac:dyDescent="0.25">
      <c r="A1369" s="4" t="s">
        <v>11</v>
      </c>
      <c r="B1369" s="4" t="s">
        <v>1672</v>
      </c>
      <c r="C1369" s="4" t="s">
        <v>26</v>
      </c>
      <c r="D1369" s="4">
        <v>6120020505</v>
      </c>
      <c r="E1369" s="4" t="s">
        <v>1416</v>
      </c>
      <c r="F1369" s="4" t="s">
        <v>14</v>
      </c>
      <c r="G1369" s="5">
        <v>5324824</v>
      </c>
      <c r="H1369" s="5">
        <v>0</v>
      </c>
      <c r="I1369" s="5">
        <v>0</v>
      </c>
      <c r="J1369" s="5" t="s">
        <v>14</v>
      </c>
      <c r="K1369" s="5">
        <v>5324824</v>
      </c>
    </row>
    <row r="1370" spans="1:11" x14ac:dyDescent="0.25">
      <c r="A1370" s="4" t="s">
        <v>11</v>
      </c>
      <c r="B1370" s="4" t="s">
        <v>1672</v>
      </c>
      <c r="C1370" s="4" t="s">
        <v>26</v>
      </c>
      <c r="D1370" s="4">
        <v>6120020510</v>
      </c>
      <c r="E1370" s="4" t="s">
        <v>1315</v>
      </c>
      <c r="F1370" s="4" t="s">
        <v>14</v>
      </c>
      <c r="G1370" s="5">
        <v>44775829</v>
      </c>
      <c r="H1370" s="5">
        <v>0</v>
      </c>
      <c r="I1370" s="5">
        <v>0</v>
      </c>
      <c r="J1370" s="5" t="s">
        <v>14</v>
      </c>
      <c r="K1370" s="5">
        <v>44775829</v>
      </c>
    </row>
    <row r="1371" spans="1:11" x14ac:dyDescent="0.25">
      <c r="A1371" s="4" t="s">
        <v>11</v>
      </c>
      <c r="B1371" s="4" t="s">
        <v>1672</v>
      </c>
      <c r="C1371" s="4" t="s">
        <v>26</v>
      </c>
      <c r="D1371" s="4">
        <v>6120020511</v>
      </c>
      <c r="E1371" s="4" t="s">
        <v>1135</v>
      </c>
      <c r="F1371" s="4" t="s">
        <v>14</v>
      </c>
      <c r="G1371" s="5">
        <v>102954115</v>
      </c>
      <c r="H1371" s="5">
        <v>0</v>
      </c>
      <c r="I1371" s="5">
        <v>0</v>
      </c>
      <c r="J1371" s="5" t="s">
        <v>14</v>
      </c>
      <c r="K1371" s="5">
        <v>102954115</v>
      </c>
    </row>
    <row r="1372" spans="1:11" x14ac:dyDescent="0.25">
      <c r="A1372" s="4" t="s">
        <v>11</v>
      </c>
      <c r="B1372" s="4" t="s">
        <v>1672</v>
      </c>
      <c r="C1372" s="4" t="s">
        <v>26</v>
      </c>
      <c r="D1372" s="4">
        <v>6120020512</v>
      </c>
      <c r="E1372" s="4" t="s">
        <v>1318</v>
      </c>
      <c r="F1372" s="4" t="s">
        <v>14</v>
      </c>
      <c r="G1372" s="5">
        <v>87292299</v>
      </c>
      <c r="H1372" s="5">
        <v>0</v>
      </c>
      <c r="I1372" s="5">
        <v>0</v>
      </c>
      <c r="J1372" s="5" t="s">
        <v>14</v>
      </c>
      <c r="K1372" s="5">
        <v>87292299</v>
      </c>
    </row>
    <row r="1373" spans="1:11" x14ac:dyDescent="0.25">
      <c r="A1373" s="4" t="s">
        <v>11</v>
      </c>
      <c r="B1373" s="4" t="s">
        <v>1672</v>
      </c>
      <c r="C1373" s="4" t="s">
        <v>26</v>
      </c>
      <c r="D1373" s="4">
        <v>6120020514</v>
      </c>
      <c r="E1373" s="4" t="s">
        <v>224</v>
      </c>
      <c r="F1373" s="4" t="s">
        <v>14</v>
      </c>
      <c r="G1373" s="5">
        <v>7022551</v>
      </c>
      <c r="H1373" s="5">
        <v>0</v>
      </c>
      <c r="I1373" s="5">
        <v>0</v>
      </c>
      <c r="J1373" s="5" t="s">
        <v>14</v>
      </c>
      <c r="K1373" s="5">
        <v>7022551</v>
      </c>
    </row>
    <row r="1374" spans="1:11" x14ac:dyDescent="0.25">
      <c r="A1374" s="4" t="s">
        <v>11</v>
      </c>
      <c r="B1374" s="4" t="s">
        <v>1672</v>
      </c>
      <c r="C1374" s="4" t="s">
        <v>26</v>
      </c>
      <c r="D1374" s="4">
        <v>6120020516</v>
      </c>
      <c r="E1374" s="4" t="s">
        <v>1138</v>
      </c>
      <c r="F1374" s="4" t="s">
        <v>14</v>
      </c>
      <c r="G1374" s="5">
        <v>28485000</v>
      </c>
      <c r="H1374" s="5">
        <v>0</v>
      </c>
      <c r="I1374" s="5">
        <v>0</v>
      </c>
      <c r="J1374" s="5" t="s">
        <v>14</v>
      </c>
      <c r="K1374" s="5">
        <v>28485000</v>
      </c>
    </row>
    <row r="1375" spans="1:11" x14ac:dyDescent="0.25">
      <c r="A1375" s="4" t="s">
        <v>11</v>
      </c>
      <c r="B1375" s="4" t="s">
        <v>1672</v>
      </c>
      <c r="C1375" s="4" t="s">
        <v>26</v>
      </c>
      <c r="D1375" s="4">
        <v>6120020519</v>
      </c>
      <c r="E1375" s="4" t="s">
        <v>1425</v>
      </c>
      <c r="F1375" s="4" t="s">
        <v>14</v>
      </c>
      <c r="G1375" s="5">
        <v>7000000</v>
      </c>
      <c r="H1375" s="5">
        <v>0</v>
      </c>
      <c r="I1375" s="5">
        <v>0</v>
      </c>
      <c r="J1375" s="5" t="s">
        <v>14</v>
      </c>
      <c r="K1375" s="5">
        <v>7000000</v>
      </c>
    </row>
    <row r="1376" spans="1:11" x14ac:dyDescent="0.25">
      <c r="A1376" s="4" t="s">
        <v>11</v>
      </c>
      <c r="B1376" s="4" t="s">
        <v>1672</v>
      </c>
      <c r="C1376" s="4" t="s">
        <v>26</v>
      </c>
      <c r="D1376" s="4">
        <v>6120020520</v>
      </c>
      <c r="E1376" s="4" t="s">
        <v>1140</v>
      </c>
      <c r="F1376" s="4" t="s">
        <v>14</v>
      </c>
      <c r="G1376" s="5">
        <v>102439</v>
      </c>
      <c r="H1376" s="5">
        <v>0</v>
      </c>
      <c r="I1376" s="5">
        <v>0</v>
      </c>
      <c r="J1376" s="5" t="s">
        <v>14</v>
      </c>
      <c r="K1376" s="5">
        <v>102439</v>
      </c>
    </row>
    <row r="1377" spans="1:11" x14ac:dyDescent="0.25">
      <c r="A1377" s="4" t="s">
        <v>11</v>
      </c>
      <c r="B1377" s="4" t="s">
        <v>1672</v>
      </c>
      <c r="C1377" s="4" t="s">
        <v>26</v>
      </c>
      <c r="D1377" s="4">
        <v>6120020530</v>
      </c>
      <c r="E1377" s="4" t="s">
        <v>1142</v>
      </c>
      <c r="F1377" s="4" t="s">
        <v>14</v>
      </c>
      <c r="G1377" s="5">
        <v>143793647</v>
      </c>
      <c r="H1377" s="5">
        <v>0</v>
      </c>
      <c r="I1377" s="5">
        <v>0</v>
      </c>
      <c r="J1377" s="5" t="s">
        <v>14</v>
      </c>
      <c r="K1377" s="5">
        <v>143793647</v>
      </c>
    </row>
    <row r="1378" spans="1:11" x14ac:dyDescent="0.25">
      <c r="A1378" s="4" t="s">
        <v>11</v>
      </c>
      <c r="B1378" s="4" t="s">
        <v>1672</v>
      </c>
      <c r="C1378" s="4" t="s">
        <v>26</v>
      </c>
      <c r="D1378" s="4">
        <v>6120020531</v>
      </c>
      <c r="E1378" s="4" t="s">
        <v>673</v>
      </c>
      <c r="F1378" s="4" t="s">
        <v>14</v>
      </c>
      <c r="G1378" s="5">
        <v>17262125</v>
      </c>
      <c r="H1378" s="5">
        <v>0</v>
      </c>
      <c r="I1378" s="5">
        <v>0</v>
      </c>
      <c r="J1378" s="5" t="s">
        <v>14</v>
      </c>
      <c r="K1378" s="5">
        <v>17262125</v>
      </c>
    </row>
    <row r="1379" spans="1:11" x14ac:dyDescent="0.25">
      <c r="A1379" s="4" t="s">
        <v>11</v>
      </c>
      <c r="B1379" s="4" t="s">
        <v>1672</v>
      </c>
      <c r="C1379" s="4" t="s">
        <v>26</v>
      </c>
      <c r="D1379" s="4">
        <v>6120020532</v>
      </c>
      <c r="E1379" s="4" t="s">
        <v>675</v>
      </c>
      <c r="F1379" s="4" t="s">
        <v>14</v>
      </c>
      <c r="G1379" s="5">
        <v>144458398</v>
      </c>
      <c r="H1379" s="5">
        <v>0</v>
      </c>
      <c r="I1379" s="5">
        <v>0</v>
      </c>
      <c r="J1379" s="5" t="s">
        <v>14</v>
      </c>
      <c r="K1379" s="5">
        <v>144458398</v>
      </c>
    </row>
    <row r="1380" spans="1:11" x14ac:dyDescent="0.25">
      <c r="A1380" s="4" t="s">
        <v>11</v>
      </c>
      <c r="B1380" s="4" t="s">
        <v>1672</v>
      </c>
      <c r="C1380" s="4" t="s">
        <v>26</v>
      </c>
      <c r="D1380" s="4">
        <v>6120020533</v>
      </c>
      <c r="E1380" s="4" t="s">
        <v>1146</v>
      </c>
      <c r="F1380" s="4" t="s">
        <v>14</v>
      </c>
      <c r="G1380" s="5">
        <v>116821175.70999999</v>
      </c>
      <c r="H1380" s="5">
        <v>0</v>
      </c>
      <c r="I1380" s="5">
        <v>0</v>
      </c>
      <c r="J1380" s="5" t="s">
        <v>14</v>
      </c>
      <c r="K1380" s="5">
        <v>116821175.70999999</v>
      </c>
    </row>
    <row r="1381" spans="1:11" x14ac:dyDescent="0.25">
      <c r="A1381" s="4" t="s">
        <v>11</v>
      </c>
      <c r="B1381" s="4" t="s">
        <v>1672</v>
      </c>
      <c r="C1381" s="4" t="s">
        <v>26</v>
      </c>
      <c r="D1381" s="4">
        <v>6120020540</v>
      </c>
      <c r="E1381" s="4" t="s">
        <v>1148</v>
      </c>
      <c r="F1381" s="4" t="s">
        <v>14</v>
      </c>
      <c r="G1381" s="5">
        <v>197813914</v>
      </c>
      <c r="H1381" s="5">
        <v>0</v>
      </c>
      <c r="I1381" s="5">
        <v>0</v>
      </c>
      <c r="J1381" s="5" t="s">
        <v>14</v>
      </c>
      <c r="K1381" s="5">
        <v>197813914</v>
      </c>
    </row>
    <row r="1382" spans="1:11" x14ac:dyDescent="0.25">
      <c r="A1382" s="4" t="s">
        <v>11</v>
      </c>
      <c r="B1382" s="4" t="s">
        <v>1672</v>
      </c>
      <c r="C1382" s="4" t="s">
        <v>26</v>
      </c>
      <c r="D1382" s="4">
        <v>6120020541</v>
      </c>
      <c r="E1382" s="4" t="s">
        <v>1150</v>
      </c>
      <c r="F1382" s="4" t="s">
        <v>14</v>
      </c>
      <c r="G1382" s="5">
        <v>279871187</v>
      </c>
      <c r="H1382" s="5">
        <v>0</v>
      </c>
      <c r="I1382" s="5">
        <v>0</v>
      </c>
      <c r="J1382" s="5" t="s">
        <v>14</v>
      </c>
      <c r="K1382" s="5">
        <v>279871187</v>
      </c>
    </row>
    <row r="1383" spans="1:11" x14ac:dyDescent="0.25">
      <c r="A1383" s="4" t="s">
        <v>11</v>
      </c>
      <c r="B1383" s="4" t="s">
        <v>1672</v>
      </c>
      <c r="C1383" s="4" t="s">
        <v>26</v>
      </c>
      <c r="D1383" s="4">
        <v>6120020542</v>
      </c>
      <c r="E1383" s="4" t="s">
        <v>1152</v>
      </c>
      <c r="F1383" s="4" t="s">
        <v>14</v>
      </c>
      <c r="G1383" s="5">
        <v>52172071</v>
      </c>
      <c r="H1383" s="5">
        <v>0</v>
      </c>
      <c r="I1383" s="5">
        <v>0</v>
      </c>
      <c r="J1383" s="5" t="s">
        <v>14</v>
      </c>
      <c r="K1383" s="5">
        <v>52172071</v>
      </c>
    </row>
    <row r="1384" spans="1:11" x14ac:dyDescent="0.25">
      <c r="A1384" s="4" t="s">
        <v>11</v>
      </c>
      <c r="B1384" s="4" t="s">
        <v>1672</v>
      </c>
      <c r="C1384" s="4" t="s">
        <v>26</v>
      </c>
      <c r="D1384" s="4">
        <v>6120020550</v>
      </c>
      <c r="E1384" s="4" t="s">
        <v>1154</v>
      </c>
      <c r="F1384" s="4" t="s">
        <v>14</v>
      </c>
      <c r="G1384" s="5">
        <v>91883018.519999996</v>
      </c>
      <c r="H1384" s="5">
        <v>0</v>
      </c>
      <c r="I1384" s="5">
        <v>0</v>
      </c>
      <c r="J1384" s="5" t="s">
        <v>14</v>
      </c>
      <c r="K1384" s="5">
        <v>91883018.519999996</v>
      </c>
    </row>
    <row r="1385" spans="1:11" x14ac:dyDescent="0.25">
      <c r="A1385" s="4" t="s">
        <v>11</v>
      </c>
      <c r="B1385" s="4" t="s">
        <v>1672</v>
      </c>
      <c r="C1385" s="4" t="s">
        <v>26</v>
      </c>
      <c r="D1385" s="4">
        <v>6120020551</v>
      </c>
      <c r="E1385" s="4" t="s">
        <v>1156</v>
      </c>
      <c r="F1385" s="4" t="s">
        <v>14</v>
      </c>
      <c r="G1385" s="5">
        <v>68913809</v>
      </c>
      <c r="H1385" s="5">
        <v>0</v>
      </c>
      <c r="I1385" s="5">
        <v>0</v>
      </c>
      <c r="J1385" s="5" t="s">
        <v>14</v>
      </c>
      <c r="K1385" s="5">
        <v>68913809</v>
      </c>
    </row>
    <row r="1386" spans="1:11" x14ac:dyDescent="0.25">
      <c r="A1386" s="4" t="s">
        <v>11</v>
      </c>
      <c r="B1386" s="4" t="s">
        <v>1672</v>
      </c>
      <c r="C1386" s="4" t="s">
        <v>26</v>
      </c>
      <c r="D1386" s="4">
        <v>6120020552</v>
      </c>
      <c r="E1386" s="4" t="s">
        <v>1158</v>
      </c>
      <c r="F1386" s="4" t="s">
        <v>14</v>
      </c>
      <c r="G1386" s="5">
        <v>45946676</v>
      </c>
      <c r="H1386" s="5">
        <v>0</v>
      </c>
      <c r="I1386" s="5">
        <v>0</v>
      </c>
      <c r="J1386" s="5" t="s">
        <v>14</v>
      </c>
      <c r="K1386" s="5">
        <v>45946676</v>
      </c>
    </row>
    <row r="1387" spans="1:11" x14ac:dyDescent="0.25">
      <c r="A1387" s="4" t="s">
        <v>11</v>
      </c>
      <c r="B1387" s="4" t="s">
        <v>1672</v>
      </c>
      <c r="C1387" s="4" t="s">
        <v>23</v>
      </c>
      <c r="D1387" s="4">
        <v>61200210</v>
      </c>
      <c r="E1387" s="4" t="s">
        <v>1160</v>
      </c>
      <c r="F1387" s="4" t="s">
        <v>14</v>
      </c>
      <c r="G1387" s="5">
        <v>11540144</v>
      </c>
      <c r="H1387" s="5">
        <v>0</v>
      </c>
      <c r="I1387" s="5">
        <v>0</v>
      </c>
      <c r="J1387" s="5" t="s">
        <v>14</v>
      </c>
      <c r="K1387" s="5">
        <v>11540144</v>
      </c>
    </row>
    <row r="1388" spans="1:11" x14ac:dyDescent="0.25">
      <c r="A1388" s="4" t="s">
        <v>11</v>
      </c>
      <c r="B1388" s="4" t="s">
        <v>1672</v>
      </c>
      <c r="C1388" s="4" t="s">
        <v>26</v>
      </c>
      <c r="D1388" s="4">
        <v>6120021005</v>
      </c>
      <c r="E1388" s="4" t="s">
        <v>1162</v>
      </c>
      <c r="F1388" s="4" t="s">
        <v>14</v>
      </c>
      <c r="G1388" s="5">
        <v>9697600</v>
      </c>
      <c r="H1388" s="5">
        <v>0</v>
      </c>
      <c r="I1388" s="5">
        <v>0</v>
      </c>
      <c r="J1388" s="5" t="s">
        <v>14</v>
      </c>
      <c r="K1388" s="5">
        <v>9697600</v>
      </c>
    </row>
    <row r="1389" spans="1:11" x14ac:dyDescent="0.25">
      <c r="A1389" s="4" t="s">
        <v>11</v>
      </c>
      <c r="B1389" s="4" t="s">
        <v>1672</v>
      </c>
      <c r="C1389" s="4" t="s">
        <v>26</v>
      </c>
      <c r="D1389" s="4">
        <v>6120021040</v>
      </c>
      <c r="E1389" s="4" t="s">
        <v>1172</v>
      </c>
      <c r="F1389" s="4" t="s">
        <v>14</v>
      </c>
      <c r="G1389" s="5">
        <v>1842544</v>
      </c>
      <c r="H1389" s="5">
        <v>0</v>
      </c>
      <c r="I1389" s="5">
        <v>0</v>
      </c>
      <c r="J1389" s="5" t="s">
        <v>14</v>
      </c>
      <c r="K1389" s="5">
        <v>1842544</v>
      </c>
    </row>
    <row r="1390" spans="1:11" x14ac:dyDescent="0.25">
      <c r="A1390" s="4" t="s">
        <v>11</v>
      </c>
      <c r="B1390" s="4" t="s">
        <v>1672</v>
      </c>
      <c r="C1390" s="4" t="s">
        <v>23</v>
      </c>
      <c r="D1390" s="4">
        <v>61200215</v>
      </c>
      <c r="E1390" s="4" t="s">
        <v>1445</v>
      </c>
      <c r="F1390" s="4" t="s">
        <v>14</v>
      </c>
      <c r="G1390" s="5">
        <v>2957163203</v>
      </c>
      <c r="H1390" s="5">
        <v>145354960</v>
      </c>
      <c r="I1390" s="5">
        <v>0</v>
      </c>
      <c r="J1390" s="5" t="s">
        <v>14</v>
      </c>
      <c r="K1390" s="5">
        <v>3102518163</v>
      </c>
    </row>
    <row r="1391" spans="1:11" x14ac:dyDescent="0.25">
      <c r="A1391" s="4" t="s">
        <v>11</v>
      </c>
      <c r="B1391" s="4" t="s">
        <v>1672</v>
      </c>
      <c r="C1391" s="4" t="s">
        <v>26</v>
      </c>
      <c r="D1391" s="4">
        <v>6120021505</v>
      </c>
      <c r="E1391" s="4" t="s">
        <v>554</v>
      </c>
      <c r="F1391" s="4" t="s">
        <v>14</v>
      </c>
      <c r="G1391" s="5">
        <v>2950513055</v>
      </c>
      <c r="H1391" s="5">
        <v>145354960</v>
      </c>
      <c r="I1391" s="5">
        <v>0</v>
      </c>
      <c r="J1391" s="5" t="s">
        <v>14</v>
      </c>
      <c r="K1391" s="5">
        <v>3095868015</v>
      </c>
    </row>
    <row r="1392" spans="1:11" x14ac:dyDescent="0.25">
      <c r="A1392" s="4" t="s">
        <v>11</v>
      </c>
      <c r="B1392" s="4" t="s">
        <v>1672</v>
      </c>
      <c r="C1392" s="4" t="s">
        <v>26</v>
      </c>
      <c r="D1392" s="4">
        <v>6120021510</v>
      </c>
      <c r="E1392" s="4" t="s">
        <v>1447</v>
      </c>
      <c r="F1392" s="4" t="s">
        <v>14</v>
      </c>
      <c r="G1392" s="5">
        <v>6650148</v>
      </c>
      <c r="H1392" s="5">
        <v>0</v>
      </c>
      <c r="I1392" s="5">
        <v>0</v>
      </c>
      <c r="J1392" s="5" t="s">
        <v>14</v>
      </c>
      <c r="K1392" s="5">
        <v>6650148</v>
      </c>
    </row>
    <row r="1393" spans="1:11" x14ac:dyDescent="0.25">
      <c r="A1393" s="4" t="s">
        <v>11</v>
      </c>
      <c r="B1393" s="4" t="s">
        <v>1672</v>
      </c>
      <c r="C1393" s="4" t="s">
        <v>21</v>
      </c>
      <c r="D1393" s="4">
        <v>612003</v>
      </c>
      <c r="E1393" s="4" t="s">
        <v>1720</v>
      </c>
      <c r="F1393" s="4" t="s">
        <v>14</v>
      </c>
      <c r="G1393" s="5">
        <v>569559918.08000004</v>
      </c>
      <c r="H1393" s="5">
        <v>25738976.48</v>
      </c>
      <c r="I1393" s="5">
        <v>0</v>
      </c>
      <c r="J1393" s="5" t="s">
        <v>14</v>
      </c>
      <c r="K1393" s="5">
        <v>595298894.55999994</v>
      </c>
    </row>
    <row r="1394" spans="1:11" x14ac:dyDescent="0.25">
      <c r="A1394" s="4" t="s">
        <v>11</v>
      </c>
      <c r="B1394" s="4" t="s">
        <v>1672</v>
      </c>
      <c r="C1394" s="4" t="s">
        <v>23</v>
      </c>
      <c r="D1394" s="4">
        <v>61200315</v>
      </c>
      <c r="E1394" s="4" t="s">
        <v>1189</v>
      </c>
      <c r="F1394" s="4" t="s">
        <v>14</v>
      </c>
      <c r="G1394" s="5">
        <v>5154935</v>
      </c>
      <c r="H1394" s="5">
        <v>1030987</v>
      </c>
      <c r="I1394" s="5">
        <v>0</v>
      </c>
      <c r="J1394" s="5" t="s">
        <v>14</v>
      </c>
      <c r="K1394" s="5">
        <v>6185922</v>
      </c>
    </row>
    <row r="1395" spans="1:11" x14ac:dyDescent="0.25">
      <c r="A1395" s="4" t="s">
        <v>11</v>
      </c>
      <c r="B1395" s="4" t="s">
        <v>1672</v>
      </c>
      <c r="C1395" s="4" t="s">
        <v>26</v>
      </c>
      <c r="D1395" s="4">
        <v>6120031510</v>
      </c>
      <c r="E1395" s="4" t="s">
        <v>439</v>
      </c>
      <c r="F1395" s="4" t="s">
        <v>14</v>
      </c>
      <c r="G1395" s="5">
        <v>5154935</v>
      </c>
      <c r="H1395" s="5">
        <v>1030987</v>
      </c>
      <c r="I1395" s="5">
        <v>0</v>
      </c>
      <c r="J1395" s="5" t="s">
        <v>14</v>
      </c>
      <c r="K1395" s="5">
        <v>6185922</v>
      </c>
    </row>
    <row r="1396" spans="1:11" x14ac:dyDescent="0.25">
      <c r="A1396" s="4" t="s">
        <v>11</v>
      </c>
      <c r="B1396" s="4" t="s">
        <v>1672</v>
      </c>
      <c r="C1396" s="4" t="s">
        <v>23</v>
      </c>
      <c r="D1396" s="4">
        <v>61200320</v>
      </c>
      <c r="E1396" s="4" t="s">
        <v>227</v>
      </c>
      <c r="F1396" s="4" t="s">
        <v>14</v>
      </c>
      <c r="G1396" s="5">
        <v>132109709</v>
      </c>
      <c r="H1396" s="5">
        <v>16128174</v>
      </c>
      <c r="I1396" s="5">
        <v>0</v>
      </c>
      <c r="J1396" s="5" t="s">
        <v>14</v>
      </c>
      <c r="K1396" s="5">
        <v>148237883</v>
      </c>
    </row>
    <row r="1397" spans="1:11" x14ac:dyDescent="0.25">
      <c r="A1397" s="4" t="s">
        <v>11</v>
      </c>
      <c r="B1397" s="4" t="s">
        <v>1672</v>
      </c>
      <c r="C1397" s="4" t="s">
        <v>26</v>
      </c>
      <c r="D1397" s="4">
        <v>6120032005</v>
      </c>
      <c r="E1397" s="4" t="s">
        <v>1997</v>
      </c>
      <c r="F1397" s="4" t="s">
        <v>14</v>
      </c>
      <c r="G1397" s="5">
        <v>107905852</v>
      </c>
      <c r="H1397" s="5">
        <v>12993586</v>
      </c>
      <c r="I1397" s="5">
        <v>0</v>
      </c>
      <c r="J1397" s="5" t="s">
        <v>14</v>
      </c>
      <c r="K1397" s="5">
        <v>120899438</v>
      </c>
    </row>
    <row r="1398" spans="1:11" x14ac:dyDescent="0.25">
      <c r="A1398" s="4" t="s">
        <v>11</v>
      </c>
      <c r="B1398" s="4" t="s">
        <v>1672</v>
      </c>
      <c r="C1398" s="4" t="s">
        <v>26</v>
      </c>
      <c r="D1398" s="4">
        <v>6120032010</v>
      </c>
      <c r="E1398" s="4" t="s">
        <v>1195</v>
      </c>
      <c r="F1398" s="4" t="s">
        <v>14</v>
      </c>
      <c r="G1398" s="5">
        <v>8681418</v>
      </c>
      <c r="H1398" s="5">
        <v>0</v>
      </c>
      <c r="I1398" s="5">
        <v>0</v>
      </c>
      <c r="J1398" s="5" t="s">
        <v>14</v>
      </c>
      <c r="K1398" s="5">
        <v>8681418</v>
      </c>
    </row>
    <row r="1399" spans="1:11" x14ac:dyDescent="0.25">
      <c r="A1399" s="4" t="s">
        <v>11</v>
      </c>
      <c r="B1399" s="4" t="s">
        <v>1672</v>
      </c>
      <c r="C1399" s="4" t="s">
        <v>26</v>
      </c>
      <c r="D1399" s="4">
        <v>6120032015</v>
      </c>
      <c r="E1399" s="4" t="s">
        <v>1461</v>
      </c>
      <c r="F1399" s="4" t="s">
        <v>14</v>
      </c>
      <c r="G1399" s="5">
        <v>6602146</v>
      </c>
      <c r="H1399" s="5">
        <v>559502</v>
      </c>
      <c r="I1399" s="5">
        <v>0</v>
      </c>
      <c r="J1399" s="5" t="s">
        <v>14</v>
      </c>
      <c r="K1399" s="5">
        <v>7161648</v>
      </c>
    </row>
    <row r="1400" spans="1:11" x14ac:dyDescent="0.25">
      <c r="A1400" s="4" t="s">
        <v>11</v>
      </c>
      <c r="B1400" s="4" t="s">
        <v>1672</v>
      </c>
      <c r="C1400" s="4" t="s">
        <v>26</v>
      </c>
      <c r="D1400" s="4">
        <v>6120032035</v>
      </c>
      <c r="E1400" s="4" t="s">
        <v>2001</v>
      </c>
      <c r="F1400" s="4" t="s">
        <v>14</v>
      </c>
      <c r="G1400" s="5">
        <v>6016415</v>
      </c>
      <c r="H1400" s="5">
        <v>2468781</v>
      </c>
      <c r="I1400" s="5">
        <v>0</v>
      </c>
      <c r="J1400" s="5" t="s">
        <v>14</v>
      </c>
      <c r="K1400" s="5">
        <v>8485196</v>
      </c>
    </row>
    <row r="1401" spans="1:11" x14ac:dyDescent="0.25">
      <c r="A1401" s="4" t="s">
        <v>11</v>
      </c>
      <c r="B1401" s="4" t="s">
        <v>1672</v>
      </c>
      <c r="C1401" s="4" t="s">
        <v>26</v>
      </c>
      <c r="D1401" s="4">
        <v>6120032040</v>
      </c>
      <c r="E1401" s="4" t="s">
        <v>1463</v>
      </c>
      <c r="F1401" s="4" t="s">
        <v>14</v>
      </c>
      <c r="G1401" s="5">
        <v>1254409</v>
      </c>
      <c r="H1401" s="5">
        <v>106305</v>
      </c>
      <c r="I1401" s="5">
        <v>0</v>
      </c>
      <c r="J1401" s="5" t="s">
        <v>14</v>
      </c>
      <c r="K1401" s="5">
        <v>1360714</v>
      </c>
    </row>
    <row r="1402" spans="1:11" x14ac:dyDescent="0.25">
      <c r="A1402" s="4" t="s">
        <v>11</v>
      </c>
      <c r="B1402" s="4" t="s">
        <v>1672</v>
      </c>
      <c r="C1402" s="4" t="s">
        <v>26</v>
      </c>
      <c r="D1402" s="4">
        <v>6120032045</v>
      </c>
      <c r="E1402" s="4" t="s">
        <v>1197</v>
      </c>
      <c r="F1402" s="4" t="s">
        <v>14</v>
      </c>
      <c r="G1402" s="5">
        <v>1649469</v>
      </c>
      <c r="H1402" s="5">
        <v>0</v>
      </c>
      <c r="I1402" s="5">
        <v>0</v>
      </c>
      <c r="J1402" s="5" t="s">
        <v>14</v>
      </c>
      <c r="K1402" s="5">
        <v>1649469</v>
      </c>
    </row>
    <row r="1403" spans="1:11" x14ac:dyDescent="0.25">
      <c r="A1403" s="4" t="s">
        <v>11</v>
      </c>
      <c r="B1403" s="4" t="s">
        <v>1672</v>
      </c>
      <c r="C1403" s="4" t="s">
        <v>23</v>
      </c>
      <c r="D1403" s="4">
        <v>61200330</v>
      </c>
      <c r="E1403" s="4" t="s">
        <v>437</v>
      </c>
      <c r="F1403" s="4" t="s">
        <v>14</v>
      </c>
      <c r="G1403" s="5">
        <v>53920950</v>
      </c>
      <c r="H1403" s="5">
        <v>0</v>
      </c>
      <c r="I1403" s="5">
        <v>0</v>
      </c>
      <c r="J1403" s="5" t="s">
        <v>14</v>
      </c>
      <c r="K1403" s="5">
        <v>53920950</v>
      </c>
    </row>
    <row r="1404" spans="1:11" x14ac:dyDescent="0.25">
      <c r="A1404" s="4" t="s">
        <v>11</v>
      </c>
      <c r="B1404" s="4" t="s">
        <v>1672</v>
      </c>
      <c r="C1404" s="4" t="s">
        <v>26</v>
      </c>
      <c r="D1404" s="4">
        <v>6120033010</v>
      </c>
      <c r="E1404" s="4" t="s">
        <v>1212</v>
      </c>
      <c r="F1404" s="4" t="s">
        <v>14</v>
      </c>
      <c r="G1404" s="5">
        <v>12012280</v>
      </c>
      <c r="H1404" s="5">
        <v>0</v>
      </c>
      <c r="I1404" s="5">
        <v>0</v>
      </c>
      <c r="J1404" s="5" t="s">
        <v>14</v>
      </c>
      <c r="K1404" s="5">
        <v>12012280</v>
      </c>
    </row>
    <row r="1405" spans="1:11" x14ac:dyDescent="0.25">
      <c r="A1405" s="4" t="s">
        <v>11</v>
      </c>
      <c r="B1405" s="4" t="s">
        <v>1672</v>
      </c>
      <c r="C1405" s="4" t="s">
        <v>26</v>
      </c>
      <c r="D1405" s="4">
        <v>6120033015</v>
      </c>
      <c r="E1405" s="4" t="s">
        <v>1214</v>
      </c>
      <c r="F1405" s="4" t="s">
        <v>14</v>
      </c>
      <c r="G1405" s="5">
        <v>41908670</v>
      </c>
      <c r="H1405" s="5">
        <v>0</v>
      </c>
      <c r="I1405" s="5">
        <v>0</v>
      </c>
      <c r="J1405" s="5" t="s">
        <v>14</v>
      </c>
      <c r="K1405" s="5">
        <v>41908670</v>
      </c>
    </row>
    <row r="1406" spans="1:11" x14ac:dyDescent="0.25">
      <c r="A1406" s="4" t="s">
        <v>11</v>
      </c>
      <c r="B1406" s="4" t="s">
        <v>1672</v>
      </c>
      <c r="C1406" s="4" t="s">
        <v>23</v>
      </c>
      <c r="D1406" s="4">
        <v>61200335</v>
      </c>
      <c r="E1406" s="4" t="s">
        <v>566</v>
      </c>
      <c r="F1406" s="4" t="s">
        <v>14</v>
      </c>
      <c r="G1406" s="5">
        <v>39747793.630000003</v>
      </c>
      <c r="H1406" s="5">
        <v>3795068.48</v>
      </c>
      <c r="I1406" s="5">
        <v>0</v>
      </c>
      <c r="J1406" s="5" t="s">
        <v>14</v>
      </c>
      <c r="K1406" s="5">
        <v>43542862.109999999</v>
      </c>
    </row>
    <row r="1407" spans="1:11" x14ac:dyDescent="0.25">
      <c r="A1407" s="4" t="s">
        <v>11</v>
      </c>
      <c r="B1407" s="4" t="s">
        <v>1672</v>
      </c>
      <c r="C1407" s="4" t="s">
        <v>26</v>
      </c>
      <c r="D1407" s="4">
        <v>6120033505</v>
      </c>
      <c r="E1407" s="4" t="s">
        <v>1219</v>
      </c>
      <c r="F1407" s="4" t="s">
        <v>14</v>
      </c>
      <c r="G1407" s="5">
        <v>6666216.7400000002</v>
      </c>
      <c r="H1407" s="5">
        <v>480827.07</v>
      </c>
      <c r="I1407" s="5">
        <v>0</v>
      </c>
      <c r="J1407" s="5" t="s">
        <v>14</v>
      </c>
      <c r="K1407" s="5">
        <v>7147043.8099999996</v>
      </c>
    </row>
    <row r="1408" spans="1:11" x14ac:dyDescent="0.25">
      <c r="A1408" s="4" t="s">
        <v>11</v>
      </c>
      <c r="B1408" s="4" t="s">
        <v>1672</v>
      </c>
      <c r="C1408" s="4" t="s">
        <v>26</v>
      </c>
      <c r="D1408" s="4">
        <v>6120033510</v>
      </c>
      <c r="E1408" s="4" t="s">
        <v>1221</v>
      </c>
      <c r="F1408" s="4" t="s">
        <v>14</v>
      </c>
      <c r="G1408" s="5">
        <v>1951778.18</v>
      </c>
      <c r="H1408" s="5">
        <v>213196.91</v>
      </c>
      <c r="I1408" s="5">
        <v>0</v>
      </c>
      <c r="J1408" s="5" t="s">
        <v>14</v>
      </c>
      <c r="K1408" s="5">
        <v>2164975.09</v>
      </c>
    </row>
    <row r="1409" spans="1:11" x14ac:dyDescent="0.25">
      <c r="A1409" s="4" t="s">
        <v>11</v>
      </c>
      <c r="B1409" s="4" t="s">
        <v>1672</v>
      </c>
      <c r="C1409" s="4" t="s">
        <v>26</v>
      </c>
      <c r="D1409" s="4">
        <v>6120033520</v>
      </c>
      <c r="E1409" s="4" t="s">
        <v>1225</v>
      </c>
      <c r="F1409" s="4" t="s">
        <v>14</v>
      </c>
      <c r="G1409" s="5">
        <v>25611637.539999999</v>
      </c>
      <c r="H1409" s="5">
        <v>2503740.87</v>
      </c>
      <c r="I1409" s="5">
        <v>0</v>
      </c>
      <c r="J1409" s="5" t="s">
        <v>14</v>
      </c>
      <c r="K1409" s="5">
        <v>28115378.41</v>
      </c>
    </row>
    <row r="1410" spans="1:11" x14ac:dyDescent="0.25">
      <c r="A1410" s="4" t="s">
        <v>11</v>
      </c>
      <c r="B1410" s="4" t="s">
        <v>1672</v>
      </c>
      <c r="C1410" s="4" t="s">
        <v>26</v>
      </c>
      <c r="D1410" s="4">
        <v>6120033525</v>
      </c>
      <c r="E1410" s="4" t="s">
        <v>1227</v>
      </c>
      <c r="F1410" s="4" t="s">
        <v>14</v>
      </c>
      <c r="G1410" s="5">
        <v>2457936.0499999998</v>
      </c>
      <c r="H1410" s="5">
        <v>284689.28000000003</v>
      </c>
      <c r="I1410" s="5">
        <v>0</v>
      </c>
      <c r="J1410" s="5" t="s">
        <v>14</v>
      </c>
      <c r="K1410" s="5">
        <v>2742625.33</v>
      </c>
    </row>
    <row r="1411" spans="1:11" x14ac:dyDescent="0.25">
      <c r="A1411" s="4" t="s">
        <v>11</v>
      </c>
      <c r="B1411" s="4" t="s">
        <v>1672</v>
      </c>
      <c r="C1411" s="4" t="s">
        <v>26</v>
      </c>
      <c r="D1411" s="4">
        <v>6120033530</v>
      </c>
      <c r="E1411" s="4" t="s">
        <v>1229</v>
      </c>
      <c r="F1411" s="4" t="s">
        <v>14</v>
      </c>
      <c r="G1411" s="5">
        <v>495958.1</v>
      </c>
      <c r="H1411" s="5">
        <v>50861.57</v>
      </c>
      <c r="I1411" s="5">
        <v>0</v>
      </c>
      <c r="J1411" s="5" t="s">
        <v>14</v>
      </c>
      <c r="K1411" s="5">
        <v>546819.67000000004</v>
      </c>
    </row>
    <row r="1412" spans="1:11" x14ac:dyDescent="0.25">
      <c r="A1412" s="4" t="s">
        <v>11</v>
      </c>
      <c r="B1412" s="4" t="s">
        <v>1672</v>
      </c>
      <c r="C1412" s="4" t="s">
        <v>26</v>
      </c>
      <c r="D1412" s="4">
        <v>6120033535</v>
      </c>
      <c r="E1412" s="4" t="s">
        <v>1231</v>
      </c>
      <c r="F1412" s="4" t="s">
        <v>14</v>
      </c>
      <c r="G1412" s="5">
        <v>1655527</v>
      </c>
      <c r="H1412" s="5">
        <v>164673</v>
      </c>
      <c r="I1412" s="5">
        <v>0</v>
      </c>
      <c r="J1412" s="5" t="s">
        <v>14</v>
      </c>
      <c r="K1412" s="5">
        <v>1820200</v>
      </c>
    </row>
    <row r="1413" spans="1:11" x14ac:dyDescent="0.25">
      <c r="A1413" s="4" t="s">
        <v>11</v>
      </c>
      <c r="B1413" s="4" t="s">
        <v>1672</v>
      </c>
      <c r="C1413" s="4" t="s">
        <v>26</v>
      </c>
      <c r="D1413" s="4">
        <v>6120033550</v>
      </c>
      <c r="E1413" s="4" t="s">
        <v>1233</v>
      </c>
      <c r="F1413" s="4" t="s">
        <v>14</v>
      </c>
      <c r="G1413" s="5">
        <v>476582.40000000002</v>
      </c>
      <c r="H1413" s="5">
        <v>54231.02</v>
      </c>
      <c r="I1413" s="5">
        <v>0</v>
      </c>
      <c r="J1413" s="5" t="s">
        <v>14</v>
      </c>
      <c r="K1413" s="5">
        <v>530813.42000000004</v>
      </c>
    </row>
    <row r="1414" spans="1:11" x14ac:dyDescent="0.25">
      <c r="A1414" s="4" t="s">
        <v>11</v>
      </c>
      <c r="B1414" s="4" t="s">
        <v>1672</v>
      </c>
      <c r="C1414" s="4" t="s">
        <v>26</v>
      </c>
      <c r="D1414" s="4">
        <v>6120033560</v>
      </c>
      <c r="E1414" s="4" t="s">
        <v>1235</v>
      </c>
      <c r="F1414" s="4" t="s">
        <v>14</v>
      </c>
      <c r="G1414" s="5">
        <v>97911.62</v>
      </c>
      <c r="H1414" s="5">
        <v>9604.76</v>
      </c>
      <c r="I1414" s="5">
        <v>0</v>
      </c>
      <c r="J1414" s="5" t="s">
        <v>14</v>
      </c>
      <c r="K1414" s="5">
        <v>107516.38</v>
      </c>
    </row>
    <row r="1415" spans="1:11" x14ac:dyDescent="0.25">
      <c r="A1415" s="4" t="s">
        <v>11</v>
      </c>
      <c r="B1415" s="4" t="s">
        <v>1672</v>
      </c>
      <c r="C1415" s="4" t="s">
        <v>26</v>
      </c>
      <c r="D1415" s="4">
        <v>6120033565</v>
      </c>
      <c r="E1415" s="4" t="s">
        <v>1237</v>
      </c>
      <c r="F1415" s="4" t="s">
        <v>14</v>
      </c>
      <c r="G1415" s="5">
        <v>334246</v>
      </c>
      <c r="H1415" s="5">
        <v>33244</v>
      </c>
      <c r="I1415" s="5">
        <v>0</v>
      </c>
      <c r="J1415" s="5" t="s">
        <v>14</v>
      </c>
      <c r="K1415" s="5">
        <v>367490</v>
      </c>
    </row>
    <row r="1416" spans="1:11" x14ac:dyDescent="0.25">
      <c r="A1416" s="4" t="s">
        <v>11</v>
      </c>
      <c r="B1416" s="4" t="s">
        <v>1672</v>
      </c>
      <c r="C1416" s="4" t="s">
        <v>23</v>
      </c>
      <c r="D1416" s="4">
        <v>61200336</v>
      </c>
      <c r="E1416" s="4" t="s">
        <v>1239</v>
      </c>
      <c r="F1416" s="4" t="s">
        <v>14</v>
      </c>
      <c r="G1416" s="5">
        <v>1267316</v>
      </c>
      <c r="H1416" s="5">
        <v>0</v>
      </c>
      <c r="I1416" s="5">
        <v>0</v>
      </c>
      <c r="J1416" s="5" t="s">
        <v>14</v>
      </c>
      <c r="K1416" s="5">
        <v>1267316</v>
      </c>
    </row>
    <row r="1417" spans="1:11" x14ac:dyDescent="0.25">
      <c r="A1417" s="4" t="s">
        <v>11</v>
      </c>
      <c r="B1417" s="4" t="s">
        <v>1672</v>
      </c>
      <c r="C1417" s="4" t="s">
        <v>26</v>
      </c>
      <c r="D1417" s="4">
        <v>6120033640</v>
      </c>
      <c r="E1417" s="4" t="s">
        <v>1239</v>
      </c>
      <c r="F1417" s="4" t="s">
        <v>14</v>
      </c>
      <c r="G1417" s="5">
        <v>1267316</v>
      </c>
      <c r="H1417" s="5">
        <v>0</v>
      </c>
      <c r="I1417" s="5">
        <v>0</v>
      </c>
      <c r="J1417" s="5" t="s">
        <v>14</v>
      </c>
      <c r="K1417" s="5">
        <v>1267316</v>
      </c>
    </row>
    <row r="1418" spans="1:11" x14ac:dyDescent="0.25">
      <c r="A1418" s="4" t="s">
        <v>11</v>
      </c>
      <c r="B1418" s="4" t="s">
        <v>1672</v>
      </c>
      <c r="C1418" s="4" t="s">
        <v>23</v>
      </c>
      <c r="D1418" s="4">
        <v>61200345</v>
      </c>
      <c r="E1418" s="4" t="s">
        <v>1257</v>
      </c>
      <c r="F1418" s="4" t="s">
        <v>14</v>
      </c>
      <c r="G1418" s="5">
        <v>126753686</v>
      </c>
      <c r="H1418" s="5">
        <v>2083541</v>
      </c>
      <c r="I1418" s="5">
        <v>0</v>
      </c>
      <c r="J1418" s="5" t="s">
        <v>14</v>
      </c>
      <c r="K1418" s="5">
        <v>128837227</v>
      </c>
    </row>
    <row r="1419" spans="1:11" x14ac:dyDescent="0.25">
      <c r="A1419" s="4" t="s">
        <v>11</v>
      </c>
      <c r="B1419" s="4" t="s">
        <v>1672</v>
      </c>
      <c r="C1419" s="4" t="s">
        <v>26</v>
      </c>
      <c r="D1419" s="4">
        <v>6120034525</v>
      </c>
      <c r="E1419" s="4" t="s">
        <v>1820</v>
      </c>
      <c r="F1419" s="4" t="s">
        <v>14</v>
      </c>
      <c r="G1419" s="5">
        <v>107408410</v>
      </c>
      <c r="H1419" s="5">
        <v>2083541</v>
      </c>
      <c r="I1419" s="5">
        <v>0</v>
      </c>
      <c r="J1419" s="5" t="s">
        <v>14</v>
      </c>
      <c r="K1419" s="5">
        <v>109491951</v>
      </c>
    </row>
    <row r="1420" spans="1:11" x14ac:dyDescent="0.25">
      <c r="A1420" s="4" t="s">
        <v>11</v>
      </c>
      <c r="B1420" s="4" t="s">
        <v>1672</v>
      </c>
      <c r="C1420" s="4" t="s">
        <v>26</v>
      </c>
      <c r="D1420" s="4">
        <v>6120034535</v>
      </c>
      <c r="E1420" s="4" t="s">
        <v>1743</v>
      </c>
      <c r="F1420" s="4" t="s">
        <v>14</v>
      </c>
      <c r="G1420" s="5">
        <v>220000</v>
      </c>
      <c r="H1420" s="5">
        <v>0</v>
      </c>
      <c r="I1420" s="5">
        <v>0</v>
      </c>
      <c r="J1420" s="5" t="s">
        <v>14</v>
      </c>
      <c r="K1420" s="5">
        <v>220000</v>
      </c>
    </row>
    <row r="1421" spans="1:11" x14ac:dyDescent="0.25">
      <c r="A1421" s="4" t="s">
        <v>11</v>
      </c>
      <c r="B1421" s="4" t="s">
        <v>1672</v>
      </c>
      <c r="C1421" s="4" t="s">
        <v>26</v>
      </c>
      <c r="D1421" s="4">
        <v>6120034540</v>
      </c>
      <c r="E1421" s="4" t="s">
        <v>1522</v>
      </c>
      <c r="F1421" s="4" t="s">
        <v>14</v>
      </c>
      <c r="G1421" s="5">
        <v>4060000</v>
      </c>
      <c r="H1421" s="5">
        <v>0</v>
      </c>
      <c r="I1421" s="5">
        <v>0</v>
      </c>
      <c r="J1421" s="5" t="s">
        <v>14</v>
      </c>
      <c r="K1421" s="5">
        <v>4060000</v>
      </c>
    </row>
    <row r="1422" spans="1:11" x14ac:dyDescent="0.25">
      <c r="A1422" s="4" t="s">
        <v>11</v>
      </c>
      <c r="B1422" s="4" t="s">
        <v>1672</v>
      </c>
      <c r="C1422" s="4" t="s">
        <v>26</v>
      </c>
      <c r="D1422" s="4">
        <v>6120034570</v>
      </c>
      <c r="E1422" s="4" t="s">
        <v>1823</v>
      </c>
      <c r="F1422" s="4" t="s">
        <v>14</v>
      </c>
      <c r="G1422" s="5">
        <v>14293876</v>
      </c>
      <c r="H1422" s="5">
        <v>0</v>
      </c>
      <c r="I1422" s="5">
        <v>0</v>
      </c>
      <c r="J1422" s="5" t="s">
        <v>14</v>
      </c>
      <c r="K1422" s="5">
        <v>14293876</v>
      </c>
    </row>
    <row r="1423" spans="1:11" x14ac:dyDescent="0.25">
      <c r="A1423" s="4" t="s">
        <v>11</v>
      </c>
      <c r="B1423" s="4" t="s">
        <v>1672</v>
      </c>
      <c r="C1423" s="4" t="s">
        <v>26</v>
      </c>
      <c r="D1423" s="4">
        <v>6120034590</v>
      </c>
      <c r="E1423" s="4" t="s">
        <v>1534</v>
      </c>
      <c r="F1423" s="4" t="s">
        <v>14</v>
      </c>
      <c r="G1423" s="5">
        <v>771400</v>
      </c>
      <c r="H1423" s="5">
        <v>0</v>
      </c>
      <c r="I1423" s="5">
        <v>0</v>
      </c>
      <c r="J1423" s="5" t="s">
        <v>14</v>
      </c>
      <c r="K1423" s="5">
        <v>771400</v>
      </c>
    </row>
    <row r="1424" spans="1:11" x14ac:dyDescent="0.25">
      <c r="A1424" s="4" t="s">
        <v>11</v>
      </c>
      <c r="B1424" s="4" t="s">
        <v>1672</v>
      </c>
      <c r="C1424" s="4" t="s">
        <v>23</v>
      </c>
      <c r="D1424" s="4">
        <v>61200355</v>
      </c>
      <c r="E1424" s="4" t="s">
        <v>1263</v>
      </c>
      <c r="F1424" s="4" t="s">
        <v>14</v>
      </c>
      <c r="G1424" s="5">
        <v>185532786.44999999</v>
      </c>
      <c r="H1424" s="5">
        <v>0</v>
      </c>
      <c r="I1424" s="5">
        <v>0</v>
      </c>
      <c r="J1424" s="5" t="s">
        <v>14</v>
      </c>
      <c r="K1424" s="5">
        <v>185532786.44999999</v>
      </c>
    </row>
    <row r="1425" spans="1:11" x14ac:dyDescent="0.25">
      <c r="A1425" s="4" t="s">
        <v>11</v>
      </c>
      <c r="B1425" s="4" t="s">
        <v>1672</v>
      </c>
      <c r="C1425" s="4" t="s">
        <v>26</v>
      </c>
      <c r="D1425" s="4">
        <v>6120035510</v>
      </c>
      <c r="E1425" s="4" t="s">
        <v>1265</v>
      </c>
      <c r="F1425" s="4" t="s">
        <v>14</v>
      </c>
      <c r="G1425" s="5">
        <v>34489420.420000002</v>
      </c>
      <c r="H1425" s="5">
        <v>0</v>
      </c>
      <c r="I1425" s="5">
        <v>0</v>
      </c>
      <c r="J1425" s="5" t="s">
        <v>14</v>
      </c>
      <c r="K1425" s="5">
        <v>34489420.420000002</v>
      </c>
    </row>
    <row r="1426" spans="1:11" x14ac:dyDescent="0.25">
      <c r="A1426" s="4" t="s">
        <v>11</v>
      </c>
      <c r="B1426" s="4" t="s">
        <v>1672</v>
      </c>
      <c r="C1426" s="4" t="s">
        <v>26</v>
      </c>
      <c r="D1426" s="4">
        <v>6120035515</v>
      </c>
      <c r="E1426" s="4" t="s">
        <v>1538</v>
      </c>
      <c r="F1426" s="4" t="s">
        <v>14</v>
      </c>
      <c r="G1426" s="5">
        <v>127506421.45999999</v>
      </c>
      <c r="H1426" s="5">
        <v>0</v>
      </c>
      <c r="I1426" s="5">
        <v>0</v>
      </c>
      <c r="J1426" s="5" t="s">
        <v>14</v>
      </c>
      <c r="K1426" s="5">
        <v>127506421.45999999</v>
      </c>
    </row>
    <row r="1427" spans="1:11" x14ac:dyDescent="0.25">
      <c r="A1427" s="4" t="s">
        <v>11</v>
      </c>
      <c r="B1427" s="4" t="s">
        <v>1672</v>
      </c>
      <c r="C1427" s="4" t="s">
        <v>26</v>
      </c>
      <c r="D1427" s="4">
        <v>6120035520</v>
      </c>
      <c r="E1427" s="4" t="s">
        <v>1267</v>
      </c>
      <c r="F1427" s="4" t="s">
        <v>14</v>
      </c>
      <c r="G1427" s="5">
        <v>2712791.92</v>
      </c>
      <c r="H1427" s="5">
        <v>0</v>
      </c>
      <c r="I1427" s="5">
        <v>0</v>
      </c>
      <c r="J1427" s="5" t="s">
        <v>14</v>
      </c>
      <c r="K1427" s="5">
        <v>2712791.92</v>
      </c>
    </row>
    <row r="1428" spans="1:11" x14ac:dyDescent="0.25">
      <c r="A1428" s="4" t="s">
        <v>11</v>
      </c>
      <c r="B1428" s="4" t="s">
        <v>1672</v>
      </c>
      <c r="C1428" s="4" t="s">
        <v>26</v>
      </c>
      <c r="D1428" s="4">
        <v>6120035525</v>
      </c>
      <c r="E1428" s="4" t="s">
        <v>1269</v>
      </c>
      <c r="F1428" s="4" t="s">
        <v>14</v>
      </c>
      <c r="G1428" s="5">
        <v>4470314.9000000004</v>
      </c>
      <c r="H1428" s="5">
        <v>0</v>
      </c>
      <c r="I1428" s="5">
        <v>0</v>
      </c>
      <c r="J1428" s="5" t="s">
        <v>14</v>
      </c>
      <c r="K1428" s="5">
        <v>4470314.9000000004</v>
      </c>
    </row>
    <row r="1429" spans="1:11" x14ac:dyDescent="0.25">
      <c r="A1429" s="4" t="s">
        <v>11</v>
      </c>
      <c r="B1429" s="4" t="s">
        <v>1672</v>
      </c>
      <c r="C1429" s="4" t="s">
        <v>26</v>
      </c>
      <c r="D1429" s="4">
        <v>6120035530</v>
      </c>
      <c r="E1429" s="4" t="s">
        <v>1542</v>
      </c>
      <c r="F1429" s="4" t="s">
        <v>14</v>
      </c>
      <c r="G1429" s="5">
        <v>16353837.75</v>
      </c>
      <c r="H1429" s="5">
        <v>0</v>
      </c>
      <c r="I1429" s="5">
        <v>0</v>
      </c>
      <c r="J1429" s="5" t="s">
        <v>14</v>
      </c>
      <c r="K1429" s="5">
        <v>16353837.75</v>
      </c>
    </row>
    <row r="1430" spans="1:11" x14ac:dyDescent="0.25">
      <c r="A1430" s="4" t="s">
        <v>11</v>
      </c>
      <c r="B1430" s="4" t="s">
        <v>1672</v>
      </c>
      <c r="C1430" s="4" t="s">
        <v>23</v>
      </c>
      <c r="D1430" s="4">
        <v>61200360</v>
      </c>
      <c r="E1430" s="4" t="s">
        <v>1273</v>
      </c>
      <c r="F1430" s="4" t="s">
        <v>14</v>
      </c>
      <c r="G1430" s="5">
        <v>5686482</v>
      </c>
      <c r="H1430" s="5">
        <v>765870</v>
      </c>
      <c r="I1430" s="5">
        <v>0</v>
      </c>
      <c r="J1430" s="5" t="s">
        <v>14</v>
      </c>
      <c r="K1430" s="5">
        <v>6452352</v>
      </c>
    </row>
    <row r="1431" spans="1:11" x14ac:dyDescent="0.25">
      <c r="A1431" s="4" t="s">
        <v>11</v>
      </c>
      <c r="B1431" s="4" t="s">
        <v>1672</v>
      </c>
      <c r="C1431" s="4" t="s">
        <v>26</v>
      </c>
      <c r="D1431" s="4">
        <v>6120036005</v>
      </c>
      <c r="E1431" s="4" t="s">
        <v>1273</v>
      </c>
      <c r="F1431" s="4" t="s">
        <v>14</v>
      </c>
      <c r="G1431" s="5">
        <v>5686482</v>
      </c>
      <c r="H1431" s="5">
        <v>765870</v>
      </c>
      <c r="I1431" s="5">
        <v>0</v>
      </c>
      <c r="J1431" s="5" t="s">
        <v>14</v>
      </c>
      <c r="K1431" s="5">
        <v>6452352</v>
      </c>
    </row>
    <row r="1432" spans="1:11" x14ac:dyDescent="0.25">
      <c r="A1432" s="4" t="s">
        <v>11</v>
      </c>
      <c r="B1432" s="4" t="s">
        <v>1672</v>
      </c>
      <c r="C1432" s="4" t="s">
        <v>23</v>
      </c>
      <c r="D1432" s="4">
        <v>61200370</v>
      </c>
      <c r="E1432" s="4" t="s">
        <v>1063</v>
      </c>
      <c r="F1432" s="4" t="s">
        <v>14</v>
      </c>
      <c r="G1432" s="5">
        <v>19353360</v>
      </c>
      <c r="H1432" s="5">
        <v>1935336</v>
      </c>
      <c r="I1432" s="5">
        <v>0</v>
      </c>
      <c r="J1432" s="5" t="s">
        <v>14</v>
      </c>
      <c r="K1432" s="5">
        <v>21288696</v>
      </c>
    </row>
    <row r="1433" spans="1:11" x14ac:dyDescent="0.25">
      <c r="A1433" s="4" t="s">
        <v>11</v>
      </c>
      <c r="B1433" s="4" t="s">
        <v>1672</v>
      </c>
      <c r="C1433" s="4" t="s">
        <v>26</v>
      </c>
      <c r="D1433" s="4">
        <v>6120037035</v>
      </c>
      <c r="E1433" s="4" t="s">
        <v>423</v>
      </c>
      <c r="F1433" s="4" t="s">
        <v>14</v>
      </c>
      <c r="G1433" s="5">
        <v>19353360</v>
      </c>
      <c r="H1433" s="5">
        <v>1935336</v>
      </c>
      <c r="I1433" s="5">
        <v>0</v>
      </c>
      <c r="J1433" s="5" t="s">
        <v>14</v>
      </c>
      <c r="K1433" s="5">
        <v>21288696</v>
      </c>
    </row>
    <row r="1434" spans="1:11" x14ac:dyDescent="0.25">
      <c r="A1434" s="4" t="s">
        <v>11</v>
      </c>
      <c r="B1434" s="4" t="s">
        <v>1672</v>
      </c>
      <c r="C1434" s="4" t="s">
        <v>23</v>
      </c>
      <c r="D1434" s="4">
        <v>61200371</v>
      </c>
      <c r="E1434" s="4" t="s">
        <v>1289</v>
      </c>
      <c r="F1434" s="4" t="s">
        <v>14</v>
      </c>
      <c r="G1434" s="5">
        <v>32900</v>
      </c>
      <c r="H1434" s="5">
        <v>0</v>
      </c>
      <c r="I1434" s="5">
        <v>0</v>
      </c>
      <c r="J1434" s="5" t="s">
        <v>14</v>
      </c>
      <c r="K1434" s="5">
        <v>32900</v>
      </c>
    </row>
    <row r="1435" spans="1:11" x14ac:dyDescent="0.25">
      <c r="A1435" s="4" t="s">
        <v>11</v>
      </c>
      <c r="B1435" s="4" t="s">
        <v>1672</v>
      </c>
      <c r="C1435" s="4" t="s">
        <v>26</v>
      </c>
      <c r="D1435" s="4">
        <v>6120037105</v>
      </c>
      <c r="E1435" s="4" t="s">
        <v>1291</v>
      </c>
      <c r="F1435" s="4" t="s">
        <v>14</v>
      </c>
      <c r="G1435" s="5">
        <v>32900</v>
      </c>
      <c r="H1435" s="5">
        <v>0</v>
      </c>
      <c r="I1435" s="5">
        <v>0</v>
      </c>
      <c r="J1435" s="5" t="s">
        <v>14</v>
      </c>
      <c r="K1435" s="5">
        <v>32900</v>
      </c>
    </row>
    <row r="1436" spans="1:11" x14ac:dyDescent="0.25">
      <c r="A1436" s="4" t="s">
        <v>11</v>
      </c>
      <c r="B1436" s="4" t="s">
        <v>1672</v>
      </c>
      <c r="C1436" s="4" t="s">
        <v>18</v>
      </c>
      <c r="D1436" s="4">
        <v>6125</v>
      </c>
      <c r="E1436" s="4" t="s">
        <v>819</v>
      </c>
      <c r="F1436" s="4" t="s">
        <v>14</v>
      </c>
      <c r="G1436" s="5">
        <v>7787435736</v>
      </c>
      <c r="H1436" s="5">
        <v>141897454.36000001</v>
      </c>
      <c r="I1436" s="5">
        <v>1226238</v>
      </c>
      <c r="J1436" s="5" t="s">
        <v>14</v>
      </c>
      <c r="K1436" s="5">
        <v>7928106952.3599997</v>
      </c>
    </row>
    <row r="1437" spans="1:11" x14ac:dyDescent="0.25">
      <c r="A1437" s="4" t="s">
        <v>11</v>
      </c>
      <c r="B1437" s="4" t="s">
        <v>1672</v>
      </c>
      <c r="C1437" s="4" t="s">
        <v>21</v>
      </c>
      <c r="D1437" s="4">
        <v>612501</v>
      </c>
      <c r="E1437" s="4" t="s">
        <v>1098</v>
      </c>
      <c r="F1437" s="4" t="s">
        <v>14</v>
      </c>
      <c r="G1437" s="5">
        <v>998104819.46000004</v>
      </c>
      <c r="H1437" s="5">
        <v>82736998.090000004</v>
      </c>
      <c r="I1437" s="5">
        <v>1226238</v>
      </c>
      <c r="J1437" s="5" t="s">
        <v>14</v>
      </c>
      <c r="K1437" s="5">
        <v>1079615579.55</v>
      </c>
    </row>
    <row r="1438" spans="1:11" x14ac:dyDescent="0.25">
      <c r="A1438" s="4" t="s">
        <v>11</v>
      </c>
      <c r="B1438" s="4" t="s">
        <v>1672</v>
      </c>
      <c r="C1438" s="4" t="s">
        <v>23</v>
      </c>
      <c r="D1438" s="4">
        <v>61250101</v>
      </c>
      <c r="E1438" s="4" t="s">
        <v>1679</v>
      </c>
      <c r="F1438" s="4" t="s">
        <v>14</v>
      </c>
      <c r="G1438" s="5">
        <v>691151471</v>
      </c>
      <c r="H1438" s="5">
        <v>49633761</v>
      </c>
      <c r="I1438" s="5">
        <v>1180272</v>
      </c>
      <c r="J1438" s="5" t="s">
        <v>14</v>
      </c>
      <c r="K1438" s="5">
        <v>739604960</v>
      </c>
    </row>
    <row r="1439" spans="1:11" x14ac:dyDescent="0.25">
      <c r="A1439" s="4" t="s">
        <v>11</v>
      </c>
      <c r="B1439" s="4" t="s">
        <v>1672</v>
      </c>
      <c r="C1439" s="4" t="s">
        <v>26</v>
      </c>
      <c r="D1439" s="4">
        <v>6125010105</v>
      </c>
      <c r="E1439" s="4" t="s">
        <v>237</v>
      </c>
      <c r="F1439" s="4" t="s">
        <v>14</v>
      </c>
      <c r="G1439" s="5">
        <v>35908373</v>
      </c>
      <c r="H1439" s="5">
        <v>3495169</v>
      </c>
      <c r="I1439" s="5">
        <v>111117</v>
      </c>
      <c r="J1439" s="5" t="s">
        <v>14</v>
      </c>
      <c r="K1439" s="5">
        <v>39292425</v>
      </c>
    </row>
    <row r="1440" spans="1:11" x14ac:dyDescent="0.25">
      <c r="A1440" s="4" t="s">
        <v>11</v>
      </c>
      <c r="B1440" s="4" t="s">
        <v>1672</v>
      </c>
      <c r="C1440" s="4" t="s">
        <v>26</v>
      </c>
      <c r="D1440" s="4">
        <v>6125010110</v>
      </c>
      <c r="E1440" s="4" t="s">
        <v>246</v>
      </c>
      <c r="F1440" s="4" t="s">
        <v>14</v>
      </c>
      <c r="G1440" s="5">
        <v>488175570</v>
      </c>
      <c r="H1440" s="5">
        <v>46138592</v>
      </c>
      <c r="I1440" s="5">
        <v>1069155</v>
      </c>
      <c r="J1440" s="5" t="s">
        <v>14</v>
      </c>
      <c r="K1440" s="5">
        <v>533245007</v>
      </c>
    </row>
    <row r="1441" spans="1:11" x14ac:dyDescent="0.25">
      <c r="A1441" s="4" t="s">
        <v>11</v>
      </c>
      <c r="B1441" s="4" t="s">
        <v>1672</v>
      </c>
      <c r="C1441" s="4" t="s">
        <v>26</v>
      </c>
      <c r="D1441" s="4">
        <v>6125010125</v>
      </c>
      <c r="E1441" s="4" t="s">
        <v>948</v>
      </c>
      <c r="F1441" s="4" t="s">
        <v>14</v>
      </c>
      <c r="G1441" s="5">
        <v>155879400</v>
      </c>
      <c r="H1441" s="5">
        <v>0</v>
      </c>
      <c r="I1441" s="5">
        <v>0</v>
      </c>
      <c r="J1441" s="5" t="s">
        <v>14</v>
      </c>
      <c r="K1441" s="5">
        <v>155879400</v>
      </c>
    </row>
    <row r="1442" spans="1:11" x14ac:dyDescent="0.25">
      <c r="A1442" s="4" t="s">
        <v>11</v>
      </c>
      <c r="B1442" s="4" t="s">
        <v>1672</v>
      </c>
      <c r="C1442" s="4" t="s">
        <v>26</v>
      </c>
      <c r="D1442" s="4">
        <v>6125010130</v>
      </c>
      <c r="E1442" s="4" t="s">
        <v>1683</v>
      </c>
      <c r="F1442" s="4" t="s">
        <v>14</v>
      </c>
      <c r="G1442" s="5">
        <v>11188128</v>
      </c>
      <c r="H1442" s="5">
        <v>0</v>
      </c>
      <c r="I1442" s="5">
        <v>0</v>
      </c>
      <c r="J1442" s="5" t="s">
        <v>14</v>
      </c>
      <c r="K1442" s="5">
        <v>11188128</v>
      </c>
    </row>
    <row r="1443" spans="1:11" x14ac:dyDescent="0.25">
      <c r="A1443" s="4" t="s">
        <v>11</v>
      </c>
      <c r="B1443" s="4" t="s">
        <v>1672</v>
      </c>
      <c r="C1443" s="4" t="s">
        <v>23</v>
      </c>
      <c r="D1443" s="4">
        <v>61250102</v>
      </c>
      <c r="E1443" s="4" t="s">
        <v>1100</v>
      </c>
      <c r="F1443" s="4" t="s">
        <v>14</v>
      </c>
      <c r="G1443" s="5">
        <v>16574757.460000001</v>
      </c>
      <c r="H1443" s="5">
        <v>1285903.0900000001</v>
      </c>
      <c r="I1443" s="5">
        <v>45966</v>
      </c>
      <c r="J1443" s="5" t="s">
        <v>14</v>
      </c>
      <c r="K1443" s="5">
        <v>17814694.550000001</v>
      </c>
    </row>
    <row r="1444" spans="1:11" x14ac:dyDescent="0.25">
      <c r="A1444" s="4" t="s">
        <v>11</v>
      </c>
      <c r="B1444" s="4" t="s">
        <v>1672</v>
      </c>
      <c r="C1444" s="4" t="s">
        <v>26</v>
      </c>
      <c r="D1444" s="4">
        <v>6125010205</v>
      </c>
      <c r="E1444" s="4" t="s">
        <v>1100</v>
      </c>
      <c r="F1444" s="4" t="s">
        <v>14</v>
      </c>
      <c r="G1444" s="5">
        <v>16574757.460000001</v>
      </c>
      <c r="H1444" s="5">
        <v>1285903.0900000001</v>
      </c>
      <c r="I1444" s="5">
        <v>45966</v>
      </c>
      <c r="J1444" s="5" t="s">
        <v>14</v>
      </c>
      <c r="K1444" s="5">
        <v>17814694.550000001</v>
      </c>
    </row>
    <row r="1445" spans="1:11" x14ac:dyDescent="0.25">
      <c r="A1445" s="4" t="s">
        <v>11</v>
      </c>
      <c r="B1445" s="4" t="s">
        <v>1672</v>
      </c>
      <c r="C1445" s="4" t="s">
        <v>23</v>
      </c>
      <c r="D1445" s="4">
        <v>61250103</v>
      </c>
      <c r="E1445" s="4" t="s">
        <v>1103</v>
      </c>
      <c r="F1445" s="4" t="s">
        <v>14</v>
      </c>
      <c r="G1445" s="5">
        <v>290378591</v>
      </c>
      <c r="H1445" s="5">
        <v>31817334</v>
      </c>
      <c r="I1445" s="5">
        <v>0</v>
      </c>
      <c r="J1445" s="5" t="s">
        <v>14</v>
      </c>
      <c r="K1445" s="5">
        <v>322195925</v>
      </c>
    </row>
    <row r="1446" spans="1:11" x14ac:dyDescent="0.25">
      <c r="A1446" s="4" t="s">
        <v>11</v>
      </c>
      <c r="B1446" s="4" t="s">
        <v>1672</v>
      </c>
      <c r="C1446" s="4" t="s">
        <v>26</v>
      </c>
      <c r="D1446" s="4">
        <v>6125010305</v>
      </c>
      <c r="E1446" s="4" t="s">
        <v>1105</v>
      </c>
      <c r="F1446" s="4" t="s">
        <v>14</v>
      </c>
      <c r="G1446" s="5">
        <v>108334</v>
      </c>
      <c r="H1446" s="5">
        <v>0</v>
      </c>
      <c r="I1446" s="5">
        <v>0</v>
      </c>
      <c r="J1446" s="5" t="s">
        <v>14</v>
      </c>
      <c r="K1446" s="5">
        <v>108334</v>
      </c>
    </row>
    <row r="1447" spans="1:11" x14ac:dyDescent="0.25">
      <c r="A1447" s="4" t="s">
        <v>11</v>
      </c>
      <c r="B1447" s="4" t="s">
        <v>1672</v>
      </c>
      <c r="C1447" s="4" t="s">
        <v>26</v>
      </c>
      <c r="D1447" s="4">
        <v>6125010330</v>
      </c>
      <c r="E1447" s="4" t="s">
        <v>1111</v>
      </c>
      <c r="F1447" s="4" t="s">
        <v>14</v>
      </c>
      <c r="G1447" s="5">
        <v>4500000</v>
      </c>
      <c r="H1447" s="5">
        <v>0</v>
      </c>
      <c r="I1447" s="5">
        <v>0</v>
      </c>
      <c r="J1447" s="5" t="s">
        <v>14</v>
      </c>
      <c r="K1447" s="5">
        <v>4500000</v>
      </c>
    </row>
    <row r="1448" spans="1:11" x14ac:dyDescent="0.25">
      <c r="A1448" s="4" t="s">
        <v>11</v>
      </c>
      <c r="B1448" s="4" t="s">
        <v>1672</v>
      </c>
      <c r="C1448" s="4" t="s">
        <v>26</v>
      </c>
      <c r="D1448" s="4">
        <v>6125010335</v>
      </c>
      <c r="E1448" s="4" t="s">
        <v>1113</v>
      </c>
      <c r="F1448" s="4" t="s">
        <v>14</v>
      </c>
      <c r="G1448" s="5">
        <v>281838150</v>
      </c>
      <c r="H1448" s="5">
        <v>31817334</v>
      </c>
      <c r="I1448" s="5">
        <v>0</v>
      </c>
      <c r="J1448" s="5" t="s">
        <v>14</v>
      </c>
      <c r="K1448" s="5">
        <v>313655484</v>
      </c>
    </row>
    <row r="1449" spans="1:11" x14ac:dyDescent="0.25">
      <c r="A1449" s="4" t="s">
        <v>11</v>
      </c>
      <c r="B1449" s="4" t="s">
        <v>1672</v>
      </c>
      <c r="C1449" s="4" t="s">
        <v>26</v>
      </c>
      <c r="D1449" s="4">
        <v>6125010375</v>
      </c>
      <c r="E1449" s="4" t="s">
        <v>1123</v>
      </c>
      <c r="F1449" s="4" t="s">
        <v>14</v>
      </c>
      <c r="G1449" s="5">
        <v>3932107</v>
      </c>
      <c r="H1449" s="5">
        <v>0</v>
      </c>
      <c r="I1449" s="5">
        <v>0</v>
      </c>
      <c r="J1449" s="5" t="s">
        <v>14</v>
      </c>
      <c r="K1449" s="5">
        <v>3932107</v>
      </c>
    </row>
    <row r="1450" spans="1:11" x14ac:dyDescent="0.25">
      <c r="A1450" s="4" t="s">
        <v>11</v>
      </c>
      <c r="B1450" s="4" t="s">
        <v>1672</v>
      </c>
      <c r="C1450" s="4" t="s">
        <v>21</v>
      </c>
      <c r="D1450" s="4">
        <v>612502</v>
      </c>
      <c r="E1450" s="4" t="s">
        <v>1125</v>
      </c>
      <c r="F1450" s="4" t="s">
        <v>14</v>
      </c>
      <c r="G1450" s="5">
        <v>4045416613.5100002</v>
      </c>
      <c r="H1450" s="5">
        <v>17769391</v>
      </c>
      <c r="I1450" s="5">
        <v>0</v>
      </c>
      <c r="J1450" s="5" t="s">
        <v>14</v>
      </c>
      <c r="K1450" s="5">
        <v>4063186004.5100002</v>
      </c>
    </row>
    <row r="1451" spans="1:11" x14ac:dyDescent="0.25">
      <c r="A1451" s="4" t="s">
        <v>11</v>
      </c>
      <c r="B1451" s="4" t="s">
        <v>1672</v>
      </c>
      <c r="C1451" s="4" t="s">
        <v>23</v>
      </c>
      <c r="D1451" s="4">
        <v>61250205</v>
      </c>
      <c r="E1451" s="4" t="s">
        <v>1127</v>
      </c>
      <c r="F1451" s="4" t="s">
        <v>14</v>
      </c>
      <c r="G1451" s="5">
        <v>288619771.50999999</v>
      </c>
      <c r="H1451" s="5">
        <v>0</v>
      </c>
      <c r="I1451" s="5">
        <v>0</v>
      </c>
      <c r="J1451" s="5" t="s">
        <v>14</v>
      </c>
      <c r="K1451" s="5">
        <v>288619771.50999999</v>
      </c>
    </row>
    <row r="1452" spans="1:11" x14ac:dyDescent="0.25">
      <c r="A1452" s="4" t="s">
        <v>11</v>
      </c>
      <c r="B1452" s="4" t="s">
        <v>1672</v>
      </c>
      <c r="C1452" s="4" t="s">
        <v>26</v>
      </c>
      <c r="D1452" s="4">
        <v>6125020502</v>
      </c>
      <c r="E1452" s="4" t="s">
        <v>1131</v>
      </c>
      <c r="F1452" s="4" t="s">
        <v>14</v>
      </c>
      <c r="G1452" s="5">
        <v>170170822</v>
      </c>
      <c r="H1452" s="5">
        <v>0</v>
      </c>
      <c r="I1452" s="5">
        <v>0</v>
      </c>
      <c r="J1452" s="5" t="s">
        <v>14</v>
      </c>
      <c r="K1452" s="5">
        <v>170170822</v>
      </c>
    </row>
    <row r="1453" spans="1:11" x14ac:dyDescent="0.25">
      <c r="A1453" s="4" t="s">
        <v>11</v>
      </c>
      <c r="B1453" s="4" t="s">
        <v>1672</v>
      </c>
      <c r="C1453" s="4" t="s">
        <v>26</v>
      </c>
      <c r="D1453" s="4">
        <v>6125020505</v>
      </c>
      <c r="E1453" s="4" t="s">
        <v>1416</v>
      </c>
      <c r="F1453" s="4" t="s">
        <v>14</v>
      </c>
      <c r="G1453" s="5">
        <v>1775763</v>
      </c>
      <c r="H1453" s="5">
        <v>0</v>
      </c>
      <c r="I1453" s="5">
        <v>0</v>
      </c>
      <c r="J1453" s="5" t="s">
        <v>14</v>
      </c>
      <c r="K1453" s="5">
        <v>1775763</v>
      </c>
    </row>
    <row r="1454" spans="1:11" x14ac:dyDescent="0.25">
      <c r="A1454" s="4" t="s">
        <v>11</v>
      </c>
      <c r="B1454" s="4" t="s">
        <v>1672</v>
      </c>
      <c r="C1454" s="4" t="s">
        <v>26</v>
      </c>
      <c r="D1454" s="4">
        <v>6125020510</v>
      </c>
      <c r="E1454" s="4" t="s">
        <v>1315</v>
      </c>
      <c r="F1454" s="4" t="s">
        <v>14</v>
      </c>
      <c r="G1454" s="5">
        <v>802224</v>
      </c>
      <c r="H1454" s="5">
        <v>0</v>
      </c>
      <c r="I1454" s="5">
        <v>0</v>
      </c>
      <c r="J1454" s="5" t="s">
        <v>14</v>
      </c>
      <c r="K1454" s="5">
        <v>802224</v>
      </c>
    </row>
    <row r="1455" spans="1:11" x14ac:dyDescent="0.25">
      <c r="A1455" s="4" t="s">
        <v>11</v>
      </c>
      <c r="B1455" s="4" t="s">
        <v>1672</v>
      </c>
      <c r="C1455" s="4" t="s">
        <v>26</v>
      </c>
      <c r="D1455" s="4">
        <v>6125020511</v>
      </c>
      <c r="E1455" s="4" t="s">
        <v>1135</v>
      </c>
      <c r="F1455" s="4" t="s">
        <v>14</v>
      </c>
      <c r="G1455" s="5">
        <v>719266</v>
      </c>
      <c r="H1455" s="5">
        <v>0</v>
      </c>
      <c r="I1455" s="5">
        <v>0</v>
      </c>
      <c r="J1455" s="5" t="s">
        <v>14</v>
      </c>
      <c r="K1455" s="5">
        <v>719266</v>
      </c>
    </row>
    <row r="1456" spans="1:11" x14ac:dyDescent="0.25">
      <c r="A1456" s="4" t="s">
        <v>11</v>
      </c>
      <c r="B1456" s="4" t="s">
        <v>1672</v>
      </c>
      <c r="C1456" s="4" t="s">
        <v>26</v>
      </c>
      <c r="D1456" s="4">
        <v>6125020512</v>
      </c>
      <c r="E1456" s="4" t="s">
        <v>1318</v>
      </c>
      <c r="F1456" s="4" t="s">
        <v>14</v>
      </c>
      <c r="G1456" s="5">
        <v>1076361</v>
      </c>
      <c r="H1456" s="5">
        <v>0</v>
      </c>
      <c r="I1456" s="5">
        <v>0</v>
      </c>
      <c r="J1456" s="5" t="s">
        <v>14</v>
      </c>
      <c r="K1456" s="5">
        <v>1076361</v>
      </c>
    </row>
    <row r="1457" spans="1:11" x14ac:dyDescent="0.25">
      <c r="A1457" s="4" t="s">
        <v>11</v>
      </c>
      <c r="B1457" s="4" t="s">
        <v>1672</v>
      </c>
      <c r="C1457" s="4" t="s">
        <v>26</v>
      </c>
      <c r="D1457" s="4">
        <v>6125020514</v>
      </c>
      <c r="E1457" s="4" t="s">
        <v>224</v>
      </c>
      <c r="F1457" s="4" t="s">
        <v>14</v>
      </c>
      <c r="G1457" s="5">
        <v>622336</v>
      </c>
      <c r="H1457" s="5">
        <v>0</v>
      </c>
      <c r="I1457" s="5">
        <v>0</v>
      </c>
      <c r="J1457" s="5" t="s">
        <v>14</v>
      </c>
      <c r="K1457" s="5">
        <v>622336</v>
      </c>
    </row>
    <row r="1458" spans="1:11" x14ac:dyDescent="0.25">
      <c r="A1458" s="4" t="s">
        <v>11</v>
      </c>
      <c r="B1458" s="4" t="s">
        <v>1672</v>
      </c>
      <c r="C1458" s="4" t="s">
        <v>26</v>
      </c>
      <c r="D1458" s="4">
        <v>6125020516</v>
      </c>
      <c r="E1458" s="4" t="s">
        <v>1138</v>
      </c>
      <c r="F1458" s="4" t="s">
        <v>14</v>
      </c>
      <c r="G1458" s="5">
        <v>5022000</v>
      </c>
      <c r="H1458" s="5">
        <v>0</v>
      </c>
      <c r="I1458" s="5">
        <v>0</v>
      </c>
      <c r="J1458" s="5" t="s">
        <v>14</v>
      </c>
      <c r="K1458" s="5">
        <v>5022000</v>
      </c>
    </row>
    <row r="1459" spans="1:11" x14ac:dyDescent="0.25">
      <c r="A1459" s="4" t="s">
        <v>11</v>
      </c>
      <c r="B1459" s="4" t="s">
        <v>1672</v>
      </c>
      <c r="C1459" s="4" t="s">
        <v>26</v>
      </c>
      <c r="D1459" s="4">
        <v>6125020530</v>
      </c>
      <c r="E1459" s="4" t="s">
        <v>1142</v>
      </c>
      <c r="F1459" s="4" t="s">
        <v>14</v>
      </c>
      <c r="G1459" s="5">
        <v>15045020</v>
      </c>
      <c r="H1459" s="5">
        <v>0</v>
      </c>
      <c r="I1459" s="5">
        <v>0</v>
      </c>
      <c r="J1459" s="5" t="s">
        <v>14</v>
      </c>
      <c r="K1459" s="5">
        <v>15045020</v>
      </c>
    </row>
    <row r="1460" spans="1:11" x14ac:dyDescent="0.25">
      <c r="A1460" s="4" t="s">
        <v>11</v>
      </c>
      <c r="B1460" s="4" t="s">
        <v>1672</v>
      </c>
      <c r="C1460" s="4" t="s">
        <v>26</v>
      </c>
      <c r="D1460" s="4">
        <v>6125020531</v>
      </c>
      <c r="E1460" s="4" t="s">
        <v>673</v>
      </c>
      <c r="F1460" s="4" t="s">
        <v>14</v>
      </c>
      <c r="G1460" s="5">
        <v>1806121</v>
      </c>
      <c r="H1460" s="5">
        <v>0</v>
      </c>
      <c r="I1460" s="5">
        <v>0</v>
      </c>
      <c r="J1460" s="5" t="s">
        <v>14</v>
      </c>
      <c r="K1460" s="5">
        <v>1806121</v>
      </c>
    </row>
    <row r="1461" spans="1:11" x14ac:dyDescent="0.25">
      <c r="A1461" s="4" t="s">
        <v>11</v>
      </c>
      <c r="B1461" s="4" t="s">
        <v>1672</v>
      </c>
      <c r="C1461" s="4" t="s">
        <v>26</v>
      </c>
      <c r="D1461" s="4">
        <v>6125020532</v>
      </c>
      <c r="E1461" s="4" t="s">
        <v>675</v>
      </c>
      <c r="F1461" s="4" t="s">
        <v>14</v>
      </c>
      <c r="G1461" s="5">
        <v>15219797</v>
      </c>
      <c r="H1461" s="5">
        <v>0</v>
      </c>
      <c r="I1461" s="5">
        <v>0</v>
      </c>
      <c r="J1461" s="5" t="s">
        <v>14</v>
      </c>
      <c r="K1461" s="5">
        <v>15219797</v>
      </c>
    </row>
    <row r="1462" spans="1:11" x14ac:dyDescent="0.25">
      <c r="A1462" s="4" t="s">
        <v>11</v>
      </c>
      <c r="B1462" s="4" t="s">
        <v>1672</v>
      </c>
      <c r="C1462" s="4" t="s">
        <v>26</v>
      </c>
      <c r="D1462" s="4">
        <v>6125020533</v>
      </c>
      <c r="E1462" s="4" t="s">
        <v>1146</v>
      </c>
      <c r="F1462" s="4" t="s">
        <v>14</v>
      </c>
      <c r="G1462" s="5">
        <v>9766066.1600000001</v>
      </c>
      <c r="H1462" s="5">
        <v>0</v>
      </c>
      <c r="I1462" s="5">
        <v>0</v>
      </c>
      <c r="J1462" s="5" t="s">
        <v>14</v>
      </c>
      <c r="K1462" s="5">
        <v>9766066.1600000001</v>
      </c>
    </row>
    <row r="1463" spans="1:11" x14ac:dyDescent="0.25">
      <c r="A1463" s="4" t="s">
        <v>11</v>
      </c>
      <c r="B1463" s="4" t="s">
        <v>1672</v>
      </c>
      <c r="C1463" s="4" t="s">
        <v>26</v>
      </c>
      <c r="D1463" s="4">
        <v>6125020540</v>
      </c>
      <c r="E1463" s="4" t="s">
        <v>1148</v>
      </c>
      <c r="F1463" s="4" t="s">
        <v>14</v>
      </c>
      <c r="G1463" s="5">
        <v>15559041</v>
      </c>
      <c r="H1463" s="5">
        <v>0</v>
      </c>
      <c r="I1463" s="5">
        <v>0</v>
      </c>
      <c r="J1463" s="5" t="s">
        <v>14</v>
      </c>
      <c r="K1463" s="5">
        <v>15559041</v>
      </c>
    </row>
    <row r="1464" spans="1:11" x14ac:dyDescent="0.25">
      <c r="A1464" s="4" t="s">
        <v>11</v>
      </c>
      <c r="B1464" s="4" t="s">
        <v>1672</v>
      </c>
      <c r="C1464" s="4" t="s">
        <v>26</v>
      </c>
      <c r="D1464" s="4">
        <v>6125020541</v>
      </c>
      <c r="E1464" s="4" t="s">
        <v>1150</v>
      </c>
      <c r="F1464" s="4" t="s">
        <v>14</v>
      </c>
      <c r="G1464" s="5">
        <v>24611821</v>
      </c>
      <c r="H1464" s="5">
        <v>0</v>
      </c>
      <c r="I1464" s="5">
        <v>0</v>
      </c>
      <c r="J1464" s="5" t="s">
        <v>14</v>
      </c>
      <c r="K1464" s="5">
        <v>24611821</v>
      </c>
    </row>
    <row r="1465" spans="1:11" x14ac:dyDescent="0.25">
      <c r="A1465" s="4" t="s">
        <v>11</v>
      </c>
      <c r="B1465" s="4" t="s">
        <v>1672</v>
      </c>
      <c r="C1465" s="4" t="s">
        <v>26</v>
      </c>
      <c r="D1465" s="4">
        <v>6125020542</v>
      </c>
      <c r="E1465" s="4" t="s">
        <v>1152</v>
      </c>
      <c r="F1465" s="4" t="s">
        <v>14</v>
      </c>
      <c r="G1465" s="5">
        <v>9656371</v>
      </c>
      <c r="H1465" s="5">
        <v>0</v>
      </c>
      <c r="I1465" s="5">
        <v>0</v>
      </c>
      <c r="J1465" s="5" t="s">
        <v>14</v>
      </c>
      <c r="K1465" s="5">
        <v>9656371</v>
      </c>
    </row>
    <row r="1466" spans="1:11" x14ac:dyDescent="0.25">
      <c r="A1466" s="4" t="s">
        <v>11</v>
      </c>
      <c r="B1466" s="4" t="s">
        <v>1672</v>
      </c>
      <c r="C1466" s="4" t="s">
        <v>26</v>
      </c>
      <c r="D1466" s="4">
        <v>6125020550</v>
      </c>
      <c r="E1466" s="4" t="s">
        <v>1154</v>
      </c>
      <c r="F1466" s="4" t="s">
        <v>14</v>
      </c>
      <c r="G1466" s="5">
        <v>7530888.3499999996</v>
      </c>
      <c r="H1466" s="5">
        <v>0</v>
      </c>
      <c r="I1466" s="5">
        <v>0</v>
      </c>
      <c r="J1466" s="5" t="s">
        <v>14</v>
      </c>
      <c r="K1466" s="5">
        <v>7530888.3499999996</v>
      </c>
    </row>
    <row r="1467" spans="1:11" x14ac:dyDescent="0.25">
      <c r="A1467" s="4" t="s">
        <v>11</v>
      </c>
      <c r="B1467" s="4" t="s">
        <v>1672</v>
      </c>
      <c r="C1467" s="4" t="s">
        <v>26</v>
      </c>
      <c r="D1467" s="4">
        <v>6125020551</v>
      </c>
      <c r="E1467" s="4" t="s">
        <v>1156</v>
      </c>
      <c r="F1467" s="4" t="s">
        <v>14</v>
      </c>
      <c r="G1467" s="5">
        <v>5539776</v>
      </c>
      <c r="H1467" s="5">
        <v>0</v>
      </c>
      <c r="I1467" s="5">
        <v>0</v>
      </c>
      <c r="J1467" s="5" t="s">
        <v>14</v>
      </c>
      <c r="K1467" s="5">
        <v>5539776</v>
      </c>
    </row>
    <row r="1468" spans="1:11" x14ac:dyDescent="0.25">
      <c r="A1468" s="4" t="s">
        <v>11</v>
      </c>
      <c r="B1468" s="4" t="s">
        <v>1672</v>
      </c>
      <c r="C1468" s="4" t="s">
        <v>26</v>
      </c>
      <c r="D1468" s="4">
        <v>6125020552</v>
      </c>
      <c r="E1468" s="4" t="s">
        <v>1158</v>
      </c>
      <c r="F1468" s="4" t="s">
        <v>14</v>
      </c>
      <c r="G1468" s="5">
        <v>3696098</v>
      </c>
      <c r="H1468" s="5">
        <v>0</v>
      </c>
      <c r="I1468" s="5">
        <v>0</v>
      </c>
      <c r="J1468" s="5" t="s">
        <v>14</v>
      </c>
      <c r="K1468" s="5">
        <v>3696098</v>
      </c>
    </row>
    <row r="1469" spans="1:11" x14ac:dyDescent="0.25">
      <c r="A1469" s="4" t="s">
        <v>11</v>
      </c>
      <c r="B1469" s="4" t="s">
        <v>1672</v>
      </c>
      <c r="C1469" s="4" t="s">
        <v>23</v>
      </c>
      <c r="D1469" s="4">
        <v>61250215</v>
      </c>
      <c r="E1469" s="4" t="s">
        <v>1445</v>
      </c>
      <c r="F1469" s="4" t="s">
        <v>14</v>
      </c>
      <c r="G1469" s="5">
        <v>3756796842</v>
      </c>
      <c r="H1469" s="5">
        <v>17769391</v>
      </c>
      <c r="I1469" s="5">
        <v>0</v>
      </c>
      <c r="J1469" s="5" t="s">
        <v>14</v>
      </c>
      <c r="K1469" s="5">
        <v>3774566233</v>
      </c>
    </row>
    <row r="1470" spans="1:11" x14ac:dyDescent="0.25">
      <c r="A1470" s="4" t="s">
        <v>11</v>
      </c>
      <c r="B1470" s="4" t="s">
        <v>1672</v>
      </c>
      <c r="C1470" s="4" t="s">
        <v>26</v>
      </c>
      <c r="D1470" s="4">
        <v>6125021505</v>
      </c>
      <c r="E1470" s="4" t="s">
        <v>554</v>
      </c>
      <c r="F1470" s="4" t="s">
        <v>14</v>
      </c>
      <c r="G1470" s="5">
        <v>3705778644</v>
      </c>
      <c r="H1470" s="5">
        <v>17769391</v>
      </c>
      <c r="I1470" s="5">
        <v>0</v>
      </c>
      <c r="J1470" s="5" t="s">
        <v>14</v>
      </c>
      <c r="K1470" s="5">
        <v>3723548035</v>
      </c>
    </row>
    <row r="1471" spans="1:11" x14ac:dyDescent="0.25">
      <c r="A1471" s="4" t="s">
        <v>11</v>
      </c>
      <c r="B1471" s="4" t="s">
        <v>1672</v>
      </c>
      <c r="C1471" s="4" t="s">
        <v>26</v>
      </c>
      <c r="D1471" s="4">
        <v>6125021510</v>
      </c>
      <c r="E1471" s="4" t="s">
        <v>1447</v>
      </c>
      <c r="F1471" s="4" t="s">
        <v>14</v>
      </c>
      <c r="G1471" s="5">
        <v>51018198</v>
      </c>
      <c r="H1471" s="5">
        <v>0</v>
      </c>
      <c r="I1471" s="5">
        <v>0</v>
      </c>
      <c r="J1471" s="5" t="s">
        <v>14</v>
      </c>
      <c r="K1471" s="5">
        <v>51018198</v>
      </c>
    </row>
    <row r="1472" spans="1:11" x14ac:dyDescent="0.25">
      <c r="A1472" s="4" t="s">
        <v>11</v>
      </c>
      <c r="B1472" s="4" t="s">
        <v>1672</v>
      </c>
      <c r="C1472" s="4" t="s">
        <v>21</v>
      </c>
      <c r="D1472" s="4">
        <v>612503</v>
      </c>
      <c r="E1472" s="4" t="s">
        <v>1720</v>
      </c>
      <c r="F1472" s="4" t="s">
        <v>14</v>
      </c>
      <c r="G1472" s="5">
        <v>2743914303.0300002</v>
      </c>
      <c r="H1472" s="5">
        <v>41391065.270000003</v>
      </c>
      <c r="I1472" s="5">
        <v>0</v>
      </c>
      <c r="J1472" s="5" t="s">
        <v>14</v>
      </c>
      <c r="K1472" s="5">
        <v>2785305368.3000002</v>
      </c>
    </row>
    <row r="1473" spans="1:11" x14ac:dyDescent="0.25">
      <c r="A1473" s="4" t="s">
        <v>11</v>
      </c>
      <c r="B1473" s="4" t="s">
        <v>1672</v>
      </c>
      <c r="C1473" s="4" t="s">
        <v>23</v>
      </c>
      <c r="D1473" s="4">
        <v>61250315</v>
      </c>
      <c r="E1473" s="4" t="s">
        <v>1189</v>
      </c>
      <c r="F1473" s="4" t="s">
        <v>14</v>
      </c>
      <c r="G1473" s="5">
        <v>9781100</v>
      </c>
      <c r="H1473" s="5">
        <v>3943508</v>
      </c>
      <c r="I1473" s="5">
        <v>0</v>
      </c>
      <c r="J1473" s="5" t="s">
        <v>14</v>
      </c>
      <c r="K1473" s="5">
        <v>13724608</v>
      </c>
    </row>
    <row r="1474" spans="1:11" x14ac:dyDescent="0.25">
      <c r="A1474" s="4" t="s">
        <v>11</v>
      </c>
      <c r="B1474" s="4" t="s">
        <v>1672</v>
      </c>
      <c r="C1474" s="4" t="s">
        <v>26</v>
      </c>
      <c r="D1474" s="4">
        <v>6125031510</v>
      </c>
      <c r="E1474" s="4" t="s">
        <v>439</v>
      </c>
      <c r="F1474" s="4" t="s">
        <v>14</v>
      </c>
      <c r="G1474" s="5">
        <v>9781100</v>
      </c>
      <c r="H1474" s="5">
        <v>3943508</v>
      </c>
      <c r="I1474" s="5">
        <v>0</v>
      </c>
      <c r="J1474" s="5" t="s">
        <v>14</v>
      </c>
      <c r="K1474" s="5">
        <v>13724608</v>
      </c>
    </row>
    <row r="1475" spans="1:11" x14ac:dyDescent="0.25">
      <c r="A1475" s="4" t="s">
        <v>11</v>
      </c>
      <c r="B1475" s="4" t="s">
        <v>1672</v>
      </c>
      <c r="C1475" s="4" t="s">
        <v>23</v>
      </c>
      <c r="D1475" s="4">
        <v>61250320</v>
      </c>
      <c r="E1475" s="4" t="s">
        <v>227</v>
      </c>
      <c r="F1475" s="4" t="s">
        <v>14</v>
      </c>
      <c r="G1475" s="5">
        <v>60564292</v>
      </c>
      <c r="H1475" s="5">
        <v>4736200</v>
      </c>
      <c r="I1475" s="5">
        <v>0</v>
      </c>
      <c r="J1475" s="5" t="s">
        <v>14</v>
      </c>
      <c r="K1475" s="5">
        <v>65300492</v>
      </c>
    </row>
    <row r="1476" spans="1:11" x14ac:dyDescent="0.25">
      <c r="A1476" s="4" t="s">
        <v>11</v>
      </c>
      <c r="B1476" s="4" t="s">
        <v>1672</v>
      </c>
      <c r="C1476" s="4" t="s">
        <v>26</v>
      </c>
      <c r="D1476" s="4">
        <v>6125032005</v>
      </c>
      <c r="E1476" s="4" t="s">
        <v>1997</v>
      </c>
      <c r="F1476" s="4" t="s">
        <v>14</v>
      </c>
      <c r="G1476" s="5">
        <v>43780000</v>
      </c>
      <c r="H1476" s="5">
        <v>3980000</v>
      </c>
      <c r="I1476" s="5">
        <v>0</v>
      </c>
      <c r="J1476" s="5" t="s">
        <v>14</v>
      </c>
      <c r="K1476" s="5">
        <v>47760000</v>
      </c>
    </row>
    <row r="1477" spans="1:11" x14ac:dyDescent="0.25">
      <c r="A1477" s="4" t="s">
        <v>11</v>
      </c>
      <c r="B1477" s="4" t="s">
        <v>1672</v>
      </c>
      <c r="C1477" s="4" t="s">
        <v>26</v>
      </c>
      <c r="D1477" s="4">
        <v>6125032010</v>
      </c>
      <c r="E1477" s="4" t="s">
        <v>1195</v>
      </c>
      <c r="F1477" s="4" t="s">
        <v>14</v>
      </c>
      <c r="G1477" s="5">
        <v>1230952</v>
      </c>
      <c r="H1477" s="5">
        <v>0</v>
      </c>
      <c r="I1477" s="5">
        <v>0</v>
      </c>
      <c r="J1477" s="5" t="s">
        <v>14</v>
      </c>
      <c r="K1477" s="5">
        <v>1230952</v>
      </c>
    </row>
    <row r="1478" spans="1:11" x14ac:dyDescent="0.25">
      <c r="A1478" s="4" t="s">
        <v>11</v>
      </c>
      <c r="B1478" s="4" t="s">
        <v>1672</v>
      </c>
      <c r="C1478" s="4" t="s">
        <v>26</v>
      </c>
      <c r="D1478" s="4">
        <v>6125032015</v>
      </c>
      <c r="E1478" s="4" t="s">
        <v>1461</v>
      </c>
      <c r="F1478" s="4" t="s">
        <v>14</v>
      </c>
      <c r="G1478" s="5">
        <v>7000000</v>
      </c>
      <c r="H1478" s="5">
        <v>0</v>
      </c>
      <c r="I1478" s="5">
        <v>0</v>
      </c>
      <c r="J1478" s="5" t="s">
        <v>14</v>
      </c>
      <c r="K1478" s="5">
        <v>7000000</v>
      </c>
    </row>
    <row r="1479" spans="1:11" x14ac:dyDescent="0.25">
      <c r="A1479" s="4" t="s">
        <v>11</v>
      </c>
      <c r="B1479" s="4" t="s">
        <v>1672</v>
      </c>
      <c r="C1479" s="4" t="s">
        <v>26</v>
      </c>
      <c r="D1479" s="4">
        <v>6125032035</v>
      </c>
      <c r="E1479" s="4" t="s">
        <v>2001</v>
      </c>
      <c r="F1479" s="4" t="s">
        <v>14</v>
      </c>
      <c r="G1479" s="5">
        <v>8318200</v>
      </c>
      <c r="H1479" s="5">
        <v>756200</v>
      </c>
      <c r="I1479" s="5">
        <v>0</v>
      </c>
      <c r="J1479" s="5" t="s">
        <v>14</v>
      </c>
      <c r="K1479" s="5">
        <v>9074400</v>
      </c>
    </row>
    <row r="1480" spans="1:11" x14ac:dyDescent="0.25">
      <c r="A1480" s="4" t="s">
        <v>11</v>
      </c>
      <c r="B1480" s="4" t="s">
        <v>1672</v>
      </c>
      <c r="C1480" s="4" t="s">
        <v>26</v>
      </c>
      <c r="D1480" s="4">
        <v>6125032045</v>
      </c>
      <c r="E1480" s="4" t="s">
        <v>1197</v>
      </c>
      <c r="F1480" s="4" t="s">
        <v>14</v>
      </c>
      <c r="G1480" s="5">
        <v>235140</v>
      </c>
      <c r="H1480" s="5">
        <v>0</v>
      </c>
      <c r="I1480" s="5">
        <v>0</v>
      </c>
      <c r="J1480" s="5" t="s">
        <v>14</v>
      </c>
      <c r="K1480" s="5">
        <v>235140</v>
      </c>
    </row>
    <row r="1481" spans="1:11" x14ac:dyDescent="0.25">
      <c r="A1481" s="4" t="s">
        <v>11</v>
      </c>
      <c r="B1481" s="4" t="s">
        <v>1672</v>
      </c>
      <c r="C1481" s="4" t="s">
        <v>23</v>
      </c>
      <c r="D1481" s="4">
        <v>61250330</v>
      </c>
      <c r="E1481" s="4" t="s">
        <v>437</v>
      </c>
      <c r="F1481" s="4" t="s">
        <v>14</v>
      </c>
      <c r="G1481" s="5">
        <v>11285790</v>
      </c>
      <c r="H1481" s="5">
        <v>0</v>
      </c>
      <c r="I1481" s="5">
        <v>0</v>
      </c>
      <c r="J1481" s="5" t="s">
        <v>14</v>
      </c>
      <c r="K1481" s="5">
        <v>11285790</v>
      </c>
    </row>
    <row r="1482" spans="1:11" x14ac:dyDescent="0.25">
      <c r="A1482" s="4" t="s">
        <v>11</v>
      </c>
      <c r="B1482" s="4" t="s">
        <v>1672</v>
      </c>
      <c r="C1482" s="4" t="s">
        <v>26</v>
      </c>
      <c r="D1482" s="4">
        <v>6125033010</v>
      </c>
      <c r="E1482" s="4" t="s">
        <v>1212</v>
      </c>
      <c r="F1482" s="4" t="s">
        <v>14</v>
      </c>
      <c r="G1482" s="5">
        <v>2514190</v>
      </c>
      <c r="H1482" s="5">
        <v>0</v>
      </c>
      <c r="I1482" s="5">
        <v>0</v>
      </c>
      <c r="J1482" s="5" t="s">
        <v>14</v>
      </c>
      <c r="K1482" s="5">
        <v>2514190</v>
      </c>
    </row>
    <row r="1483" spans="1:11" x14ac:dyDescent="0.25">
      <c r="A1483" s="4" t="s">
        <v>11</v>
      </c>
      <c r="B1483" s="4" t="s">
        <v>1672</v>
      </c>
      <c r="C1483" s="4" t="s">
        <v>26</v>
      </c>
      <c r="D1483" s="4">
        <v>6125033015</v>
      </c>
      <c r="E1483" s="4" t="s">
        <v>1214</v>
      </c>
      <c r="F1483" s="4" t="s">
        <v>14</v>
      </c>
      <c r="G1483" s="5">
        <v>8771600</v>
      </c>
      <c r="H1483" s="5">
        <v>0</v>
      </c>
      <c r="I1483" s="5">
        <v>0</v>
      </c>
      <c r="J1483" s="5" t="s">
        <v>14</v>
      </c>
      <c r="K1483" s="5">
        <v>8771600</v>
      </c>
    </row>
    <row r="1484" spans="1:11" x14ac:dyDescent="0.25">
      <c r="A1484" s="4" t="s">
        <v>11</v>
      </c>
      <c r="B1484" s="4" t="s">
        <v>1672</v>
      </c>
      <c r="C1484" s="4" t="s">
        <v>23</v>
      </c>
      <c r="D1484" s="4">
        <v>61250335</v>
      </c>
      <c r="E1484" s="4" t="s">
        <v>566</v>
      </c>
      <c r="F1484" s="4" t="s">
        <v>14</v>
      </c>
      <c r="G1484" s="5">
        <v>84608992.400000006</v>
      </c>
      <c r="H1484" s="5">
        <v>6869897.2699999996</v>
      </c>
      <c r="I1484" s="5">
        <v>0</v>
      </c>
      <c r="J1484" s="5" t="s">
        <v>14</v>
      </c>
      <c r="K1484" s="5">
        <v>91478889.670000002</v>
      </c>
    </row>
    <row r="1485" spans="1:11" x14ac:dyDescent="0.25">
      <c r="A1485" s="4" t="s">
        <v>11</v>
      </c>
      <c r="B1485" s="4" t="s">
        <v>1672</v>
      </c>
      <c r="C1485" s="4" t="s">
        <v>26</v>
      </c>
      <c r="D1485" s="4">
        <v>6125033505</v>
      </c>
      <c r="E1485" s="4" t="s">
        <v>1219</v>
      </c>
      <c r="F1485" s="4" t="s">
        <v>14</v>
      </c>
      <c r="G1485" s="5">
        <v>24947524.920000002</v>
      </c>
      <c r="H1485" s="5">
        <v>1923308.28</v>
      </c>
      <c r="I1485" s="5">
        <v>0</v>
      </c>
      <c r="J1485" s="5" t="s">
        <v>14</v>
      </c>
      <c r="K1485" s="5">
        <v>26870833.199999999</v>
      </c>
    </row>
    <row r="1486" spans="1:11" x14ac:dyDescent="0.25">
      <c r="A1486" s="4" t="s">
        <v>11</v>
      </c>
      <c r="B1486" s="4" t="s">
        <v>1672</v>
      </c>
      <c r="C1486" s="4" t="s">
        <v>26</v>
      </c>
      <c r="D1486" s="4">
        <v>6125033510</v>
      </c>
      <c r="E1486" s="4" t="s">
        <v>1221</v>
      </c>
      <c r="F1486" s="4" t="s">
        <v>14</v>
      </c>
      <c r="G1486" s="5">
        <v>7807112.7199999997</v>
      </c>
      <c r="H1486" s="5">
        <v>852787.64</v>
      </c>
      <c r="I1486" s="5">
        <v>0</v>
      </c>
      <c r="J1486" s="5" t="s">
        <v>14</v>
      </c>
      <c r="K1486" s="5">
        <v>8659900.3599999994</v>
      </c>
    </row>
    <row r="1487" spans="1:11" x14ac:dyDescent="0.25">
      <c r="A1487" s="4" t="s">
        <v>11</v>
      </c>
      <c r="B1487" s="4" t="s">
        <v>1672</v>
      </c>
      <c r="C1487" s="4" t="s">
        <v>26</v>
      </c>
      <c r="D1487" s="4">
        <v>6125033520</v>
      </c>
      <c r="E1487" s="4" t="s">
        <v>1225</v>
      </c>
      <c r="F1487" s="4" t="s">
        <v>14</v>
      </c>
      <c r="G1487" s="5">
        <v>39341140.939999998</v>
      </c>
      <c r="H1487" s="5">
        <v>3845393.62</v>
      </c>
      <c r="I1487" s="5">
        <v>0</v>
      </c>
      <c r="J1487" s="5" t="s">
        <v>14</v>
      </c>
      <c r="K1487" s="5">
        <v>43186534.560000002</v>
      </c>
    </row>
    <row r="1488" spans="1:11" x14ac:dyDescent="0.25">
      <c r="A1488" s="4" t="s">
        <v>11</v>
      </c>
      <c r="B1488" s="4" t="s">
        <v>1672</v>
      </c>
      <c r="C1488" s="4" t="s">
        <v>26</v>
      </c>
      <c r="D1488" s="4">
        <v>6125033525</v>
      </c>
      <c r="E1488" s="4" t="s">
        <v>1227</v>
      </c>
      <c r="F1488" s="4" t="s">
        <v>14</v>
      </c>
      <c r="G1488" s="5">
        <v>489769.64</v>
      </c>
      <c r="H1488" s="5">
        <v>56678.16</v>
      </c>
      <c r="I1488" s="5">
        <v>0</v>
      </c>
      <c r="J1488" s="5" t="s">
        <v>14</v>
      </c>
      <c r="K1488" s="5">
        <v>546447.80000000005</v>
      </c>
    </row>
    <row r="1489" spans="1:11" x14ac:dyDescent="0.25">
      <c r="A1489" s="4" t="s">
        <v>11</v>
      </c>
      <c r="B1489" s="4" t="s">
        <v>1672</v>
      </c>
      <c r="C1489" s="4" t="s">
        <v>26</v>
      </c>
      <c r="D1489" s="4">
        <v>6125033530</v>
      </c>
      <c r="E1489" s="4" t="s">
        <v>1229</v>
      </c>
      <c r="F1489" s="4" t="s">
        <v>14</v>
      </c>
      <c r="G1489" s="5">
        <v>830170.06</v>
      </c>
      <c r="H1489" s="5">
        <v>85133.1</v>
      </c>
      <c r="I1489" s="5">
        <v>0</v>
      </c>
      <c r="J1489" s="5" t="s">
        <v>14</v>
      </c>
      <c r="K1489" s="5">
        <v>915303.16</v>
      </c>
    </row>
    <row r="1490" spans="1:11" x14ac:dyDescent="0.25">
      <c r="A1490" s="4" t="s">
        <v>11</v>
      </c>
      <c r="B1490" s="4" t="s">
        <v>1672</v>
      </c>
      <c r="C1490" s="4" t="s">
        <v>26</v>
      </c>
      <c r="D1490" s="4">
        <v>6125033535</v>
      </c>
      <c r="E1490" s="4" t="s">
        <v>1231</v>
      </c>
      <c r="F1490" s="4" t="s">
        <v>14</v>
      </c>
      <c r="G1490" s="5">
        <v>682232</v>
      </c>
      <c r="H1490" s="5">
        <v>66147</v>
      </c>
      <c r="I1490" s="5">
        <v>0</v>
      </c>
      <c r="J1490" s="5" t="s">
        <v>14</v>
      </c>
      <c r="K1490" s="5">
        <v>748379</v>
      </c>
    </row>
    <row r="1491" spans="1:11" x14ac:dyDescent="0.25">
      <c r="A1491" s="4" t="s">
        <v>11</v>
      </c>
      <c r="B1491" s="4" t="s">
        <v>1672</v>
      </c>
      <c r="C1491" s="4" t="s">
        <v>26</v>
      </c>
      <c r="D1491" s="4">
        <v>6125033545</v>
      </c>
      <c r="E1491" s="4" t="s">
        <v>1479</v>
      </c>
      <c r="F1491" s="4" t="s">
        <v>14</v>
      </c>
      <c r="G1491" s="5">
        <v>10118938</v>
      </c>
      <c r="H1491" s="5">
        <v>0</v>
      </c>
      <c r="I1491" s="5">
        <v>0</v>
      </c>
      <c r="J1491" s="5" t="s">
        <v>14</v>
      </c>
      <c r="K1491" s="5">
        <v>10118938</v>
      </c>
    </row>
    <row r="1492" spans="1:11" x14ac:dyDescent="0.25">
      <c r="A1492" s="4" t="s">
        <v>11</v>
      </c>
      <c r="B1492" s="4" t="s">
        <v>1672</v>
      </c>
      <c r="C1492" s="4" t="s">
        <v>26</v>
      </c>
      <c r="D1492" s="4">
        <v>6125033550</v>
      </c>
      <c r="E1492" s="4" t="s">
        <v>1233</v>
      </c>
      <c r="F1492" s="4" t="s">
        <v>14</v>
      </c>
      <c r="G1492" s="5">
        <v>96030.74</v>
      </c>
      <c r="H1492" s="5">
        <v>11496.3</v>
      </c>
      <c r="I1492" s="5">
        <v>0</v>
      </c>
      <c r="J1492" s="5" t="s">
        <v>14</v>
      </c>
      <c r="K1492" s="5">
        <v>107527.03999999999</v>
      </c>
    </row>
    <row r="1493" spans="1:11" x14ac:dyDescent="0.25">
      <c r="A1493" s="4" t="s">
        <v>11</v>
      </c>
      <c r="B1493" s="4" t="s">
        <v>1672</v>
      </c>
      <c r="C1493" s="4" t="s">
        <v>26</v>
      </c>
      <c r="D1493" s="4">
        <v>6125033560</v>
      </c>
      <c r="E1493" s="4" t="s">
        <v>1235</v>
      </c>
      <c r="F1493" s="4" t="s">
        <v>14</v>
      </c>
      <c r="G1493" s="5">
        <v>162471.38</v>
      </c>
      <c r="H1493" s="5">
        <v>15935.17</v>
      </c>
      <c r="I1493" s="5">
        <v>0</v>
      </c>
      <c r="J1493" s="5" t="s">
        <v>14</v>
      </c>
      <c r="K1493" s="5">
        <v>178406.55</v>
      </c>
    </row>
    <row r="1494" spans="1:11" x14ac:dyDescent="0.25">
      <c r="A1494" s="4" t="s">
        <v>11</v>
      </c>
      <c r="B1494" s="4" t="s">
        <v>1672</v>
      </c>
      <c r="C1494" s="4" t="s">
        <v>26</v>
      </c>
      <c r="D1494" s="4">
        <v>6125033565</v>
      </c>
      <c r="E1494" s="4" t="s">
        <v>1237</v>
      </c>
      <c r="F1494" s="4" t="s">
        <v>14</v>
      </c>
      <c r="G1494" s="5">
        <v>133602</v>
      </c>
      <c r="H1494" s="5">
        <v>13018</v>
      </c>
      <c r="I1494" s="5">
        <v>0</v>
      </c>
      <c r="J1494" s="5" t="s">
        <v>14</v>
      </c>
      <c r="K1494" s="5">
        <v>146620</v>
      </c>
    </row>
    <row r="1495" spans="1:11" x14ac:dyDescent="0.25">
      <c r="A1495" s="4" t="s">
        <v>11</v>
      </c>
      <c r="B1495" s="4" t="s">
        <v>1672</v>
      </c>
      <c r="C1495" s="4" t="s">
        <v>23</v>
      </c>
      <c r="D1495" s="4">
        <v>61250336</v>
      </c>
      <c r="E1495" s="4" t="s">
        <v>1239</v>
      </c>
      <c r="F1495" s="4" t="s">
        <v>14</v>
      </c>
      <c r="G1495" s="5">
        <v>2027172719</v>
      </c>
      <c r="H1495" s="5">
        <v>23829092</v>
      </c>
      <c r="I1495" s="5">
        <v>0</v>
      </c>
      <c r="J1495" s="5" t="s">
        <v>14</v>
      </c>
      <c r="K1495" s="5">
        <v>2051001811</v>
      </c>
    </row>
    <row r="1496" spans="1:11" x14ac:dyDescent="0.25">
      <c r="A1496" s="4" t="s">
        <v>11</v>
      </c>
      <c r="B1496" s="4" t="s">
        <v>1672</v>
      </c>
      <c r="C1496" s="4" t="s">
        <v>26</v>
      </c>
      <c r="D1496" s="4">
        <v>6125033630</v>
      </c>
      <c r="E1496" s="4" t="s">
        <v>1241</v>
      </c>
      <c r="F1496" s="4" t="s">
        <v>14</v>
      </c>
      <c r="G1496" s="5">
        <v>193674970</v>
      </c>
      <c r="H1496" s="5">
        <v>22169852</v>
      </c>
      <c r="I1496" s="5">
        <v>0</v>
      </c>
      <c r="J1496" s="5" t="s">
        <v>14</v>
      </c>
      <c r="K1496" s="5">
        <v>215844822</v>
      </c>
    </row>
    <row r="1497" spans="1:11" x14ac:dyDescent="0.25">
      <c r="A1497" s="4" t="s">
        <v>11</v>
      </c>
      <c r="B1497" s="4" t="s">
        <v>1672</v>
      </c>
      <c r="C1497" s="4" t="s">
        <v>26</v>
      </c>
      <c r="D1497" s="4">
        <v>6125033640</v>
      </c>
      <c r="E1497" s="4" t="s">
        <v>2099</v>
      </c>
      <c r="F1497" s="4" t="s">
        <v>14</v>
      </c>
      <c r="G1497" s="5">
        <v>1751941733</v>
      </c>
      <c r="H1497" s="5">
        <v>0</v>
      </c>
      <c r="I1497" s="5">
        <v>0</v>
      </c>
      <c r="J1497" s="5" t="s">
        <v>14</v>
      </c>
      <c r="K1497" s="5">
        <v>1751941733</v>
      </c>
    </row>
    <row r="1498" spans="1:11" x14ac:dyDescent="0.25">
      <c r="A1498" s="4" t="s">
        <v>11</v>
      </c>
      <c r="B1498" s="4" t="s">
        <v>1672</v>
      </c>
      <c r="C1498" s="4" t="s">
        <v>26</v>
      </c>
      <c r="D1498" s="4">
        <v>6125033645</v>
      </c>
      <c r="E1498" s="4" t="s">
        <v>2101</v>
      </c>
      <c r="F1498" s="4" t="s">
        <v>14</v>
      </c>
      <c r="G1498" s="5">
        <v>42165750</v>
      </c>
      <c r="H1498" s="5">
        <v>0</v>
      </c>
      <c r="I1498" s="5">
        <v>0</v>
      </c>
      <c r="J1498" s="5" t="s">
        <v>14</v>
      </c>
      <c r="K1498" s="5">
        <v>42165750</v>
      </c>
    </row>
    <row r="1499" spans="1:11" x14ac:dyDescent="0.25">
      <c r="A1499" s="4" t="s">
        <v>11</v>
      </c>
      <c r="B1499" s="4" t="s">
        <v>1672</v>
      </c>
      <c r="C1499" s="4" t="s">
        <v>26</v>
      </c>
      <c r="D1499" s="4">
        <v>6125033650</v>
      </c>
      <c r="E1499" s="4" t="s">
        <v>2103</v>
      </c>
      <c r="F1499" s="4" t="s">
        <v>14</v>
      </c>
      <c r="G1499" s="5">
        <v>27840000</v>
      </c>
      <c r="H1499" s="5">
        <v>250000</v>
      </c>
      <c r="I1499" s="5">
        <v>0</v>
      </c>
      <c r="J1499" s="5" t="s">
        <v>14</v>
      </c>
      <c r="K1499" s="5">
        <v>28090000</v>
      </c>
    </row>
    <row r="1500" spans="1:11" x14ac:dyDescent="0.25">
      <c r="A1500" s="4" t="s">
        <v>11</v>
      </c>
      <c r="B1500" s="4" t="s">
        <v>1672</v>
      </c>
      <c r="C1500" s="4" t="s">
        <v>26</v>
      </c>
      <c r="D1500" s="4">
        <v>6125033655</v>
      </c>
      <c r="E1500" s="4" t="s">
        <v>1239</v>
      </c>
      <c r="F1500" s="4" t="s">
        <v>14</v>
      </c>
      <c r="G1500" s="5">
        <v>4565522</v>
      </c>
      <c r="H1500" s="5">
        <v>0</v>
      </c>
      <c r="I1500" s="5">
        <v>0</v>
      </c>
      <c r="J1500" s="5" t="s">
        <v>14</v>
      </c>
      <c r="K1500" s="5">
        <v>4565522</v>
      </c>
    </row>
    <row r="1501" spans="1:11" x14ac:dyDescent="0.25">
      <c r="A1501" s="4" t="s">
        <v>11</v>
      </c>
      <c r="B1501" s="4" t="s">
        <v>1672</v>
      </c>
      <c r="C1501" s="4" t="s">
        <v>26</v>
      </c>
      <c r="D1501" s="4">
        <v>6125033670</v>
      </c>
      <c r="E1501" s="4" t="s">
        <v>1497</v>
      </c>
      <c r="F1501" s="4" t="s">
        <v>14</v>
      </c>
      <c r="G1501" s="5">
        <v>6851744</v>
      </c>
      <c r="H1501" s="5">
        <v>1409240</v>
      </c>
      <c r="I1501" s="5">
        <v>0</v>
      </c>
      <c r="J1501" s="5" t="s">
        <v>14</v>
      </c>
      <c r="K1501" s="5">
        <v>8260984</v>
      </c>
    </row>
    <row r="1502" spans="1:11" x14ac:dyDescent="0.25">
      <c r="A1502" s="4" t="s">
        <v>11</v>
      </c>
      <c r="B1502" s="4" t="s">
        <v>1672</v>
      </c>
      <c r="C1502" s="4" t="s">
        <v>26</v>
      </c>
      <c r="D1502" s="4">
        <v>6125033695</v>
      </c>
      <c r="E1502" s="4" t="s">
        <v>1244</v>
      </c>
      <c r="F1502" s="4" t="s">
        <v>14</v>
      </c>
      <c r="G1502" s="5">
        <v>133000</v>
      </c>
      <c r="H1502" s="5">
        <v>0</v>
      </c>
      <c r="I1502" s="5">
        <v>0</v>
      </c>
      <c r="J1502" s="5" t="s">
        <v>14</v>
      </c>
      <c r="K1502" s="5">
        <v>133000</v>
      </c>
    </row>
    <row r="1503" spans="1:11" x14ac:dyDescent="0.25">
      <c r="A1503" s="4" t="s">
        <v>11</v>
      </c>
      <c r="B1503" s="4" t="s">
        <v>1672</v>
      </c>
      <c r="C1503" s="4" t="s">
        <v>23</v>
      </c>
      <c r="D1503" s="4">
        <v>61250345</v>
      </c>
      <c r="E1503" s="4" t="s">
        <v>1257</v>
      </c>
      <c r="F1503" s="4" t="s">
        <v>14</v>
      </c>
      <c r="G1503" s="5">
        <v>313529044</v>
      </c>
      <c r="H1503" s="5">
        <v>1702303</v>
      </c>
      <c r="I1503" s="5">
        <v>0</v>
      </c>
      <c r="J1503" s="5" t="s">
        <v>14</v>
      </c>
      <c r="K1503" s="5">
        <v>315231347</v>
      </c>
    </row>
    <row r="1504" spans="1:11" x14ac:dyDescent="0.25">
      <c r="A1504" s="4" t="s">
        <v>11</v>
      </c>
      <c r="B1504" s="4" t="s">
        <v>1672</v>
      </c>
      <c r="C1504" s="4" t="s">
        <v>26</v>
      </c>
      <c r="D1504" s="4">
        <v>6125034525</v>
      </c>
      <c r="E1504" s="4" t="s">
        <v>1820</v>
      </c>
      <c r="F1504" s="4" t="s">
        <v>14</v>
      </c>
      <c r="G1504" s="5">
        <v>262361715</v>
      </c>
      <c r="H1504" s="5">
        <v>1430507</v>
      </c>
      <c r="I1504" s="5">
        <v>0</v>
      </c>
      <c r="J1504" s="5" t="s">
        <v>14</v>
      </c>
      <c r="K1504" s="5">
        <v>263792222</v>
      </c>
    </row>
    <row r="1505" spans="1:11" x14ac:dyDescent="0.25">
      <c r="A1505" s="4" t="s">
        <v>11</v>
      </c>
      <c r="B1505" s="4" t="s">
        <v>1672</v>
      </c>
      <c r="C1505" s="4" t="s">
        <v>26</v>
      </c>
      <c r="D1505" s="4">
        <v>6125034540</v>
      </c>
      <c r="E1505" s="4" t="s">
        <v>1522</v>
      </c>
      <c r="F1505" s="4" t="s">
        <v>14</v>
      </c>
      <c r="G1505" s="5">
        <v>3290000</v>
      </c>
      <c r="H1505" s="5">
        <v>0</v>
      </c>
      <c r="I1505" s="5">
        <v>0</v>
      </c>
      <c r="J1505" s="5" t="s">
        <v>14</v>
      </c>
      <c r="K1505" s="5">
        <v>3290000</v>
      </c>
    </row>
    <row r="1506" spans="1:11" x14ac:dyDescent="0.25">
      <c r="A1506" s="4" t="s">
        <v>11</v>
      </c>
      <c r="B1506" s="4" t="s">
        <v>1672</v>
      </c>
      <c r="C1506" s="4" t="s">
        <v>26</v>
      </c>
      <c r="D1506" s="4">
        <v>6125034570</v>
      </c>
      <c r="E1506" s="4" t="s">
        <v>1823</v>
      </c>
      <c r="F1506" s="4" t="s">
        <v>14</v>
      </c>
      <c r="G1506" s="5">
        <v>47252229</v>
      </c>
      <c r="H1506" s="5">
        <v>271796</v>
      </c>
      <c r="I1506" s="5">
        <v>0</v>
      </c>
      <c r="J1506" s="5" t="s">
        <v>14</v>
      </c>
      <c r="K1506" s="5">
        <v>47524025</v>
      </c>
    </row>
    <row r="1507" spans="1:11" x14ac:dyDescent="0.25">
      <c r="A1507" s="4" t="s">
        <v>11</v>
      </c>
      <c r="B1507" s="4" t="s">
        <v>1672</v>
      </c>
      <c r="C1507" s="4" t="s">
        <v>26</v>
      </c>
      <c r="D1507" s="4">
        <v>6125034590</v>
      </c>
      <c r="E1507" s="4" t="s">
        <v>1534</v>
      </c>
      <c r="F1507" s="4" t="s">
        <v>14</v>
      </c>
      <c r="G1507" s="5">
        <v>625100</v>
      </c>
      <c r="H1507" s="5">
        <v>0</v>
      </c>
      <c r="I1507" s="5">
        <v>0</v>
      </c>
      <c r="J1507" s="5" t="s">
        <v>14</v>
      </c>
      <c r="K1507" s="5">
        <v>625100</v>
      </c>
    </row>
    <row r="1508" spans="1:11" x14ac:dyDescent="0.25">
      <c r="A1508" s="4" t="s">
        <v>11</v>
      </c>
      <c r="B1508" s="4" t="s">
        <v>1672</v>
      </c>
      <c r="C1508" s="4" t="s">
        <v>23</v>
      </c>
      <c r="D1508" s="4">
        <v>61250355</v>
      </c>
      <c r="E1508" s="4" t="s">
        <v>1263</v>
      </c>
      <c r="F1508" s="4" t="s">
        <v>14</v>
      </c>
      <c r="G1508" s="5">
        <v>233418222.63</v>
      </c>
      <c r="H1508" s="5">
        <v>0</v>
      </c>
      <c r="I1508" s="5">
        <v>0</v>
      </c>
      <c r="J1508" s="5" t="s">
        <v>14</v>
      </c>
      <c r="K1508" s="5">
        <v>233418222.63</v>
      </c>
    </row>
    <row r="1509" spans="1:11" x14ac:dyDescent="0.25">
      <c r="A1509" s="4" t="s">
        <v>11</v>
      </c>
      <c r="B1509" s="4" t="s">
        <v>1672</v>
      </c>
      <c r="C1509" s="4" t="s">
        <v>26</v>
      </c>
      <c r="D1509" s="4">
        <v>6125035510</v>
      </c>
      <c r="E1509" s="4" t="s">
        <v>1265</v>
      </c>
      <c r="F1509" s="4" t="s">
        <v>14</v>
      </c>
      <c r="G1509" s="5">
        <v>28199421.600000001</v>
      </c>
      <c r="H1509" s="5">
        <v>0</v>
      </c>
      <c r="I1509" s="5">
        <v>0</v>
      </c>
      <c r="J1509" s="5" t="s">
        <v>14</v>
      </c>
      <c r="K1509" s="5">
        <v>28199421.600000001</v>
      </c>
    </row>
    <row r="1510" spans="1:11" x14ac:dyDescent="0.25">
      <c r="A1510" s="4" t="s">
        <v>11</v>
      </c>
      <c r="B1510" s="4" t="s">
        <v>1672</v>
      </c>
      <c r="C1510" s="4" t="s">
        <v>26</v>
      </c>
      <c r="D1510" s="4">
        <v>6125035515</v>
      </c>
      <c r="E1510" s="4" t="s">
        <v>1538</v>
      </c>
      <c r="F1510" s="4" t="s">
        <v>14</v>
      </c>
      <c r="G1510" s="5">
        <v>135927888.71000001</v>
      </c>
      <c r="H1510" s="5">
        <v>0</v>
      </c>
      <c r="I1510" s="5">
        <v>0</v>
      </c>
      <c r="J1510" s="5" t="s">
        <v>14</v>
      </c>
      <c r="K1510" s="5">
        <v>135927888.71000001</v>
      </c>
    </row>
    <row r="1511" spans="1:11" x14ac:dyDescent="0.25">
      <c r="A1511" s="4" t="s">
        <v>11</v>
      </c>
      <c r="B1511" s="4" t="s">
        <v>1672</v>
      </c>
      <c r="C1511" s="4" t="s">
        <v>26</v>
      </c>
      <c r="D1511" s="4">
        <v>6125035520</v>
      </c>
      <c r="E1511" s="4" t="s">
        <v>1267</v>
      </c>
      <c r="F1511" s="4" t="s">
        <v>14</v>
      </c>
      <c r="G1511" s="5">
        <v>37390913.149999999</v>
      </c>
      <c r="H1511" s="5">
        <v>0</v>
      </c>
      <c r="I1511" s="5">
        <v>0</v>
      </c>
      <c r="J1511" s="5" t="s">
        <v>14</v>
      </c>
      <c r="K1511" s="5">
        <v>37390913.149999999</v>
      </c>
    </row>
    <row r="1512" spans="1:11" x14ac:dyDescent="0.25">
      <c r="A1512" s="4" t="s">
        <v>11</v>
      </c>
      <c r="B1512" s="4" t="s">
        <v>1672</v>
      </c>
      <c r="C1512" s="4" t="s">
        <v>26</v>
      </c>
      <c r="D1512" s="4">
        <v>6125035525</v>
      </c>
      <c r="E1512" s="4" t="s">
        <v>1269</v>
      </c>
      <c r="F1512" s="4" t="s">
        <v>14</v>
      </c>
      <c r="G1512" s="5">
        <v>2523250.96</v>
      </c>
      <c r="H1512" s="5">
        <v>0</v>
      </c>
      <c r="I1512" s="5">
        <v>0</v>
      </c>
      <c r="J1512" s="5" t="s">
        <v>14</v>
      </c>
      <c r="K1512" s="5">
        <v>2523250.96</v>
      </c>
    </row>
    <row r="1513" spans="1:11" x14ac:dyDescent="0.25">
      <c r="A1513" s="4" t="s">
        <v>11</v>
      </c>
      <c r="B1513" s="4" t="s">
        <v>1672</v>
      </c>
      <c r="C1513" s="4" t="s">
        <v>26</v>
      </c>
      <c r="D1513" s="4">
        <v>6125035530</v>
      </c>
      <c r="E1513" s="4" t="s">
        <v>1542</v>
      </c>
      <c r="F1513" s="4" t="s">
        <v>14</v>
      </c>
      <c r="G1513" s="5">
        <v>29376748.210000001</v>
      </c>
      <c r="H1513" s="5">
        <v>0</v>
      </c>
      <c r="I1513" s="5">
        <v>0</v>
      </c>
      <c r="J1513" s="5" t="s">
        <v>14</v>
      </c>
      <c r="K1513" s="5">
        <v>29376748.210000001</v>
      </c>
    </row>
    <row r="1514" spans="1:11" x14ac:dyDescent="0.25">
      <c r="A1514" s="4" t="s">
        <v>11</v>
      </c>
      <c r="B1514" s="4" t="s">
        <v>1672</v>
      </c>
      <c r="C1514" s="4" t="s">
        <v>23</v>
      </c>
      <c r="D1514" s="4">
        <v>61250360</v>
      </c>
      <c r="E1514" s="4" t="s">
        <v>1273</v>
      </c>
      <c r="F1514" s="4" t="s">
        <v>14</v>
      </c>
      <c r="G1514" s="5">
        <v>3154808</v>
      </c>
      <c r="H1514" s="5">
        <v>248640</v>
      </c>
      <c r="I1514" s="5">
        <v>0</v>
      </c>
      <c r="J1514" s="5" t="s">
        <v>14</v>
      </c>
      <c r="K1514" s="5">
        <v>3403448</v>
      </c>
    </row>
    <row r="1515" spans="1:11" x14ac:dyDescent="0.25">
      <c r="A1515" s="4" t="s">
        <v>11</v>
      </c>
      <c r="B1515" s="4" t="s">
        <v>1672</v>
      </c>
      <c r="C1515" s="4" t="s">
        <v>26</v>
      </c>
      <c r="D1515" s="4">
        <v>6125036005</v>
      </c>
      <c r="E1515" s="4" t="s">
        <v>1273</v>
      </c>
      <c r="F1515" s="4" t="s">
        <v>14</v>
      </c>
      <c r="G1515" s="5">
        <v>3154808</v>
      </c>
      <c r="H1515" s="5">
        <v>248640</v>
      </c>
      <c r="I1515" s="5">
        <v>0</v>
      </c>
      <c r="J1515" s="5" t="s">
        <v>14</v>
      </c>
      <c r="K1515" s="5">
        <v>3403448</v>
      </c>
    </row>
    <row r="1516" spans="1:11" x14ac:dyDescent="0.25">
      <c r="A1516" s="4" t="s">
        <v>11</v>
      </c>
      <c r="B1516" s="4" t="s">
        <v>1672</v>
      </c>
      <c r="C1516" s="4" t="s">
        <v>23</v>
      </c>
      <c r="D1516" s="4">
        <v>61250371</v>
      </c>
      <c r="E1516" s="4" t="s">
        <v>1289</v>
      </c>
      <c r="F1516" s="4" t="s">
        <v>14</v>
      </c>
      <c r="G1516" s="5">
        <v>399335</v>
      </c>
      <c r="H1516" s="5">
        <v>61425</v>
      </c>
      <c r="I1516" s="5">
        <v>0</v>
      </c>
      <c r="J1516" s="5" t="s">
        <v>14</v>
      </c>
      <c r="K1516" s="5">
        <v>460760</v>
      </c>
    </row>
    <row r="1517" spans="1:11" x14ac:dyDescent="0.25">
      <c r="A1517" s="4" t="s">
        <v>11</v>
      </c>
      <c r="B1517" s="4" t="s">
        <v>1672</v>
      </c>
      <c r="C1517" s="4" t="s">
        <v>26</v>
      </c>
      <c r="D1517" s="4">
        <v>6125037105</v>
      </c>
      <c r="E1517" s="4" t="s">
        <v>1291</v>
      </c>
      <c r="F1517" s="4" t="s">
        <v>14</v>
      </c>
      <c r="G1517" s="5">
        <v>276101</v>
      </c>
      <c r="H1517" s="5">
        <v>61425</v>
      </c>
      <c r="I1517" s="5">
        <v>0</v>
      </c>
      <c r="J1517" s="5" t="s">
        <v>14</v>
      </c>
      <c r="K1517" s="5">
        <v>337526</v>
      </c>
    </row>
    <row r="1518" spans="1:11" x14ac:dyDescent="0.25">
      <c r="A1518" s="4" t="s">
        <v>11</v>
      </c>
      <c r="B1518" s="4" t="s">
        <v>1672</v>
      </c>
      <c r="C1518" s="4" t="s">
        <v>26</v>
      </c>
      <c r="D1518" s="4">
        <v>6125037110</v>
      </c>
      <c r="E1518" s="4" t="s">
        <v>1293</v>
      </c>
      <c r="F1518" s="4" t="s">
        <v>14</v>
      </c>
      <c r="G1518" s="5">
        <v>123234</v>
      </c>
      <c r="H1518" s="5">
        <v>0</v>
      </c>
      <c r="I1518" s="5">
        <v>0</v>
      </c>
      <c r="J1518" s="5" t="s">
        <v>14</v>
      </c>
      <c r="K1518" s="5">
        <v>123234</v>
      </c>
    </row>
    <row r="1519" spans="1:11" x14ac:dyDescent="0.25">
      <c r="A1519" s="4" t="s">
        <v>11</v>
      </c>
      <c r="B1519" s="4" t="s">
        <v>1672</v>
      </c>
      <c r="C1519" s="4" t="s">
        <v>18</v>
      </c>
      <c r="D1519" s="4">
        <v>6130</v>
      </c>
      <c r="E1519" s="4" t="s">
        <v>825</v>
      </c>
      <c r="F1519" s="4" t="s">
        <v>14</v>
      </c>
      <c r="G1519" s="5">
        <v>477064138.11000001</v>
      </c>
      <c r="H1519" s="5">
        <v>2335076.6</v>
      </c>
      <c r="I1519" s="5">
        <v>5800</v>
      </c>
      <c r="J1519" s="5" t="s">
        <v>14</v>
      </c>
      <c r="K1519" s="5">
        <v>479393414.70999998</v>
      </c>
    </row>
    <row r="1520" spans="1:11" x14ac:dyDescent="0.25">
      <c r="A1520" s="4" t="s">
        <v>11</v>
      </c>
      <c r="B1520" s="4" t="s">
        <v>1672</v>
      </c>
      <c r="C1520" s="4" t="s">
        <v>21</v>
      </c>
      <c r="D1520" s="4">
        <v>613001</v>
      </c>
      <c r="E1520" s="4" t="s">
        <v>1098</v>
      </c>
      <c r="F1520" s="4" t="s">
        <v>14</v>
      </c>
      <c r="G1520" s="5">
        <v>7820433.7999999998</v>
      </c>
      <c r="H1520" s="5">
        <v>1378853.17</v>
      </c>
      <c r="I1520" s="5">
        <v>5800</v>
      </c>
      <c r="J1520" s="5" t="s">
        <v>14</v>
      </c>
      <c r="K1520" s="5">
        <v>9193486.9700000007</v>
      </c>
    </row>
    <row r="1521" spans="1:11" x14ac:dyDescent="0.25">
      <c r="A1521" s="4" t="s">
        <v>11</v>
      </c>
      <c r="B1521" s="4" t="s">
        <v>1672</v>
      </c>
      <c r="C1521" s="4" t="s">
        <v>23</v>
      </c>
      <c r="D1521" s="4">
        <v>61300101</v>
      </c>
      <c r="E1521" s="4" t="s">
        <v>1679</v>
      </c>
      <c r="F1521" s="4" t="s">
        <v>14</v>
      </c>
      <c r="G1521" s="5">
        <v>875441</v>
      </c>
      <c r="H1521" s="5">
        <v>10502</v>
      </c>
      <c r="I1521" s="5">
        <v>0</v>
      </c>
      <c r="J1521" s="5" t="s">
        <v>14</v>
      </c>
      <c r="K1521" s="5">
        <v>885943</v>
      </c>
    </row>
    <row r="1522" spans="1:11" x14ac:dyDescent="0.25">
      <c r="A1522" s="4" t="s">
        <v>11</v>
      </c>
      <c r="B1522" s="4" t="s">
        <v>1672</v>
      </c>
      <c r="C1522" s="4" t="s">
        <v>26</v>
      </c>
      <c r="D1522" s="4">
        <v>6130010110</v>
      </c>
      <c r="E1522" s="4" t="s">
        <v>246</v>
      </c>
      <c r="F1522" s="4" t="s">
        <v>14</v>
      </c>
      <c r="G1522" s="5">
        <v>81191</v>
      </c>
      <c r="H1522" s="5">
        <v>10502</v>
      </c>
      <c r="I1522" s="5">
        <v>0</v>
      </c>
      <c r="J1522" s="5" t="s">
        <v>14</v>
      </c>
      <c r="K1522" s="5">
        <v>91693</v>
      </c>
    </row>
    <row r="1523" spans="1:11" x14ac:dyDescent="0.25">
      <c r="A1523" s="4" t="s">
        <v>11</v>
      </c>
      <c r="B1523" s="4" t="s">
        <v>1672</v>
      </c>
      <c r="C1523" s="4" t="s">
        <v>26</v>
      </c>
      <c r="D1523" s="4">
        <v>6130010130</v>
      </c>
      <c r="E1523" s="4" t="s">
        <v>1683</v>
      </c>
      <c r="F1523" s="4" t="s">
        <v>14</v>
      </c>
      <c r="G1523" s="5">
        <v>793770</v>
      </c>
      <c r="H1523" s="5">
        <v>0</v>
      </c>
      <c r="I1523" s="5">
        <v>0</v>
      </c>
      <c r="J1523" s="5" t="s">
        <v>14</v>
      </c>
      <c r="K1523" s="5">
        <v>793770</v>
      </c>
    </row>
    <row r="1524" spans="1:11" x14ac:dyDescent="0.25">
      <c r="A1524" s="4" t="s">
        <v>11</v>
      </c>
      <c r="B1524" s="4" t="s">
        <v>1672</v>
      </c>
      <c r="C1524" s="4" t="s">
        <v>26</v>
      </c>
      <c r="D1524" s="4">
        <v>6130010150</v>
      </c>
      <c r="E1524" s="4" t="s">
        <v>1685</v>
      </c>
      <c r="F1524" s="4" t="s">
        <v>14</v>
      </c>
      <c r="G1524" s="5">
        <v>480</v>
      </c>
      <c r="H1524" s="5">
        <v>0</v>
      </c>
      <c r="I1524" s="5">
        <v>0</v>
      </c>
      <c r="J1524" s="5" t="s">
        <v>14</v>
      </c>
      <c r="K1524" s="5">
        <v>480</v>
      </c>
    </row>
    <row r="1525" spans="1:11" x14ac:dyDescent="0.25">
      <c r="A1525" s="4" t="s">
        <v>11</v>
      </c>
      <c r="B1525" s="4" t="s">
        <v>1672</v>
      </c>
      <c r="C1525" s="4" t="s">
        <v>23</v>
      </c>
      <c r="D1525" s="4">
        <v>61300102</v>
      </c>
      <c r="E1525" s="4" t="s">
        <v>1100</v>
      </c>
      <c r="F1525" s="4" t="s">
        <v>14</v>
      </c>
      <c r="G1525" s="5">
        <v>6944992.7999999998</v>
      </c>
      <c r="H1525" s="5">
        <v>1108336.17</v>
      </c>
      <c r="I1525" s="5">
        <v>5800</v>
      </c>
      <c r="J1525" s="5" t="s">
        <v>14</v>
      </c>
      <c r="K1525" s="5">
        <v>8047528.9699999997</v>
      </c>
    </row>
    <row r="1526" spans="1:11" x14ac:dyDescent="0.25">
      <c r="A1526" s="4" t="s">
        <v>11</v>
      </c>
      <c r="B1526" s="4" t="s">
        <v>1672</v>
      </c>
      <c r="C1526" s="4" t="s">
        <v>26</v>
      </c>
      <c r="D1526" s="4">
        <v>6130010205</v>
      </c>
      <c r="E1526" s="4" t="s">
        <v>1100</v>
      </c>
      <c r="F1526" s="4" t="s">
        <v>14</v>
      </c>
      <c r="G1526" s="5">
        <v>6944992.7999999998</v>
      </c>
      <c r="H1526" s="5">
        <v>1108336.17</v>
      </c>
      <c r="I1526" s="5">
        <v>5800</v>
      </c>
      <c r="J1526" s="5" t="s">
        <v>14</v>
      </c>
      <c r="K1526" s="5">
        <v>8047528.9699999997</v>
      </c>
    </row>
    <row r="1527" spans="1:11" x14ac:dyDescent="0.25">
      <c r="A1527" s="4" t="s">
        <v>11</v>
      </c>
      <c r="B1527" s="4" t="s">
        <v>1672</v>
      </c>
      <c r="C1527" s="4" t="s">
        <v>23</v>
      </c>
      <c r="D1527" s="4">
        <v>61300103</v>
      </c>
      <c r="E1527" s="4" t="s">
        <v>1103</v>
      </c>
      <c r="F1527" s="4" t="s">
        <v>14</v>
      </c>
      <c r="G1527" s="5">
        <v>0</v>
      </c>
      <c r="H1527" s="5">
        <v>260015</v>
      </c>
      <c r="I1527" s="5">
        <v>0</v>
      </c>
      <c r="J1527" s="5" t="s">
        <v>14</v>
      </c>
      <c r="K1527" s="5">
        <v>260015</v>
      </c>
    </row>
    <row r="1528" spans="1:11" x14ac:dyDescent="0.25">
      <c r="A1528" s="4" t="s">
        <v>11</v>
      </c>
      <c r="B1528" s="4" t="s">
        <v>1672</v>
      </c>
      <c r="C1528" s="4" t="s">
        <v>26</v>
      </c>
      <c r="D1528" s="4">
        <v>6130010335</v>
      </c>
      <c r="E1528" s="4" t="s">
        <v>1113</v>
      </c>
      <c r="F1528" s="4" t="s">
        <v>14</v>
      </c>
      <c r="G1528" s="5">
        <v>0</v>
      </c>
      <c r="H1528" s="5">
        <v>218500</v>
      </c>
      <c r="I1528" s="5">
        <v>0</v>
      </c>
      <c r="J1528" s="5" t="s">
        <v>14</v>
      </c>
      <c r="K1528" s="5">
        <v>218500</v>
      </c>
    </row>
    <row r="1529" spans="1:11" x14ac:dyDescent="0.25">
      <c r="A1529" s="4" t="s">
        <v>11</v>
      </c>
      <c r="B1529" s="4" t="s">
        <v>1672</v>
      </c>
      <c r="C1529" s="4" t="s">
        <v>26</v>
      </c>
      <c r="D1529" s="4">
        <v>6130010375</v>
      </c>
      <c r="E1529" s="4" t="s">
        <v>1123</v>
      </c>
      <c r="F1529" s="4" t="s">
        <v>14</v>
      </c>
      <c r="G1529" s="5">
        <v>0</v>
      </c>
      <c r="H1529" s="5">
        <v>41515</v>
      </c>
      <c r="I1529" s="5">
        <v>0</v>
      </c>
      <c r="J1529" s="5" t="s">
        <v>14</v>
      </c>
      <c r="K1529" s="5">
        <v>41515</v>
      </c>
    </row>
    <row r="1530" spans="1:11" x14ac:dyDescent="0.25">
      <c r="A1530" s="4" t="s">
        <v>11</v>
      </c>
      <c r="B1530" s="4" t="s">
        <v>1672</v>
      </c>
      <c r="C1530" s="4" t="s">
        <v>21</v>
      </c>
      <c r="D1530" s="4">
        <v>613002</v>
      </c>
      <c r="E1530" s="4" t="s">
        <v>1125</v>
      </c>
      <c r="F1530" s="4" t="s">
        <v>14</v>
      </c>
      <c r="G1530" s="5">
        <v>441275846.35000002</v>
      </c>
      <c r="H1530" s="5">
        <v>0</v>
      </c>
      <c r="I1530" s="5">
        <v>0</v>
      </c>
      <c r="J1530" s="5" t="s">
        <v>14</v>
      </c>
      <c r="K1530" s="5">
        <v>441275846.35000002</v>
      </c>
    </row>
    <row r="1531" spans="1:11" x14ac:dyDescent="0.25">
      <c r="A1531" s="4" t="s">
        <v>11</v>
      </c>
      <c r="B1531" s="4" t="s">
        <v>1672</v>
      </c>
      <c r="C1531" s="4" t="s">
        <v>23</v>
      </c>
      <c r="D1531" s="4">
        <v>61300205</v>
      </c>
      <c r="E1531" s="4" t="s">
        <v>1127</v>
      </c>
      <c r="F1531" s="4" t="s">
        <v>14</v>
      </c>
      <c r="G1531" s="5">
        <v>440742526.35000002</v>
      </c>
      <c r="H1531" s="5">
        <v>0</v>
      </c>
      <c r="I1531" s="5">
        <v>0</v>
      </c>
      <c r="J1531" s="5" t="s">
        <v>14</v>
      </c>
      <c r="K1531" s="5">
        <v>440742526.35000002</v>
      </c>
    </row>
    <row r="1532" spans="1:11" x14ac:dyDescent="0.25">
      <c r="A1532" s="4" t="s">
        <v>11</v>
      </c>
      <c r="B1532" s="4" t="s">
        <v>1672</v>
      </c>
      <c r="C1532" s="4" t="s">
        <v>26</v>
      </c>
      <c r="D1532" s="4">
        <v>6130020502</v>
      </c>
      <c r="E1532" s="4" t="s">
        <v>1131</v>
      </c>
      <c r="F1532" s="4" t="s">
        <v>14</v>
      </c>
      <c r="G1532" s="5">
        <v>230103334</v>
      </c>
      <c r="H1532" s="5">
        <v>0</v>
      </c>
      <c r="I1532" s="5">
        <v>0</v>
      </c>
      <c r="J1532" s="5" t="s">
        <v>14</v>
      </c>
      <c r="K1532" s="5">
        <v>230103334</v>
      </c>
    </row>
    <row r="1533" spans="1:11" x14ac:dyDescent="0.25">
      <c r="A1533" s="4" t="s">
        <v>11</v>
      </c>
      <c r="B1533" s="4" t="s">
        <v>1672</v>
      </c>
      <c r="C1533" s="4" t="s">
        <v>26</v>
      </c>
      <c r="D1533" s="4">
        <v>6130020510</v>
      </c>
      <c r="E1533" s="4" t="s">
        <v>1315</v>
      </c>
      <c r="F1533" s="4" t="s">
        <v>14</v>
      </c>
      <c r="G1533" s="5">
        <v>11321368</v>
      </c>
      <c r="H1533" s="5">
        <v>0</v>
      </c>
      <c r="I1533" s="5">
        <v>0</v>
      </c>
      <c r="J1533" s="5" t="s">
        <v>14</v>
      </c>
      <c r="K1533" s="5">
        <v>11321368</v>
      </c>
    </row>
    <row r="1534" spans="1:11" x14ac:dyDescent="0.25">
      <c r="A1534" s="4" t="s">
        <v>11</v>
      </c>
      <c r="B1534" s="4" t="s">
        <v>1672</v>
      </c>
      <c r="C1534" s="4" t="s">
        <v>26</v>
      </c>
      <c r="D1534" s="4">
        <v>6130020511</v>
      </c>
      <c r="E1534" s="4" t="s">
        <v>1135</v>
      </c>
      <c r="F1534" s="4" t="s">
        <v>14</v>
      </c>
      <c r="G1534" s="5">
        <v>21310055</v>
      </c>
      <c r="H1534" s="5">
        <v>0</v>
      </c>
      <c r="I1534" s="5">
        <v>0</v>
      </c>
      <c r="J1534" s="5" t="s">
        <v>14</v>
      </c>
      <c r="K1534" s="5">
        <v>21310055</v>
      </c>
    </row>
    <row r="1535" spans="1:11" x14ac:dyDescent="0.25">
      <c r="A1535" s="4" t="s">
        <v>11</v>
      </c>
      <c r="B1535" s="4" t="s">
        <v>1672</v>
      </c>
      <c r="C1535" s="4" t="s">
        <v>26</v>
      </c>
      <c r="D1535" s="4">
        <v>6130020512</v>
      </c>
      <c r="E1535" s="4" t="s">
        <v>1318</v>
      </c>
      <c r="F1535" s="4" t="s">
        <v>14</v>
      </c>
      <c r="G1535" s="5">
        <v>15721326</v>
      </c>
      <c r="H1535" s="5">
        <v>0</v>
      </c>
      <c r="I1535" s="5">
        <v>0</v>
      </c>
      <c r="J1535" s="5" t="s">
        <v>14</v>
      </c>
      <c r="K1535" s="5">
        <v>15721326</v>
      </c>
    </row>
    <row r="1536" spans="1:11" x14ac:dyDescent="0.25">
      <c r="A1536" s="4" t="s">
        <v>11</v>
      </c>
      <c r="B1536" s="4" t="s">
        <v>1672</v>
      </c>
      <c r="C1536" s="4" t="s">
        <v>26</v>
      </c>
      <c r="D1536" s="4">
        <v>6130020514</v>
      </c>
      <c r="E1536" s="4" t="s">
        <v>224</v>
      </c>
      <c r="F1536" s="4" t="s">
        <v>14</v>
      </c>
      <c r="G1536" s="5">
        <v>1773854</v>
      </c>
      <c r="H1536" s="5">
        <v>0</v>
      </c>
      <c r="I1536" s="5">
        <v>0</v>
      </c>
      <c r="J1536" s="5" t="s">
        <v>14</v>
      </c>
      <c r="K1536" s="5">
        <v>1773854</v>
      </c>
    </row>
    <row r="1537" spans="1:11" x14ac:dyDescent="0.25">
      <c r="A1537" s="4" t="s">
        <v>11</v>
      </c>
      <c r="B1537" s="4" t="s">
        <v>1672</v>
      </c>
      <c r="C1537" s="4" t="s">
        <v>26</v>
      </c>
      <c r="D1537" s="4">
        <v>6130020516</v>
      </c>
      <c r="E1537" s="4" t="s">
        <v>1138</v>
      </c>
      <c r="F1537" s="4" t="s">
        <v>14</v>
      </c>
      <c r="G1537" s="5">
        <v>1339200</v>
      </c>
      <c r="H1537" s="5">
        <v>0</v>
      </c>
      <c r="I1537" s="5">
        <v>0</v>
      </c>
      <c r="J1537" s="5" t="s">
        <v>14</v>
      </c>
      <c r="K1537" s="5">
        <v>1339200</v>
      </c>
    </row>
    <row r="1538" spans="1:11" x14ac:dyDescent="0.25">
      <c r="A1538" s="4" t="s">
        <v>11</v>
      </c>
      <c r="B1538" s="4" t="s">
        <v>1672</v>
      </c>
      <c r="C1538" s="4" t="s">
        <v>26</v>
      </c>
      <c r="D1538" s="4">
        <v>6130020520</v>
      </c>
      <c r="E1538" s="4" t="s">
        <v>1140</v>
      </c>
      <c r="F1538" s="4" t="s">
        <v>14</v>
      </c>
      <c r="G1538" s="5">
        <v>12279</v>
      </c>
      <c r="H1538" s="5">
        <v>0</v>
      </c>
      <c r="I1538" s="5">
        <v>0</v>
      </c>
      <c r="J1538" s="5" t="s">
        <v>14</v>
      </c>
      <c r="K1538" s="5">
        <v>12279</v>
      </c>
    </row>
    <row r="1539" spans="1:11" x14ac:dyDescent="0.25">
      <c r="A1539" s="4" t="s">
        <v>11</v>
      </c>
      <c r="B1539" s="4" t="s">
        <v>1672</v>
      </c>
      <c r="C1539" s="4" t="s">
        <v>26</v>
      </c>
      <c r="D1539" s="4">
        <v>6130020530</v>
      </c>
      <c r="E1539" s="4" t="s">
        <v>1142</v>
      </c>
      <c r="F1539" s="4" t="s">
        <v>14</v>
      </c>
      <c r="G1539" s="5">
        <v>24780483</v>
      </c>
      <c r="H1539" s="5">
        <v>0</v>
      </c>
      <c r="I1539" s="5">
        <v>0</v>
      </c>
      <c r="J1539" s="5" t="s">
        <v>14</v>
      </c>
      <c r="K1539" s="5">
        <v>24780483</v>
      </c>
    </row>
    <row r="1540" spans="1:11" x14ac:dyDescent="0.25">
      <c r="A1540" s="4" t="s">
        <v>11</v>
      </c>
      <c r="B1540" s="4" t="s">
        <v>1672</v>
      </c>
      <c r="C1540" s="4" t="s">
        <v>26</v>
      </c>
      <c r="D1540" s="4">
        <v>6130020531</v>
      </c>
      <c r="E1540" s="4" t="s">
        <v>673</v>
      </c>
      <c r="F1540" s="4" t="s">
        <v>14</v>
      </c>
      <c r="G1540" s="5">
        <v>2974852</v>
      </c>
      <c r="H1540" s="5">
        <v>0</v>
      </c>
      <c r="I1540" s="5">
        <v>0</v>
      </c>
      <c r="J1540" s="5" t="s">
        <v>14</v>
      </c>
      <c r="K1540" s="5">
        <v>2974852</v>
      </c>
    </row>
    <row r="1541" spans="1:11" x14ac:dyDescent="0.25">
      <c r="A1541" s="4" t="s">
        <v>11</v>
      </c>
      <c r="B1541" s="4" t="s">
        <v>1672</v>
      </c>
      <c r="C1541" s="4" t="s">
        <v>26</v>
      </c>
      <c r="D1541" s="4">
        <v>6130020532</v>
      </c>
      <c r="E1541" s="4" t="s">
        <v>675</v>
      </c>
      <c r="F1541" s="4" t="s">
        <v>14</v>
      </c>
      <c r="G1541" s="5">
        <v>24987924</v>
      </c>
      <c r="H1541" s="5">
        <v>0</v>
      </c>
      <c r="I1541" s="5">
        <v>0</v>
      </c>
      <c r="J1541" s="5" t="s">
        <v>14</v>
      </c>
      <c r="K1541" s="5">
        <v>24987924</v>
      </c>
    </row>
    <row r="1542" spans="1:11" x14ac:dyDescent="0.25">
      <c r="A1542" s="4" t="s">
        <v>11</v>
      </c>
      <c r="B1542" s="4" t="s">
        <v>1672</v>
      </c>
      <c r="C1542" s="4" t="s">
        <v>26</v>
      </c>
      <c r="D1542" s="4">
        <v>6130020533</v>
      </c>
      <c r="E1542" s="4" t="s">
        <v>1146</v>
      </c>
      <c r="F1542" s="4" t="s">
        <v>14</v>
      </c>
      <c r="G1542" s="5">
        <v>12384828.68</v>
      </c>
      <c r="H1542" s="5">
        <v>0</v>
      </c>
      <c r="I1542" s="5">
        <v>0</v>
      </c>
      <c r="J1542" s="5" t="s">
        <v>14</v>
      </c>
      <c r="K1542" s="5">
        <v>12384828.68</v>
      </c>
    </row>
    <row r="1543" spans="1:11" x14ac:dyDescent="0.25">
      <c r="A1543" s="4" t="s">
        <v>11</v>
      </c>
      <c r="B1543" s="4" t="s">
        <v>1672</v>
      </c>
      <c r="C1543" s="4" t="s">
        <v>26</v>
      </c>
      <c r="D1543" s="4">
        <v>6130020540</v>
      </c>
      <c r="E1543" s="4" t="s">
        <v>1148</v>
      </c>
      <c r="F1543" s="4" t="s">
        <v>14</v>
      </c>
      <c r="G1543" s="5">
        <v>25163204</v>
      </c>
      <c r="H1543" s="5">
        <v>0</v>
      </c>
      <c r="I1543" s="5">
        <v>0</v>
      </c>
      <c r="J1543" s="5" t="s">
        <v>14</v>
      </c>
      <c r="K1543" s="5">
        <v>25163204</v>
      </c>
    </row>
    <row r="1544" spans="1:11" x14ac:dyDescent="0.25">
      <c r="A1544" s="4" t="s">
        <v>11</v>
      </c>
      <c r="B1544" s="4" t="s">
        <v>1672</v>
      </c>
      <c r="C1544" s="4" t="s">
        <v>26</v>
      </c>
      <c r="D1544" s="4">
        <v>6130020541</v>
      </c>
      <c r="E1544" s="4" t="s">
        <v>1150</v>
      </c>
      <c r="F1544" s="4" t="s">
        <v>14</v>
      </c>
      <c r="G1544" s="5">
        <v>35601532</v>
      </c>
      <c r="H1544" s="5">
        <v>0</v>
      </c>
      <c r="I1544" s="5">
        <v>0</v>
      </c>
      <c r="J1544" s="5" t="s">
        <v>14</v>
      </c>
      <c r="K1544" s="5">
        <v>35601532</v>
      </c>
    </row>
    <row r="1545" spans="1:11" x14ac:dyDescent="0.25">
      <c r="A1545" s="4" t="s">
        <v>11</v>
      </c>
      <c r="B1545" s="4" t="s">
        <v>1672</v>
      </c>
      <c r="C1545" s="4" t="s">
        <v>26</v>
      </c>
      <c r="D1545" s="4">
        <v>6130020542</v>
      </c>
      <c r="E1545" s="4" t="s">
        <v>1152</v>
      </c>
      <c r="F1545" s="4" t="s">
        <v>14</v>
      </c>
      <c r="G1545" s="5">
        <v>6698867</v>
      </c>
      <c r="H1545" s="5">
        <v>0</v>
      </c>
      <c r="I1545" s="5">
        <v>0</v>
      </c>
      <c r="J1545" s="5" t="s">
        <v>14</v>
      </c>
      <c r="K1545" s="5">
        <v>6698867</v>
      </c>
    </row>
    <row r="1546" spans="1:11" x14ac:dyDescent="0.25">
      <c r="A1546" s="4" t="s">
        <v>11</v>
      </c>
      <c r="B1546" s="4" t="s">
        <v>1672</v>
      </c>
      <c r="C1546" s="4" t="s">
        <v>26</v>
      </c>
      <c r="D1546" s="4">
        <v>6130020550</v>
      </c>
      <c r="E1546" s="4" t="s">
        <v>1154</v>
      </c>
      <c r="F1546" s="4" t="s">
        <v>14</v>
      </c>
      <c r="G1546" s="5">
        <v>11770723.67</v>
      </c>
      <c r="H1546" s="5">
        <v>0</v>
      </c>
      <c r="I1546" s="5">
        <v>0</v>
      </c>
      <c r="J1546" s="5" t="s">
        <v>14</v>
      </c>
      <c r="K1546" s="5">
        <v>11770723.67</v>
      </c>
    </row>
    <row r="1547" spans="1:11" x14ac:dyDescent="0.25">
      <c r="A1547" s="4" t="s">
        <v>11</v>
      </c>
      <c r="B1547" s="4" t="s">
        <v>1672</v>
      </c>
      <c r="C1547" s="4" t="s">
        <v>26</v>
      </c>
      <c r="D1547" s="4">
        <v>6130020551</v>
      </c>
      <c r="E1547" s="4" t="s">
        <v>1156</v>
      </c>
      <c r="F1547" s="4" t="s">
        <v>14</v>
      </c>
      <c r="G1547" s="5">
        <v>8879181</v>
      </c>
      <c r="H1547" s="5">
        <v>0</v>
      </c>
      <c r="I1547" s="5">
        <v>0</v>
      </c>
      <c r="J1547" s="5" t="s">
        <v>14</v>
      </c>
      <c r="K1547" s="5">
        <v>8879181</v>
      </c>
    </row>
    <row r="1548" spans="1:11" x14ac:dyDescent="0.25">
      <c r="A1548" s="4" t="s">
        <v>11</v>
      </c>
      <c r="B1548" s="4" t="s">
        <v>1672</v>
      </c>
      <c r="C1548" s="4" t="s">
        <v>26</v>
      </c>
      <c r="D1548" s="4">
        <v>6130020552</v>
      </c>
      <c r="E1548" s="4" t="s">
        <v>1158</v>
      </c>
      <c r="F1548" s="4" t="s">
        <v>14</v>
      </c>
      <c r="G1548" s="5">
        <v>5919515</v>
      </c>
      <c r="H1548" s="5">
        <v>0</v>
      </c>
      <c r="I1548" s="5">
        <v>0</v>
      </c>
      <c r="J1548" s="5" t="s">
        <v>14</v>
      </c>
      <c r="K1548" s="5">
        <v>5919515</v>
      </c>
    </row>
    <row r="1549" spans="1:11" x14ac:dyDescent="0.25">
      <c r="A1549" s="4" t="s">
        <v>11</v>
      </c>
      <c r="B1549" s="4" t="s">
        <v>1672</v>
      </c>
      <c r="C1549" s="4" t="s">
        <v>23</v>
      </c>
      <c r="D1549" s="4">
        <v>61300215</v>
      </c>
      <c r="E1549" s="4" t="s">
        <v>1445</v>
      </c>
      <c r="F1549" s="4" t="s">
        <v>14</v>
      </c>
      <c r="G1549" s="5">
        <v>533320</v>
      </c>
      <c r="H1549" s="5">
        <v>0</v>
      </c>
      <c r="I1549" s="5">
        <v>0</v>
      </c>
      <c r="J1549" s="5" t="s">
        <v>14</v>
      </c>
      <c r="K1549" s="5">
        <v>533320</v>
      </c>
    </row>
    <row r="1550" spans="1:11" x14ac:dyDescent="0.25">
      <c r="A1550" s="4" t="s">
        <v>11</v>
      </c>
      <c r="B1550" s="4" t="s">
        <v>1672</v>
      </c>
      <c r="C1550" s="4" t="s">
        <v>26</v>
      </c>
      <c r="D1550" s="4">
        <v>6130021505</v>
      </c>
      <c r="E1550" s="4" t="s">
        <v>554</v>
      </c>
      <c r="F1550" s="4" t="s">
        <v>14</v>
      </c>
      <c r="G1550" s="5">
        <v>533320</v>
      </c>
      <c r="H1550" s="5">
        <v>0</v>
      </c>
      <c r="I1550" s="5">
        <v>0</v>
      </c>
      <c r="J1550" s="5" t="s">
        <v>14</v>
      </c>
      <c r="K1550" s="5">
        <v>533320</v>
      </c>
    </row>
    <row r="1551" spans="1:11" x14ac:dyDescent="0.25">
      <c r="A1551" s="4" t="s">
        <v>11</v>
      </c>
      <c r="B1551" s="4" t="s">
        <v>1672</v>
      </c>
      <c r="C1551" s="4" t="s">
        <v>21</v>
      </c>
      <c r="D1551" s="4">
        <v>613003</v>
      </c>
      <c r="E1551" s="4" t="s">
        <v>1720</v>
      </c>
      <c r="F1551" s="4" t="s">
        <v>14</v>
      </c>
      <c r="G1551" s="5">
        <v>27967857.960000001</v>
      </c>
      <c r="H1551" s="5">
        <v>956223.43</v>
      </c>
      <c r="I1551" s="5">
        <v>0</v>
      </c>
      <c r="J1551" s="5" t="s">
        <v>14</v>
      </c>
      <c r="K1551" s="5">
        <v>28924081.390000001</v>
      </c>
    </row>
    <row r="1552" spans="1:11" x14ac:dyDescent="0.25">
      <c r="A1552" s="4" t="s">
        <v>11</v>
      </c>
      <c r="B1552" s="4" t="s">
        <v>1672</v>
      </c>
      <c r="C1552" s="4" t="s">
        <v>23</v>
      </c>
      <c r="D1552" s="4">
        <v>61300315</v>
      </c>
      <c r="E1552" s="4" t="s">
        <v>1189</v>
      </c>
      <c r="F1552" s="4" t="s">
        <v>14</v>
      </c>
      <c r="G1552" s="5">
        <v>1739450</v>
      </c>
      <c r="H1552" s="5">
        <v>347890</v>
      </c>
      <c r="I1552" s="5">
        <v>0</v>
      </c>
      <c r="J1552" s="5" t="s">
        <v>14</v>
      </c>
      <c r="K1552" s="5">
        <v>2087340</v>
      </c>
    </row>
    <row r="1553" spans="1:11" x14ac:dyDescent="0.25">
      <c r="A1553" s="4" t="s">
        <v>11</v>
      </c>
      <c r="B1553" s="4" t="s">
        <v>1672</v>
      </c>
      <c r="C1553" s="4" t="s">
        <v>26</v>
      </c>
      <c r="D1553" s="4">
        <v>6130031510</v>
      </c>
      <c r="E1553" s="4" t="s">
        <v>439</v>
      </c>
      <c r="F1553" s="4" t="s">
        <v>14</v>
      </c>
      <c r="G1553" s="5">
        <v>1739450</v>
      </c>
      <c r="H1553" s="5">
        <v>347890</v>
      </c>
      <c r="I1553" s="5">
        <v>0</v>
      </c>
      <c r="J1553" s="5" t="s">
        <v>14</v>
      </c>
      <c r="K1553" s="5">
        <v>2087340</v>
      </c>
    </row>
    <row r="1554" spans="1:11" x14ac:dyDescent="0.25">
      <c r="A1554" s="4" t="s">
        <v>11</v>
      </c>
      <c r="B1554" s="4" t="s">
        <v>1672</v>
      </c>
      <c r="C1554" s="4" t="s">
        <v>23</v>
      </c>
      <c r="D1554" s="4">
        <v>61300330</v>
      </c>
      <c r="E1554" s="4" t="s">
        <v>437</v>
      </c>
      <c r="F1554" s="4" t="s">
        <v>14</v>
      </c>
      <c r="G1554" s="5">
        <v>10658800</v>
      </c>
      <c r="H1554" s="5">
        <v>0</v>
      </c>
      <c r="I1554" s="5">
        <v>0</v>
      </c>
      <c r="J1554" s="5" t="s">
        <v>14</v>
      </c>
      <c r="K1554" s="5">
        <v>10658800</v>
      </c>
    </row>
    <row r="1555" spans="1:11" x14ac:dyDescent="0.25">
      <c r="A1555" s="4" t="s">
        <v>11</v>
      </c>
      <c r="B1555" s="4" t="s">
        <v>1672</v>
      </c>
      <c r="C1555" s="4" t="s">
        <v>26</v>
      </c>
      <c r="D1555" s="4">
        <v>6130033010</v>
      </c>
      <c r="E1555" s="4" t="s">
        <v>1212</v>
      </c>
      <c r="F1555" s="4" t="s">
        <v>14</v>
      </c>
      <c r="G1555" s="5">
        <v>2374530</v>
      </c>
      <c r="H1555" s="5">
        <v>0</v>
      </c>
      <c r="I1555" s="5">
        <v>0</v>
      </c>
      <c r="J1555" s="5" t="s">
        <v>14</v>
      </c>
      <c r="K1555" s="5">
        <v>2374530</v>
      </c>
    </row>
    <row r="1556" spans="1:11" x14ac:dyDescent="0.25">
      <c r="A1556" s="4" t="s">
        <v>11</v>
      </c>
      <c r="B1556" s="4" t="s">
        <v>1672</v>
      </c>
      <c r="C1556" s="4" t="s">
        <v>26</v>
      </c>
      <c r="D1556" s="4">
        <v>6130033015</v>
      </c>
      <c r="E1556" s="4" t="s">
        <v>1214</v>
      </c>
      <c r="F1556" s="4" t="s">
        <v>14</v>
      </c>
      <c r="G1556" s="5">
        <v>8284270</v>
      </c>
      <c r="H1556" s="5">
        <v>0</v>
      </c>
      <c r="I1556" s="5">
        <v>0</v>
      </c>
      <c r="J1556" s="5" t="s">
        <v>14</v>
      </c>
      <c r="K1556" s="5">
        <v>8284270</v>
      </c>
    </row>
    <row r="1557" spans="1:11" x14ac:dyDescent="0.25">
      <c r="A1557" s="4" t="s">
        <v>11</v>
      </c>
      <c r="B1557" s="4" t="s">
        <v>1672</v>
      </c>
      <c r="C1557" s="4" t="s">
        <v>23</v>
      </c>
      <c r="D1557" s="4">
        <v>61300335</v>
      </c>
      <c r="E1557" s="4" t="s">
        <v>566</v>
      </c>
      <c r="F1557" s="4" t="s">
        <v>14</v>
      </c>
      <c r="G1557" s="5">
        <v>6394467.5999999996</v>
      </c>
      <c r="H1557" s="5">
        <v>500748.43</v>
      </c>
      <c r="I1557" s="5">
        <v>0</v>
      </c>
      <c r="J1557" s="5" t="s">
        <v>14</v>
      </c>
      <c r="K1557" s="5">
        <v>6895216.0300000003</v>
      </c>
    </row>
    <row r="1558" spans="1:11" x14ac:dyDescent="0.25">
      <c r="A1558" s="4" t="s">
        <v>11</v>
      </c>
      <c r="B1558" s="4" t="s">
        <v>1672</v>
      </c>
      <c r="C1558" s="4" t="s">
        <v>26</v>
      </c>
      <c r="D1558" s="4">
        <v>6130033520</v>
      </c>
      <c r="E1558" s="4" t="s">
        <v>1225</v>
      </c>
      <c r="F1558" s="4" t="s">
        <v>14</v>
      </c>
      <c r="G1558" s="5">
        <v>4228172.92</v>
      </c>
      <c r="H1558" s="5">
        <v>413337.46</v>
      </c>
      <c r="I1558" s="5">
        <v>0</v>
      </c>
      <c r="J1558" s="5" t="s">
        <v>14</v>
      </c>
      <c r="K1558" s="5">
        <v>4641510.38</v>
      </c>
    </row>
    <row r="1559" spans="1:11" x14ac:dyDescent="0.25">
      <c r="A1559" s="4" t="s">
        <v>11</v>
      </c>
      <c r="B1559" s="4" t="s">
        <v>1672</v>
      </c>
      <c r="C1559" s="4" t="s">
        <v>26</v>
      </c>
      <c r="D1559" s="4">
        <v>6130033525</v>
      </c>
      <c r="E1559" s="4" t="s">
        <v>1227</v>
      </c>
      <c r="F1559" s="4" t="s">
        <v>14</v>
      </c>
      <c r="G1559" s="5">
        <v>492312.5</v>
      </c>
      <c r="H1559" s="5">
        <v>56673.57</v>
      </c>
      <c r="I1559" s="5">
        <v>0</v>
      </c>
      <c r="J1559" s="5" t="s">
        <v>14</v>
      </c>
      <c r="K1559" s="5">
        <v>548986.06999999995</v>
      </c>
    </row>
    <row r="1560" spans="1:11" x14ac:dyDescent="0.25">
      <c r="A1560" s="4" t="s">
        <v>11</v>
      </c>
      <c r="B1560" s="4" t="s">
        <v>1672</v>
      </c>
      <c r="C1560" s="4" t="s">
        <v>26</v>
      </c>
      <c r="D1560" s="4">
        <v>6130033530</v>
      </c>
      <c r="E1560" s="4" t="s">
        <v>1229</v>
      </c>
      <c r="F1560" s="4" t="s">
        <v>14</v>
      </c>
      <c r="G1560" s="5">
        <v>166034.01999999999</v>
      </c>
      <c r="H1560" s="5">
        <v>17026.62</v>
      </c>
      <c r="I1560" s="5">
        <v>0</v>
      </c>
      <c r="J1560" s="5" t="s">
        <v>14</v>
      </c>
      <c r="K1560" s="5">
        <v>183060.64</v>
      </c>
    </row>
    <row r="1561" spans="1:11" x14ac:dyDescent="0.25">
      <c r="A1561" s="4" t="s">
        <v>11</v>
      </c>
      <c r="B1561" s="4" t="s">
        <v>1672</v>
      </c>
      <c r="C1561" s="4" t="s">
        <v>26</v>
      </c>
      <c r="D1561" s="4">
        <v>6130033535</v>
      </c>
      <c r="E1561" s="4" t="s">
        <v>1231</v>
      </c>
      <c r="F1561" s="4" t="s">
        <v>14</v>
      </c>
      <c r="G1561" s="5">
        <v>1150814</v>
      </c>
      <c r="H1561" s="5">
        <v>0</v>
      </c>
      <c r="I1561" s="5">
        <v>0</v>
      </c>
      <c r="J1561" s="5" t="s">
        <v>14</v>
      </c>
      <c r="K1561" s="5">
        <v>1150814</v>
      </c>
    </row>
    <row r="1562" spans="1:11" x14ac:dyDescent="0.25">
      <c r="A1562" s="4" t="s">
        <v>11</v>
      </c>
      <c r="B1562" s="4" t="s">
        <v>1672</v>
      </c>
      <c r="C1562" s="4" t="s">
        <v>26</v>
      </c>
      <c r="D1562" s="4">
        <v>6130033550</v>
      </c>
      <c r="E1562" s="4" t="s">
        <v>1233</v>
      </c>
      <c r="F1562" s="4" t="s">
        <v>14</v>
      </c>
      <c r="G1562" s="5">
        <v>93925.3</v>
      </c>
      <c r="H1562" s="5">
        <v>10436.43</v>
      </c>
      <c r="I1562" s="5">
        <v>0</v>
      </c>
      <c r="J1562" s="5" t="s">
        <v>14</v>
      </c>
      <c r="K1562" s="5">
        <v>104361.73</v>
      </c>
    </row>
    <row r="1563" spans="1:11" x14ac:dyDescent="0.25">
      <c r="A1563" s="4" t="s">
        <v>11</v>
      </c>
      <c r="B1563" s="4" t="s">
        <v>1672</v>
      </c>
      <c r="C1563" s="4" t="s">
        <v>26</v>
      </c>
      <c r="D1563" s="4">
        <v>6130033560</v>
      </c>
      <c r="E1563" s="4" t="s">
        <v>1235</v>
      </c>
      <c r="F1563" s="4" t="s">
        <v>14</v>
      </c>
      <c r="G1563" s="5">
        <v>33351.86</v>
      </c>
      <c r="H1563" s="5">
        <v>3274.35</v>
      </c>
      <c r="I1563" s="5">
        <v>0</v>
      </c>
      <c r="J1563" s="5" t="s">
        <v>14</v>
      </c>
      <c r="K1563" s="5">
        <v>36626.21</v>
      </c>
    </row>
    <row r="1564" spans="1:11" x14ac:dyDescent="0.25">
      <c r="A1564" s="4" t="s">
        <v>11</v>
      </c>
      <c r="B1564" s="4" t="s">
        <v>1672</v>
      </c>
      <c r="C1564" s="4" t="s">
        <v>26</v>
      </c>
      <c r="D1564" s="4">
        <v>6130033565</v>
      </c>
      <c r="E1564" s="4" t="s">
        <v>1237</v>
      </c>
      <c r="F1564" s="4" t="s">
        <v>14</v>
      </c>
      <c r="G1564" s="5">
        <v>229857</v>
      </c>
      <c r="H1564" s="5">
        <v>0</v>
      </c>
      <c r="I1564" s="5">
        <v>0</v>
      </c>
      <c r="J1564" s="5" t="s">
        <v>14</v>
      </c>
      <c r="K1564" s="5">
        <v>229857</v>
      </c>
    </row>
    <row r="1565" spans="1:11" x14ac:dyDescent="0.25">
      <c r="A1565" s="4" t="s">
        <v>11</v>
      </c>
      <c r="B1565" s="4" t="s">
        <v>1672</v>
      </c>
      <c r="C1565" s="4" t="s">
        <v>23</v>
      </c>
      <c r="D1565" s="4">
        <v>61300345</v>
      </c>
      <c r="E1565" s="4" t="s">
        <v>1257</v>
      </c>
      <c r="F1565" s="4" t="s">
        <v>14</v>
      </c>
      <c r="G1565" s="5">
        <v>102337</v>
      </c>
      <c r="H1565" s="5">
        <v>0</v>
      </c>
      <c r="I1565" s="5">
        <v>0</v>
      </c>
      <c r="J1565" s="5" t="s">
        <v>14</v>
      </c>
      <c r="K1565" s="5">
        <v>102337</v>
      </c>
    </row>
    <row r="1566" spans="1:11" x14ac:dyDescent="0.25">
      <c r="A1566" s="4" t="s">
        <v>11</v>
      </c>
      <c r="B1566" s="4" t="s">
        <v>1672</v>
      </c>
      <c r="C1566" s="4" t="s">
        <v>26</v>
      </c>
      <c r="D1566" s="4">
        <v>6130034535</v>
      </c>
      <c r="E1566" s="4" t="s">
        <v>1743</v>
      </c>
      <c r="F1566" s="4" t="s">
        <v>14</v>
      </c>
      <c r="G1566" s="5">
        <v>102337</v>
      </c>
      <c r="H1566" s="5">
        <v>0</v>
      </c>
      <c r="I1566" s="5">
        <v>0</v>
      </c>
      <c r="J1566" s="5" t="s">
        <v>14</v>
      </c>
      <c r="K1566" s="5">
        <v>102337</v>
      </c>
    </row>
    <row r="1567" spans="1:11" x14ac:dyDescent="0.25">
      <c r="A1567" s="4" t="s">
        <v>11</v>
      </c>
      <c r="B1567" s="4" t="s">
        <v>1672</v>
      </c>
      <c r="C1567" s="4" t="s">
        <v>23</v>
      </c>
      <c r="D1567" s="4">
        <v>61300355</v>
      </c>
      <c r="E1567" s="4" t="s">
        <v>1263</v>
      </c>
      <c r="F1567" s="4" t="s">
        <v>14</v>
      </c>
      <c r="G1567" s="5">
        <v>7839609.3600000003</v>
      </c>
      <c r="H1567" s="5">
        <v>0</v>
      </c>
      <c r="I1567" s="5">
        <v>0</v>
      </c>
      <c r="J1567" s="5" t="s">
        <v>14</v>
      </c>
      <c r="K1567" s="5">
        <v>7839609.3600000003</v>
      </c>
    </row>
    <row r="1568" spans="1:11" x14ac:dyDescent="0.25">
      <c r="A1568" s="4" t="s">
        <v>11</v>
      </c>
      <c r="B1568" s="4" t="s">
        <v>1672</v>
      </c>
      <c r="C1568" s="4" t="s">
        <v>26</v>
      </c>
      <c r="D1568" s="4">
        <v>6130035510</v>
      </c>
      <c r="E1568" s="4" t="s">
        <v>1265</v>
      </c>
      <c r="F1568" s="4" t="s">
        <v>14</v>
      </c>
      <c r="G1568" s="5">
        <v>6893897.9199999999</v>
      </c>
      <c r="H1568" s="5">
        <v>0</v>
      </c>
      <c r="I1568" s="5">
        <v>0</v>
      </c>
      <c r="J1568" s="5" t="s">
        <v>14</v>
      </c>
      <c r="K1568" s="5">
        <v>6893897.9199999999</v>
      </c>
    </row>
    <row r="1569" spans="1:11" x14ac:dyDescent="0.25">
      <c r="A1569" s="4" t="s">
        <v>11</v>
      </c>
      <c r="B1569" s="4" t="s">
        <v>1672</v>
      </c>
      <c r="C1569" s="4" t="s">
        <v>26</v>
      </c>
      <c r="D1569" s="4">
        <v>6130035515</v>
      </c>
      <c r="E1569" s="4" t="s">
        <v>1538</v>
      </c>
      <c r="F1569" s="4" t="s">
        <v>14</v>
      </c>
      <c r="G1569" s="5">
        <v>751231.54</v>
      </c>
      <c r="H1569" s="5">
        <v>0</v>
      </c>
      <c r="I1569" s="5">
        <v>0</v>
      </c>
      <c r="J1569" s="5" t="s">
        <v>14</v>
      </c>
      <c r="K1569" s="5">
        <v>751231.54</v>
      </c>
    </row>
    <row r="1570" spans="1:11" x14ac:dyDescent="0.25">
      <c r="A1570" s="4" t="s">
        <v>11</v>
      </c>
      <c r="B1570" s="4" t="s">
        <v>1672</v>
      </c>
      <c r="C1570" s="4" t="s">
        <v>26</v>
      </c>
      <c r="D1570" s="4">
        <v>6130035520</v>
      </c>
      <c r="E1570" s="4" t="s">
        <v>1267</v>
      </c>
      <c r="F1570" s="4" t="s">
        <v>14</v>
      </c>
      <c r="G1570" s="5">
        <v>194479.9</v>
      </c>
      <c r="H1570" s="5">
        <v>0</v>
      </c>
      <c r="I1570" s="5">
        <v>0</v>
      </c>
      <c r="J1570" s="5" t="s">
        <v>14</v>
      </c>
      <c r="K1570" s="5">
        <v>194479.9</v>
      </c>
    </row>
    <row r="1571" spans="1:11" x14ac:dyDescent="0.25">
      <c r="A1571" s="4" t="s">
        <v>11</v>
      </c>
      <c r="B1571" s="4" t="s">
        <v>1672</v>
      </c>
      <c r="C1571" s="4" t="s">
        <v>23</v>
      </c>
      <c r="D1571" s="4">
        <v>61300360</v>
      </c>
      <c r="E1571" s="4" t="s">
        <v>1273</v>
      </c>
      <c r="F1571" s="4" t="s">
        <v>14</v>
      </c>
      <c r="G1571" s="5">
        <v>1233194</v>
      </c>
      <c r="H1571" s="5">
        <v>107585</v>
      </c>
      <c r="I1571" s="5">
        <v>0</v>
      </c>
      <c r="J1571" s="5" t="s">
        <v>14</v>
      </c>
      <c r="K1571" s="5">
        <v>1340779</v>
      </c>
    </row>
    <row r="1572" spans="1:11" x14ac:dyDescent="0.25">
      <c r="A1572" s="4" t="s">
        <v>11</v>
      </c>
      <c r="B1572" s="4" t="s">
        <v>1672</v>
      </c>
      <c r="C1572" s="4" t="s">
        <v>26</v>
      </c>
      <c r="D1572" s="4">
        <v>6130036005</v>
      </c>
      <c r="E1572" s="4" t="s">
        <v>1273</v>
      </c>
      <c r="F1572" s="4" t="s">
        <v>14</v>
      </c>
      <c r="G1572" s="5">
        <v>1233194</v>
      </c>
      <c r="H1572" s="5">
        <v>107585</v>
      </c>
      <c r="I1572" s="5">
        <v>0</v>
      </c>
      <c r="J1572" s="5" t="s">
        <v>14</v>
      </c>
      <c r="K1572" s="5">
        <v>1340779</v>
      </c>
    </row>
    <row r="1573" spans="1:11" x14ac:dyDescent="0.25">
      <c r="A1573" s="4" t="s">
        <v>11</v>
      </c>
      <c r="B1573" s="4" t="s">
        <v>1672</v>
      </c>
      <c r="C1573" s="4" t="s">
        <v>18</v>
      </c>
      <c r="D1573" s="4">
        <v>6135</v>
      </c>
      <c r="E1573" s="4" t="s">
        <v>2178</v>
      </c>
      <c r="F1573" s="4" t="s">
        <v>14</v>
      </c>
      <c r="G1573" s="5">
        <v>1496174251.49</v>
      </c>
      <c r="H1573" s="5">
        <v>35588045.710000001</v>
      </c>
      <c r="I1573" s="5">
        <v>31552243</v>
      </c>
      <c r="J1573" s="5" t="s">
        <v>14</v>
      </c>
      <c r="K1573" s="5">
        <v>1500210054.2</v>
      </c>
    </row>
    <row r="1574" spans="1:11" x14ac:dyDescent="0.25">
      <c r="A1574" s="4" t="s">
        <v>11</v>
      </c>
      <c r="B1574" s="4" t="s">
        <v>1672</v>
      </c>
      <c r="C1574" s="4" t="s">
        <v>21</v>
      </c>
      <c r="D1574" s="4">
        <v>613501</v>
      </c>
      <c r="E1574" s="4" t="s">
        <v>1098</v>
      </c>
      <c r="F1574" s="4" t="s">
        <v>14</v>
      </c>
      <c r="G1574" s="5">
        <v>205099510.94999999</v>
      </c>
      <c r="H1574" s="5">
        <v>28763537</v>
      </c>
      <c r="I1574" s="5">
        <v>31552243</v>
      </c>
      <c r="J1574" s="5" t="s">
        <v>14</v>
      </c>
      <c r="K1574" s="5">
        <v>202310804.94999999</v>
      </c>
    </row>
    <row r="1575" spans="1:11" x14ac:dyDescent="0.25">
      <c r="A1575" s="4" t="s">
        <v>11</v>
      </c>
      <c r="B1575" s="4" t="s">
        <v>1672</v>
      </c>
      <c r="C1575" s="4" t="s">
        <v>23</v>
      </c>
      <c r="D1575" s="4">
        <v>61350101</v>
      </c>
      <c r="E1575" s="4" t="s">
        <v>1679</v>
      </c>
      <c r="F1575" s="4" t="s">
        <v>14</v>
      </c>
      <c r="G1575" s="5">
        <v>153519834</v>
      </c>
      <c r="H1575" s="5">
        <v>14315081</v>
      </c>
      <c r="I1575" s="5">
        <v>31552243</v>
      </c>
      <c r="J1575" s="5" t="s">
        <v>14</v>
      </c>
      <c r="K1575" s="5">
        <v>136282672</v>
      </c>
    </row>
    <row r="1576" spans="1:11" x14ac:dyDescent="0.25">
      <c r="A1576" s="4" t="s">
        <v>11</v>
      </c>
      <c r="B1576" s="4" t="s">
        <v>1672</v>
      </c>
      <c r="C1576" s="4" t="s">
        <v>26</v>
      </c>
      <c r="D1576" s="4">
        <v>6135010105</v>
      </c>
      <c r="E1576" s="4" t="s">
        <v>237</v>
      </c>
      <c r="F1576" s="4" t="s">
        <v>14</v>
      </c>
      <c r="G1576" s="5">
        <v>0</v>
      </c>
      <c r="H1576" s="5">
        <v>13473628</v>
      </c>
      <c r="I1576" s="5">
        <v>31552243</v>
      </c>
      <c r="J1576" s="5" t="s">
        <v>173</v>
      </c>
      <c r="K1576" s="5">
        <v>-18078615</v>
      </c>
    </row>
    <row r="1577" spans="1:11" x14ac:dyDescent="0.25">
      <c r="A1577" s="4" t="s">
        <v>11</v>
      </c>
      <c r="B1577" s="4" t="s">
        <v>1672</v>
      </c>
      <c r="C1577" s="4" t="s">
        <v>26</v>
      </c>
      <c r="D1577" s="4">
        <v>6135010110</v>
      </c>
      <c r="E1577" s="4" t="s">
        <v>246</v>
      </c>
      <c r="F1577" s="4" t="s">
        <v>14</v>
      </c>
      <c r="G1577" s="5">
        <v>2152</v>
      </c>
      <c r="H1577" s="5">
        <v>0</v>
      </c>
      <c r="I1577" s="5">
        <v>0</v>
      </c>
      <c r="J1577" s="5" t="s">
        <v>14</v>
      </c>
      <c r="K1577" s="5">
        <v>2152</v>
      </c>
    </row>
    <row r="1578" spans="1:11" x14ac:dyDescent="0.25">
      <c r="A1578" s="4" t="s">
        <v>11</v>
      </c>
      <c r="B1578" s="4" t="s">
        <v>1672</v>
      </c>
      <c r="C1578" s="4" t="s">
        <v>26</v>
      </c>
      <c r="D1578" s="4">
        <v>6135010135</v>
      </c>
      <c r="E1578" s="4" t="s">
        <v>2184</v>
      </c>
      <c r="F1578" s="4" t="s">
        <v>14</v>
      </c>
      <c r="G1578" s="5">
        <v>110188418</v>
      </c>
      <c r="H1578" s="5">
        <v>394575</v>
      </c>
      <c r="I1578" s="5">
        <v>0</v>
      </c>
      <c r="J1578" s="5" t="s">
        <v>14</v>
      </c>
      <c r="K1578" s="5">
        <v>110582993</v>
      </c>
    </row>
    <row r="1579" spans="1:11" x14ac:dyDescent="0.25">
      <c r="A1579" s="4" t="s">
        <v>11</v>
      </c>
      <c r="B1579" s="4" t="s">
        <v>1672</v>
      </c>
      <c r="C1579" s="4" t="s">
        <v>26</v>
      </c>
      <c r="D1579" s="4">
        <v>6135010155</v>
      </c>
      <c r="E1579" s="4" t="s">
        <v>2186</v>
      </c>
      <c r="F1579" s="4" t="s">
        <v>14</v>
      </c>
      <c r="G1579" s="5">
        <v>2243613</v>
      </c>
      <c r="H1579" s="5">
        <v>65850</v>
      </c>
      <c r="I1579" s="5">
        <v>0</v>
      </c>
      <c r="J1579" s="5" t="s">
        <v>14</v>
      </c>
      <c r="K1579" s="5">
        <v>2309463</v>
      </c>
    </row>
    <row r="1580" spans="1:11" x14ac:dyDescent="0.25">
      <c r="A1580" s="4" t="s">
        <v>11</v>
      </c>
      <c r="B1580" s="4" t="s">
        <v>1672</v>
      </c>
      <c r="C1580" s="4" t="s">
        <v>26</v>
      </c>
      <c r="D1580" s="4">
        <v>6135010190</v>
      </c>
      <c r="E1580" s="4" t="s">
        <v>2188</v>
      </c>
      <c r="F1580" s="4" t="s">
        <v>14</v>
      </c>
      <c r="G1580" s="5">
        <v>38244812</v>
      </c>
      <c r="H1580" s="5">
        <v>329075</v>
      </c>
      <c r="I1580" s="5">
        <v>0</v>
      </c>
      <c r="J1580" s="5" t="s">
        <v>14</v>
      </c>
      <c r="K1580" s="5">
        <v>38573887</v>
      </c>
    </row>
    <row r="1581" spans="1:11" x14ac:dyDescent="0.25">
      <c r="A1581" s="4" t="s">
        <v>11</v>
      </c>
      <c r="B1581" s="4" t="s">
        <v>1672</v>
      </c>
      <c r="C1581" s="4" t="s">
        <v>26</v>
      </c>
      <c r="D1581" s="4">
        <v>6135010195</v>
      </c>
      <c r="E1581" s="4" t="s">
        <v>2190</v>
      </c>
      <c r="F1581" s="4" t="s">
        <v>14</v>
      </c>
      <c r="G1581" s="5">
        <v>2840839</v>
      </c>
      <c r="H1581" s="5">
        <v>51953</v>
      </c>
      <c r="I1581" s="5">
        <v>0</v>
      </c>
      <c r="J1581" s="5" t="s">
        <v>14</v>
      </c>
      <c r="K1581" s="5">
        <v>2892792</v>
      </c>
    </row>
    <row r="1582" spans="1:11" x14ac:dyDescent="0.25">
      <c r="A1582" s="4" t="s">
        <v>11</v>
      </c>
      <c r="B1582" s="4" t="s">
        <v>1672</v>
      </c>
      <c r="C1582" s="4" t="s">
        <v>23</v>
      </c>
      <c r="D1582" s="4">
        <v>61350102</v>
      </c>
      <c r="E1582" s="4" t="s">
        <v>1100</v>
      </c>
      <c r="F1582" s="4" t="s">
        <v>14</v>
      </c>
      <c r="G1582" s="5">
        <v>2738210.95</v>
      </c>
      <c r="H1582" s="5">
        <v>0</v>
      </c>
      <c r="I1582" s="5">
        <v>0</v>
      </c>
      <c r="J1582" s="5" t="s">
        <v>14</v>
      </c>
      <c r="K1582" s="5">
        <v>2738210.95</v>
      </c>
    </row>
    <row r="1583" spans="1:11" x14ac:dyDescent="0.25">
      <c r="A1583" s="4" t="s">
        <v>11</v>
      </c>
      <c r="B1583" s="4" t="s">
        <v>1672</v>
      </c>
      <c r="C1583" s="4" t="s">
        <v>26</v>
      </c>
      <c r="D1583" s="4">
        <v>6135010205</v>
      </c>
      <c r="E1583" s="4" t="s">
        <v>1100</v>
      </c>
      <c r="F1583" s="4" t="s">
        <v>14</v>
      </c>
      <c r="G1583" s="5">
        <v>2738210.95</v>
      </c>
      <c r="H1583" s="5">
        <v>0</v>
      </c>
      <c r="I1583" s="5">
        <v>0</v>
      </c>
      <c r="J1583" s="5" t="s">
        <v>14</v>
      </c>
      <c r="K1583" s="5">
        <v>2738210.95</v>
      </c>
    </row>
    <row r="1584" spans="1:11" x14ac:dyDescent="0.25">
      <c r="A1584" s="4" t="s">
        <v>11</v>
      </c>
      <c r="B1584" s="4" t="s">
        <v>1672</v>
      </c>
      <c r="C1584" s="4" t="s">
        <v>23</v>
      </c>
      <c r="D1584" s="4">
        <v>61350103</v>
      </c>
      <c r="E1584" s="4" t="s">
        <v>1103</v>
      </c>
      <c r="F1584" s="4" t="s">
        <v>14</v>
      </c>
      <c r="G1584" s="5">
        <v>48841466</v>
      </c>
      <c r="H1584" s="5">
        <v>14448456</v>
      </c>
      <c r="I1584" s="5">
        <v>0</v>
      </c>
      <c r="J1584" s="5" t="s">
        <v>14</v>
      </c>
      <c r="K1584" s="5">
        <v>63289922</v>
      </c>
    </row>
    <row r="1585" spans="1:11" x14ac:dyDescent="0.25">
      <c r="A1585" s="4" t="s">
        <v>11</v>
      </c>
      <c r="B1585" s="4" t="s">
        <v>1672</v>
      </c>
      <c r="C1585" s="4" t="s">
        <v>26</v>
      </c>
      <c r="D1585" s="4">
        <v>6135010330</v>
      </c>
      <c r="E1585" s="4" t="s">
        <v>1111</v>
      </c>
      <c r="F1585" s="4" t="s">
        <v>14</v>
      </c>
      <c r="G1585" s="5">
        <v>12630000</v>
      </c>
      <c r="H1585" s="5">
        <v>0</v>
      </c>
      <c r="I1585" s="5">
        <v>0</v>
      </c>
      <c r="J1585" s="5" t="s">
        <v>14</v>
      </c>
      <c r="K1585" s="5">
        <v>12630000</v>
      </c>
    </row>
    <row r="1586" spans="1:11" x14ac:dyDescent="0.25">
      <c r="A1586" s="4" t="s">
        <v>11</v>
      </c>
      <c r="B1586" s="4" t="s">
        <v>1672</v>
      </c>
      <c r="C1586" s="4" t="s">
        <v>26</v>
      </c>
      <c r="D1586" s="4">
        <v>6135010335</v>
      </c>
      <c r="E1586" s="4" t="s">
        <v>1113</v>
      </c>
      <c r="F1586" s="4" t="s">
        <v>14</v>
      </c>
      <c r="G1586" s="5">
        <v>33027042</v>
      </c>
      <c r="H1586" s="5">
        <v>14448456</v>
      </c>
      <c r="I1586" s="5">
        <v>0</v>
      </c>
      <c r="J1586" s="5" t="s">
        <v>14</v>
      </c>
      <c r="K1586" s="5">
        <v>47475498</v>
      </c>
    </row>
    <row r="1587" spans="1:11" x14ac:dyDescent="0.25">
      <c r="A1587" s="4" t="s">
        <v>11</v>
      </c>
      <c r="B1587" s="4" t="s">
        <v>1672</v>
      </c>
      <c r="C1587" s="4" t="s">
        <v>26</v>
      </c>
      <c r="D1587" s="4">
        <v>6135010370</v>
      </c>
      <c r="E1587" s="4" t="s">
        <v>1692</v>
      </c>
      <c r="F1587" s="4" t="s">
        <v>14</v>
      </c>
      <c r="G1587" s="5">
        <v>2399700</v>
      </c>
      <c r="H1587" s="5">
        <v>0</v>
      </c>
      <c r="I1587" s="5">
        <v>0</v>
      </c>
      <c r="J1587" s="5" t="s">
        <v>14</v>
      </c>
      <c r="K1587" s="5">
        <v>2399700</v>
      </c>
    </row>
    <row r="1588" spans="1:11" x14ac:dyDescent="0.25">
      <c r="A1588" s="4" t="s">
        <v>11</v>
      </c>
      <c r="B1588" s="4" t="s">
        <v>1672</v>
      </c>
      <c r="C1588" s="4" t="s">
        <v>26</v>
      </c>
      <c r="D1588" s="4">
        <v>6135010375</v>
      </c>
      <c r="E1588" s="4" t="s">
        <v>1123</v>
      </c>
      <c r="F1588" s="4" t="s">
        <v>14</v>
      </c>
      <c r="G1588" s="5">
        <v>784724</v>
      </c>
      <c r="H1588" s="5">
        <v>0</v>
      </c>
      <c r="I1588" s="5">
        <v>0</v>
      </c>
      <c r="J1588" s="5" t="s">
        <v>14</v>
      </c>
      <c r="K1588" s="5">
        <v>784724</v>
      </c>
    </row>
    <row r="1589" spans="1:11" x14ac:dyDescent="0.25">
      <c r="A1589" s="4" t="s">
        <v>11</v>
      </c>
      <c r="B1589" s="4" t="s">
        <v>1672</v>
      </c>
      <c r="C1589" s="4" t="s">
        <v>21</v>
      </c>
      <c r="D1589" s="4">
        <v>613502</v>
      </c>
      <c r="E1589" s="4" t="s">
        <v>1125</v>
      </c>
      <c r="F1589" s="4" t="s">
        <v>14</v>
      </c>
      <c r="G1589" s="5">
        <v>1141176270.8499999</v>
      </c>
      <c r="H1589" s="5">
        <v>0</v>
      </c>
      <c r="I1589" s="5">
        <v>0</v>
      </c>
      <c r="J1589" s="5" t="s">
        <v>14</v>
      </c>
      <c r="K1589" s="5">
        <v>1141176270.8499999</v>
      </c>
    </row>
    <row r="1590" spans="1:11" x14ac:dyDescent="0.25">
      <c r="A1590" s="4" t="s">
        <v>11</v>
      </c>
      <c r="B1590" s="4" t="s">
        <v>1672</v>
      </c>
      <c r="C1590" s="4" t="s">
        <v>23</v>
      </c>
      <c r="D1590" s="4">
        <v>61350205</v>
      </c>
      <c r="E1590" s="4" t="s">
        <v>1127</v>
      </c>
      <c r="F1590" s="4" t="s">
        <v>14</v>
      </c>
      <c r="G1590" s="5">
        <v>1141176270.8499999</v>
      </c>
      <c r="H1590" s="5">
        <v>0</v>
      </c>
      <c r="I1590" s="5">
        <v>0</v>
      </c>
      <c r="J1590" s="5" t="s">
        <v>14</v>
      </c>
      <c r="K1590" s="5">
        <v>1141176270.8499999</v>
      </c>
    </row>
    <row r="1591" spans="1:11" x14ac:dyDescent="0.25">
      <c r="A1591" s="4" t="s">
        <v>11</v>
      </c>
      <c r="B1591" s="4" t="s">
        <v>1672</v>
      </c>
      <c r="C1591" s="4" t="s">
        <v>26</v>
      </c>
      <c r="D1591" s="4">
        <v>6135020502</v>
      </c>
      <c r="E1591" s="4" t="s">
        <v>1131</v>
      </c>
      <c r="F1591" s="4" t="s">
        <v>14</v>
      </c>
      <c r="G1591" s="5">
        <v>560594189</v>
      </c>
      <c r="H1591" s="5">
        <v>0</v>
      </c>
      <c r="I1591" s="5">
        <v>0</v>
      </c>
      <c r="J1591" s="5" t="s">
        <v>14</v>
      </c>
      <c r="K1591" s="5">
        <v>560594189</v>
      </c>
    </row>
    <row r="1592" spans="1:11" x14ac:dyDescent="0.25">
      <c r="A1592" s="4" t="s">
        <v>11</v>
      </c>
      <c r="B1592" s="4" t="s">
        <v>1672</v>
      </c>
      <c r="C1592" s="4" t="s">
        <v>26</v>
      </c>
      <c r="D1592" s="4">
        <v>6135020504</v>
      </c>
      <c r="E1592" s="4" t="s">
        <v>1133</v>
      </c>
      <c r="F1592" s="4" t="s">
        <v>14</v>
      </c>
      <c r="G1592" s="5">
        <v>71781668</v>
      </c>
      <c r="H1592" s="5">
        <v>0</v>
      </c>
      <c r="I1592" s="5">
        <v>0</v>
      </c>
      <c r="J1592" s="5" t="s">
        <v>14</v>
      </c>
      <c r="K1592" s="5">
        <v>71781668</v>
      </c>
    </row>
    <row r="1593" spans="1:11" x14ac:dyDescent="0.25">
      <c r="A1593" s="4" t="s">
        <v>11</v>
      </c>
      <c r="B1593" s="4" t="s">
        <v>1672</v>
      </c>
      <c r="C1593" s="4" t="s">
        <v>26</v>
      </c>
      <c r="D1593" s="4">
        <v>6135020505</v>
      </c>
      <c r="E1593" s="4" t="s">
        <v>1416</v>
      </c>
      <c r="F1593" s="4" t="s">
        <v>14</v>
      </c>
      <c r="G1593" s="5">
        <v>4707924</v>
      </c>
      <c r="H1593" s="5">
        <v>0</v>
      </c>
      <c r="I1593" s="5">
        <v>0</v>
      </c>
      <c r="J1593" s="5" t="s">
        <v>14</v>
      </c>
      <c r="K1593" s="5">
        <v>4707924</v>
      </c>
    </row>
    <row r="1594" spans="1:11" x14ac:dyDescent="0.25">
      <c r="A1594" s="4" t="s">
        <v>11</v>
      </c>
      <c r="B1594" s="4" t="s">
        <v>1672</v>
      </c>
      <c r="C1594" s="4" t="s">
        <v>26</v>
      </c>
      <c r="D1594" s="4">
        <v>6135020510</v>
      </c>
      <c r="E1594" s="4" t="s">
        <v>1315</v>
      </c>
      <c r="F1594" s="4" t="s">
        <v>14</v>
      </c>
      <c r="G1594" s="5">
        <v>19799747</v>
      </c>
      <c r="H1594" s="5">
        <v>0</v>
      </c>
      <c r="I1594" s="5">
        <v>0</v>
      </c>
      <c r="J1594" s="5" t="s">
        <v>14</v>
      </c>
      <c r="K1594" s="5">
        <v>19799747</v>
      </c>
    </row>
    <row r="1595" spans="1:11" x14ac:dyDescent="0.25">
      <c r="A1595" s="4" t="s">
        <v>11</v>
      </c>
      <c r="B1595" s="4" t="s">
        <v>1672</v>
      </c>
      <c r="C1595" s="4" t="s">
        <v>26</v>
      </c>
      <c r="D1595" s="4">
        <v>6135020511</v>
      </c>
      <c r="E1595" s="4" t="s">
        <v>1135</v>
      </c>
      <c r="F1595" s="4" t="s">
        <v>14</v>
      </c>
      <c r="G1595" s="5">
        <v>37305534</v>
      </c>
      <c r="H1595" s="5">
        <v>0</v>
      </c>
      <c r="I1595" s="5">
        <v>0</v>
      </c>
      <c r="J1595" s="5" t="s">
        <v>14</v>
      </c>
      <c r="K1595" s="5">
        <v>37305534</v>
      </c>
    </row>
    <row r="1596" spans="1:11" x14ac:dyDescent="0.25">
      <c r="A1596" s="4" t="s">
        <v>11</v>
      </c>
      <c r="B1596" s="4" t="s">
        <v>1672</v>
      </c>
      <c r="C1596" s="4" t="s">
        <v>26</v>
      </c>
      <c r="D1596" s="4">
        <v>6135020512</v>
      </c>
      <c r="E1596" s="4" t="s">
        <v>1318</v>
      </c>
      <c r="F1596" s="4" t="s">
        <v>14</v>
      </c>
      <c r="G1596" s="5">
        <v>26328621</v>
      </c>
      <c r="H1596" s="5">
        <v>0</v>
      </c>
      <c r="I1596" s="5">
        <v>0</v>
      </c>
      <c r="J1596" s="5" t="s">
        <v>14</v>
      </c>
      <c r="K1596" s="5">
        <v>26328621</v>
      </c>
    </row>
    <row r="1597" spans="1:11" x14ac:dyDescent="0.25">
      <c r="A1597" s="4" t="s">
        <v>11</v>
      </c>
      <c r="B1597" s="4" t="s">
        <v>1672</v>
      </c>
      <c r="C1597" s="4" t="s">
        <v>26</v>
      </c>
      <c r="D1597" s="4">
        <v>6135020514</v>
      </c>
      <c r="E1597" s="4" t="s">
        <v>224</v>
      </c>
      <c r="F1597" s="4" t="s">
        <v>14</v>
      </c>
      <c r="G1597" s="5">
        <v>5856629</v>
      </c>
      <c r="H1597" s="5">
        <v>0</v>
      </c>
      <c r="I1597" s="5">
        <v>0</v>
      </c>
      <c r="J1597" s="5" t="s">
        <v>14</v>
      </c>
      <c r="K1597" s="5">
        <v>5856629</v>
      </c>
    </row>
    <row r="1598" spans="1:11" x14ac:dyDescent="0.25">
      <c r="A1598" s="4" t="s">
        <v>11</v>
      </c>
      <c r="B1598" s="4" t="s">
        <v>1672</v>
      </c>
      <c r="C1598" s="4" t="s">
        <v>26</v>
      </c>
      <c r="D1598" s="4">
        <v>6135020516</v>
      </c>
      <c r="E1598" s="4" t="s">
        <v>1138</v>
      </c>
      <c r="F1598" s="4" t="s">
        <v>14</v>
      </c>
      <c r="G1598" s="5">
        <v>31654800</v>
      </c>
      <c r="H1598" s="5">
        <v>0</v>
      </c>
      <c r="I1598" s="5">
        <v>0</v>
      </c>
      <c r="J1598" s="5" t="s">
        <v>14</v>
      </c>
      <c r="K1598" s="5">
        <v>31654800</v>
      </c>
    </row>
    <row r="1599" spans="1:11" x14ac:dyDescent="0.25">
      <c r="A1599" s="4" t="s">
        <v>11</v>
      </c>
      <c r="B1599" s="4" t="s">
        <v>1672</v>
      </c>
      <c r="C1599" s="4" t="s">
        <v>26</v>
      </c>
      <c r="D1599" s="4">
        <v>6135020530</v>
      </c>
      <c r="E1599" s="4" t="s">
        <v>1142</v>
      </c>
      <c r="F1599" s="4" t="s">
        <v>14</v>
      </c>
      <c r="G1599" s="5">
        <v>58712522</v>
      </c>
      <c r="H1599" s="5">
        <v>0</v>
      </c>
      <c r="I1599" s="5">
        <v>0</v>
      </c>
      <c r="J1599" s="5" t="s">
        <v>14</v>
      </c>
      <c r="K1599" s="5">
        <v>58712522</v>
      </c>
    </row>
    <row r="1600" spans="1:11" x14ac:dyDescent="0.25">
      <c r="A1600" s="4" t="s">
        <v>11</v>
      </c>
      <c r="B1600" s="4" t="s">
        <v>1672</v>
      </c>
      <c r="C1600" s="4" t="s">
        <v>26</v>
      </c>
      <c r="D1600" s="4">
        <v>6135020531</v>
      </c>
      <c r="E1600" s="4" t="s">
        <v>673</v>
      </c>
      <c r="F1600" s="4" t="s">
        <v>14</v>
      </c>
      <c r="G1600" s="5">
        <v>7048319</v>
      </c>
      <c r="H1600" s="5">
        <v>0</v>
      </c>
      <c r="I1600" s="5">
        <v>0</v>
      </c>
      <c r="J1600" s="5" t="s">
        <v>14</v>
      </c>
      <c r="K1600" s="5">
        <v>7048319</v>
      </c>
    </row>
    <row r="1601" spans="1:11" x14ac:dyDescent="0.25">
      <c r="A1601" s="4" t="s">
        <v>11</v>
      </c>
      <c r="B1601" s="4" t="s">
        <v>1672</v>
      </c>
      <c r="C1601" s="4" t="s">
        <v>26</v>
      </c>
      <c r="D1601" s="4">
        <v>6135020532</v>
      </c>
      <c r="E1601" s="4" t="s">
        <v>675</v>
      </c>
      <c r="F1601" s="4" t="s">
        <v>14</v>
      </c>
      <c r="G1601" s="5">
        <v>59479676</v>
      </c>
      <c r="H1601" s="5">
        <v>0</v>
      </c>
      <c r="I1601" s="5">
        <v>0</v>
      </c>
      <c r="J1601" s="5" t="s">
        <v>14</v>
      </c>
      <c r="K1601" s="5">
        <v>59479676</v>
      </c>
    </row>
    <row r="1602" spans="1:11" x14ac:dyDescent="0.25">
      <c r="A1602" s="4" t="s">
        <v>11</v>
      </c>
      <c r="B1602" s="4" t="s">
        <v>1672</v>
      </c>
      <c r="C1602" s="4" t="s">
        <v>26</v>
      </c>
      <c r="D1602" s="4">
        <v>6135020533</v>
      </c>
      <c r="E1602" s="4" t="s">
        <v>1146</v>
      </c>
      <c r="F1602" s="4" t="s">
        <v>14</v>
      </c>
      <c r="G1602" s="5">
        <v>27962274.100000001</v>
      </c>
      <c r="H1602" s="5">
        <v>0</v>
      </c>
      <c r="I1602" s="5">
        <v>0</v>
      </c>
      <c r="J1602" s="5" t="s">
        <v>14</v>
      </c>
      <c r="K1602" s="5">
        <v>27962274.100000001</v>
      </c>
    </row>
    <row r="1603" spans="1:11" x14ac:dyDescent="0.25">
      <c r="A1603" s="4" t="s">
        <v>11</v>
      </c>
      <c r="B1603" s="4" t="s">
        <v>1672</v>
      </c>
      <c r="C1603" s="4" t="s">
        <v>26</v>
      </c>
      <c r="D1603" s="4">
        <v>6135020540</v>
      </c>
      <c r="E1603" s="4" t="s">
        <v>1148</v>
      </c>
      <c r="F1603" s="4" t="s">
        <v>14</v>
      </c>
      <c r="G1603" s="5">
        <v>69537447</v>
      </c>
      <c r="H1603" s="5">
        <v>0</v>
      </c>
      <c r="I1603" s="5">
        <v>0</v>
      </c>
      <c r="J1603" s="5" t="s">
        <v>14</v>
      </c>
      <c r="K1603" s="5">
        <v>69537447</v>
      </c>
    </row>
    <row r="1604" spans="1:11" x14ac:dyDescent="0.25">
      <c r="A1604" s="4" t="s">
        <v>11</v>
      </c>
      <c r="B1604" s="4" t="s">
        <v>1672</v>
      </c>
      <c r="C1604" s="4" t="s">
        <v>26</v>
      </c>
      <c r="D1604" s="4">
        <v>6135020541</v>
      </c>
      <c r="E1604" s="4" t="s">
        <v>1150</v>
      </c>
      <c r="F1604" s="4" t="s">
        <v>14</v>
      </c>
      <c r="G1604" s="5">
        <v>82180073</v>
      </c>
      <c r="H1604" s="5">
        <v>0</v>
      </c>
      <c r="I1604" s="5">
        <v>0</v>
      </c>
      <c r="J1604" s="5" t="s">
        <v>14</v>
      </c>
      <c r="K1604" s="5">
        <v>82180073</v>
      </c>
    </row>
    <row r="1605" spans="1:11" x14ac:dyDescent="0.25">
      <c r="A1605" s="4" t="s">
        <v>11</v>
      </c>
      <c r="B1605" s="4" t="s">
        <v>1672</v>
      </c>
      <c r="C1605" s="4" t="s">
        <v>26</v>
      </c>
      <c r="D1605" s="4">
        <v>6135020542</v>
      </c>
      <c r="E1605" s="4" t="s">
        <v>1152</v>
      </c>
      <c r="F1605" s="4" t="s">
        <v>14</v>
      </c>
      <c r="G1605" s="5">
        <v>17277693</v>
      </c>
      <c r="H1605" s="5">
        <v>0</v>
      </c>
      <c r="I1605" s="5">
        <v>0</v>
      </c>
      <c r="J1605" s="5" t="s">
        <v>14</v>
      </c>
      <c r="K1605" s="5">
        <v>17277693</v>
      </c>
    </row>
    <row r="1606" spans="1:11" x14ac:dyDescent="0.25">
      <c r="A1606" s="4" t="s">
        <v>11</v>
      </c>
      <c r="B1606" s="4" t="s">
        <v>1672</v>
      </c>
      <c r="C1606" s="4" t="s">
        <v>26</v>
      </c>
      <c r="D1606" s="4">
        <v>6135020550</v>
      </c>
      <c r="E1606" s="4" t="s">
        <v>1154</v>
      </c>
      <c r="F1606" s="4" t="s">
        <v>14</v>
      </c>
      <c r="G1606" s="5">
        <v>27040344.75</v>
      </c>
      <c r="H1606" s="5">
        <v>0</v>
      </c>
      <c r="I1606" s="5">
        <v>0</v>
      </c>
      <c r="J1606" s="5" t="s">
        <v>14</v>
      </c>
      <c r="K1606" s="5">
        <v>27040344.75</v>
      </c>
    </row>
    <row r="1607" spans="1:11" x14ac:dyDescent="0.25">
      <c r="A1607" s="4" t="s">
        <v>11</v>
      </c>
      <c r="B1607" s="4" t="s">
        <v>1672</v>
      </c>
      <c r="C1607" s="4" t="s">
        <v>26</v>
      </c>
      <c r="D1607" s="4">
        <v>6135020551</v>
      </c>
      <c r="E1607" s="4" t="s">
        <v>1156</v>
      </c>
      <c r="F1607" s="4" t="s">
        <v>14</v>
      </c>
      <c r="G1607" s="5">
        <v>20347583</v>
      </c>
      <c r="H1607" s="5">
        <v>0</v>
      </c>
      <c r="I1607" s="5">
        <v>0</v>
      </c>
      <c r="J1607" s="5" t="s">
        <v>14</v>
      </c>
      <c r="K1607" s="5">
        <v>20347583</v>
      </c>
    </row>
    <row r="1608" spans="1:11" x14ac:dyDescent="0.25">
      <c r="A1608" s="4" t="s">
        <v>11</v>
      </c>
      <c r="B1608" s="4" t="s">
        <v>1672</v>
      </c>
      <c r="C1608" s="4" t="s">
        <v>26</v>
      </c>
      <c r="D1608" s="4">
        <v>6135020552</v>
      </c>
      <c r="E1608" s="4" t="s">
        <v>1158</v>
      </c>
      <c r="F1608" s="4" t="s">
        <v>14</v>
      </c>
      <c r="G1608" s="5">
        <v>13561227</v>
      </c>
      <c r="H1608" s="5">
        <v>0</v>
      </c>
      <c r="I1608" s="5">
        <v>0</v>
      </c>
      <c r="J1608" s="5" t="s">
        <v>14</v>
      </c>
      <c r="K1608" s="5">
        <v>13561227</v>
      </c>
    </row>
    <row r="1609" spans="1:11" x14ac:dyDescent="0.25">
      <c r="A1609" s="4" t="s">
        <v>11</v>
      </c>
      <c r="B1609" s="4" t="s">
        <v>1672</v>
      </c>
      <c r="C1609" s="4" t="s">
        <v>21</v>
      </c>
      <c r="D1609" s="4">
        <v>613503</v>
      </c>
      <c r="E1609" s="4" t="s">
        <v>1720</v>
      </c>
      <c r="F1609" s="4" t="s">
        <v>14</v>
      </c>
      <c r="G1609" s="5">
        <v>149898469.69</v>
      </c>
      <c r="H1609" s="5">
        <v>6824508.71</v>
      </c>
      <c r="I1609" s="5">
        <v>0</v>
      </c>
      <c r="J1609" s="5" t="s">
        <v>14</v>
      </c>
      <c r="K1609" s="5">
        <v>156722978.40000001</v>
      </c>
    </row>
    <row r="1610" spans="1:11" x14ac:dyDescent="0.25">
      <c r="A1610" s="4" t="s">
        <v>11</v>
      </c>
      <c r="B1610" s="4" t="s">
        <v>1672</v>
      </c>
      <c r="C1610" s="4" t="s">
        <v>23</v>
      </c>
      <c r="D1610" s="4">
        <v>61350310</v>
      </c>
      <c r="E1610" s="4" t="s">
        <v>1180</v>
      </c>
      <c r="F1610" s="4" t="s">
        <v>14</v>
      </c>
      <c r="G1610" s="5">
        <v>39024572</v>
      </c>
      <c r="H1610" s="5">
        <v>0</v>
      </c>
      <c r="I1610" s="5">
        <v>0</v>
      </c>
      <c r="J1610" s="5" t="s">
        <v>14</v>
      </c>
      <c r="K1610" s="5">
        <v>39024572</v>
      </c>
    </row>
    <row r="1611" spans="1:11" x14ac:dyDescent="0.25">
      <c r="A1611" s="4" t="s">
        <v>11</v>
      </c>
      <c r="B1611" s="4" t="s">
        <v>1672</v>
      </c>
      <c r="C1611" s="4" t="s">
        <v>26</v>
      </c>
      <c r="D1611" s="4">
        <v>6135031040</v>
      </c>
      <c r="E1611" s="4" t="s">
        <v>2221</v>
      </c>
      <c r="F1611" s="4" t="s">
        <v>14</v>
      </c>
      <c r="G1611" s="5">
        <v>32793758</v>
      </c>
      <c r="H1611" s="5">
        <v>0</v>
      </c>
      <c r="I1611" s="5">
        <v>0</v>
      </c>
      <c r="J1611" s="5" t="s">
        <v>14</v>
      </c>
      <c r="K1611" s="5">
        <v>32793758</v>
      </c>
    </row>
    <row r="1612" spans="1:11" x14ac:dyDescent="0.25">
      <c r="A1612" s="4" t="s">
        <v>11</v>
      </c>
      <c r="B1612" s="4" t="s">
        <v>1672</v>
      </c>
      <c r="C1612" s="4" t="s">
        <v>26</v>
      </c>
      <c r="D1612" s="4">
        <v>6135031070</v>
      </c>
      <c r="E1612" s="4" t="s">
        <v>2223</v>
      </c>
      <c r="F1612" s="4" t="s">
        <v>14</v>
      </c>
      <c r="G1612" s="5">
        <v>6230814</v>
      </c>
      <c r="H1612" s="5">
        <v>0</v>
      </c>
      <c r="I1612" s="5">
        <v>0</v>
      </c>
      <c r="J1612" s="5" t="s">
        <v>14</v>
      </c>
      <c r="K1612" s="5">
        <v>6230814</v>
      </c>
    </row>
    <row r="1613" spans="1:11" x14ac:dyDescent="0.25">
      <c r="A1613" s="4" t="s">
        <v>11</v>
      </c>
      <c r="B1613" s="4" t="s">
        <v>1672</v>
      </c>
      <c r="C1613" s="4" t="s">
        <v>23</v>
      </c>
      <c r="D1613" s="4">
        <v>61350320</v>
      </c>
      <c r="E1613" s="4" t="s">
        <v>227</v>
      </c>
      <c r="F1613" s="4" t="s">
        <v>14</v>
      </c>
      <c r="G1613" s="5">
        <v>1167237</v>
      </c>
      <c r="H1613" s="5">
        <v>0</v>
      </c>
      <c r="I1613" s="5">
        <v>0</v>
      </c>
      <c r="J1613" s="5" t="s">
        <v>14</v>
      </c>
      <c r="K1613" s="5">
        <v>1167237</v>
      </c>
    </row>
    <row r="1614" spans="1:11" x14ac:dyDescent="0.25">
      <c r="A1614" s="4" t="s">
        <v>11</v>
      </c>
      <c r="B1614" s="4" t="s">
        <v>1672</v>
      </c>
      <c r="C1614" s="4" t="s">
        <v>26</v>
      </c>
      <c r="D1614" s="4">
        <v>6135032010</v>
      </c>
      <c r="E1614" s="4" t="s">
        <v>1195</v>
      </c>
      <c r="F1614" s="4" t="s">
        <v>14</v>
      </c>
      <c r="G1614" s="5">
        <v>980869</v>
      </c>
      <c r="H1614" s="5">
        <v>0</v>
      </c>
      <c r="I1614" s="5">
        <v>0</v>
      </c>
      <c r="J1614" s="5" t="s">
        <v>14</v>
      </c>
      <c r="K1614" s="5">
        <v>980869</v>
      </c>
    </row>
    <row r="1615" spans="1:11" x14ac:dyDescent="0.25">
      <c r="A1615" s="4" t="s">
        <v>11</v>
      </c>
      <c r="B1615" s="4" t="s">
        <v>1672</v>
      </c>
      <c r="C1615" s="4" t="s">
        <v>26</v>
      </c>
      <c r="D1615" s="4">
        <v>6135032045</v>
      </c>
      <c r="E1615" s="4" t="s">
        <v>1197</v>
      </c>
      <c r="F1615" s="4" t="s">
        <v>14</v>
      </c>
      <c r="G1615" s="5">
        <v>186368</v>
      </c>
      <c r="H1615" s="5">
        <v>0</v>
      </c>
      <c r="I1615" s="5">
        <v>0</v>
      </c>
      <c r="J1615" s="5" t="s">
        <v>14</v>
      </c>
      <c r="K1615" s="5">
        <v>186368</v>
      </c>
    </row>
    <row r="1616" spans="1:11" x14ac:dyDescent="0.25">
      <c r="A1616" s="4" t="s">
        <v>11</v>
      </c>
      <c r="B1616" s="4" t="s">
        <v>1672</v>
      </c>
      <c r="C1616" s="4" t="s">
        <v>23</v>
      </c>
      <c r="D1616" s="4">
        <v>61350330</v>
      </c>
      <c r="E1616" s="4" t="s">
        <v>437</v>
      </c>
      <c r="F1616" s="4" t="s">
        <v>14</v>
      </c>
      <c r="G1616" s="5">
        <v>11267379</v>
      </c>
      <c r="H1616" s="5">
        <v>0</v>
      </c>
      <c r="I1616" s="5">
        <v>0</v>
      </c>
      <c r="J1616" s="5" t="s">
        <v>14</v>
      </c>
      <c r="K1616" s="5">
        <v>11267379</v>
      </c>
    </row>
    <row r="1617" spans="1:11" x14ac:dyDescent="0.25">
      <c r="A1617" s="4" t="s">
        <v>11</v>
      </c>
      <c r="B1617" s="4" t="s">
        <v>1672</v>
      </c>
      <c r="C1617" s="4" t="s">
        <v>26</v>
      </c>
      <c r="D1617" s="4">
        <v>6135033010</v>
      </c>
      <c r="E1617" s="4" t="s">
        <v>1212</v>
      </c>
      <c r="F1617" s="4" t="s">
        <v>14</v>
      </c>
      <c r="G1617" s="5">
        <v>2514190</v>
      </c>
      <c r="H1617" s="5">
        <v>0</v>
      </c>
      <c r="I1617" s="5">
        <v>0</v>
      </c>
      <c r="J1617" s="5" t="s">
        <v>14</v>
      </c>
      <c r="K1617" s="5">
        <v>2514190</v>
      </c>
    </row>
    <row r="1618" spans="1:11" x14ac:dyDescent="0.25">
      <c r="A1618" s="4" t="s">
        <v>11</v>
      </c>
      <c r="B1618" s="4" t="s">
        <v>1672</v>
      </c>
      <c r="C1618" s="4" t="s">
        <v>26</v>
      </c>
      <c r="D1618" s="4">
        <v>6135033015</v>
      </c>
      <c r="E1618" s="4" t="s">
        <v>1214</v>
      </c>
      <c r="F1618" s="4" t="s">
        <v>14</v>
      </c>
      <c r="G1618" s="5">
        <v>8753189</v>
      </c>
      <c r="H1618" s="5">
        <v>0</v>
      </c>
      <c r="I1618" s="5">
        <v>0</v>
      </c>
      <c r="J1618" s="5" t="s">
        <v>14</v>
      </c>
      <c r="K1618" s="5">
        <v>8753189</v>
      </c>
    </row>
    <row r="1619" spans="1:11" x14ac:dyDescent="0.25">
      <c r="A1619" s="4" t="s">
        <v>11</v>
      </c>
      <c r="B1619" s="4" t="s">
        <v>1672</v>
      </c>
      <c r="C1619" s="4" t="s">
        <v>23</v>
      </c>
      <c r="D1619" s="4">
        <v>61350335</v>
      </c>
      <c r="E1619" s="4" t="s">
        <v>566</v>
      </c>
      <c r="F1619" s="4" t="s">
        <v>14</v>
      </c>
      <c r="G1619" s="5">
        <v>11327270.800000001</v>
      </c>
      <c r="H1619" s="5">
        <v>1231037.71</v>
      </c>
      <c r="I1619" s="5">
        <v>0</v>
      </c>
      <c r="J1619" s="5" t="s">
        <v>14</v>
      </c>
      <c r="K1619" s="5">
        <v>12558308.51</v>
      </c>
    </row>
    <row r="1620" spans="1:11" x14ac:dyDescent="0.25">
      <c r="A1620" s="4" t="s">
        <v>11</v>
      </c>
      <c r="B1620" s="4" t="s">
        <v>1672</v>
      </c>
      <c r="C1620" s="4" t="s">
        <v>26</v>
      </c>
      <c r="D1620" s="4">
        <v>6135033520</v>
      </c>
      <c r="E1620" s="4" t="s">
        <v>1225</v>
      </c>
      <c r="F1620" s="4" t="s">
        <v>14</v>
      </c>
      <c r="G1620" s="5">
        <v>8283060.04</v>
      </c>
      <c r="H1620" s="5">
        <v>809734.87</v>
      </c>
      <c r="I1620" s="5">
        <v>0</v>
      </c>
      <c r="J1620" s="5" t="s">
        <v>14</v>
      </c>
      <c r="K1620" s="5">
        <v>9092794.9100000001</v>
      </c>
    </row>
    <row r="1621" spans="1:11" x14ac:dyDescent="0.25">
      <c r="A1621" s="4" t="s">
        <v>11</v>
      </c>
      <c r="B1621" s="4" t="s">
        <v>1672</v>
      </c>
      <c r="C1621" s="4" t="s">
        <v>26</v>
      </c>
      <c r="D1621" s="4">
        <v>6135033525</v>
      </c>
      <c r="E1621" s="4" t="s">
        <v>1227</v>
      </c>
      <c r="F1621" s="4" t="s">
        <v>14</v>
      </c>
      <c r="G1621" s="5">
        <v>1970703.9</v>
      </c>
      <c r="H1621" s="5">
        <v>228236.69</v>
      </c>
      <c r="I1621" s="5">
        <v>0</v>
      </c>
      <c r="J1621" s="5" t="s">
        <v>14</v>
      </c>
      <c r="K1621" s="5">
        <v>2198940.59</v>
      </c>
    </row>
    <row r="1622" spans="1:11" x14ac:dyDescent="0.25">
      <c r="A1622" s="4" t="s">
        <v>11</v>
      </c>
      <c r="B1622" s="4" t="s">
        <v>1672</v>
      </c>
      <c r="C1622" s="4" t="s">
        <v>26</v>
      </c>
      <c r="D1622" s="4">
        <v>6135033530</v>
      </c>
      <c r="E1622" s="4" t="s">
        <v>1229</v>
      </c>
      <c r="F1622" s="4" t="s">
        <v>14</v>
      </c>
      <c r="G1622" s="5">
        <v>413139.9</v>
      </c>
      <c r="H1622" s="5">
        <v>42348.26</v>
      </c>
      <c r="I1622" s="5">
        <v>0</v>
      </c>
      <c r="J1622" s="5" t="s">
        <v>14</v>
      </c>
      <c r="K1622" s="5">
        <v>455488.16</v>
      </c>
    </row>
    <row r="1623" spans="1:11" x14ac:dyDescent="0.25">
      <c r="A1623" s="4" t="s">
        <v>11</v>
      </c>
      <c r="B1623" s="4" t="s">
        <v>1672</v>
      </c>
      <c r="C1623" s="4" t="s">
        <v>26</v>
      </c>
      <c r="D1623" s="4">
        <v>6135033535</v>
      </c>
      <c r="E1623" s="4" t="s">
        <v>1231</v>
      </c>
      <c r="F1623" s="4" t="s">
        <v>14</v>
      </c>
      <c r="G1623" s="5">
        <v>164672</v>
      </c>
      <c r="H1623" s="5">
        <v>82336</v>
      </c>
      <c r="I1623" s="5">
        <v>0</v>
      </c>
      <c r="J1623" s="5" t="s">
        <v>14</v>
      </c>
      <c r="K1623" s="5">
        <v>247008</v>
      </c>
    </row>
    <row r="1624" spans="1:11" x14ac:dyDescent="0.25">
      <c r="A1624" s="4" t="s">
        <v>11</v>
      </c>
      <c r="B1624" s="4" t="s">
        <v>1672</v>
      </c>
      <c r="C1624" s="4" t="s">
        <v>26</v>
      </c>
      <c r="D1624" s="4">
        <v>6135033550</v>
      </c>
      <c r="E1624" s="4" t="s">
        <v>1233</v>
      </c>
      <c r="F1624" s="4" t="s">
        <v>14</v>
      </c>
      <c r="G1624" s="5">
        <v>380342.1</v>
      </c>
      <c r="H1624" s="5">
        <v>43683.16</v>
      </c>
      <c r="I1624" s="5">
        <v>0</v>
      </c>
      <c r="J1624" s="5" t="s">
        <v>14</v>
      </c>
      <c r="K1624" s="5">
        <v>424025.26</v>
      </c>
    </row>
    <row r="1625" spans="1:11" x14ac:dyDescent="0.25">
      <c r="A1625" s="4" t="s">
        <v>11</v>
      </c>
      <c r="B1625" s="4" t="s">
        <v>1672</v>
      </c>
      <c r="C1625" s="4" t="s">
        <v>26</v>
      </c>
      <c r="D1625" s="4">
        <v>6135033560</v>
      </c>
      <c r="E1625" s="4" t="s">
        <v>1235</v>
      </c>
      <c r="F1625" s="4" t="s">
        <v>14</v>
      </c>
      <c r="G1625" s="5">
        <v>82108.86</v>
      </c>
      <c r="H1625" s="5">
        <v>8076.73</v>
      </c>
      <c r="I1625" s="5">
        <v>0</v>
      </c>
      <c r="J1625" s="5" t="s">
        <v>14</v>
      </c>
      <c r="K1625" s="5">
        <v>90185.59</v>
      </c>
    </row>
    <row r="1626" spans="1:11" x14ac:dyDescent="0.25">
      <c r="A1626" s="4" t="s">
        <v>11</v>
      </c>
      <c r="B1626" s="4" t="s">
        <v>1672</v>
      </c>
      <c r="C1626" s="4" t="s">
        <v>26</v>
      </c>
      <c r="D1626" s="4">
        <v>6135033565</v>
      </c>
      <c r="E1626" s="4" t="s">
        <v>1237</v>
      </c>
      <c r="F1626" s="4" t="s">
        <v>14</v>
      </c>
      <c r="G1626" s="5">
        <v>33244</v>
      </c>
      <c r="H1626" s="5">
        <v>16622</v>
      </c>
      <c r="I1626" s="5">
        <v>0</v>
      </c>
      <c r="J1626" s="5" t="s">
        <v>14</v>
      </c>
      <c r="K1626" s="5">
        <v>49866</v>
      </c>
    </row>
    <row r="1627" spans="1:11" x14ac:dyDescent="0.25">
      <c r="A1627" s="4" t="s">
        <v>11</v>
      </c>
      <c r="B1627" s="4" t="s">
        <v>1672</v>
      </c>
      <c r="C1627" s="4" t="s">
        <v>23</v>
      </c>
      <c r="D1627" s="4">
        <v>61350336</v>
      </c>
      <c r="E1627" s="4" t="s">
        <v>1239</v>
      </c>
      <c r="F1627" s="4" t="s">
        <v>14</v>
      </c>
      <c r="G1627" s="5">
        <v>21284741</v>
      </c>
      <c r="H1627" s="5">
        <v>5168658</v>
      </c>
      <c r="I1627" s="5">
        <v>0</v>
      </c>
      <c r="J1627" s="5" t="s">
        <v>14</v>
      </c>
      <c r="K1627" s="5">
        <v>26453399</v>
      </c>
    </row>
    <row r="1628" spans="1:11" x14ac:dyDescent="0.25">
      <c r="A1628" s="4" t="s">
        <v>11</v>
      </c>
      <c r="B1628" s="4" t="s">
        <v>1672</v>
      </c>
      <c r="C1628" s="4" t="s">
        <v>26</v>
      </c>
      <c r="D1628" s="4">
        <v>6135033630</v>
      </c>
      <c r="E1628" s="4" t="s">
        <v>1241</v>
      </c>
      <c r="F1628" s="4" t="s">
        <v>14</v>
      </c>
      <c r="G1628" s="5">
        <v>16259038</v>
      </c>
      <c r="H1628" s="5">
        <v>4343410</v>
      </c>
      <c r="I1628" s="5">
        <v>0</v>
      </c>
      <c r="J1628" s="5" t="s">
        <v>14</v>
      </c>
      <c r="K1628" s="5">
        <v>20602448</v>
      </c>
    </row>
    <row r="1629" spans="1:11" x14ac:dyDescent="0.25">
      <c r="A1629" s="4" t="s">
        <v>11</v>
      </c>
      <c r="B1629" s="4" t="s">
        <v>1672</v>
      </c>
      <c r="C1629" s="4" t="s">
        <v>26</v>
      </c>
      <c r="D1629" s="4">
        <v>6135033640</v>
      </c>
      <c r="E1629" s="4" t="s">
        <v>1239</v>
      </c>
      <c r="F1629" s="4" t="s">
        <v>14</v>
      </c>
      <c r="G1629" s="5">
        <v>2452547</v>
      </c>
      <c r="H1629" s="5">
        <v>0</v>
      </c>
      <c r="I1629" s="5">
        <v>0</v>
      </c>
      <c r="J1629" s="5" t="s">
        <v>14</v>
      </c>
      <c r="K1629" s="5">
        <v>2452547</v>
      </c>
    </row>
    <row r="1630" spans="1:11" x14ac:dyDescent="0.25">
      <c r="A1630" s="4" t="s">
        <v>11</v>
      </c>
      <c r="B1630" s="4" t="s">
        <v>1672</v>
      </c>
      <c r="C1630" s="4" t="s">
        <v>26</v>
      </c>
      <c r="D1630" s="4">
        <v>6135033670</v>
      </c>
      <c r="E1630" s="4" t="s">
        <v>1497</v>
      </c>
      <c r="F1630" s="4" t="s">
        <v>14</v>
      </c>
      <c r="G1630" s="5">
        <v>2107172</v>
      </c>
      <c r="H1630" s="5">
        <v>825248</v>
      </c>
      <c r="I1630" s="5">
        <v>0</v>
      </c>
      <c r="J1630" s="5" t="s">
        <v>14</v>
      </c>
      <c r="K1630" s="5">
        <v>2932420</v>
      </c>
    </row>
    <row r="1631" spans="1:11" x14ac:dyDescent="0.25">
      <c r="A1631" s="4" t="s">
        <v>11</v>
      </c>
      <c r="B1631" s="4" t="s">
        <v>1672</v>
      </c>
      <c r="C1631" s="4" t="s">
        <v>26</v>
      </c>
      <c r="D1631" s="4">
        <v>6135033695</v>
      </c>
      <c r="E1631" s="4" t="s">
        <v>1244</v>
      </c>
      <c r="F1631" s="4" t="s">
        <v>14</v>
      </c>
      <c r="G1631" s="5">
        <v>465984</v>
      </c>
      <c r="H1631" s="5">
        <v>0</v>
      </c>
      <c r="I1631" s="5">
        <v>0</v>
      </c>
      <c r="J1631" s="5" t="s">
        <v>14</v>
      </c>
      <c r="K1631" s="5">
        <v>465984</v>
      </c>
    </row>
    <row r="1632" spans="1:11" x14ac:dyDescent="0.25">
      <c r="A1632" s="4" t="s">
        <v>11</v>
      </c>
      <c r="B1632" s="4" t="s">
        <v>1672</v>
      </c>
      <c r="C1632" s="4" t="s">
        <v>23</v>
      </c>
      <c r="D1632" s="4">
        <v>61350345</v>
      </c>
      <c r="E1632" s="4" t="s">
        <v>1257</v>
      </c>
      <c r="F1632" s="4" t="s">
        <v>14</v>
      </c>
      <c r="G1632" s="5">
        <v>20552226.190000001</v>
      </c>
      <c r="H1632" s="5">
        <v>0</v>
      </c>
      <c r="I1632" s="5">
        <v>0</v>
      </c>
      <c r="J1632" s="5" t="s">
        <v>14</v>
      </c>
      <c r="K1632" s="5">
        <v>20552226.190000001</v>
      </c>
    </row>
    <row r="1633" spans="1:11" x14ac:dyDescent="0.25">
      <c r="A1633" s="4" t="s">
        <v>11</v>
      </c>
      <c r="B1633" s="4" t="s">
        <v>1672</v>
      </c>
      <c r="C1633" s="4" t="s">
        <v>26</v>
      </c>
      <c r="D1633" s="4">
        <v>6135034505</v>
      </c>
      <c r="E1633" s="4" t="s">
        <v>1512</v>
      </c>
      <c r="F1633" s="4" t="s">
        <v>14</v>
      </c>
      <c r="G1633" s="5">
        <v>2438857</v>
      </c>
      <c r="H1633" s="5">
        <v>0</v>
      </c>
      <c r="I1633" s="5">
        <v>0</v>
      </c>
      <c r="J1633" s="5" t="s">
        <v>14</v>
      </c>
      <c r="K1633" s="5">
        <v>2438857</v>
      </c>
    </row>
    <row r="1634" spans="1:11" x14ac:dyDescent="0.25">
      <c r="A1634" s="4" t="s">
        <v>11</v>
      </c>
      <c r="B1634" s="4" t="s">
        <v>1672</v>
      </c>
      <c r="C1634" s="4" t="s">
        <v>26</v>
      </c>
      <c r="D1634" s="4">
        <v>6135034525</v>
      </c>
      <c r="E1634" s="4" t="s">
        <v>1820</v>
      </c>
      <c r="F1634" s="4" t="s">
        <v>14</v>
      </c>
      <c r="G1634" s="5">
        <v>12750621</v>
      </c>
      <c r="H1634" s="5">
        <v>0</v>
      </c>
      <c r="I1634" s="5">
        <v>0</v>
      </c>
      <c r="J1634" s="5" t="s">
        <v>14</v>
      </c>
      <c r="K1634" s="5">
        <v>12750621</v>
      </c>
    </row>
    <row r="1635" spans="1:11" x14ac:dyDescent="0.25">
      <c r="A1635" s="4" t="s">
        <v>11</v>
      </c>
      <c r="B1635" s="4" t="s">
        <v>1672</v>
      </c>
      <c r="C1635" s="4" t="s">
        <v>26</v>
      </c>
      <c r="D1635" s="4">
        <v>6135034535</v>
      </c>
      <c r="E1635" s="4" t="s">
        <v>1743</v>
      </c>
      <c r="F1635" s="4" t="s">
        <v>14</v>
      </c>
      <c r="G1635" s="5">
        <v>600000</v>
      </c>
      <c r="H1635" s="5">
        <v>0</v>
      </c>
      <c r="I1635" s="5">
        <v>0</v>
      </c>
      <c r="J1635" s="5" t="s">
        <v>14</v>
      </c>
      <c r="K1635" s="5">
        <v>600000</v>
      </c>
    </row>
    <row r="1636" spans="1:11" x14ac:dyDescent="0.25">
      <c r="A1636" s="4" t="s">
        <v>11</v>
      </c>
      <c r="B1636" s="4" t="s">
        <v>1672</v>
      </c>
      <c r="C1636" s="4" t="s">
        <v>26</v>
      </c>
      <c r="D1636" s="4">
        <v>6135034540</v>
      </c>
      <c r="E1636" s="4" t="s">
        <v>1522</v>
      </c>
      <c r="F1636" s="4" t="s">
        <v>14</v>
      </c>
      <c r="G1636" s="5">
        <v>1481300</v>
      </c>
      <c r="H1636" s="5">
        <v>0</v>
      </c>
      <c r="I1636" s="5">
        <v>0</v>
      </c>
      <c r="J1636" s="5" t="s">
        <v>14</v>
      </c>
      <c r="K1636" s="5">
        <v>1481300</v>
      </c>
    </row>
    <row r="1637" spans="1:11" x14ac:dyDescent="0.25">
      <c r="A1637" s="4" t="s">
        <v>11</v>
      </c>
      <c r="B1637" s="4" t="s">
        <v>1672</v>
      </c>
      <c r="C1637" s="4" t="s">
        <v>26</v>
      </c>
      <c r="D1637" s="4">
        <v>6135034550</v>
      </c>
      <c r="E1637" s="4" t="s">
        <v>1524</v>
      </c>
      <c r="F1637" s="4" t="s">
        <v>14</v>
      </c>
      <c r="G1637" s="5">
        <v>463383</v>
      </c>
      <c r="H1637" s="5">
        <v>0</v>
      </c>
      <c r="I1637" s="5">
        <v>0</v>
      </c>
      <c r="J1637" s="5" t="s">
        <v>14</v>
      </c>
      <c r="K1637" s="5">
        <v>463383</v>
      </c>
    </row>
    <row r="1638" spans="1:11" x14ac:dyDescent="0.25">
      <c r="A1638" s="4" t="s">
        <v>11</v>
      </c>
      <c r="B1638" s="4" t="s">
        <v>1672</v>
      </c>
      <c r="C1638" s="4" t="s">
        <v>26</v>
      </c>
      <c r="D1638" s="4">
        <v>6135034570</v>
      </c>
      <c r="E1638" s="4" t="s">
        <v>1823</v>
      </c>
      <c r="F1638" s="4" t="s">
        <v>14</v>
      </c>
      <c r="G1638" s="5">
        <v>2422618.19</v>
      </c>
      <c r="H1638" s="5">
        <v>0</v>
      </c>
      <c r="I1638" s="5">
        <v>0</v>
      </c>
      <c r="J1638" s="5" t="s">
        <v>14</v>
      </c>
      <c r="K1638" s="5">
        <v>2422618.19</v>
      </c>
    </row>
    <row r="1639" spans="1:11" x14ac:dyDescent="0.25">
      <c r="A1639" s="4" t="s">
        <v>11</v>
      </c>
      <c r="B1639" s="4" t="s">
        <v>1672</v>
      </c>
      <c r="C1639" s="4" t="s">
        <v>26</v>
      </c>
      <c r="D1639" s="4">
        <v>6135034580</v>
      </c>
      <c r="E1639" s="4" t="s">
        <v>1928</v>
      </c>
      <c r="F1639" s="4" t="s">
        <v>14</v>
      </c>
      <c r="G1639" s="5">
        <v>114000</v>
      </c>
      <c r="H1639" s="5">
        <v>0</v>
      </c>
      <c r="I1639" s="5">
        <v>0</v>
      </c>
      <c r="J1639" s="5" t="s">
        <v>14</v>
      </c>
      <c r="K1639" s="5">
        <v>114000</v>
      </c>
    </row>
    <row r="1640" spans="1:11" x14ac:dyDescent="0.25">
      <c r="A1640" s="4" t="s">
        <v>11</v>
      </c>
      <c r="B1640" s="4" t="s">
        <v>1672</v>
      </c>
      <c r="C1640" s="4" t="s">
        <v>26</v>
      </c>
      <c r="D1640" s="4">
        <v>6135034590</v>
      </c>
      <c r="E1640" s="4" t="s">
        <v>1534</v>
      </c>
      <c r="F1640" s="4" t="s">
        <v>14</v>
      </c>
      <c r="G1640" s="5">
        <v>281447</v>
      </c>
      <c r="H1640" s="5">
        <v>0</v>
      </c>
      <c r="I1640" s="5">
        <v>0</v>
      </c>
      <c r="J1640" s="5" t="s">
        <v>14</v>
      </c>
      <c r="K1640" s="5">
        <v>281447</v>
      </c>
    </row>
    <row r="1641" spans="1:11" x14ac:dyDescent="0.25">
      <c r="A1641" s="4" t="s">
        <v>11</v>
      </c>
      <c r="B1641" s="4" t="s">
        <v>1672</v>
      </c>
      <c r="C1641" s="4" t="s">
        <v>23</v>
      </c>
      <c r="D1641" s="4">
        <v>61350355</v>
      </c>
      <c r="E1641" s="4" t="s">
        <v>1263</v>
      </c>
      <c r="F1641" s="4" t="s">
        <v>14</v>
      </c>
      <c r="G1641" s="5">
        <v>40272357.700000003</v>
      </c>
      <c r="H1641" s="5">
        <v>0</v>
      </c>
      <c r="I1641" s="5">
        <v>0</v>
      </c>
      <c r="J1641" s="5" t="s">
        <v>14</v>
      </c>
      <c r="K1641" s="5">
        <v>40272357.700000003</v>
      </c>
    </row>
    <row r="1642" spans="1:11" x14ac:dyDescent="0.25">
      <c r="A1642" s="4" t="s">
        <v>11</v>
      </c>
      <c r="B1642" s="4" t="s">
        <v>1672</v>
      </c>
      <c r="C1642" s="4" t="s">
        <v>26</v>
      </c>
      <c r="D1642" s="4">
        <v>6135035510</v>
      </c>
      <c r="E1642" s="4" t="s">
        <v>1265</v>
      </c>
      <c r="F1642" s="4" t="s">
        <v>14</v>
      </c>
      <c r="G1642" s="5">
        <v>7684998.3600000003</v>
      </c>
      <c r="H1642" s="5">
        <v>0</v>
      </c>
      <c r="I1642" s="5">
        <v>0</v>
      </c>
      <c r="J1642" s="5" t="s">
        <v>14</v>
      </c>
      <c r="K1642" s="5">
        <v>7684998.3600000003</v>
      </c>
    </row>
    <row r="1643" spans="1:11" x14ac:dyDescent="0.25">
      <c r="A1643" s="4" t="s">
        <v>11</v>
      </c>
      <c r="B1643" s="4" t="s">
        <v>1672</v>
      </c>
      <c r="C1643" s="4" t="s">
        <v>26</v>
      </c>
      <c r="D1643" s="4">
        <v>6135035515</v>
      </c>
      <c r="E1643" s="4" t="s">
        <v>1538</v>
      </c>
      <c r="F1643" s="4" t="s">
        <v>14</v>
      </c>
      <c r="G1643" s="5">
        <v>22160726.77</v>
      </c>
      <c r="H1643" s="5">
        <v>0</v>
      </c>
      <c r="I1643" s="5">
        <v>0</v>
      </c>
      <c r="J1643" s="5" t="s">
        <v>14</v>
      </c>
      <c r="K1643" s="5">
        <v>22160726.77</v>
      </c>
    </row>
    <row r="1644" spans="1:11" x14ac:dyDescent="0.25">
      <c r="A1644" s="4" t="s">
        <v>11</v>
      </c>
      <c r="B1644" s="4" t="s">
        <v>1672</v>
      </c>
      <c r="C1644" s="4" t="s">
        <v>26</v>
      </c>
      <c r="D1644" s="4">
        <v>6135035520</v>
      </c>
      <c r="E1644" s="4" t="s">
        <v>1267</v>
      </c>
      <c r="F1644" s="4" t="s">
        <v>14</v>
      </c>
      <c r="G1644" s="5">
        <v>334063.55</v>
      </c>
      <c r="H1644" s="5">
        <v>0</v>
      </c>
      <c r="I1644" s="5">
        <v>0</v>
      </c>
      <c r="J1644" s="5" t="s">
        <v>14</v>
      </c>
      <c r="K1644" s="5">
        <v>334063.55</v>
      </c>
    </row>
    <row r="1645" spans="1:11" x14ac:dyDescent="0.25">
      <c r="A1645" s="4" t="s">
        <v>11</v>
      </c>
      <c r="B1645" s="4" t="s">
        <v>1672</v>
      </c>
      <c r="C1645" s="4" t="s">
        <v>26</v>
      </c>
      <c r="D1645" s="4">
        <v>6135035525</v>
      </c>
      <c r="E1645" s="4" t="s">
        <v>1269</v>
      </c>
      <c r="F1645" s="4" t="s">
        <v>14</v>
      </c>
      <c r="G1645" s="5">
        <v>515098.85</v>
      </c>
      <c r="H1645" s="5">
        <v>0</v>
      </c>
      <c r="I1645" s="5">
        <v>0</v>
      </c>
      <c r="J1645" s="5" t="s">
        <v>14</v>
      </c>
      <c r="K1645" s="5">
        <v>515098.85</v>
      </c>
    </row>
    <row r="1646" spans="1:11" x14ac:dyDescent="0.25">
      <c r="A1646" s="4" t="s">
        <v>11</v>
      </c>
      <c r="B1646" s="4" t="s">
        <v>1672</v>
      </c>
      <c r="C1646" s="4" t="s">
        <v>26</v>
      </c>
      <c r="D1646" s="4">
        <v>6135035530</v>
      </c>
      <c r="E1646" s="4" t="s">
        <v>1542</v>
      </c>
      <c r="F1646" s="4" t="s">
        <v>14</v>
      </c>
      <c r="G1646" s="5">
        <v>9577470.1699999999</v>
      </c>
      <c r="H1646" s="5">
        <v>0</v>
      </c>
      <c r="I1646" s="5">
        <v>0</v>
      </c>
      <c r="J1646" s="5" t="s">
        <v>14</v>
      </c>
      <c r="K1646" s="5">
        <v>9577470.1699999999</v>
      </c>
    </row>
    <row r="1647" spans="1:11" x14ac:dyDescent="0.25">
      <c r="A1647" s="4" t="s">
        <v>11</v>
      </c>
      <c r="B1647" s="4" t="s">
        <v>1672</v>
      </c>
      <c r="C1647" s="4" t="s">
        <v>23</v>
      </c>
      <c r="D1647" s="4">
        <v>61350360</v>
      </c>
      <c r="E1647" s="4" t="s">
        <v>1273</v>
      </c>
      <c r="F1647" s="4" t="s">
        <v>14</v>
      </c>
      <c r="G1647" s="5">
        <v>4974786</v>
      </c>
      <c r="H1647" s="5">
        <v>424813</v>
      </c>
      <c r="I1647" s="5">
        <v>0</v>
      </c>
      <c r="J1647" s="5" t="s">
        <v>14</v>
      </c>
      <c r="K1647" s="5">
        <v>5399599</v>
      </c>
    </row>
    <row r="1648" spans="1:11" x14ac:dyDescent="0.25">
      <c r="A1648" s="4" t="s">
        <v>11</v>
      </c>
      <c r="B1648" s="4" t="s">
        <v>1672</v>
      </c>
      <c r="C1648" s="4" t="s">
        <v>26</v>
      </c>
      <c r="D1648" s="4">
        <v>6135036005</v>
      </c>
      <c r="E1648" s="4" t="s">
        <v>1273</v>
      </c>
      <c r="F1648" s="4" t="s">
        <v>14</v>
      </c>
      <c r="G1648" s="5">
        <v>4974786</v>
      </c>
      <c r="H1648" s="5">
        <v>424813</v>
      </c>
      <c r="I1648" s="5">
        <v>0</v>
      </c>
      <c r="J1648" s="5" t="s">
        <v>14</v>
      </c>
      <c r="K1648" s="5">
        <v>5399599</v>
      </c>
    </row>
    <row r="1649" spans="1:11" x14ac:dyDescent="0.25">
      <c r="A1649" s="4" t="s">
        <v>11</v>
      </c>
      <c r="B1649" s="4" t="s">
        <v>1672</v>
      </c>
      <c r="C1649" s="4" t="s">
        <v>23</v>
      </c>
      <c r="D1649" s="4">
        <v>61350371</v>
      </c>
      <c r="E1649" s="4" t="s">
        <v>1289</v>
      </c>
      <c r="F1649" s="4" t="s">
        <v>14</v>
      </c>
      <c r="G1649" s="5">
        <v>27900</v>
      </c>
      <c r="H1649" s="5">
        <v>0</v>
      </c>
      <c r="I1649" s="5">
        <v>0</v>
      </c>
      <c r="J1649" s="5" t="s">
        <v>14</v>
      </c>
      <c r="K1649" s="5">
        <v>27900</v>
      </c>
    </row>
    <row r="1650" spans="1:11" x14ac:dyDescent="0.25">
      <c r="A1650" s="4" t="s">
        <v>11</v>
      </c>
      <c r="B1650" s="4" t="s">
        <v>1672</v>
      </c>
      <c r="C1650" s="4" t="s">
        <v>26</v>
      </c>
      <c r="D1650" s="4">
        <v>6135037115</v>
      </c>
      <c r="E1650" s="4" t="s">
        <v>1295</v>
      </c>
      <c r="F1650" s="4" t="s">
        <v>14</v>
      </c>
      <c r="G1650" s="5">
        <v>27900</v>
      </c>
      <c r="H1650" s="5">
        <v>0</v>
      </c>
      <c r="I1650" s="5">
        <v>0</v>
      </c>
      <c r="J1650" s="5" t="s">
        <v>14</v>
      </c>
      <c r="K1650" s="5">
        <v>27900</v>
      </c>
    </row>
  </sheetData>
  <autoFilter ref="A1:K1650" xr:uid="{00000000-0009-0000-0000-000000000000}"/>
  <pageMargins left="0.7" right="0.7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600A-D559-453C-95BB-F24CB9D53118}">
  <sheetPr>
    <tabColor rgb="FFFFC000"/>
    <outlinePr summaryBelow="0" summaryRight="0"/>
  </sheetPr>
  <dimension ref="A1:N3499"/>
  <sheetViews>
    <sheetView workbookViewId="0">
      <pane ySplit="1" topLeftCell="A3462" activePane="bottomLeft" state="frozen"/>
      <selection activeCell="F4" sqref="F4"/>
      <selection pane="bottomLeft" activeCell="F4" sqref="F4"/>
    </sheetView>
  </sheetViews>
  <sheetFormatPr baseColWidth="10" defaultRowHeight="12.75" x14ac:dyDescent="0.25"/>
  <cols>
    <col min="1" max="7" width="10.7109375" style="4" customWidth="1"/>
    <col min="8" max="8" width="10.7109375" style="9" customWidth="1"/>
    <col min="9" max="11" width="10.7109375" style="4" customWidth="1"/>
    <col min="12" max="12" width="10.7109375" style="10" customWidth="1"/>
    <col min="13" max="13" width="10.7109375" style="5" customWidth="1"/>
    <col min="14" max="14" width="13.42578125" style="5" bestFit="1" customWidth="1"/>
    <col min="15" max="16384" width="11.42578125" style="3"/>
  </cols>
  <sheetData>
    <row r="1" spans="1:14" x14ac:dyDescent="0.25">
      <c r="A1" s="4" t="s">
        <v>5520</v>
      </c>
      <c r="B1" s="4" t="s">
        <v>5519</v>
      </c>
      <c r="C1" s="4" t="s">
        <v>5518</v>
      </c>
      <c r="D1" s="4" t="s">
        <v>5517</v>
      </c>
      <c r="E1" s="4" t="s">
        <v>5516</v>
      </c>
      <c r="F1" s="4" t="s">
        <v>5515</v>
      </c>
      <c r="G1" s="4" t="s">
        <v>5514</v>
      </c>
      <c r="H1" s="4" t="s">
        <v>5513</v>
      </c>
      <c r="I1" s="4" t="s">
        <v>5512</v>
      </c>
      <c r="J1" s="4" t="s">
        <v>5511</v>
      </c>
      <c r="K1" s="4" t="s">
        <v>5510</v>
      </c>
      <c r="L1" s="4" t="s">
        <v>5509</v>
      </c>
      <c r="M1" s="5" t="s">
        <v>5508</v>
      </c>
      <c r="N1" s="5" t="s">
        <v>5507</v>
      </c>
    </row>
    <row r="2" spans="1:14" x14ac:dyDescent="0.25">
      <c r="A2" s="4" t="s">
        <v>2274</v>
      </c>
      <c r="B2" s="4" t="s">
        <v>4348</v>
      </c>
      <c r="C2" s="4" t="s">
        <v>2344</v>
      </c>
      <c r="D2" s="4" t="s">
        <v>237</v>
      </c>
      <c r="E2" s="4" t="s">
        <v>2444</v>
      </c>
      <c r="F2" s="4" t="s">
        <v>2443</v>
      </c>
      <c r="G2" s="4" t="s">
        <v>2263</v>
      </c>
      <c r="H2" s="9" t="s">
        <v>2263</v>
      </c>
      <c r="I2" s="4" t="s">
        <v>2263</v>
      </c>
      <c r="J2" s="4" t="s">
        <v>2263</v>
      </c>
      <c r="K2" s="4" t="s">
        <v>2442</v>
      </c>
      <c r="L2" s="10">
        <v>-10</v>
      </c>
      <c r="M2" s="5">
        <v>17324.682926829268</v>
      </c>
      <c r="N2" s="5">
        <v>-173246.82926829267</v>
      </c>
    </row>
    <row r="3" spans="1:14" x14ac:dyDescent="0.25">
      <c r="A3" s="4" t="s">
        <v>2653</v>
      </c>
      <c r="B3" s="4" t="s">
        <v>3226</v>
      </c>
      <c r="C3" s="4" t="s">
        <v>2384</v>
      </c>
      <c r="D3" s="4" t="s">
        <v>262</v>
      </c>
      <c r="E3" s="4" t="s">
        <v>3418</v>
      </c>
      <c r="F3" s="4" t="s">
        <v>3417</v>
      </c>
      <c r="G3" s="4" t="s">
        <v>2263</v>
      </c>
      <c r="H3" s="9" t="s">
        <v>2263</v>
      </c>
      <c r="I3" s="4" t="s">
        <v>2317</v>
      </c>
      <c r="J3" s="4" t="s">
        <v>2316</v>
      </c>
      <c r="K3" s="4" t="s">
        <v>2263</v>
      </c>
      <c r="L3" s="10">
        <v>1</v>
      </c>
      <c r="M3" s="5">
        <v>-2924062.96</v>
      </c>
      <c r="N3" s="5">
        <v>-2924062.96</v>
      </c>
    </row>
    <row r="4" spans="1:14" x14ac:dyDescent="0.25">
      <c r="A4" s="4" t="s">
        <v>3070</v>
      </c>
      <c r="B4" s="4" t="s">
        <v>3216</v>
      </c>
      <c r="C4" s="4" t="s">
        <v>2320</v>
      </c>
      <c r="D4" s="4" t="s">
        <v>242</v>
      </c>
      <c r="E4" s="4" t="s">
        <v>2769</v>
      </c>
      <c r="F4" s="4" t="s">
        <v>2768</v>
      </c>
      <c r="G4" s="4" t="s">
        <v>2263</v>
      </c>
      <c r="H4" s="9" t="s">
        <v>2263</v>
      </c>
      <c r="I4" s="4" t="s">
        <v>2317</v>
      </c>
      <c r="J4" s="4" t="s">
        <v>2316</v>
      </c>
      <c r="K4" s="4" t="s">
        <v>2263</v>
      </c>
      <c r="L4" s="10">
        <v>1</v>
      </c>
      <c r="M4" s="5">
        <v>-133257.26047619048</v>
      </c>
      <c r="N4" s="5">
        <v>-133257.26047619048</v>
      </c>
    </row>
    <row r="5" spans="1:14" x14ac:dyDescent="0.25">
      <c r="A5" s="4" t="s">
        <v>3168</v>
      </c>
      <c r="B5" s="4" t="s">
        <v>3167</v>
      </c>
      <c r="C5" s="4" t="s">
        <v>2320</v>
      </c>
      <c r="D5" s="4" t="s">
        <v>242</v>
      </c>
      <c r="E5" s="4" t="s">
        <v>2769</v>
      </c>
      <c r="F5" s="4" t="s">
        <v>2768</v>
      </c>
      <c r="G5" s="4" t="s">
        <v>2263</v>
      </c>
      <c r="H5" s="9" t="s">
        <v>2263</v>
      </c>
      <c r="I5" s="4" t="s">
        <v>2317</v>
      </c>
      <c r="J5" s="4" t="s">
        <v>2316</v>
      </c>
      <c r="K5" s="4" t="s">
        <v>2263</v>
      </c>
      <c r="L5" s="10">
        <v>1</v>
      </c>
      <c r="M5" s="5">
        <v>-133257.26047619048</v>
      </c>
      <c r="N5" s="5">
        <v>-133257.26047619048</v>
      </c>
    </row>
    <row r="6" spans="1:14" x14ac:dyDescent="0.25">
      <c r="A6" s="4" t="s">
        <v>3145</v>
      </c>
      <c r="B6" s="4" t="s">
        <v>3144</v>
      </c>
      <c r="C6" s="4" t="s">
        <v>2320</v>
      </c>
      <c r="D6" s="4" t="s">
        <v>242</v>
      </c>
      <c r="E6" s="4" t="s">
        <v>2769</v>
      </c>
      <c r="F6" s="4" t="s">
        <v>2768</v>
      </c>
      <c r="G6" s="4" t="s">
        <v>2263</v>
      </c>
      <c r="H6" s="9" t="s">
        <v>2263</v>
      </c>
      <c r="I6" s="4" t="s">
        <v>2317</v>
      </c>
      <c r="J6" s="4" t="s">
        <v>2316</v>
      </c>
      <c r="K6" s="4" t="s">
        <v>2263</v>
      </c>
      <c r="L6" s="10">
        <v>1</v>
      </c>
      <c r="M6" s="5">
        <v>-133257.26047619048</v>
      </c>
      <c r="N6" s="5">
        <v>-133257.26047619048</v>
      </c>
    </row>
    <row r="7" spans="1:14" x14ac:dyDescent="0.25">
      <c r="A7" s="4" t="s">
        <v>3070</v>
      </c>
      <c r="B7" s="4" t="s">
        <v>3216</v>
      </c>
      <c r="C7" s="4" t="s">
        <v>2320</v>
      </c>
      <c r="D7" s="4" t="s">
        <v>242</v>
      </c>
      <c r="E7" s="4" t="s">
        <v>2775</v>
      </c>
      <c r="F7" s="4" t="s">
        <v>2774</v>
      </c>
      <c r="G7" s="4" t="s">
        <v>2263</v>
      </c>
      <c r="H7" s="9" t="s">
        <v>2263</v>
      </c>
      <c r="I7" s="4" t="s">
        <v>2317</v>
      </c>
      <c r="J7" s="4" t="s">
        <v>2316</v>
      </c>
      <c r="K7" s="4" t="s">
        <v>2263</v>
      </c>
      <c r="L7" s="10">
        <v>1</v>
      </c>
      <c r="M7" s="5">
        <v>-123798.43206896551</v>
      </c>
      <c r="N7" s="5">
        <v>-123798.43206896551</v>
      </c>
    </row>
    <row r="8" spans="1:14" x14ac:dyDescent="0.25">
      <c r="A8" s="4" t="s">
        <v>3168</v>
      </c>
      <c r="B8" s="4" t="s">
        <v>3167</v>
      </c>
      <c r="C8" s="4" t="s">
        <v>2320</v>
      </c>
      <c r="D8" s="4" t="s">
        <v>242</v>
      </c>
      <c r="E8" s="4" t="s">
        <v>2775</v>
      </c>
      <c r="F8" s="4" t="s">
        <v>2774</v>
      </c>
      <c r="G8" s="4" t="s">
        <v>2263</v>
      </c>
      <c r="H8" s="9" t="s">
        <v>2263</v>
      </c>
      <c r="I8" s="4" t="s">
        <v>2317</v>
      </c>
      <c r="J8" s="4" t="s">
        <v>2316</v>
      </c>
      <c r="K8" s="4" t="s">
        <v>2263</v>
      </c>
      <c r="L8" s="10">
        <v>1</v>
      </c>
      <c r="M8" s="5">
        <v>-123798.43206896551</v>
      </c>
      <c r="N8" s="5">
        <v>-123798.43206896551</v>
      </c>
    </row>
    <row r="9" spans="1:14" x14ac:dyDescent="0.25">
      <c r="A9" s="4" t="s">
        <v>3145</v>
      </c>
      <c r="B9" s="4" t="s">
        <v>3144</v>
      </c>
      <c r="C9" s="4" t="s">
        <v>2320</v>
      </c>
      <c r="D9" s="4" t="s">
        <v>242</v>
      </c>
      <c r="E9" s="4" t="s">
        <v>2775</v>
      </c>
      <c r="F9" s="4" t="s">
        <v>2774</v>
      </c>
      <c r="G9" s="4" t="s">
        <v>2263</v>
      </c>
      <c r="H9" s="9" t="s">
        <v>2263</v>
      </c>
      <c r="I9" s="4" t="s">
        <v>2317</v>
      </c>
      <c r="J9" s="4" t="s">
        <v>2316</v>
      </c>
      <c r="K9" s="4" t="s">
        <v>2263</v>
      </c>
      <c r="L9" s="10">
        <v>1</v>
      </c>
      <c r="M9" s="5">
        <v>-123798.43206896551</v>
      </c>
      <c r="N9" s="5">
        <v>-123798.43206896551</v>
      </c>
    </row>
    <row r="10" spans="1:14" x14ac:dyDescent="0.25">
      <c r="A10" s="4" t="s">
        <v>3168</v>
      </c>
      <c r="B10" s="4" t="s">
        <v>3167</v>
      </c>
      <c r="C10" s="4" t="s">
        <v>2320</v>
      </c>
      <c r="D10" s="4" t="s">
        <v>242</v>
      </c>
      <c r="E10" s="4" t="s">
        <v>2408</v>
      </c>
      <c r="F10" s="4" t="s">
        <v>2407</v>
      </c>
      <c r="G10" s="4" t="s">
        <v>2263</v>
      </c>
      <c r="H10" s="9" t="s">
        <v>2263</v>
      </c>
      <c r="I10" s="4" t="s">
        <v>2317</v>
      </c>
      <c r="J10" s="4" t="s">
        <v>2316</v>
      </c>
      <c r="K10" s="4" t="s">
        <v>2263</v>
      </c>
      <c r="L10" s="10">
        <v>1</v>
      </c>
      <c r="M10" s="5">
        <v>-58082.704199999993</v>
      </c>
      <c r="N10" s="5">
        <v>-58082.7042</v>
      </c>
    </row>
    <row r="11" spans="1:14" x14ac:dyDescent="0.25">
      <c r="A11" s="4" t="s">
        <v>3145</v>
      </c>
      <c r="B11" s="4" t="s">
        <v>3144</v>
      </c>
      <c r="C11" s="4" t="s">
        <v>2320</v>
      </c>
      <c r="D11" s="4" t="s">
        <v>242</v>
      </c>
      <c r="E11" s="4" t="s">
        <v>2408</v>
      </c>
      <c r="F11" s="4" t="s">
        <v>2407</v>
      </c>
      <c r="G11" s="4" t="s">
        <v>2263</v>
      </c>
      <c r="H11" s="9" t="s">
        <v>2263</v>
      </c>
      <c r="I11" s="4" t="s">
        <v>2317</v>
      </c>
      <c r="J11" s="4" t="s">
        <v>2316</v>
      </c>
      <c r="K11" s="4" t="s">
        <v>2263</v>
      </c>
      <c r="L11" s="10">
        <v>1</v>
      </c>
      <c r="M11" s="5">
        <v>-58082.704199999993</v>
      </c>
      <c r="N11" s="5">
        <v>-58082.7042</v>
      </c>
    </row>
    <row r="12" spans="1:14" x14ac:dyDescent="0.25">
      <c r="A12" s="4" t="s">
        <v>2761</v>
      </c>
      <c r="B12" s="4" t="s">
        <v>2760</v>
      </c>
      <c r="C12" s="4" t="s">
        <v>2320</v>
      </c>
      <c r="D12" s="4" t="s">
        <v>242</v>
      </c>
      <c r="E12" s="4" t="s">
        <v>2767</v>
      </c>
      <c r="F12" s="4" t="s">
        <v>2766</v>
      </c>
      <c r="G12" s="4" t="s">
        <v>2263</v>
      </c>
      <c r="H12" s="9" t="s">
        <v>2263</v>
      </c>
      <c r="I12" s="4" t="s">
        <v>2317</v>
      </c>
      <c r="J12" s="4" t="s">
        <v>2316</v>
      </c>
      <c r="K12" s="4" t="s">
        <v>2263</v>
      </c>
      <c r="L12" s="10">
        <v>1</v>
      </c>
      <c r="M12" s="5">
        <v>-33029.870000000003</v>
      </c>
      <c r="N12" s="5">
        <v>-33029.870000000003</v>
      </c>
    </row>
    <row r="13" spans="1:14" x14ac:dyDescent="0.25">
      <c r="A13" s="4" t="s">
        <v>3070</v>
      </c>
      <c r="B13" s="4" t="s">
        <v>3216</v>
      </c>
      <c r="C13" s="4" t="s">
        <v>2344</v>
      </c>
      <c r="D13" s="4" t="s">
        <v>237</v>
      </c>
      <c r="E13" s="4" t="s">
        <v>3118</v>
      </c>
      <c r="F13" s="4" t="s">
        <v>3117</v>
      </c>
      <c r="G13" s="4" t="s">
        <v>2263</v>
      </c>
      <c r="H13" s="9" t="s">
        <v>2263</v>
      </c>
      <c r="I13" s="4" t="s">
        <v>2263</v>
      </c>
      <c r="J13" s="4" t="s">
        <v>2263</v>
      </c>
      <c r="K13" s="4" t="s">
        <v>3116</v>
      </c>
      <c r="L13" s="10">
        <v>1</v>
      </c>
      <c r="M13" s="5">
        <v>-9389.8194444444453</v>
      </c>
      <c r="N13" s="5">
        <v>-9389.8194444444398</v>
      </c>
    </row>
    <row r="14" spans="1:14" x14ac:dyDescent="0.25">
      <c r="A14" s="4" t="s">
        <v>3070</v>
      </c>
      <c r="B14" s="4" t="s">
        <v>3216</v>
      </c>
      <c r="C14" s="4" t="s">
        <v>2320</v>
      </c>
      <c r="D14" s="4" t="s">
        <v>242</v>
      </c>
      <c r="E14" s="4" t="s">
        <v>3151</v>
      </c>
      <c r="F14" s="4" t="s">
        <v>3150</v>
      </c>
      <c r="G14" s="4" t="s">
        <v>2263</v>
      </c>
      <c r="H14" s="9" t="s">
        <v>2263</v>
      </c>
      <c r="I14" s="4" t="s">
        <v>2317</v>
      </c>
      <c r="J14" s="4" t="s">
        <v>2316</v>
      </c>
      <c r="K14" s="4" t="s">
        <v>2263</v>
      </c>
      <c r="L14" s="10">
        <v>1</v>
      </c>
      <c r="M14" s="5">
        <v>-7674.6067999999996</v>
      </c>
      <c r="N14" s="5">
        <v>-7674.6067999999996</v>
      </c>
    </row>
    <row r="15" spans="1:14" x14ac:dyDescent="0.25">
      <c r="A15" s="4" t="s">
        <v>3145</v>
      </c>
      <c r="B15" s="4" t="s">
        <v>3144</v>
      </c>
      <c r="C15" s="4" t="s">
        <v>2320</v>
      </c>
      <c r="D15" s="4" t="s">
        <v>242</v>
      </c>
      <c r="E15" s="4" t="s">
        <v>3151</v>
      </c>
      <c r="F15" s="4" t="s">
        <v>3150</v>
      </c>
      <c r="G15" s="4" t="s">
        <v>2263</v>
      </c>
      <c r="H15" s="9" t="s">
        <v>2263</v>
      </c>
      <c r="I15" s="4" t="s">
        <v>2317</v>
      </c>
      <c r="J15" s="4" t="s">
        <v>2316</v>
      </c>
      <c r="K15" s="4" t="s">
        <v>2263</v>
      </c>
      <c r="L15" s="10">
        <v>1</v>
      </c>
      <c r="M15" s="5">
        <v>-7674.6067999999996</v>
      </c>
      <c r="N15" s="5">
        <v>-7674.6067999999996</v>
      </c>
    </row>
    <row r="16" spans="1:14" x14ac:dyDescent="0.25">
      <c r="A16" s="4" t="s">
        <v>3801</v>
      </c>
      <c r="B16" s="4" t="s">
        <v>4965</v>
      </c>
      <c r="C16" s="4" t="s">
        <v>2320</v>
      </c>
      <c r="D16" s="4" t="s">
        <v>242</v>
      </c>
      <c r="E16" s="4" t="s">
        <v>2420</v>
      </c>
      <c r="F16" s="4" t="s">
        <v>2419</v>
      </c>
      <c r="G16" s="4" t="s">
        <v>2263</v>
      </c>
      <c r="H16" s="9" t="s">
        <v>2263</v>
      </c>
      <c r="I16" s="4" t="s">
        <v>2317</v>
      </c>
      <c r="J16" s="4" t="s">
        <v>2316</v>
      </c>
      <c r="K16" s="4" t="s">
        <v>2263</v>
      </c>
      <c r="L16" s="10">
        <v>1</v>
      </c>
      <c r="M16" s="5">
        <v>-1276.1739304812834</v>
      </c>
      <c r="N16" s="5">
        <v>-1276.17393048128</v>
      </c>
    </row>
    <row r="17" spans="1:14" x14ac:dyDescent="0.25">
      <c r="A17" s="4" t="s">
        <v>2279</v>
      </c>
      <c r="B17" s="4" t="s">
        <v>4963</v>
      </c>
      <c r="C17" s="4" t="s">
        <v>2320</v>
      </c>
      <c r="D17" s="4" t="s">
        <v>242</v>
      </c>
      <c r="E17" s="4" t="s">
        <v>2420</v>
      </c>
      <c r="F17" s="4" t="s">
        <v>2419</v>
      </c>
      <c r="G17" s="4" t="s">
        <v>2263</v>
      </c>
      <c r="H17" s="9" t="s">
        <v>2263</v>
      </c>
      <c r="I17" s="4" t="s">
        <v>2317</v>
      </c>
      <c r="J17" s="4" t="s">
        <v>2316</v>
      </c>
      <c r="K17" s="4" t="s">
        <v>2263</v>
      </c>
      <c r="L17" s="10">
        <v>1</v>
      </c>
      <c r="M17" s="5">
        <v>-1276.1739304812834</v>
      </c>
      <c r="N17" s="5">
        <v>-1276.17393048128</v>
      </c>
    </row>
    <row r="18" spans="1:14" x14ac:dyDescent="0.25">
      <c r="A18" s="4" t="s">
        <v>3196</v>
      </c>
      <c r="B18" s="4" t="s">
        <v>3195</v>
      </c>
      <c r="C18" s="4" t="s">
        <v>2320</v>
      </c>
      <c r="D18" s="4" t="s">
        <v>242</v>
      </c>
      <c r="E18" s="4" t="s">
        <v>2420</v>
      </c>
      <c r="F18" s="4" t="s">
        <v>2419</v>
      </c>
      <c r="G18" s="4" t="s">
        <v>2263</v>
      </c>
      <c r="H18" s="9" t="s">
        <v>2263</v>
      </c>
      <c r="I18" s="4" t="s">
        <v>2317</v>
      </c>
      <c r="J18" s="4" t="s">
        <v>2316</v>
      </c>
      <c r="K18" s="4" t="s">
        <v>2263</v>
      </c>
      <c r="L18" s="10">
        <v>1</v>
      </c>
      <c r="M18" s="5">
        <v>-1276.1739304812834</v>
      </c>
      <c r="N18" s="5">
        <v>-1276.17393048128</v>
      </c>
    </row>
    <row r="19" spans="1:14" x14ac:dyDescent="0.25">
      <c r="A19" s="4" t="s">
        <v>2384</v>
      </c>
      <c r="B19" s="4" t="s">
        <v>3187</v>
      </c>
      <c r="C19" s="4" t="s">
        <v>2320</v>
      </c>
      <c r="D19" s="4" t="s">
        <v>242</v>
      </c>
      <c r="E19" s="4" t="s">
        <v>2420</v>
      </c>
      <c r="F19" s="4" t="s">
        <v>2419</v>
      </c>
      <c r="G19" s="4" t="s">
        <v>2263</v>
      </c>
      <c r="H19" s="9" t="s">
        <v>2263</v>
      </c>
      <c r="I19" s="4" t="s">
        <v>2317</v>
      </c>
      <c r="J19" s="4" t="s">
        <v>2316</v>
      </c>
      <c r="K19" s="4" t="s">
        <v>2263</v>
      </c>
      <c r="L19" s="10">
        <v>1</v>
      </c>
      <c r="M19" s="5">
        <v>-1276.1739304812834</v>
      </c>
      <c r="N19" s="5">
        <v>-1276.17393048128</v>
      </c>
    </row>
    <row r="20" spans="1:14" x14ac:dyDescent="0.25">
      <c r="A20" s="4" t="s">
        <v>3174</v>
      </c>
      <c r="B20" s="4" t="s">
        <v>3173</v>
      </c>
      <c r="C20" s="4" t="s">
        <v>2320</v>
      </c>
      <c r="D20" s="4" t="s">
        <v>242</v>
      </c>
      <c r="E20" s="4" t="s">
        <v>2420</v>
      </c>
      <c r="F20" s="4" t="s">
        <v>2419</v>
      </c>
      <c r="G20" s="4" t="s">
        <v>2263</v>
      </c>
      <c r="H20" s="9" t="s">
        <v>2263</v>
      </c>
      <c r="I20" s="4" t="s">
        <v>2317</v>
      </c>
      <c r="J20" s="4" t="s">
        <v>2316</v>
      </c>
      <c r="K20" s="4" t="s">
        <v>2263</v>
      </c>
      <c r="L20" s="10">
        <v>1</v>
      </c>
      <c r="M20" s="5">
        <v>-1276.1739304812834</v>
      </c>
      <c r="N20" s="5">
        <v>-1276.17393048128</v>
      </c>
    </row>
    <row r="21" spans="1:14" x14ac:dyDescent="0.25">
      <c r="A21" s="4" t="s">
        <v>3104</v>
      </c>
      <c r="B21" s="4" t="s">
        <v>3103</v>
      </c>
      <c r="C21" s="4" t="s">
        <v>2320</v>
      </c>
      <c r="D21" s="4" t="s">
        <v>242</v>
      </c>
      <c r="E21" s="4" t="s">
        <v>2420</v>
      </c>
      <c r="F21" s="4" t="s">
        <v>2419</v>
      </c>
      <c r="G21" s="4" t="s">
        <v>2263</v>
      </c>
      <c r="H21" s="9" t="s">
        <v>2263</v>
      </c>
      <c r="I21" s="4" t="s">
        <v>2317</v>
      </c>
      <c r="J21" s="4" t="s">
        <v>2316</v>
      </c>
      <c r="K21" s="4" t="s">
        <v>2263</v>
      </c>
      <c r="L21" s="10">
        <v>1</v>
      </c>
      <c r="M21" s="5">
        <v>-1276.1739304812834</v>
      </c>
      <c r="N21" s="5">
        <v>-1276.17393048128</v>
      </c>
    </row>
    <row r="22" spans="1:14" x14ac:dyDescent="0.25">
      <c r="A22" s="4" t="s">
        <v>3051</v>
      </c>
      <c r="B22" s="4" t="s">
        <v>3050</v>
      </c>
      <c r="C22" s="4" t="s">
        <v>2320</v>
      </c>
      <c r="D22" s="4" t="s">
        <v>242</v>
      </c>
      <c r="E22" s="4" t="s">
        <v>2420</v>
      </c>
      <c r="F22" s="4" t="s">
        <v>2419</v>
      </c>
      <c r="G22" s="4" t="s">
        <v>2263</v>
      </c>
      <c r="H22" s="9" t="s">
        <v>2263</v>
      </c>
      <c r="I22" s="4" t="s">
        <v>2317</v>
      </c>
      <c r="J22" s="4" t="s">
        <v>2316</v>
      </c>
      <c r="K22" s="4" t="s">
        <v>2263</v>
      </c>
      <c r="L22" s="10">
        <v>1</v>
      </c>
      <c r="M22" s="5">
        <v>-1276.1739304812834</v>
      </c>
      <c r="N22" s="5">
        <v>-1276.17393048128</v>
      </c>
    </row>
    <row r="23" spans="1:14" x14ac:dyDescent="0.25">
      <c r="A23" s="4" t="s">
        <v>3024</v>
      </c>
      <c r="B23" s="4" t="s">
        <v>3023</v>
      </c>
      <c r="C23" s="4" t="s">
        <v>2320</v>
      </c>
      <c r="D23" s="4" t="s">
        <v>242</v>
      </c>
      <c r="E23" s="4" t="s">
        <v>2420</v>
      </c>
      <c r="F23" s="4" t="s">
        <v>2419</v>
      </c>
      <c r="G23" s="4" t="s">
        <v>2263</v>
      </c>
      <c r="H23" s="9" t="s">
        <v>2263</v>
      </c>
      <c r="I23" s="4" t="s">
        <v>2317</v>
      </c>
      <c r="J23" s="4" t="s">
        <v>2316</v>
      </c>
      <c r="K23" s="4" t="s">
        <v>2263</v>
      </c>
      <c r="L23" s="10">
        <v>1</v>
      </c>
      <c r="M23" s="5">
        <v>-1276.1739304812834</v>
      </c>
      <c r="N23" s="5">
        <v>-1276.17393048128</v>
      </c>
    </row>
    <row r="24" spans="1:14" x14ac:dyDescent="0.25">
      <c r="A24" s="4" t="s">
        <v>2386</v>
      </c>
      <c r="B24" s="4" t="s">
        <v>2385</v>
      </c>
      <c r="C24" s="4" t="s">
        <v>2320</v>
      </c>
      <c r="D24" s="4" t="s">
        <v>242</v>
      </c>
      <c r="E24" s="4" t="s">
        <v>2420</v>
      </c>
      <c r="F24" s="4" t="s">
        <v>2419</v>
      </c>
      <c r="G24" s="4" t="s">
        <v>2263</v>
      </c>
      <c r="H24" s="9" t="s">
        <v>2263</v>
      </c>
      <c r="I24" s="4" t="s">
        <v>2317</v>
      </c>
      <c r="J24" s="4" t="s">
        <v>2316</v>
      </c>
      <c r="K24" s="4" t="s">
        <v>2263</v>
      </c>
      <c r="L24" s="10">
        <v>1</v>
      </c>
      <c r="M24" s="5">
        <v>-1276.1739304812834</v>
      </c>
      <c r="N24" s="5">
        <v>-1276.17393048128</v>
      </c>
    </row>
    <row r="25" spans="1:14" x14ac:dyDescent="0.25">
      <c r="A25" s="4" t="s">
        <v>2481</v>
      </c>
      <c r="B25" s="4" t="s">
        <v>3217</v>
      </c>
      <c r="C25" s="4" t="s">
        <v>2320</v>
      </c>
      <c r="D25" s="4" t="s">
        <v>242</v>
      </c>
      <c r="E25" s="4" t="s">
        <v>3162</v>
      </c>
      <c r="F25" s="4" t="s">
        <v>3161</v>
      </c>
      <c r="G25" s="4" t="s">
        <v>2263</v>
      </c>
      <c r="H25" s="9" t="s">
        <v>2263</v>
      </c>
      <c r="I25" s="4" t="s">
        <v>2317</v>
      </c>
      <c r="J25" s="4" t="s">
        <v>2316</v>
      </c>
      <c r="K25" s="4" t="s">
        <v>2263</v>
      </c>
      <c r="L25" s="10">
        <v>1</v>
      </c>
      <c r="M25" s="5">
        <v>70.974907834101387</v>
      </c>
      <c r="N25" s="5">
        <v>70.974907834099994</v>
      </c>
    </row>
    <row r="26" spans="1:14" x14ac:dyDescent="0.25">
      <c r="A26" s="4" t="s">
        <v>2344</v>
      </c>
      <c r="B26" s="4" t="s">
        <v>5154</v>
      </c>
      <c r="C26" s="4" t="s">
        <v>2267</v>
      </c>
      <c r="D26" s="4" t="s">
        <v>2266</v>
      </c>
      <c r="E26" s="4" t="s">
        <v>4425</v>
      </c>
      <c r="F26" s="4" t="s">
        <v>4424</v>
      </c>
      <c r="G26" s="4" t="s">
        <v>2263</v>
      </c>
      <c r="H26" s="9" t="s">
        <v>2263</v>
      </c>
      <c r="I26" s="4" t="s">
        <v>2263</v>
      </c>
      <c r="J26" s="4" t="s">
        <v>2263</v>
      </c>
      <c r="K26" s="4" t="s">
        <v>2462</v>
      </c>
      <c r="L26" s="10">
        <v>1</v>
      </c>
      <c r="M26" s="5">
        <v>214.08702970297031</v>
      </c>
      <c r="N26" s="5">
        <v>214.08702970297</v>
      </c>
    </row>
    <row r="27" spans="1:14" x14ac:dyDescent="0.25">
      <c r="A27" s="4" t="s">
        <v>3051</v>
      </c>
      <c r="B27" s="4" t="s">
        <v>3050</v>
      </c>
      <c r="C27" s="4" t="s">
        <v>2320</v>
      </c>
      <c r="D27" s="4" t="s">
        <v>242</v>
      </c>
      <c r="E27" s="4" t="s">
        <v>2705</v>
      </c>
      <c r="F27" s="4" t="s">
        <v>2704</v>
      </c>
      <c r="G27" s="4" t="s">
        <v>2263</v>
      </c>
      <c r="H27" s="9" t="s">
        <v>2263</v>
      </c>
      <c r="I27" s="4" t="s">
        <v>2317</v>
      </c>
      <c r="J27" s="4" t="s">
        <v>2316</v>
      </c>
      <c r="K27" s="4" t="s">
        <v>2263</v>
      </c>
      <c r="L27" s="10">
        <v>1</v>
      </c>
      <c r="M27" s="5">
        <v>223.90058038692462</v>
      </c>
      <c r="N27" s="5">
        <v>223.90058038692001</v>
      </c>
    </row>
    <row r="28" spans="1:14" x14ac:dyDescent="0.25">
      <c r="A28" s="4" t="s">
        <v>3051</v>
      </c>
      <c r="B28" s="4" t="s">
        <v>3050</v>
      </c>
      <c r="C28" s="4" t="s">
        <v>2320</v>
      </c>
      <c r="D28" s="4" t="s">
        <v>242</v>
      </c>
      <c r="E28" s="4" t="s">
        <v>3055</v>
      </c>
      <c r="F28" s="4" t="s">
        <v>3054</v>
      </c>
      <c r="G28" s="4" t="s">
        <v>2263</v>
      </c>
      <c r="H28" s="9" t="s">
        <v>2263</v>
      </c>
      <c r="I28" s="4" t="s">
        <v>2317</v>
      </c>
      <c r="J28" s="4" t="s">
        <v>2316</v>
      </c>
      <c r="K28" s="4" t="s">
        <v>2263</v>
      </c>
      <c r="L28" s="10">
        <v>1</v>
      </c>
      <c r="M28" s="5">
        <v>229.47137931034484</v>
      </c>
      <c r="N28" s="5">
        <v>229.47137931034001</v>
      </c>
    </row>
    <row r="29" spans="1:14" x14ac:dyDescent="0.25">
      <c r="A29" s="4" t="s">
        <v>2279</v>
      </c>
      <c r="B29" s="4" t="s">
        <v>4963</v>
      </c>
      <c r="C29" s="4" t="s">
        <v>2320</v>
      </c>
      <c r="D29" s="4" t="s">
        <v>242</v>
      </c>
      <c r="E29" s="4" t="s">
        <v>2715</v>
      </c>
      <c r="F29" s="4" t="s">
        <v>2714</v>
      </c>
      <c r="G29" s="4" t="s">
        <v>2263</v>
      </c>
      <c r="H29" s="9" t="s">
        <v>2263</v>
      </c>
      <c r="I29" s="4" t="s">
        <v>2317</v>
      </c>
      <c r="J29" s="4" t="s">
        <v>2316</v>
      </c>
      <c r="K29" s="4" t="s">
        <v>2263</v>
      </c>
      <c r="L29" s="10">
        <v>1</v>
      </c>
      <c r="M29" s="5">
        <v>285.17608450704222</v>
      </c>
      <c r="N29" s="5">
        <v>285.17608450704</v>
      </c>
    </row>
    <row r="30" spans="1:14" x14ac:dyDescent="0.25">
      <c r="A30" s="4" t="s">
        <v>2481</v>
      </c>
      <c r="B30" s="4" t="s">
        <v>3217</v>
      </c>
      <c r="C30" s="4" t="s">
        <v>2320</v>
      </c>
      <c r="D30" s="4" t="s">
        <v>242</v>
      </c>
      <c r="E30" s="4" t="s">
        <v>2715</v>
      </c>
      <c r="F30" s="4" t="s">
        <v>2714</v>
      </c>
      <c r="G30" s="4" t="s">
        <v>2263</v>
      </c>
      <c r="H30" s="9" t="s">
        <v>2263</v>
      </c>
      <c r="I30" s="4" t="s">
        <v>2317</v>
      </c>
      <c r="J30" s="4" t="s">
        <v>2316</v>
      </c>
      <c r="K30" s="4" t="s">
        <v>2263</v>
      </c>
      <c r="L30" s="10">
        <v>1</v>
      </c>
      <c r="M30" s="5">
        <v>285.17608450704222</v>
      </c>
      <c r="N30" s="5">
        <v>285.17608450704</v>
      </c>
    </row>
    <row r="31" spans="1:14" x14ac:dyDescent="0.25">
      <c r="A31" s="4" t="s">
        <v>3196</v>
      </c>
      <c r="B31" s="4" t="s">
        <v>3195</v>
      </c>
      <c r="C31" s="4" t="s">
        <v>2320</v>
      </c>
      <c r="D31" s="4" t="s">
        <v>242</v>
      </c>
      <c r="E31" s="4" t="s">
        <v>2715</v>
      </c>
      <c r="F31" s="4" t="s">
        <v>2714</v>
      </c>
      <c r="G31" s="4" t="s">
        <v>2263</v>
      </c>
      <c r="H31" s="9" t="s">
        <v>2263</v>
      </c>
      <c r="I31" s="4" t="s">
        <v>2317</v>
      </c>
      <c r="J31" s="4" t="s">
        <v>2316</v>
      </c>
      <c r="K31" s="4" t="s">
        <v>2263</v>
      </c>
      <c r="L31" s="10">
        <v>1</v>
      </c>
      <c r="M31" s="5">
        <v>285.17608450704222</v>
      </c>
      <c r="N31" s="5">
        <v>285.17608450704</v>
      </c>
    </row>
    <row r="32" spans="1:14" x14ac:dyDescent="0.25">
      <c r="A32" s="4" t="s">
        <v>3051</v>
      </c>
      <c r="B32" s="4" t="s">
        <v>3050</v>
      </c>
      <c r="C32" s="4" t="s">
        <v>2320</v>
      </c>
      <c r="D32" s="4" t="s">
        <v>242</v>
      </c>
      <c r="E32" s="4" t="s">
        <v>2715</v>
      </c>
      <c r="F32" s="4" t="s">
        <v>2714</v>
      </c>
      <c r="G32" s="4" t="s">
        <v>2263</v>
      </c>
      <c r="H32" s="9" t="s">
        <v>2263</v>
      </c>
      <c r="I32" s="4" t="s">
        <v>2317</v>
      </c>
      <c r="J32" s="4" t="s">
        <v>2316</v>
      </c>
      <c r="K32" s="4" t="s">
        <v>2263</v>
      </c>
      <c r="L32" s="10">
        <v>1</v>
      </c>
      <c r="M32" s="5">
        <v>285.17608450704222</v>
      </c>
      <c r="N32" s="5">
        <v>285.17608450704</v>
      </c>
    </row>
    <row r="33" spans="1:14" x14ac:dyDescent="0.25">
      <c r="A33" s="4" t="s">
        <v>3168</v>
      </c>
      <c r="B33" s="4" t="s">
        <v>3167</v>
      </c>
      <c r="C33" s="4" t="s">
        <v>2320</v>
      </c>
      <c r="D33" s="4" t="s">
        <v>242</v>
      </c>
      <c r="E33" s="4" t="s">
        <v>2370</v>
      </c>
      <c r="F33" s="4" t="s">
        <v>2369</v>
      </c>
      <c r="G33" s="4" t="s">
        <v>2263</v>
      </c>
      <c r="H33" s="9" t="s">
        <v>2263</v>
      </c>
      <c r="I33" s="4" t="s">
        <v>2317</v>
      </c>
      <c r="J33" s="4" t="s">
        <v>2316</v>
      </c>
      <c r="K33" s="4" t="s">
        <v>2263</v>
      </c>
      <c r="L33" s="10">
        <v>1</v>
      </c>
      <c r="M33" s="5">
        <v>303.54016676418956</v>
      </c>
      <c r="N33" s="5">
        <v>303.54016676419002</v>
      </c>
    </row>
    <row r="34" spans="1:14" x14ac:dyDescent="0.25">
      <c r="A34" s="4" t="s">
        <v>2269</v>
      </c>
      <c r="B34" s="4" t="s">
        <v>2268</v>
      </c>
      <c r="C34" s="4" t="s">
        <v>2267</v>
      </c>
      <c r="D34" s="4" t="s">
        <v>2266</v>
      </c>
      <c r="E34" s="4" t="s">
        <v>2265</v>
      </c>
      <c r="F34" s="4" t="s">
        <v>2264</v>
      </c>
      <c r="G34" s="4" t="s">
        <v>2263</v>
      </c>
      <c r="H34" s="9" t="s">
        <v>2263</v>
      </c>
      <c r="I34" s="4" t="s">
        <v>2263</v>
      </c>
      <c r="J34" s="4" t="s">
        <v>2263</v>
      </c>
      <c r="K34" s="4" t="s">
        <v>2262</v>
      </c>
      <c r="L34" s="10">
        <v>1</v>
      </c>
      <c r="M34" s="5">
        <v>330.70025188916878</v>
      </c>
      <c r="N34" s="5">
        <v>330.70025188916998</v>
      </c>
    </row>
    <row r="35" spans="1:14" x14ac:dyDescent="0.25">
      <c r="A35" s="4" t="s">
        <v>2344</v>
      </c>
      <c r="B35" s="4" t="s">
        <v>5154</v>
      </c>
      <c r="C35" s="4" t="s">
        <v>2344</v>
      </c>
      <c r="D35" s="4" t="s">
        <v>237</v>
      </c>
      <c r="E35" s="4" t="s">
        <v>4682</v>
      </c>
      <c r="F35" s="4" t="s">
        <v>4681</v>
      </c>
      <c r="G35" s="4" t="s">
        <v>2263</v>
      </c>
      <c r="H35" s="9" t="s">
        <v>2263</v>
      </c>
      <c r="I35" s="4" t="s">
        <v>2263</v>
      </c>
      <c r="J35" s="4" t="s">
        <v>2263</v>
      </c>
      <c r="K35" s="4" t="s">
        <v>4382</v>
      </c>
      <c r="L35" s="10">
        <v>1</v>
      </c>
      <c r="M35" s="5">
        <v>473.72245901639349</v>
      </c>
      <c r="N35" s="5">
        <v>473.72245901639002</v>
      </c>
    </row>
    <row r="36" spans="1:14" x14ac:dyDescent="0.25">
      <c r="A36" s="4" t="s">
        <v>3104</v>
      </c>
      <c r="B36" s="4" t="s">
        <v>3103</v>
      </c>
      <c r="C36" s="4" t="s">
        <v>2320</v>
      </c>
      <c r="D36" s="4" t="s">
        <v>242</v>
      </c>
      <c r="E36" s="4" t="s">
        <v>3057</v>
      </c>
      <c r="F36" s="4" t="s">
        <v>3056</v>
      </c>
      <c r="G36" s="4" t="s">
        <v>2263</v>
      </c>
      <c r="H36" s="9" t="s">
        <v>2263</v>
      </c>
      <c r="I36" s="4" t="s">
        <v>2317</v>
      </c>
      <c r="J36" s="4" t="s">
        <v>2316</v>
      </c>
      <c r="K36" s="4" t="s">
        <v>2263</v>
      </c>
      <c r="L36" s="10">
        <v>1</v>
      </c>
      <c r="M36" s="5">
        <v>574.28377990430624</v>
      </c>
      <c r="N36" s="5">
        <v>574.28377990430999</v>
      </c>
    </row>
    <row r="37" spans="1:14" x14ac:dyDescent="0.25">
      <c r="A37" s="4" t="s">
        <v>3051</v>
      </c>
      <c r="B37" s="4" t="s">
        <v>3050</v>
      </c>
      <c r="C37" s="4" t="s">
        <v>2320</v>
      </c>
      <c r="D37" s="4" t="s">
        <v>242</v>
      </c>
      <c r="E37" s="4" t="s">
        <v>3057</v>
      </c>
      <c r="F37" s="4" t="s">
        <v>3056</v>
      </c>
      <c r="G37" s="4" t="s">
        <v>2263</v>
      </c>
      <c r="H37" s="9" t="s">
        <v>2263</v>
      </c>
      <c r="I37" s="4" t="s">
        <v>2317</v>
      </c>
      <c r="J37" s="4" t="s">
        <v>2316</v>
      </c>
      <c r="K37" s="4" t="s">
        <v>2263</v>
      </c>
      <c r="L37" s="10">
        <v>1</v>
      </c>
      <c r="M37" s="5">
        <v>574.28377990430624</v>
      </c>
      <c r="N37" s="5">
        <v>574.28377990430999</v>
      </c>
    </row>
    <row r="38" spans="1:14" x14ac:dyDescent="0.25">
      <c r="A38" s="4" t="s">
        <v>2344</v>
      </c>
      <c r="B38" s="4" t="s">
        <v>5154</v>
      </c>
      <c r="C38" s="4" t="s">
        <v>2344</v>
      </c>
      <c r="D38" s="4" t="s">
        <v>237</v>
      </c>
      <c r="E38" s="4" t="s">
        <v>5146</v>
      </c>
      <c r="F38" s="4" t="s">
        <v>2618</v>
      </c>
      <c r="G38" s="4" t="s">
        <v>2263</v>
      </c>
      <c r="H38" s="9" t="s">
        <v>2263</v>
      </c>
      <c r="I38" s="4" t="s">
        <v>2263</v>
      </c>
      <c r="J38" s="4" t="s">
        <v>2263</v>
      </c>
      <c r="K38" s="4" t="s">
        <v>2617</v>
      </c>
      <c r="L38" s="10">
        <v>1</v>
      </c>
      <c r="M38" s="5">
        <v>592.11500000000001</v>
      </c>
      <c r="N38" s="5">
        <v>592.11500000000001</v>
      </c>
    </row>
    <row r="39" spans="1:14" x14ac:dyDescent="0.25">
      <c r="A39" s="4" t="s">
        <v>2320</v>
      </c>
      <c r="B39" s="4" t="s">
        <v>4967</v>
      </c>
      <c r="C39" s="4" t="s">
        <v>2344</v>
      </c>
      <c r="D39" s="4" t="s">
        <v>237</v>
      </c>
      <c r="E39" s="4" t="s">
        <v>5146</v>
      </c>
      <c r="F39" s="4" t="s">
        <v>2618</v>
      </c>
      <c r="G39" s="4" t="s">
        <v>2263</v>
      </c>
      <c r="H39" s="9" t="s">
        <v>2263</v>
      </c>
      <c r="I39" s="4" t="s">
        <v>2263</v>
      </c>
      <c r="J39" s="4" t="s">
        <v>2263</v>
      </c>
      <c r="K39" s="4" t="s">
        <v>2617</v>
      </c>
      <c r="L39" s="10">
        <v>1</v>
      </c>
      <c r="M39" s="5">
        <v>592.11500000000001</v>
      </c>
      <c r="N39" s="5">
        <v>592.11500000000001</v>
      </c>
    </row>
    <row r="40" spans="1:14" x14ac:dyDescent="0.25">
      <c r="A40" s="4" t="s">
        <v>2320</v>
      </c>
      <c r="B40" s="4" t="s">
        <v>4967</v>
      </c>
      <c r="C40" s="4" t="s">
        <v>2344</v>
      </c>
      <c r="D40" s="4" t="s">
        <v>237</v>
      </c>
      <c r="E40" s="4" t="s">
        <v>4822</v>
      </c>
      <c r="F40" s="4" t="s">
        <v>2349</v>
      </c>
      <c r="G40" s="4" t="s">
        <v>2263</v>
      </c>
      <c r="H40" s="9" t="s">
        <v>2263</v>
      </c>
      <c r="I40" s="4" t="s">
        <v>2263</v>
      </c>
      <c r="J40" s="4" t="s">
        <v>2263</v>
      </c>
      <c r="K40" s="4" t="s">
        <v>2348</v>
      </c>
      <c r="L40" s="10">
        <v>1</v>
      </c>
      <c r="M40" s="5">
        <v>612.47447105788433</v>
      </c>
      <c r="N40" s="5">
        <v>612.47447105788001</v>
      </c>
    </row>
    <row r="41" spans="1:14" x14ac:dyDescent="0.25">
      <c r="A41" s="4" t="s">
        <v>2279</v>
      </c>
      <c r="B41" s="4" t="s">
        <v>4963</v>
      </c>
      <c r="C41" s="4" t="s">
        <v>2344</v>
      </c>
      <c r="D41" s="4" t="s">
        <v>237</v>
      </c>
      <c r="E41" s="4" t="s">
        <v>3068</v>
      </c>
      <c r="F41" s="4" t="s">
        <v>3067</v>
      </c>
      <c r="G41" s="4" t="s">
        <v>2263</v>
      </c>
      <c r="H41" s="9" t="s">
        <v>2263</v>
      </c>
      <c r="I41" s="4" t="s">
        <v>2263</v>
      </c>
      <c r="J41" s="4" t="s">
        <v>2263</v>
      </c>
      <c r="K41" s="4" t="s">
        <v>2619</v>
      </c>
      <c r="L41" s="10">
        <v>1</v>
      </c>
      <c r="M41" s="5">
        <v>654.54545454545462</v>
      </c>
      <c r="N41" s="5">
        <v>654.54545454544996</v>
      </c>
    </row>
    <row r="42" spans="1:14" x14ac:dyDescent="0.25">
      <c r="A42" s="4" t="s">
        <v>3104</v>
      </c>
      <c r="B42" s="4" t="s">
        <v>3103</v>
      </c>
      <c r="C42" s="4" t="s">
        <v>2320</v>
      </c>
      <c r="D42" s="4" t="s">
        <v>242</v>
      </c>
      <c r="E42" s="4" t="s">
        <v>2725</v>
      </c>
      <c r="F42" s="4" t="s">
        <v>2724</v>
      </c>
      <c r="G42" s="4" t="s">
        <v>2263</v>
      </c>
      <c r="H42" s="9" t="s">
        <v>2263</v>
      </c>
      <c r="I42" s="4" t="s">
        <v>2317</v>
      </c>
      <c r="J42" s="4" t="s">
        <v>2316</v>
      </c>
      <c r="K42" s="4" t="s">
        <v>2263</v>
      </c>
      <c r="L42" s="10">
        <v>1</v>
      </c>
      <c r="M42" s="5">
        <v>669.47519999999997</v>
      </c>
      <c r="N42" s="5">
        <v>669.47519999999997</v>
      </c>
    </row>
    <row r="43" spans="1:14" x14ac:dyDescent="0.25">
      <c r="A43" s="4" t="s">
        <v>2673</v>
      </c>
      <c r="B43" s="4" t="s">
        <v>2672</v>
      </c>
      <c r="C43" s="4" t="s">
        <v>2320</v>
      </c>
      <c r="D43" s="4" t="s">
        <v>242</v>
      </c>
      <c r="E43" s="4" t="s">
        <v>2725</v>
      </c>
      <c r="F43" s="4" t="s">
        <v>2724</v>
      </c>
      <c r="G43" s="4" t="s">
        <v>2263</v>
      </c>
      <c r="H43" s="9" t="s">
        <v>2263</v>
      </c>
      <c r="I43" s="4" t="s">
        <v>2317</v>
      </c>
      <c r="J43" s="4" t="s">
        <v>2316</v>
      </c>
      <c r="K43" s="4" t="s">
        <v>2263</v>
      </c>
      <c r="L43" s="10">
        <v>1</v>
      </c>
      <c r="M43" s="5">
        <v>669.47519999999997</v>
      </c>
      <c r="N43" s="5">
        <v>669.47519999999997</v>
      </c>
    </row>
    <row r="44" spans="1:14" x14ac:dyDescent="0.25">
      <c r="A44" s="4" t="s">
        <v>2344</v>
      </c>
      <c r="B44" s="4" t="s">
        <v>5154</v>
      </c>
      <c r="C44" s="4" t="s">
        <v>2320</v>
      </c>
      <c r="D44" s="4" t="s">
        <v>242</v>
      </c>
      <c r="E44" s="4" t="s">
        <v>5318</v>
      </c>
      <c r="F44" s="4" t="s">
        <v>5317</v>
      </c>
      <c r="G44" s="4" t="s">
        <v>2263</v>
      </c>
      <c r="H44" s="9" t="s">
        <v>2263</v>
      </c>
      <c r="I44" s="4" t="s">
        <v>2317</v>
      </c>
      <c r="J44" s="4" t="s">
        <v>2316</v>
      </c>
      <c r="K44" s="4" t="s">
        <v>2263</v>
      </c>
      <c r="L44" s="10">
        <v>1</v>
      </c>
      <c r="M44" s="5">
        <v>684</v>
      </c>
      <c r="N44" s="5">
        <v>684</v>
      </c>
    </row>
    <row r="45" spans="1:14" x14ac:dyDescent="0.25">
      <c r="A45" s="4" t="s">
        <v>2269</v>
      </c>
      <c r="B45" s="4" t="s">
        <v>2268</v>
      </c>
      <c r="C45" s="4" t="s">
        <v>2344</v>
      </c>
      <c r="D45" s="4" t="s">
        <v>237</v>
      </c>
      <c r="E45" s="4" t="s">
        <v>2350</v>
      </c>
      <c r="F45" s="4" t="s">
        <v>2349</v>
      </c>
      <c r="G45" s="4" t="s">
        <v>2263</v>
      </c>
      <c r="H45" s="9" t="s">
        <v>2263</v>
      </c>
      <c r="I45" s="4" t="s">
        <v>2263</v>
      </c>
      <c r="J45" s="4" t="s">
        <v>2263</v>
      </c>
      <c r="K45" s="4" t="s">
        <v>2348</v>
      </c>
      <c r="L45" s="10">
        <v>1</v>
      </c>
      <c r="M45" s="5">
        <v>709.34430088495583</v>
      </c>
      <c r="N45" s="5">
        <v>709.34430088496003</v>
      </c>
    </row>
    <row r="46" spans="1:14" x14ac:dyDescent="0.25">
      <c r="A46" s="4" t="s">
        <v>2344</v>
      </c>
      <c r="B46" s="4" t="s">
        <v>5154</v>
      </c>
      <c r="C46" s="4" t="s">
        <v>2344</v>
      </c>
      <c r="D46" s="4" t="s">
        <v>237</v>
      </c>
      <c r="E46" s="4" t="s">
        <v>4751</v>
      </c>
      <c r="F46" s="4" t="s">
        <v>4750</v>
      </c>
      <c r="G46" s="4" t="s">
        <v>2263</v>
      </c>
      <c r="H46" s="9" t="s">
        <v>2263</v>
      </c>
      <c r="I46" s="4" t="s">
        <v>2263</v>
      </c>
      <c r="J46" s="4" t="s">
        <v>2263</v>
      </c>
      <c r="K46" s="4" t="s">
        <v>4749</v>
      </c>
      <c r="L46" s="10">
        <v>1</v>
      </c>
      <c r="M46" s="5">
        <v>755.54084507042251</v>
      </c>
      <c r="N46" s="5">
        <v>755.54084507042</v>
      </c>
    </row>
    <row r="47" spans="1:14" x14ac:dyDescent="0.25">
      <c r="A47" s="4" t="s">
        <v>2320</v>
      </c>
      <c r="B47" s="4" t="s">
        <v>4967</v>
      </c>
      <c r="C47" s="4" t="s">
        <v>2320</v>
      </c>
      <c r="D47" s="4" t="s">
        <v>242</v>
      </c>
      <c r="E47" s="4" t="s">
        <v>4109</v>
      </c>
      <c r="F47" s="4" t="s">
        <v>4108</v>
      </c>
      <c r="G47" s="4" t="s">
        <v>2263</v>
      </c>
      <c r="H47" s="9" t="s">
        <v>2263</v>
      </c>
      <c r="I47" s="4" t="s">
        <v>2317</v>
      </c>
      <c r="J47" s="4" t="s">
        <v>2316</v>
      </c>
      <c r="K47" s="4" t="s">
        <v>2263</v>
      </c>
      <c r="L47" s="10">
        <v>1</v>
      </c>
      <c r="M47" s="5">
        <v>818.82290598290604</v>
      </c>
      <c r="N47" s="5">
        <v>818.82290598291002</v>
      </c>
    </row>
    <row r="48" spans="1:14" x14ac:dyDescent="0.25">
      <c r="A48" s="4" t="s">
        <v>3801</v>
      </c>
      <c r="B48" s="4" t="s">
        <v>4965</v>
      </c>
      <c r="C48" s="4" t="s">
        <v>2320</v>
      </c>
      <c r="D48" s="4" t="s">
        <v>242</v>
      </c>
      <c r="E48" s="4" t="s">
        <v>2416</v>
      </c>
      <c r="F48" s="4" t="s">
        <v>2415</v>
      </c>
      <c r="G48" s="4" t="s">
        <v>2263</v>
      </c>
      <c r="H48" s="9" t="s">
        <v>2263</v>
      </c>
      <c r="I48" s="4" t="s">
        <v>2317</v>
      </c>
      <c r="J48" s="4" t="s">
        <v>2316</v>
      </c>
      <c r="K48" s="4" t="s">
        <v>2263</v>
      </c>
      <c r="L48" s="10">
        <v>1</v>
      </c>
      <c r="M48" s="5">
        <v>841.07974358974366</v>
      </c>
      <c r="N48" s="5">
        <v>841.07974358974002</v>
      </c>
    </row>
    <row r="49" spans="1:14" x14ac:dyDescent="0.25">
      <c r="A49" s="4" t="s">
        <v>2279</v>
      </c>
      <c r="B49" s="4" t="s">
        <v>4963</v>
      </c>
      <c r="C49" s="4" t="s">
        <v>2320</v>
      </c>
      <c r="D49" s="4" t="s">
        <v>242</v>
      </c>
      <c r="E49" s="4" t="s">
        <v>2416</v>
      </c>
      <c r="F49" s="4" t="s">
        <v>2415</v>
      </c>
      <c r="G49" s="4" t="s">
        <v>2263</v>
      </c>
      <c r="H49" s="9" t="s">
        <v>2263</v>
      </c>
      <c r="I49" s="4" t="s">
        <v>2317</v>
      </c>
      <c r="J49" s="4" t="s">
        <v>2316</v>
      </c>
      <c r="K49" s="4" t="s">
        <v>2263</v>
      </c>
      <c r="L49" s="10">
        <v>1</v>
      </c>
      <c r="M49" s="5">
        <v>841.07974358974366</v>
      </c>
      <c r="N49" s="5">
        <v>841.07974358974002</v>
      </c>
    </row>
    <row r="50" spans="1:14" x14ac:dyDescent="0.25">
      <c r="A50" s="4" t="s">
        <v>2481</v>
      </c>
      <c r="B50" s="4" t="s">
        <v>3217</v>
      </c>
      <c r="C50" s="4" t="s">
        <v>2320</v>
      </c>
      <c r="D50" s="4" t="s">
        <v>242</v>
      </c>
      <c r="E50" s="4" t="s">
        <v>2416</v>
      </c>
      <c r="F50" s="4" t="s">
        <v>2415</v>
      </c>
      <c r="G50" s="4" t="s">
        <v>2263</v>
      </c>
      <c r="H50" s="9" t="s">
        <v>2263</v>
      </c>
      <c r="I50" s="4" t="s">
        <v>2317</v>
      </c>
      <c r="J50" s="4" t="s">
        <v>2316</v>
      </c>
      <c r="K50" s="4" t="s">
        <v>2263</v>
      </c>
      <c r="L50" s="10">
        <v>1</v>
      </c>
      <c r="M50" s="5">
        <v>841.07974358974366</v>
      </c>
      <c r="N50" s="5">
        <v>841.07974358974002</v>
      </c>
    </row>
    <row r="51" spans="1:14" x14ac:dyDescent="0.25">
      <c r="A51" s="4" t="s">
        <v>3196</v>
      </c>
      <c r="B51" s="4" t="s">
        <v>3195</v>
      </c>
      <c r="C51" s="4" t="s">
        <v>2320</v>
      </c>
      <c r="D51" s="4" t="s">
        <v>242</v>
      </c>
      <c r="E51" s="4" t="s">
        <v>2416</v>
      </c>
      <c r="F51" s="4" t="s">
        <v>2415</v>
      </c>
      <c r="G51" s="4" t="s">
        <v>2263</v>
      </c>
      <c r="H51" s="9" t="s">
        <v>2263</v>
      </c>
      <c r="I51" s="4" t="s">
        <v>2317</v>
      </c>
      <c r="J51" s="4" t="s">
        <v>2316</v>
      </c>
      <c r="K51" s="4" t="s">
        <v>2263</v>
      </c>
      <c r="L51" s="10">
        <v>1</v>
      </c>
      <c r="M51" s="5">
        <v>841.07974358974366</v>
      </c>
      <c r="N51" s="5">
        <v>841.07974358974002</v>
      </c>
    </row>
    <row r="52" spans="1:14" x14ac:dyDescent="0.25">
      <c r="A52" s="4" t="s">
        <v>2384</v>
      </c>
      <c r="B52" s="4" t="s">
        <v>3187</v>
      </c>
      <c r="C52" s="4" t="s">
        <v>2320</v>
      </c>
      <c r="D52" s="4" t="s">
        <v>242</v>
      </c>
      <c r="E52" s="4" t="s">
        <v>2416</v>
      </c>
      <c r="F52" s="4" t="s">
        <v>2415</v>
      </c>
      <c r="G52" s="4" t="s">
        <v>2263</v>
      </c>
      <c r="H52" s="9" t="s">
        <v>2263</v>
      </c>
      <c r="I52" s="4" t="s">
        <v>2317</v>
      </c>
      <c r="J52" s="4" t="s">
        <v>2316</v>
      </c>
      <c r="K52" s="4" t="s">
        <v>2263</v>
      </c>
      <c r="L52" s="10">
        <v>1</v>
      </c>
      <c r="M52" s="5">
        <v>841.07974358974366</v>
      </c>
      <c r="N52" s="5">
        <v>841.07974358974002</v>
      </c>
    </row>
    <row r="53" spans="1:14" x14ac:dyDescent="0.25">
      <c r="A53" s="4" t="s">
        <v>3157</v>
      </c>
      <c r="B53" s="4" t="s">
        <v>3156</v>
      </c>
      <c r="C53" s="4" t="s">
        <v>2320</v>
      </c>
      <c r="D53" s="4" t="s">
        <v>242</v>
      </c>
      <c r="E53" s="4" t="s">
        <v>2416</v>
      </c>
      <c r="F53" s="4" t="s">
        <v>2415</v>
      </c>
      <c r="G53" s="4" t="s">
        <v>2263</v>
      </c>
      <c r="H53" s="9" t="s">
        <v>2263</v>
      </c>
      <c r="I53" s="4" t="s">
        <v>2317</v>
      </c>
      <c r="J53" s="4" t="s">
        <v>2316</v>
      </c>
      <c r="K53" s="4" t="s">
        <v>2263</v>
      </c>
      <c r="L53" s="10">
        <v>1</v>
      </c>
      <c r="M53" s="5">
        <v>841.07974358974366</v>
      </c>
      <c r="N53" s="5">
        <v>841.07974358974002</v>
      </c>
    </row>
    <row r="54" spans="1:14" x14ac:dyDescent="0.25">
      <c r="A54" s="4" t="s">
        <v>3104</v>
      </c>
      <c r="B54" s="4" t="s">
        <v>3103</v>
      </c>
      <c r="C54" s="4" t="s">
        <v>2320</v>
      </c>
      <c r="D54" s="4" t="s">
        <v>242</v>
      </c>
      <c r="E54" s="4" t="s">
        <v>2416</v>
      </c>
      <c r="F54" s="4" t="s">
        <v>2415</v>
      </c>
      <c r="G54" s="4" t="s">
        <v>2263</v>
      </c>
      <c r="H54" s="9" t="s">
        <v>2263</v>
      </c>
      <c r="I54" s="4" t="s">
        <v>2317</v>
      </c>
      <c r="J54" s="4" t="s">
        <v>2316</v>
      </c>
      <c r="K54" s="4" t="s">
        <v>2263</v>
      </c>
      <c r="L54" s="10">
        <v>1</v>
      </c>
      <c r="M54" s="5">
        <v>841.07974358974366</v>
      </c>
      <c r="N54" s="5">
        <v>841.07974358974002</v>
      </c>
    </row>
    <row r="55" spans="1:14" x14ac:dyDescent="0.25">
      <c r="A55" s="4" t="s">
        <v>3051</v>
      </c>
      <c r="B55" s="4" t="s">
        <v>3050</v>
      </c>
      <c r="C55" s="4" t="s">
        <v>2320</v>
      </c>
      <c r="D55" s="4" t="s">
        <v>242</v>
      </c>
      <c r="E55" s="4" t="s">
        <v>2416</v>
      </c>
      <c r="F55" s="4" t="s">
        <v>2415</v>
      </c>
      <c r="G55" s="4" t="s">
        <v>2263</v>
      </c>
      <c r="H55" s="9" t="s">
        <v>2263</v>
      </c>
      <c r="I55" s="4" t="s">
        <v>2317</v>
      </c>
      <c r="J55" s="4" t="s">
        <v>2316</v>
      </c>
      <c r="K55" s="4" t="s">
        <v>2263</v>
      </c>
      <c r="L55" s="10">
        <v>1</v>
      </c>
      <c r="M55" s="5">
        <v>841.07974358974366</v>
      </c>
      <c r="N55" s="5">
        <v>841.07974358974002</v>
      </c>
    </row>
    <row r="56" spans="1:14" x14ac:dyDescent="0.25">
      <c r="A56" s="4" t="s">
        <v>3024</v>
      </c>
      <c r="B56" s="4" t="s">
        <v>3023</v>
      </c>
      <c r="C56" s="4" t="s">
        <v>2320</v>
      </c>
      <c r="D56" s="4" t="s">
        <v>242</v>
      </c>
      <c r="E56" s="4" t="s">
        <v>2416</v>
      </c>
      <c r="F56" s="4" t="s">
        <v>2415</v>
      </c>
      <c r="G56" s="4" t="s">
        <v>2263</v>
      </c>
      <c r="H56" s="9" t="s">
        <v>2263</v>
      </c>
      <c r="I56" s="4" t="s">
        <v>2317</v>
      </c>
      <c r="J56" s="4" t="s">
        <v>2316</v>
      </c>
      <c r="K56" s="4" t="s">
        <v>2263</v>
      </c>
      <c r="L56" s="10">
        <v>1</v>
      </c>
      <c r="M56" s="5">
        <v>841.07974358974366</v>
      </c>
      <c r="N56" s="5">
        <v>841.07974358974002</v>
      </c>
    </row>
    <row r="57" spans="1:14" x14ac:dyDescent="0.25">
      <c r="A57" s="4" t="s">
        <v>2673</v>
      </c>
      <c r="B57" s="4" t="s">
        <v>2672</v>
      </c>
      <c r="C57" s="4" t="s">
        <v>2320</v>
      </c>
      <c r="D57" s="4" t="s">
        <v>242</v>
      </c>
      <c r="E57" s="4" t="s">
        <v>2416</v>
      </c>
      <c r="F57" s="4" t="s">
        <v>2415</v>
      </c>
      <c r="G57" s="4" t="s">
        <v>2263</v>
      </c>
      <c r="H57" s="9" t="s">
        <v>2263</v>
      </c>
      <c r="I57" s="4" t="s">
        <v>2317</v>
      </c>
      <c r="J57" s="4" t="s">
        <v>2316</v>
      </c>
      <c r="K57" s="4" t="s">
        <v>2263</v>
      </c>
      <c r="L57" s="10">
        <v>1</v>
      </c>
      <c r="M57" s="5">
        <v>841.07974358974366</v>
      </c>
      <c r="N57" s="5">
        <v>841.07974358974002</v>
      </c>
    </row>
    <row r="58" spans="1:14" x14ac:dyDescent="0.25">
      <c r="A58" s="4" t="s">
        <v>2386</v>
      </c>
      <c r="B58" s="4" t="s">
        <v>2385</v>
      </c>
      <c r="C58" s="4" t="s">
        <v>2320</v>
      </c>
      <c r="D58" s="4" t="s">
        <v>242</v>
      </c>
      <c r="E58" s="4" t="s">
        <v>2416</v>
      </c>
      <c r="F58" s="4" t="s">
        <v>2415</v>
      </c>
      <c r="G58" s="4" t="s">
        <v>2263</v>
      </c>
      <c r="H58" s="9" t="s">
        <v>2263</v>
      </c>
      <c r="I58" s="4" t="s">
        <v>2317</v>
      </c>
      <c r="J58" s="4" t="s">
        <v>2316</v>
      </c>
      <c r="K58" s="4" t="s">
        <v>2263</v>
      </c>
      <c r="L58" s="10">
        <v>1</v>
      </c>
      <c r="M58" s="5">
        <v>841.07974358974366</v>
      </c>
      <c r="N58" s="5">
        <v>841.07974358974002</v>
      </c>
    </row>
    <row r="59" spans="1:14" x14ac:dyDescent="0.25">
      <c r="A59" s="4" t="s">
        <v>2344</v>
      </c>
      <c r="B59" s="4" t="s">
        <v>5154</v>
      </c>
      <c r="C59" s="4" t="s">
        <v>2344</v>
      </c>
      <c r="D59" s="4" t="s">
        <v>237</v>
      </c>
      <c r="E59" s="4" t="s">
        <v>5409</v>
      </c>
      <c r="F59" s="4" t="s">
        <v>2626</v>
      </c>
      <c r="G59" s="4" t="s">
        <v>2263</v>
      </c>
      <c r="H59" s="9" t="s">
        <v>2263</v>
      </c>
      <c r="I59" s="4" t="s">
        <v>2263</v>
      </c>
      <c r="J59" s="4" t="s">
        <v>2263</v>
      </c>
      <c r="K59" s="4" t="s">
        <v>2495</v>
      </c>
      <c r="L59" s="10">
        <v>1</v>
      </c>
      <c r="M59" s="5">
        <v>843.59</v>
      </c>
      <c r="N59" s="5">
        <v>843.59</v>
      </c>
    </row>
    <row r="60" spans="1:14" x14ac:dyDescent="0.25">
      <c r="A60" s="4" t="s">
        <v>2481</v>
      </c>
      <c r="B60" s="4" t="s">
        <v>3217</v>
      </c>
      <c r="C60" s="4" t="s">
        <v>2320</v>
      </c>
      <c r="D60" s="4" t="s">
        <v>242</v>
      </c>
      <c r="E60" s="4" t="s">
        <v>2719</v>
      </c>
      <c r="F60" s="4" t="s">
        <v>2718</v>
      </c>
      <c r="G60" s="4" t="s">
        <v>2263</v>
      </c>
      <c r="H60" s="9" t="s">
        <v>2263</v>
      </c>
      <c r="I60" s="4" t="s">
        <v>2317</v>
      </c>
      <c r="J60" s="4" t="s">
        <v>2316</v>
      </c>
      <c r="K60" s="4" t="s">
        <v>2263</v>
      </c>
      <c r="L60" s="10">
        <v>1</v>
      </c>
      <c r="M60" s="5">
        <v>863.47163555555562</v>
      </c>
      <c r="N60" s="5">
        <v>863.47163555556006</v>
      </c>
    </row>
    <row r="61" spans="1:14" x14ac:dyDescent="0.25">
      <c r="A61" s="4" t="s">
        <v>2481</v>
      </c>
      <c r="B61" s="4" t="s">
        <v>3217</v>
      </c>
      <c r="C61" s="4" t="s">
        <v>2320</v>
      </c>
      <c r="D61" s="4" t="s">
        <v>242</v>
      </c>
      <c r="E61" s="4" t="s">
        <v>3059</v>
      </c>
      <c r="F61" s="4" t="s">
        <v>3058</v>
      </c>
      <c r="G61" s="4" t="s">
        <v>2263</v>
      </c>
      <c r="H61" s="9" t="s">
        <v>2263</v>
      </c>
      <c r="I61" s="4" t="s">
        <v>2317</v>
      </c>
      <c r="J61" s="4" t="s">
        <v>2316</v>
      </c>
      <c r="K61" s="4" t="s">
        <v>2263</v>
      </c>
      <c r="L61" s="10">
        <v>1</v>
      </c>
      <c r="M61" s="5">
        <v>868</v>
      </c>
      <c r="N61" s="5">
        <v>868</v>
      </c>
    </row>
    <row r="62" spans="1:14" x14ac:dyDescent="0.25">
      <c r="A62" s="4" t="s">
        <v>3157</v>
      </c>
      <c r="B62" s="4" t="s">
        <v>3156</v>
      </c>
      <c r="C62" s="4" t="s">
        <v>2320</v>
      </c>
      <c r="D62" s="4" t="s">
        <v>242</v>
      </c>
      <c r="E62" s="4" t="s">
        <v>3059</v>
      </c>
      <c r="F62" s="4" t="s">
        <v>3058</v>
      </c>
      <c r="G62" s="4" t="s">
        <v>2263</v>
      </c>
      <c r="H62" s="9" t="s">
        <v>2263</v>
      </c>
      <c r="I62" s="4" t="s">
        <v>2317</v>
      </c>
      <c r="J62" s="4" t="s">
        <v>2316</v>
      </c>
      <c r="K62" s="4" t="s">
        <v>2263</v>
      </c>
      <c r="L62" s="10">
        <v>1</v>
      </c>
      <c r="M62" s="5">
        <v>868</v>
      </c>
      <c r="N62" s="5">
        <v>868</v>
      </c>
    </row>
    <row r="63" spans="1:14" x14ac:dyDescent="0.25">
      <c r="A63" s="4" t="s">
        <v>3051</v>
      </c>
      <c r="B63" s="4" t="s">
        <v>3050</v>
      </c>
      <c r="C63" s="4" t="s">
        <v>2320</v>
      </c>
      <c r="D63" s="4" t="s">
        <v>242</v>
      </c>
      <c r="E63" s="4" t="s">
        <v>3059</v>
      </c>
      <c r="F63" s="4" t="s">
        <v>3058</v>
      </c>
      <c r="G63" s="4" t="s">
        <v>2263</v>
      </c>
      <c r="H63" s="9" t="s">
        <v>2263</v>
      </c>
      <c r="I63" s="4" t="s">
        <v>2317</v>
      </c>
      <c r="J63" s="4" t="s">
        <v>2316</v>
      </c>
      <c r="K63" s="4" t="s">
        <v>2263</v>
      </c>
      <c r="L63" s="10">
        <v>1</v>
      </c>
      <c r="M63" s="5">
        <v>868</v>
      </c>
      <c r="N63" s="5">
        <v>868</v>
      </c>
    </row>
    <row r="64" spans="1:14" x14ac:dyDescent="0.25">
      <c r="A64" s="4" t="s">
        <v>3024</v>
      </c>
      <c r="B64" s="4" t="s">
        <v>3023</v>
      </c>
      <c r="C64" s="4" t="s">
        <v>2344</v>
      </c>
      <c r="D64" s="4" t="s">
        <v>237</v>
      </c>
      <c r="E64" s="4" t="s">
        <v>2450</v>
      </c>
      <c r="F64" s="4" t="s">
        <v>2449</v>
      </c>
      <c r="G64" s="4" t="s">
        <v>2263</v>
      </c>
      <c r="H64" s="9" t="s">
        <v>2263</v>
      </c>
      <c r="I64" s="4" t="s">
        <v>2263</v>
      </c>
      <c r="J64" s="4" t="s">
        <v>2263</v>
      </c>
      <c r="K64" s="4" t="s">
        <v>2448</v>
      </c>
      <c r="L64" s="10">
        <v>1</v>
      </c>
      <c r="M64" s="5">
        <v>868.85911602209944</v>
      </c>
      <c r="N64" s="5">
        <v>868.85911602210001</v>
      </c>
    </row>
    <row r="65" spans="1:14" x14ac:dyDescent="0.25">
      <c r="A65" s="4" t="s">
        <v>3070</v>
      </c>
      <c r="B65" s="4" t="s">
        <v>3216</v>
      </c>
      <c r="C65" s="4" t="s">
        <v>2320</v>
      </c>
      <c r="D65" s="4" t="s">
        <v>242</v>
      </c>
      <c r="E65" s="4" t="s">
        <v>2402</v>
      </c>
      <c r="F65" s="4" t="s">
        <v>2401</v>
      </c>
      <c r="G65" s="4" t="s">
        <v>2263</v>
      </c>
      <c r="H65" s="9" t="s">
        <v>2263</v>
      </c>
      <c r="I65" s="4" t="s">
        <v>2317</v>
      </c>
      <c r="J65" s="4" t="s">
        <v>2316</v>
      </c>
      <c r="K65" s="4" t="s">
        <v>2263</v>
      </c>
      <c r="L65" s="10">
        <v>1</v>
      </c>
      <c r="M65" s="5">
        <v>1015.8373846153846</v>
      </c>
      <c r="N65" s="5">
        <v>1015.83738461538</v>
      </c>
    </row>
    <row r="66" spans="1:14" x14ac:dyDescent="0.25">
      <c r="A66" s="4" t="s">
        <v>3168</v>
      </c>
      <c r="B66" s="4" t="s">
        <v>3167</v>
      </c>
      <c r="C66" s="4" t="s">
        <v>2320</v>
      </c>
      <c r="D66" s="4" t="s">
        <v>242</v>
      </c>
      <c r="E66" s="4" t="s">
        <v>2402</v>
      </c>
      <c r="F66" s="4" t="s">
        <v>2401</v>
      </c>
      <c r="G66" s="4" t="s">
        <v>2263</v>
      </c>
      <c r="H66" s="9" t="s">
        <v>2263</v>
      </c>
      <c r="I66" s="4" t="s">
        <v>2317</v>
      </c>
      <c r="J66" s="4" t="s">
        <v>2316</v>
      </c>
      <c r="K66" s="4" t="s">
        <v>2263</v>
      </c>
      <c r="L66" s="10">
        <v>1</v>
      </c>
      <c r="M66" s="5">
        <v>1015.8373846153846</v>
      </c>
      <c r="N66" s="5">
        <v>1015.83738461538</v>
      </c>
    </row>
    <row r="67" spans="1:14" x14ac:dyDescent="0.25">
      <c r="A67" s="4" t="s">
        <v>3168</v>
      </c>
      <c r="B67" s="4" t="s">
        <v>3167</v>
      </c>
      <c r="C67" s="4" t="s">
        <v>2320</v>
      </c>
      <c r="D67" s="4" t="s">
        <v>242</v>
      </c>
      <c r="E67" s="4" t="s">
        <v>2739</v>
      </c>
      <c r="F67" s="4" t="s">
        <v>2738</v>
      </c>
      <c r="G67" s="4" t="s">
        <v>2263</v>
      </c>
      <c r="H67" s="9" t="s">
        <v>2263</v>
      </c>
      <c r="I67" s="4" t="s">
        <v>2317</v>
      </c>
      <c r="J67" s="4" t="s">
        <v>2316</v>
      </c>
      <c r="K67" s="4" t="s">
        <v>2263</v>
      </c>
      <c r="L67" s="10">
        <v>1</v>
      </c>
      <c r="M67" s="5">
        <v>1018.0292795883362</v>
      </c>
      <c r="N67" s="5">
        <v>1018.02927958834</v>
      </c>
    </row>
    <row r="68" spans="1:14" x14ac:dyDescent="0.25">
      <c r="A68" s="4" t="s">
        <v>3801</v>
      </c>
      <c r="B68" s="4" t="s">
        <v>4965</v>
      </c>
      <c r="C68" s="4" t="s">
        <v>2320</v>
      </c>
      <c r="D68" s="4" t="s">
        <v>242</v>
      </c>
      <c r="E68" s="4" t="s">
        <v>2388</v>
      </c>
      <c r="F68" s="4" t="s">
        <v>2387</v>
      </c>
      <c r="G68" s="4" t="s">
        <v>2263</v>
      </c>
      <c r="H68" s="9" t="s">
        <v>2263</v>
      </c>
      <c r="I68" s="4" t="s">
        <v>2317</v>
      </c>
      <c r="J68" s="4" t="s">
        <v>2316</v>
      </c>
      <c r="K68" s="4" t="s">
        <v>2263</v>
      </c>
      <c r="L68" s="10">
        <v>1</v>
      </c>
      <c r="M68" s="5">
        <v>1061.3860465116279</v>
      </c>
      <c r="N68" s="5">
        <v>1061.38604651163</v>
      </c>
    </row>
    <row r="69" spans="1:14" x14ac:dyDescent="0.25">
      <c r="A69" s="4" t="s">
        <v>2279</v>
      </c>
      <c r="B69" s="4" t="s">
        <v>4963</v>
      </c>
      <c r="C69" s="4" t="s">
        <v>2320</v>
      </c>
      <c r="D69" s="4" t="s">
        <v>242</v>
      </c>
      <c r="E69" s="4" t="s">
        <v>2388</v>
      </c>
      <c r="F69" s="4" t="s">
        <v>2387</v>
      </c>
      <c r="G69" s="4" t="s">
        <v>2263</v>
      </c>
      <c r="H69" s="9" t="s">
        <v>2263</v>
      </c>
      <c r="I69" s="4" t="s">
        <v>2317</v>
      </c>
      <c r="J69" s="4" t="s">
        <v>2316</v>
      </c>
      <c r="K69" s="4" t="s">
        <v>2263</v>
      </c>
      <c r="L69" s="10">
        <v>1</v>
      </c>
      <c r="M69" s="5">
        <v>1061.3860465116279</v>
      </c>
      <c r="N69" s="5">
        <v>1061.38604651163</v>
      </c>
    </row>
    <row r="70" spans="1:14" x14ac:dyDescent="0.25">
      <c r="A70" s="4" t="s">
        <v>3070</v>
      </c>
      <c r="B70" s="4" t="s">
        <v>3216</v>
      </c>
      <c r="C70" s="4" t="s">
        <v>2320</v>
      </c>
      <c r="D70" s="4" t="s">
        <v>242</v>
      </c>
      <c r="E70" s="4" t="s">
        <v>2388</v>
      </c>
      <c r="F70" s="4" t="s">
        <v>2387</v>
      </c>
      <c r="G70" s="4" t="s">
        <v>2263</v>
      </c>
      <c r="H70" s="9" t="s">
        <v>2263</v>
      </c>
      <c r="I70" s="4" t="s">
        <v>2317</v>
      </c>
      <c r="J70" s="4" t="s">
        <v>2316</v>
      </c>
      <c r="K70" s="4" t="s">
        <v>2263</v>
      </c>
      <c r="L70" s="10">
        <v>1</v>
      </c>
      <c r="M70" s="5">
        <v>1061.3860465116279</v>
      </c>
      <c r="N70" s="5">
        <v>1061.38604651163</v>
      </c>
    </row>
    <row r="71" spans="1:14" x14ac:dyDescent="0.25">
      <c r="A71" s="4" t="s">
        <v>3196</v>
      </c>
      <c r="B71" s="4" t="s">
        <v>3195</v>
      </c>
      <c r="C71" s="4" t="s">
        <v>2320</v>
      </c>
      <c r="D71" s="4" t="s">
        <v>242</v>
      </c>
      <c r="E71" s="4" t="s">
        <v>2388</v>
      </c>
      <c r="F71" s="4" t="s">
        <v>2387</v>
      </c>
      <c r="G71" s="4" t="s">
        <v>2263</v>
      </c>
      <c r="H71" s="9" t="s">
        <v>2263</v>
      </c>
      <c r="I71" s="4" t="s">
        <v>2317</v>
      </c>
      <c r="J71" s="4" t="s">
        <v>2316</v>
      </c>
      <c r="K71" s="4" t="s">
        <v>2263</v>
      </c>
      <c r="L71" s="10">
        <v>1</v>
      </c>
      <c r="M71" s="5">
        <v>1061.3860465116279</v>
      </c>
      <c r="N71" s="5">
        <v>1061.38604651163</v>
      </c>
    </row>
    <row r="72" spans="1:14" x14ac:dyDescent="0.25">
      <c r="A72" s="4" t="s">
        <v>2384</v>
      </c>
      <c r="B72" s="4" t="s">
        <v>3187</v>
      </c>
      <c r="C72" s="4" t="s">
        <v>2320</v>
      </c>
      <c r="D72" s="4" t="s">
        <v>242</v>
      </c>
      <c r="E72" s="4" t="s">
        <v>2388</v>
      </c>
      <c r="F72" s="4" t="s">
        <v>2387</v>
      </c>
      <c r="G72" s="4" t="s">
        <v>2263</v>
      </c>
      <c r="H72" s="9" t="s">
        <v>2263</v>
      </c>
      <c r="I72" s="4" t="s">
        <v>2317</v>
      </c>
      <c r="J72" s="4" t="s">
        <v>2316</v>
      </c>
      <c r="K72" s="4" t="s">
        <v>2263</v>
      </c>
      <c r="L72" s="10">
        <v>1</v>
      </c>
      <c r="M72" s="5">
        <v>1061.3860465116279</v>
      </c>
      <c r="N72" s="5">
        <v>1061.38604651163</v>
      </c>
    </row>
    <row r="73" spans="1:14" x14ac:dyDescent="0.25">
      <c r="A73" s="4" t="s">
        <v>3174</v>
      </c>
      <c r="B73" s="4" t="s">
        <v>3173</v>
      </c>
      <c r="C73" s="4" t="s">
        <v>2320</v>
      </c>
      <c r="D73" s="4" t="s">
        <v>242</v>
      </c>
      <c r="E73" s="4" t="s">
        <v>2388</v>
      </c>
      <c r="F73" s="4" t="s">
        <v>2387</v>
      </c>
      <c r="G73" s="4" t="s">
        <v>2263</v>
      </c>
      <c r="H73" s="9" t="s">
        <v>2263</v>
      </c>
      <c r="I73" s="4" t="s">
        <v>2317</v>
      </c>
      <c r="J73" s="4" t="s">
        <v>2316</v>
      </c>
      <c r="K73" s="4" t="s">
        <v>2263</v>
      </c>
      <c r="L73" s="10">
        <v>1</v>
      </c>
      <c r="M73" s="5">
        <v>1061.3860465116279</v>
      </c>
      <c r="N73" s="5">
        <v>1061.38604651163</v>
      </c>
    </row>
    <row r="74" spans="1:14" x14ac:dyDescent="0.25">
      <c r="A74" s="4" t="s">
        <v>3157</v>
      </c>
      <c r="B74" s="4" t="s">
        <v>3156</v>
      </c>
      <c r="C74" s="4" t="s">
        <v>2320</v>
      </c>
      <c r="D74" s="4" t="s">
        <v>242</v>
      </c>
      <c r="E74" s="4" t="s">
        <v>2388</v>
      </c>
      <c r="F74" s="4" t="s">
        <v>2387</v>
      </c>
      <c r="G74" s="4" t="s">
        <v>2263</v>
      </c>
      <c r="H74" s="9" t="s">
        <v>2263</v>
      </c>
      <c r="I74" s="4" t="s">
        <v>2317</v>
      </c>
      <c r="J74" s="4" t="s">
        <v>2316</v>
      </c>
      <c r="K74" s="4" t="s">
        <v>2263</v>
      </c>
      <c r="L74" s="10">
        <v>1</v>
      </c>
      <c r="M74" s="5">
        <v>1061.3860465116279</v>
      </c>
      <c r="N74" s="5">
        <v>1061.38604651163</v>
      </c>
    </row>
    <row r="75" spans="1:14" x14ac:dyDescent="0.25">
      <c r="A75" s="4" t="s">
        <v>3145</v>
      </c>
      <c r="B75" s="4" t="s">
        <v>3144</v>
      </c>
      <c r="C75" s="4" t="s">
        <v>2320</v>
      </c>
      <c r="D75" s="4" t="s">
        <v>242</v>
      </c>
      <c r="E75" s="4" t="s">
        <v>2388</v>
      </c>
      <c r="F75" s="4" t="s">
        <v>2387</v>
      </c>
      <c r="G75" s="4" t="s">
        <v>2263</v>
      </c>
      <c r="H75" s="9" t="s">
        <v>2263</v>
      </c>
      <c r="I75" s="4" t="s">
        <v>2317</v>
      </c>
      <c r="J75" s="4" t="s">
        <v>2316</v>
      </c>
      <c r="K75" s="4" t="s">
        <v>2263</v>
      </c>
      <c r="L75" s="10">
        <v>1</v>
      </c>
      <c r="M75" s="5">
        <v>1061.3860465116279</v>
      </c>
      <c r="N75" s="5">
        <v>1061.38604651163</v>
      </c>
    </row>
    <row r="76" spans="1:14" x14ac:dyDescent="0.25">
      <c r="A76" s="4" t="s">
        <v>3104</v>
      </c>
      <c r="B76" s="4" t="s">
        <v>3103</v>
      </c>
      <c r="C76" s="4" t="s">
        <v>2320</v>
      </c>
      <c r="D76" s="4" t="s">
        <v>242</v>
      </c>
      <c r="E76" s="4" t="s">
        <v>2388</v>
      </c>
      <c r="F76" s="4" t="s">
        <v>2387</v>
      </c>
      <c r="G76" s="4" t="s">
        <v>2263</v>
      </c>
      <c r="H76" s="9" t="s">
        <v>2263</v>
      </c>
      <c r="I76" s="4" t="s">
        <v>2317</v>
      </c>
      <c r="J76" s="4" t="s">
        <v>2316</v>
      </c>
      <c r="K76" s="4" t="s">
        <v>2263</v>
      </c>
      <c r="L76" s="10">
        <v>1</v>
      </c>
      <c r="M76" s="5">
        <v>1061.3860465116279</v>
      </c>
      <c r="N76" s="5">
        <v>1061.38604651163</v>
      </c>
    </row>
    <row r="77" spans="1:14" x14ac:dyDescent="0.25">
      <c r="A77" s="4" t="s">
        <v>3063</v>
      </c>
      <c r="B77" s="4" t="s">
        <v>3062</v>
      </c>
      <c r="C77" s="4" t="s">
        <v>2320</v>
      </c>
      <c r="D77" s="4" t="s">
        <v>242</v>
      </c>
      <c r="E77" s="4" t="s">
        <v>2388</v>
      </c>
      <c r="F77" s="4" t="s">
        <v>2387</v>
      </c>
      <c r="G77" s="4" t="s">
        <v>2263</v>
      </c>
      <c r="H77" s="9" t="s">
        <v>2263</v>
      </c>
      <c r="I77" s="4" t="s">
        <v>2317</v>
      </c>
      <c r="J77" s="4" t="s">
        <v>2316</v>
      </c>
      <c r="K77" s="4" t="s">
        <v>2263</v>
      </c>
      <c r="L77" s="10">
        <v>1</v>
      </c>
      <c r="M77" s="5">
        <v>1061.3860465116279</v>
      </c>
      <c r="N77" s="5">
        <v>1061.38604651163</v>
      </c>
    </row>
    <row r="78" spans="1:14" x14ac:dyDescent="0.25">
      <c r="A78" s="4" t="s">
        <v>3051</v>
      </c>
      <c r="B78" s="4" t="s">
        <v>3050</v>
      </c>
      <c r="C78" s="4" t="s">
        <v>2320</v>
      </c>
      <c r="D78" s="4" t="s">
        <v>242</v>
      </c>
      <c r="E78" s="4" t="s">
        <v>2388</v>
      </c>
      <c r="F78" s="4" t="s">
        <v>2387</v>
      </c>
      <c r="G78" s="4" t="s">
        <v>2263</v>
      </c>
      <c r="H78" s="9" t="s">
        <v>2263</v>
      </c>
      <c r="I78" s="4" t="s">
        <v>2317</v>
      </c>
      <c r="J78" s="4" t="s">
        <v>2316</v>
      </c>
      <c r="K78" s="4" t="s">
        <v>2263</v>
      </c>
      <c r="L78" s="10">
        <v>1</v>
      </c>
      <c r="M78" s="5">
        <v>1061.3860465116279</v>
      </c>
      <c r="N78" s="5">
        <v>1061.38604651163</v>
      </c>
    </row>
    <row r="79" spans="1:14" x14ac:dyDescent="0.25">
      <c r="A79" s="4" t="s">
        <v>3024</v>
      </c>
      <c r="B79" s="4" t="s">
        <v>3023</v>
      </c>
      <c r="C79" s="4" t="s">
        <v>2320</v>
      </c>
      <c r="D79" s="4" t="s">
        <v>242</v>
      </c>
      <c r="E79" s="4" t="s">
        <v>2388</v>
      </c>
      <c r="F79" s="4" t="s">
        <v>2387</v>
      </c>
      <c r="G79" s="4" t="s">
        <v>2263</v>
      </c>
      <c r="H79" s="9" t="s">
        <v>2263</v>
      </c>
      <c r="I79" s="4" t="s">
        <v>2317</v>
      </c>
      <c r="J79" s="4" t="s">
        <v>2316</v>
      </c>
      <c r="K79" s="4" t="s">
        <v>2263</v>
      </c>
      <c r="L79" s="10">
        <v>1</v>
      </c>
      <c r="M79" s="5">
        <v>1061.3860465116279</v>
      </c>
      <c r="N79" s="5">
        <v>1061.38604651163</v>
      </c>
    </row>
    <row r="80" spans="1:14" x14ac:dyDescent="0.25">
      <c r="A80" s="4" t="s">
        <v>2386</v>
      </c>
      <c r="B80" s="4" t="s">
        <v>2385</v>
      </c>
      <c r="C80" s="4" t="s">
        <v>2320</v>
      </c>
      <c r="D80" s="4" t="s">
        <v>242</v>
      </c>
      <c r="E80" s="4" t="s">
        <v>2388</v>
      </c>
      <c r="F80" s="4" t="s">
        <v>2387</v>
      </c>
      <c r="G80" s="4" t="s">
        <v>2263</v>
      </c>
      <c r="H80" s="9" t="s">
        <v>2263</v>
      </c>
      <c r="I80" s="4" t="s">
        <v>2317</v>
      </c>
      <c r="J80" s="4" t="s">
        <v>2316</v>
      </c>
      <c r="K80" s="4" t="s">
        <v>2263</v>
      </c>
      <c r="L80" s="10">
        <v>1</v>
      </c>
      <c r="M80" s="5">
        <v>1061.3860465116279</v>
      </c>
      <c r="N80" s="5">
        <v>1061.38604651163</v>
      </c>
    </row>
    <row r="81" spans="1:14" x14ac:dyDescent="0.25">
      <c r="A81" s="4" t="s">
        <v>3801</v>
      </c>
      <c r="B81" s="4" t="s">
        <v>4965</v>
      </c>
      <c r="C81" s="4" t="s">
        <v>2320</v>
      </c>
      <c r="D81" s="4" t="s">
        <v>242</v>
      </c>
      <c r="E81" s="4" t="s">
        <v>3034</v>
      </c>
      <c r="F81" s="4" t="s">
        <v>3033</v>
      </c>
      <c r="G81" s="4" t="s">
        <v>2263</v>
      </c>
      <c r="H81" s="9" t="s">
        <v>2263</v>
      </c>
      <c r="I81" s="4" t="s">
        <v>2317</v>
      </c>
      <c r="J81" s="4" t="s">
        <v>2316</v>
      </c>
      <c r="K81" s="4" t="s">
        <v>2263</v>
      </c>
      <c r="L81" s="10">
        <v>1</v>
      </c>
      <c r="M81" s="5">
        <v>1072.3889285714286</v>
      </c>
      <c r="N81" s="5">
        <v>1072.3889285714299</v>
      </c>
    </row>
    <row r="82" spans="1:14" x14ac:dyDescent="0.25">
      <c r="A82" s="4" t="s">
        <v>2279</v>
      </c>
      <c r="B82" s="4" t="s">
        <v>4963</v>
      </c>
      <c r="C82" s="4" t="s">
        <v>2320</v>
      </c>
      <c r="D82" s="4" t="s">
        <v>242</v>
      </c>
      <c r="E82" s="4" t="s">
        <v>3034</v>
      </c>
      <c r="F82" s="4" t="s">
        <v>3033</v>
      </c>
      <c r="G82" s="4" t="s">
        <v>2263</v>
      </c>
      <c r="H82" s="9" t="s">
        <v>2263</v>
      </c>
      <c r="I82" s="4" t="s">
        <v>2317</v>
      </c>
      <c r="J82" s="4" t="s">
        <v>2316</v>
      </c>
      <c r="K82" s="4" t="s">
        <v>2263</v>
      </c>
      <c r="L82" s="10">
        <v>1</v>
      </c>
      <c r="M82" s="5">
        <v>1072.3889285714286</v>
      </c>
      <c r="N82" s="5">
        <v>1072.3889285714299</v>
      </c>
    </row>
    <row r="83" spans="1:14" x14ac:dyDescent="0.25">
      <c r="A83" s="4" t="s">
        <v>2481</v>
      </c>
      <c r="B83" s="4" t="s">
        <v>3217</v>
      </c>
      <c r="C83" s="4" t="s">
        <v>2320</v>
      </c>
      <c r="D83" s="4" t="s">
        <v>242</v>
      </c>
      <c r="E83" s="4" t="s">
        <v>3034</v>
      </c>
      <c r="F83" s="4" t="s">
        <v>3033</v>
      </c>
      <c r="G83" s="4" t="s">
        <v>2263</v>
      </c>
      <c r="H83" s="9" t="s">
        <v>2263</v>
      </c>
      <c r="I83" s="4" t="s">
        <v>2317</v>
      </c>
      <c r="J83" s="4" t="s">
        <v>2316</v>
      </c>
      <c r="K83" s="4" t="s">
        <v>2263</v>
      </c>
      <c r="L83" s="10">
        <v>1</v>
      </c>
      <c r="M83" s="5">
        <v>1072.3889285714286</v>
      </c>
      <c r="N83" s="5">
        <v>1072.3889285714299</v>
      </c>
    </row>
    <row r="84" spans="1:14" x14ac:dyDescent="0.25">
      <c r="A84" s="4" t="s">
        <v>3196</v>
      </c>
      <c r="B84" s="4" t="s">
        <v>3195</v>
      </c>
      <c r="C84" s="4" t="s">
        <v>2320</v>
      </c>
      <c r="D84" s="4" t="s">
        <v>242</v>
      </c>
      <c r="E84" s="4" t="s">
        <v>3034</v>
      </c>
      <c r="F84" s="4" t="s">
        <v>3033</v>
      </c>
      <c r="G84" s="4" t="s">
        <v>2263</v>
      </c>
      <c r="H84" s="9" t="s">
        <v>2263</v>
      </c>
      <c r="I84" s="4" t="s">
        <v>2317</v>
      </c>
      <c r="J84" s="4" t="s">
        <v>2316</v>
      </c>
      <c r="K84" s="4" t="s">
        <v>2263</v>
      </c>
      <c r="L84" s="10">
        <v>1</v>
      </c>
      <c r="M84" s="5">
        <v>1072.3889285714286</v>
      </c>
      <c r="N84" s="5">
        <v>1072.3889285714299</v>
      </c>
    </row>
    <row r="85" spans="1:14" x14ac:dyDescent="0.25">
      <c r="A85" s="4" t="s">
        <v>2384</v>
      </c>
      <c r="B85" s="4" t="s">
        <v>3187</v>
      </c>
      <c r="C85" s="4" t="s">
        <v>2320</v>
      </c>
      <c r="D85" s="4" t="s">
        <v>242</v>
      </c>
      <c r="E85" s="4" t="s">
        <v>3034</v>
      </c>
      <c r="F85" s="4" t="s">
        <v>3033</v>
      </c>
      <c r="G85" s="4" t="s">
        <v>2263</v>
      </c>
      <c r="H85" s="9" t="s">
        <v>2263</v>
      </c>
      <c r="I85" s="4" t="s">
        <v>2317</v>
      </c>
      <c r="J85" s="4" t="s">
        <v>2316</v>
      </c>
      <c r="K85" s="4" t="s">
        <v>2263</v>
      </c>
      <c r="L85" s="10">
        <v>1</v>
      </c>
      <c r="M85" s="5">
        <v>1072.3889285714286</v>
      </c>
      <c r="N85" s="5">
        <v>1072.3889285714299</v>
      </c>
    </row>
    <row r="86" spans="1:14" x14ac:dyDescent="0.25">
      <c r="A86" s="4" t="s">
        <v>3174</v>
      </c>
      <c r="B86" s="4" t="s">
        <v>3173</v>
      </c>
      <c r="C86" s="4" t="s">
        <v>2320</v>
      </c>
      <c r="D86" s="4" t="s">
        <v>242</v>
      </c>
      <c r="E86" s="4" t="s">
        <v>3034</v>
      </c>
      <c r="F86" s="4" t="s">
        <v>3033</v>
      </c>
      <c r="G86" s="4" t="s">
        <v>2263</v>
      </c>
      <c r="H86" s="9" t="s">
        <v>2263</v>
      </c>
      <c r="I86" s="4" t="s">
        <v>2317</v>
      </c>
      <c r="J86" s="4" t="s">
        <v>2316</v>
      </c>
      <c r="K86" s="4" t="s">
        <v>2263</v>
      </c>
      <c r="L86" s="10">
        <v>1</v>
      </c>
      <c r="M86" s="5">
        <v>1072.3889285714286</v>
      </c>
      <c r="N86" s="5">
        <v>1072.3889285714299</v>
      </c>
    </row>
    <row r="87" spans="1:14" x14ac:dyDescent="0.25">
      <c r="A87" s="4" t="s">
        <v>3157</v>
      </c>
      <c r="B87" s="4" t="s">
        <v>3156</v>
      </c>
      <c r="C87" s="4" t="s">
        <v>2320</v>
      </c>
      <c r="D87" s="4" t="s">
        <v>242</v>
      </c>
      <c r="E87" s="4" t="s">
        <v>3034</v>
      </c>
      <c r="F87" s="4" t="s">
        <v>3033</v>
      </c>
      <c r="G87" s="4" t="s">
        <v>2263</v>
      </c>
      <c r="H87" s="9" t="s">
        <v>2263</v>
      </c>
      <c r="I87" s="4" t="s">
        <v>2317</v>
      </c>
      <c r="J87" s="4" t="s">
        <v>2316</v>
      </c>
      <c r="K87" s="4" t="s">
        <v>2263</v>
      </c>
      <c r="L87" s="10">
        <v>1</v>
      </c>
      <c r="M87" s="5">
        <v>1072.3889285714286</v>
      </c>
      <c r="N87" s="5">
        <v>1072.3889285714299</v>
      </c>
    </row>
    <row r="88" spans="1:14" x14ac:dyDescent="0.25">
      <c r="A88" s="4" t="s">
        <v>3104</v>
      </c>
      <c r="B88" s="4" t="s">
        <v>3103</v>
      </c>
      <c r="C88" s="4" t="s">
        <v>2320</v>
      </c>
      <c r="D88" s="4" t="s">
        <v>242</v>
      </c>
      <c r="E88" s="4" t="s">
        <v>3034</v>
      </c>
      <c r="F88" s="4" t="s">
        <v>3033</v>
      </c>
      <c r="G88" s="4" t="s">
        <v>2263</v>
      </c>
      <c r="H88" s="9" t="s">
        <v>2263</v>
      </c>
      <c r="I88" s="4" t="s">
        <v>2317</v>
      </c>
      <c r="J88" s="4" t="s">
        <v>2316</v>
      </c>
      <c r="K88" s="4" t="s">
        <v>2263</v>
      </c>
      <c r="L88" s="10">
        <v>1</v>
      </c>
      <c r="M88" s="5">
        <v>1072.3889285714286</v>
      </c>
      <c r="N88" s="5">
        <v>1072.3889285714299</v>
      </c>
    </row>
    <row r="89" spans="1:14" x14ac:dyDescent="0.25">
      <c r="A89" s="4" t="s">
        <v>3063</v>
      </c>
      <c r="B89" s="4" t="s">
        <v>3062</v>
      </c>
      <c r="C89" s="4" t="s">
        <v>2320</v>
      </c>
      <c r="D89" s="4" t="s">
        <v>242</v>
      </c>
      <c r="E89" s="4" t="s">
        <v>3034</v>
      </c>
      <c r="F89" s="4" t="s">
        <v>3033</v>
      </c>
      <c r="G89" s="4" t="s">
        <v>2263</v>
      </c>
      <c r="H89" s="9" t="s">
        <v>2263</v>
      </c>
      <c r="I89" s="4" t="s">
        <v>2317</v>
      </c>
      <c r="J89" s="4" t="s">
        <v>2316</v>
      </c>
      <c r="K89" s="4" t="s">
        <v>2263</v>
      </c>
      <c r="L89" s="10">
        <v>1</v>
      </c>
      <c r="M89" s="5">
        <v>1072.3889285714286</v>
      </c>
      <c r="N89" s="5">
        <v>1072.3889285714299</v>
      </c>
    </row>
    <row r="90" spans="1:14" x14ac:dyDescent="0.25">
      <c r="A90" s="4" t="s">
        <v>3051</v>
      </c>
      <c r="B90" s="4" t="s">
        <v>3050</v>
      </c>
      <c r="C90" s="4" t="s">
        <v>2320</v>
      </c>
      <c r="D90" s="4" t="s">
        <v>242</v>
      </c>
      <c r="E90" s="4" t="s">
        <v>3034</v>
      </c>
      <c r="F90" s="4" t="s">
        <v>3033</v>
      </c>
      <c r="G90" s="4" t="s">
        <v>2263</v>
      </c>
      <c r="H90" s="9" t="s">
        <v>2263</v>
      </c>
      <c r="I90" s="4" t="s">
        <v>2317</v>
      </c>
      <c r="J90" s="4" t="s">
        <v>2316</v>
      </c>
      <c r="K90" s="4" t="s">
        <v>2263</v>
      </c>
      <c r="L90" s="10">
        <v>1</v>
      </c>
      <c r="M90" s="5">
        <v>1072.3889285714286</v>
      </c>
      <c r="N90" s="5">
        <v>1072.3889285714299</v>
      </c>
    </row>
    <row r="91" spans="1:14" x14ac:dyDescent="0.25">
      <c r="A91" s="4" t="s">
        <v>3024</v>
      </c>
      <c r="B91" s="4" t="s">
        <v>3023</v>
      </c>
      <c r="C91" s="4" t="s">
        <v>2320</v>
      </c>
      <c r="D91" s="4" t="s">
        <v>242</v>
      </c>
      <c r="E91" s="4" t="s">
        <v>3034</v>
      </c>
      <c r="F91" s="4" t="s">
        <v>3033</v>
      </c>
      <c r="G91" s="4" t="s">
        <v>2263</v>
      </c>
      <c r="H91" s="9" t="s">
        <v>2263</v>
      </c>
      <c r="I91" s="4" t="s">
        <v>2317</v>
      </c>
      <c r="J91" s="4" t="s">
        <v>2316</v>
      </c>
      <c r="K91" s="4" t="s">
        <v>2263</v>
      </c>
      <c r="L91" s="10">
        <v>1</v>
      </c>
      <c r="M91" s="5">
        <v>1072.3889285714286</v>
      </c>
      <c r="N91" s="5">
        <v>1072.3889285714299</v>
      </c>
    </row>
    <row r="92" spans="1:14" x14ac:dyDescent="0.25">
      <c r="A92" s="4" t="s">
        <v>3168</v>
      </c>
      <c r="B92" s="4" t="s">
        <v>3167</v>
      </c>
      <c r="C92" s="4" t="s">
        <v>2320</v>
      </c>
      <c r="D92" s="4" t="s">
        <v>242</v>
      </c>
      <c r="E92" s="4" t="s">
        <v>3153</v>
      </c>
      <c r="F92" s="4" t="s">
        <v>3152</v>
      </c>
      <c r="G92" s="4" t="s">
        <v>2263</v>
      </c>
      <c r="H92" s="9" t="s">
        <v>2263</v>
      </c>
      <c r="I92" s="4" t="s">
        <v>2317</v>
      </c>
      <c r="J92" s="4" t="s">
        <v>2316</v>
      </c>
      <c r="K92" s="4" t="s">
        <v>2263</v>
      </c>
      <c r="L92" s="10">
        <v>1</v>
      </c>
      <c r="M92" s="5">
        <v>1195.9290592334494</v>
      </c>
      <c r="N92" s="5">
        <v>1195.9290592334501</v>
      </c>
    </row>
    <row r="93" spans="1:14" x14ac:dyDescent="0.25">
      <c r="A93" s="4" t="s">
        <v>3145</v>
      </c>
      <c r="B93" s="4" t="s">
        <v>3144</v>
      </c>
      <c r="C93" s="4" t="s">
        <v>2320</v>
      </c>
      <c r="D93" s="4" t="s">
        <v>242</v>
      </c>
      <c r="E93" s="4" t="s">
        <v>3153</v>
      </c>
      <c r="F93" s="4" t="s">
        <v>3152</v>
      </c>
      <c r="G93" s="4" t="s">
        <v>2263</v>
      </c>
      <c r="H93" s="9" t="s">
        <v>2263</v>
      </c>
      <c r="I93" s="4" t="s">
        <v>2317</v>
      </c>
      <c r="J93" s="4" t="s">
        <v>2316</v>
      </c>
      <c r="K93" s="4" t="s">
        <v>2263</v>
      </c>
      <c r="L93" s="10">
        <v>1</v>
      </c>
      <c r="M93" s="5">
        <v>1195.9290592334494</v>
      </c>
      <c r="N93" s="5">
        <v>1195.9290592334501</v>
      </c>
    </row>
    <row r="94" spans="1:14" x14ac:dyDescent="0.25">
      <c r="A94" s="4" t="s">
        <v>3145</v>
      </c>
      <c r="B94" s="4" t="s">
        <v>3144</v>
      </c>
      <c r="C94" s="4" t="s">
        <v>2320</v>
      </c>
      <c r="D94" s="4" t="s">
        <v>242</v>
      </c>
      <c r="E94" s="4" t="s">
        <v>2735</v>
      </c>
      <c r="F94" s="4" t="s">
        <v>2734</v>
      </c>
      <c r="G94" s="4" t="s">
        <v>2263</v>
      </c>
      <c r="H94" s="9" t="s">
        <v>2263</v>
      </c>
      <c r="I94" s="4" t="s">
        <v>2317</v>
      </c>
      <c r="J94" s="4" t="s">
        <v>2316</v>
      </c>
      <c r="K94" s="4" t="s">
        <v>2263</v>
      </c>
      <c r="L94" s="10">
        <v>1</v>
      </c>
      <c r="M94" s="5">
        <v>1204.1314579901152</v>
      </c>
      <c r="N94" s="5">
        <v>1204.13145799012</v>
      </c>
    </row>
    <row r="95" spans="1:14" x14ac:dyDescent="0.25">
      <c r="A95" s="4" t="s">
        <v>3801</v>
      </c>
      <c r="B95" s="4" t="s">
        <v>4965</v>
      </c>
      <c r="C95" s="4" t="s">
        <v>2320</v>
      </c>
      <c r="D95" s="4" t="s">
        <v>242</v>
      </c>
      <c r="E95" s="4" t="s">
        <v>2701</v>
      </c>
      <c r="F95" s="4" t="s">
        <v>2700</v>
      </c>
      <c r="G95" s="4" t="s">
        <v>2263</v>
      </c>
      <c r="H95" s="9" t="s">
        <v>2263</v>
      </c>
      <c r="I95" s="4" t="s">
        <v>2317</v>
      </c>
      <c r="J95" s="4" t="s">
        <v>2316</v>
      </c>
      <c r="K95" s="4" t="s">
        <v>2263</v>
      </c>
      <c r="L95" s="10">
        <v>1</v>
      </c>
      <c r="M95" s="5">
        <v>1323.9450549450551</v>
      </c>
      <c r="N95" s="5">
        <v>1323.9450549450501</v>
      </c>
    </row>
    <row r="96" spans="1:14" x14ac:dyDescent="0.25">
      <c r="A96" s="4" t="s">
        <v>2279</v>
      </c>
      <c r="B96" s="4" t="s">
        <v>4963</v>
      </c>
      <c r="C96" s="4" t="s">
        <v>2320</v>
      </c>
      <c r="D96" s="4" t="s">
        <v>242</v>
      </c>
      <c r="E96" s="4" t="s">
        <v>2701</v>
      </c>
      <c r="F96" s="4" t="s">
        <v>2700</v>
      </c>
      <c r="G96" s="4" t="s">
        <v>2263</v>
      </c>
      <c r="H96" s="9" t="s">
        <v>2263</v>
      </c>
      <c r="I96" s="4" t="s">
        <v>2317</v>
      </c>
      <c r="J96" s="4" t="s">
        <v>2316</v>
      </c>
      <c r="K96" s="4" t="s">
        <v>2263</v>
      </c>
      <c r="L96" s="10">
        <v>1</v>
      </c>
      <c r="M96" s="5">
        <v>1323.9450549450551</v>
      </c>
      <c r="N96" s="5">
        <v>1323.9450549450501</v>
      </c>
    </row>
    <row r="97" spans="1:14" x14ac:dyDescent="0.25">
      <c r="A97" s="4" t="s">
        <v>2481</v>
      </c>
      <c r="B97" s="4" t="s">
        <v>3217</v>
      </c>
      <c r="C97" s="4" t="s">
        <v>2320</v>
      </c>
      <c r="D97" s="4" t="s">
        <v>242</v>
      </c>
      <c r="E97" s="4" t="s">
        <v>2701</v>
      </c>
      <c r="F97" s="4" t="s">
        <v>2700</v>
      </c>
      <c r="G97" s="4" t="s">
        <v>2263</v>
      </c>
      <c r="H97" s="9" t="s">
        <v>2263</v>
      </c>
      <c r="I97" s="4" t="s">
        <v>2317</v>
      </c>
      <c r="J97" s="4" t="s">
        <v>2316</v>
      </c>
      <c r="K97" s="4" t="s">
        <v>2263</v>
      </c>
      <c r="L97" s="10">
        <v>1</v>
      </c>
      <c r="M97" s="5">
        <v>1323.9450549450551</v>
      </c>
      <c r="N97" s="5">
        <v>1323.9450549450501</v>
      </c>
    </row>
    <row r="98" spans="1:14" x14ac:dyDescent="0.25">
      <c r="A98" s="4" t="s">
        <v>2384</v>
      </c>
      <c r="B98" s="4" t="s">
        <v>3187</v>
      </c>
      <c r="C98" s="4" t="s">
        <v>2320</v>
      </c>
      <c r="D98" s="4" t="s">
        <v>242</v>
      </c>
      <c r="E98" s="4" t="s">
        <v>2701</v>
      </c>
      <c r="F98" s="4" t="s">
        <v>2700</v>
      </c>
      <c r="G98" s="4" t="s">
        <v>2263</v>
      </c>
      <c r="H98" s="9" t="s">
        <v>2263</v>
      </c>
      <c r="I98" s="4" t="s">
        <v>2317</v>
      </c>
      <c r="J98" s="4" t="s">
        <v>2316</v>
      </c>
      <c r="K98" s="4" t="s">
        <v>2263</v>
      </c>
      <c r="L98" s="10">
        <v>1</v>
      </c>
      <c r="M98" s="5">
        <v>1323.9450549450551</v>
      </c>
      <c r="N98" s="5">
        <v>1323.9450549450501</v>
      </c>
    </row>
    <row r="99" spans="1:14" x14ac:dyDescent="0.25">
      <c r="A99" s="4" t="s">
        <v>3174</v>
      </c>
      <c r="B99" s="4" t="s">
        <v>3173</v>
      </c>
      <c r="C99" s="4" t="s">
        <v>2320</v>
      </c>
      <c r="D99" s="4" t="s">
        <v>242</v>
      </c>
      <c r="E99" s="4" t="s">
        <v>2701</v>
      </c>
      <c r="F99" s="4" t="s">
        <v>2700</v>
      </c>
      <c r="G99" s="4" t="s">
        <v>2263</v>
      </c>
      <c r="H99" s="9" t="s">
        <v>2263</v>
      </c>
      <c r="I99" s="4" t="s">
        <v>2317</v>
      </c>
      <c r="J99" s="4" t="s">
        <v>2316</v>
      </c>
      <c r="K99" s="4" t="s">
        <v>2263</v>
      </c>
      <c r="L99" s="10">
        <v>1</v>
      </c>
      <c r="M99" s="5">
        <v>1323.9450549450551</v>
      </c>
      <c r="N99" s="5">
        <v>1323.9450549450501</v>
      </c>
    </row>
    <row r="100" spans="1:14" x14ac:dyDescent="0.25">
      <c r="A100" s="4" t="s">
        <v>3157</v>
      </c>
      <c r="B100" s="4" t="s">
        <v>3156</v>
      </c>
      <c r="C100" s="4" t="s">
        <v>2320</v>
      </c>
      <c r="D100" s="4" t="s">
        <v>242</v>
      </c>
      <c r="E100" s="4" t="s">
        <v>2701</v>
      </c>
      <c r="F100" s="4" t="s">
        <v>2700</v>
      </c>
      <c r="G100" s="4" t="s">
        <v>2263</v>
      </c>
      <c r="H100" s="9" t="s">
        <v>2263</v>
      </c>
      <c r="I100" s="4" t="s">
        <v>2317</v>
      </c>
      <c r="J100" s="4" t="s">
        <v>2316</v>
      </c>
      <c r="K100" s="4" t="s">
        <v>2263</v>
      </c>
      <c r="L100" s="10">
        <v>1</v>
      </c>
      <c r="M100" s="5">
        <v>1323.9450549450551</v>
      </c>
      <c r="N100" s="5">
        <v>1323.9450549450501</v>
      </c>
    </row>
    <row r="101" spans="1:14" x14ac:dyDescent="0.25">
      <c r="A101" s="4" t="s">
        <v>3063</v>
      </c>
      <c r="B101" s="4" t="s">
        <v>3062</v>
      </c>
      <c r="C101" s="4" t="s">
        <v>2320</v>
      </c>
      <c r="D101" s="4" t="s">
        <v>242</v>
      </c>
      <c r="E101" s="4" t="s">
        <v>2701</v>
      </c>
      <c r="F101" s="4" t="s">
        <v>2700</v>
      </c>
      <c r="G101" s="4" t="s">
        <v>2263</v>
      </c>
      <c r="H101" s="9" t="s">
        <v>2263</v>
      </c>
      <c r="I101" s="4" t="s">
        <v>2317</v>
      </c>
      <c r="J101" s="4" t="s">
        <v>2316</v>
      </c>
      <c r="K101" s="4" t="s">
        <v>2263</v>
      </c>
      <c r="L101" s="10">
        <v>1</v>
      </c>
      <c r="M101" s="5">
        <v>1323.9450549450551</v>
      </c>
      <c r="N101" s="5">
        <v>1323.9450549450501</v>
      </c>
    </row>
    <row r="102" spans="1:14" x14ac:dyDescent="0.25">
      <c r="A102" s="4" t="s">
        <v>3051</v>
      </c>
      <c r="B102" s="4" t="s">
        <v>3050</v>
      </c>
      <c r="C102" s="4" t="s">
        <v>2320</v>
      </c>
      <c r="D102" s="4" t="s">
        <v>242</v>
      </c>
      <c r="E102" s="4" t="s">
        <v>2701</v>
      </c>
      <c r="F102" s="4" t="s">
        <v>2700</v>
      </c>
      <c r="G102" s="4" t="s">
        <v>2263</v>
      </c>
      <c r="H102" s="9" t="s">
        <v>2263</v>
      </c>
      <c r="I102" s="4" t="s">
        <v>2317</v>
      </c>
      <c r="J102" s="4" t="s">
        <v>2316</v>
      </c>
      <c r="K102" s="4" t="s">
        <v>2263</v>
      </c>
      <c r="L102" s="10">
        <v>1</v>
      </c>
      <c r="M102" s="5">
        <v>1323.9450549450551</v>
      </c>
      <c r="N102" s="5">
        <v>1323.9450549450501</v>
      </c>
    </row>
    <row r="103" spans="1:14" x14ac:dyDescent="0.25">
      <c r="A103" s="4" t="s">
        <v>3024</v>
      </c>
      <c r="B103" s="4" t="s">
        <v>3023</v>
      </c>
      <c r="C103" s="4" t="s">
        <v>2320</v>
      </c>
      <c r="D103" s="4" t="s">
        <v>242</v>
      </c>
      <c r="E103" s="4" t="s">
        <v>2701</v>
      </c>
      <c r="F103" s="4" t="s">
        <v>2700</v>
      </c>
      <c r="G103" s="4" t="s">
        <v>2263</v>
      </c>
      <c r="H103" s="9" t="s">
        <v>2263</v>
      </c>
      <c r="I103" s="4" t="s">
        <v>2317</v>
      </c>
      <c r="J103" s="4" t="s">
        <v>2316</v>
      </c>
      <c r="K103" s="4" t="s">
        <v>2263</v>
      </c>
      <c r="L103" s="10">
        <v>1</v>
      </c>
      <c r="M103" s="5">
        <v>1323.9450549450551</v>
      </c>
      <c r="N103" s="5">
        <v>1323.9450549450501</v>
      </c>
    </row>
    <row r="104" spans="1:14" x14ac:dyDescent="0.25">
      <c r="A104" s="4" t="s">
        <v>2673</v>
      </c>
      <c r="B104" s="4" t="s">
        <v>2672</v>
      </c>
      <c r="C104" s="4" t="s">
        <v>2320</v>
      </c>
      <c r="D104" s="4" t="s">
        <v>242</v>
      </c>
      <c r="E104" s="4" t="s">
        <v>2701</v>
      </c>
      <c r="F104" s="4" t="s">
        <v>2700</v>
      </c>
      <c r="G104" s="4" t="s">
        <v>2263</v>
      </c>
      <c r="H104" s="9" t="s">
        <v>2263</v>
      </c>
      <c r="I104" s="4" t="s">
        <v>2317</v>
      </c>
      <c r="J104" s="4" t="s">
        <v>2316</v>
      </c>
      <c r="K104" s="4" t="s">
        <v>2263</v>
      </c>
      <c r="L104" s="10">
        <v>1</v>
      </c>
      <c r="M104" s="5">
        <v>1323.9450549450551</v>
      </c>
      <c r="N104" s="5">
        <v>1323.9450549450501</v>
      </c>
    </row>
    <row r="105" spans="1:14" x14ac:dyDescent="0.25">
      <c r="A105" s="4" t="s">
        <v>2320</v>
      </c>
      <c r="B105" s="4" t="s">
        <v>4967</v>
      </c>
      <c r="C105" s="4" t="s">
        <v>2344</v>
      </c>
      <c r="D105" s="4" t="s">
        <v>237</v>
      </c>
      <c r="E105" s="4" t="s">
        <v>4692</v>
      </c>
      <c r="F105" s="4" t="s">
        <v>2508</v>
      </c>
      <c r="G105" s="4" t="s">
        <v>2263</v>
      </c>
      <c r="H105" s="9" t="s">
        <v>2263</v>
      </c>
      <c r="I105" s="4" t="s">
        <v>2263</v>
      </c>
      <c r="J105" s="4" t="s">
        <v>2263</v>
      </c>
      <c r="K105" s="4" t="s">
        <v>2494</v>
      </c>
      <c r="L105" s="10">
        <v>1</v>
      </c>
      <c r="M105" s="5">
        <v>1373.1057627118644</v>
      </c>
      <c r="N105" s="5">
        <v>1373.1057627118601</v>
      </c>
    </row>
    <row r="106" spans="1:14" x14ac:dyDescent="0.25">
      <c r="A106" s="4" t="s">
        <v>2905</v>
      </c>
      <c r="B106" s="4" t="s">
        <v>2904</v>
      </c>
      <c r="C106" s="4" t="s">
        <v>2344</v>
      </c>
      <c r="D106" s="4" t="s">
        <v>237</v>
      </c>
      <c r="E106" s="4" t="s">
        <v>2908</v>
      </c>
      <c r="F106" s="4" t="s">
        <v>2907</v>
      </c>
      <c r="G106" s="4" t="s">
        <v>2263</v>
      </c>
      <c r="H106" s="9" t="s">
        <v>2263</v>
      </c>
      <c r="I106" s="4" t="s">
        <v>2263</v>
      </c>
      <c r="J106" s="4" t="s">
        <v>2263</v>
      </c>
      <c r="K106" s="4" t="s">
        <v>2906</v>
      </c>
      <c r="L106" s="10">
        <v>1</v>
      </c>
      <c r="M106" s="5">
        <v>1433</v>
      </c>
      <c r="N106" s="5">
        <v>1433</v>
      </c>
    </row>
    <row r="107" spans="1:14" x14ac:dyDescent="0.25">
      <c r="A107" s="4" t="s">
        <v>2320</v>
      </c>
      <c r="B107" s="4" t="s">
        <v>4967</v>
      </c>
      <c r="C107" s="4" t="s">
        <v>2267</v>
      </c>
      <c r="D107" s="4" t="s">
        <v>2266</v>
      </c>
      <c r="E107" s="4" t="s">
        <v>4399</v>
      </c>
      <c r="F107" s="4" t="s">
        <v>2501</v>
      </c>
      <c r="G107" s="4" t="s">
        <v>2263</v>
      </c>
      <c r="H107" s="9" t="s">
        <v>2263</v>
      </c>
      <c r="I107" s="4" t="s">
        <v>2263</v>
      </c>
      <c r="J107" s="4" t="s">
        <v>2263</v>
      </c>
      <c r="K107" s="4" t="s">
        <v>2494</v>
      </c>
      <c r="L107" s="10">
        <v>1</v>
      </c>
      <c r="M107" s="5">
        <v>1496.0608609271524</v>
      </c>
      <c r="N107" s="5">
        <v>1496.0608609271501</v>
      </c>
    </row>
    <row r="108" spans="1:14" x14ac:dyDescent="0.25">
      <c r="A108" s="4" t="s">
        <v>2320</v>
      </c>
      <c r="B108" s="4" t="s">
        <v>4967</v>
      </c>
      <c r="C108" s="4" t="s">
        <v>2344</v>
      </c>
      <c r="D108" s="4" t="s">
        <v>237</v>
      </c>
      <c r="E108" s="4" t="s">
        <v>4768</v>
      </c>
      <c r="F108" s="4" t="s">
        <v>2511</v>
      </c>
      <c r="G108" s="4" t="s">
        <v>2263</v>
      </c>
      <c r="H108" s="9" t="s">
        <v>2263</v>
      </c>
      <c r="I108" s="4" t="s">
        <v>2263</v>
      </c>
      <c r="J108" s="4" t="s">
        <v>2263</v>
      </c>
      <c r="K108" s="4" t="s">
        <v>2510</v>
      </c>
      <c r="L108" s="10">
        <v>1</v>
      </c>
      <c r="M108" s="5">
        <v>1499.5596019900497</v>
      </c>
      <c r="N108" s="5">
        <v>1499.5596019900499</v>
      </c>
    </row>
    <row r="109" spans="1:14" x14ac:dyDescent="0.25">
      <c r="A109" s="4" t="s">
        <v>3203</v>
      </c>
      <c r="B109" s="4" t="s">
        <v>3202</v>
      </c>
      <c r="C109" s="4" t="s">
        <v>2320</v>
      </c>
      <c r="D109" s="4" t="s">
        <v>242</v>
      </c>
      <c r="E109" s="4" t="s">
        <v>3201</v>
      </c>
      <c r="F109" s="4" t="s">
        <v>3200</v>
      </c>
      <c r="G109" s="4" t="s">
        <v>2263</v>
      </c>
      <c r="H109" s="9" t="s">
        <v>2263</v>
      </c>
      <c r="I109" s="4" t="s">
        <v>2317</v>
      </c>
      <c r="J109" s="4" t="s">
        <v>2316</v>
      </c>
      <c r="K109" s="4" t="s">
        <v>2263</v>
      </c>
      <c r="L109" s="10">
        <v>1</v>
      </c>
      <c r="M109" s="5">
        <v>1500</v>
      </c>
      <c r="N109" s="5">
        <v>1500</v>
      </c>
    </row>
    <row r="110" spans="1:14" x14ac:dyDescent="0.25">
      <c r="A110" s="4" t="s">
        <v>2344</v>
      </c>
      <c r="B110" s="4" t="s">
        <v>5154</v>
      </c>
      <c r="C110" s="4" t="s">
        <v>2320</v>
      </c>
      <c r="D110" s="4" t="s">
        <v>242</v>
      </c>
      <c r="E110" s="4" t="s">
        <v>2390</v>
      </c>
      <c r="F110" s="4" t="s">
        <v>2389</v>
      </c>
      <c r="G110" s="4" t="s">
        <v>2263</v>
      </c>
      <c r="H110" s="9" t="s">
        <v>2263</v>
      </c>
      <c r="I110" s="4" t="s">
        <v>2317</v>
      </c>
      <c r="J110" s="4" t="s">
        <v>2316</v>
      </c>
      <c r="K110" s="4" t="s">
        <v>2263</v>
      </c>
      <c r="L110" s="10">
        <v>1</v>
      </c>
      <c r="M110" s="5">
        <v>1537.0346428571427</v>
      </c>
      <c r="N110" s="5">
        <v>1537.0346428571399</v>
      </c>
    </row>
    <row r="111" spans="1:14" x14ac:dyDescent="0.25">
      <c r="A111" s="4" t="s">
        <v>3801</v>
      </c>
      <c r="B111" s="4" t="s">
        <v>4965</v>
      </c>
      <c r="C111" s="4" t="s">
        <v>2320</v>
      </c>
      <c r="D111" s="4" t="s">
        <v>242</v>
      </c>
      <c r="E111" s="4" t="s">
        <v>2390</v>
      </c>
      <c r="F111" s="4" t="s">
        <v>2389</v>
      </c>
      <c r="G111" s="4" t="s">
        <v>2263</v>
      </c>
      <c r="H111" s="9" t="s">
        <v>2263</v>
      </c>
      <c r="I111" s="4" t="s">
        <v>2317</v>
      </c>
      <c r="J111" s="4" t="s">
        <v>2316</v>
      </c>
      <c r="K111" s="4" t="s">
        <v>2263</v>
      </c>
      <c r="L111" s="10">
        <v>1</v>
      </c>
      <c r="M111" s="5">
        <v>1537.0346428571427</v>
      </c>
      <c r="N111" s="5">
        <v>1537.0346428571399</v>
      </c>
    </row>
    <row r="112" spans="1:14" x14ac:dyDescent="0.25">
      <c r="A112" s="4" t="s">
        <v>2279</v>
      </c>
      <c r="B112" s="4" t="s">
        <v>4963</v>
      </c>
      <c r="C112" s="4" t="s">
        <v>2320</v>
      </c>
      <c r="D112" s="4" t="s">
        <v>242</v>
      </c>
      <c r="E112" s="4" t="s">
        <v>2390</v>
      </c>
      <c r="F112" s="4" t="s">
        <v>2389</v>
      </c>
      <c r="G112" s="4" t="s">
        <v>2263</v>
      </c>
      <c r="H112" s="9" t="s">
        <v>2263</v>
      </c>
      <c r="I112" s="4" t="s">
        <v>2317</v>
      </c>
      <c r="J112" s="4" t="s">
        <v>2316</v>
      </c>
      <c r="K112" s="4" t="s">
        <v>2263</v>
      </c>
      <c r="L112" s="10">
        <v>1</v>
      </c>
      <c r="M112" s="5">
        <v>1537.0346428571427</v>
      </c>
      <c r="N112" s="5">
        <v>1537.0346428571399</v>
      </c>
    </row>
    <row r="113" spans="1:14" x14ac:dyDescent="0.25">
      <c r="A113" s="4" t="s">
        <v>3196</v>
      </c>
      <c r="B113" s="4" t="s">
        <v>3195</v>
      </c>
      <c r="C113" s="4" t="s">
        <v>2320</v>
      </c>
      <c r="D113" s="4" t="s">
        <v>242</v>
      </c>
      <c r="E113" s="4" t="s">
        <v>2390</v>
      </c>
      <c r="F113" s="4" t="s">
        <v>2389</v>
      </c>
      <c r="G113" s="4" t="s">
        <v>2263</v>
      </c>
      <c r="H113" s="9" t="s">
        <v>2263</v>
      </c>
      <c r="I113" s="4" t="s">
        <v>2317</v>
      </c>
      <c r="J113" s="4" t="s">
        <v>2316</v>
      </c>
      <c r="K113" s="4" t="s">
        <v>2263</v>
      </c>
      <c r="L113" s="10">
        <v>1</v>
      </c>
      <c r="M113" s="5">
        <v>1537.0346428571427</v>
      </c>
      <c r="N113" s="5">
        <v>1537.0346428571399</v>
      </c>
    </row>
    <row r="114" spans="1:14" x14ac:dyDescent="0.25">
      <c r="A114" s="4" t="s">
        <v>2384</v>
      </c>
      <c r="B114" s="4" t="s">
        <v>3187</v>
      </c>
      <c r="C114" s="4" t="s">
        <v>2320</v>
      </c>
      <c r="D114" s="4" t="s">
        <v>242</v>
      </c>
      <c r="E114" s="4" t="s">
        <v>2390</v>
      </c>
      <c r="F114" s="4" t="s">
        <v>2389</v>
      </c>
      <c r="G114" s="4" t="s">
        <v>2263</v>
      </c>
      <c r="H114" s="9" t="s">
        <v>2263</v>
      </c>
      <c r="I114" s="4" t="s">
        <v>2317</v>
      </c>
      <c r="J114" s="4" t="s">
        <v>2316</v>
      </c>
      <c r="K114" s="4" t="s">
        <v>2263</v>
      </c>
      <c r="L114" s="10">
        <v>1</v>
      </c>
      <c r="M114" s="5">
        <v>1537.0346428571427</v>
      </c>
      <c r="N114" s="5">
        <v>1537.0346428571399</v>
      </c>
    </row>
    <row r="115" spans="1:14" x14ac:dyDescent="0.25">
      <c r="A115" s="4" t="s">
        <v>3174</v>
      </c>
      <c r="B115" s="4" t="s">
        <v>3173</v>
      </c>
      <c r="C115" s="4" t="s">
        <v>2320</v>
      </c>
      <c r="D115" s="4" t="s">
        <v>242</v>
      </c>
      <c r="E115" s="4" t="s">
        <v>2390</v>
      </c>
      <c r="F115" s="4" t="s">
        <v>2389</v>
      </c>
      <c r="G115" s="4" t="s">
        <v>2263</v>
      </c>
      <c r="H115" s="9" t="s">
        <v>2263</v>
      </c>
      <c r="I115" s="4" t="s">
        <v>2317</v>
      </c>
      <c r="J115" s="4" t="s">
        <v>2316</v>
      </c>
      <c r="K115" s="4" t="s">
        <v>2263</v>
      </c>
      <c r="L115" s="10">
        <v>1</v>
      </c>
      <c r="M115" s="5">
        <v>1537.0346428571427</v>
      </c>
      <c r="N115" s="5">
        <v>1537.0346428571399</v>
      </c>
    </row>
    <row r="116" spans="1:14" x14ac:dyDescent="0.25">
      <c r="A116" s="4" t="s">
        <v>3168</v>
      </c>
      <c r="B116" s="4" t="s">
        <v>3167</v>
      </c>
      <c r="C116" s="4" t="s">
        <v>2320</v>
      </c>
      <c r="D116" s="4" t="s">
        <v>242</v>
      </c>
      <c r="E116" s="4" t="s">
        <v>2390</v>
      </c>
      <c r="F116" s="4" t="s">
        <v>2389</v>
      </c>
      <c r="G116" s="4" t="s">
        <v>2263</v>
      </c>
      <c r="H116" s="9" t="s">
        <v>2263</v>
      </c>
      <c r="I116" s="4" t="s">
        <v>2317</v>
      </c>
      <c r="J116" s="4" t="s">
        <v>2316</v>
      </c>
      <c r="K116" s="4" t="s">
        <v>2263</v>
      </c>
      <c r="L116" s="10">
        <v>1</v>
      </c>
      <c r="M116" s="5">
        <v>1537.0346428571427</v>
      </c>
      <c r="N116" s="5">
        <v>1537.0346428571399</v>
      </c>
    </row>
    <row r="117" spans="1:14" x14ac:dyDescent="0.25">
      <c r="A117" s="4" t="s">
        <v>3157</v>
      </c>
      <c r="B117" s="4" t="s">
        <v>3156</v>
      </c>
      <c r="C117" s="4" t="s">
        <v>2320</v>
      </c>
      <c r="D117" s="4" t="s">
        <v>242</v>
      </c>
      <c r="E117" s="4" t="s">
        <v>2390</v>
      </c>
      <c r="F117" s="4" t="s">
        <v>2389</v>
      </c>
      <c r="G117" s="4" t="s">
        <v>2263</v>
      </c>
      <c r="H117" s="9" t="s">
        <v>2263</v>
      </c>
      <c r="I117" s="4" t="s">
        <v>2317</v>
      </c>
      <c r="J117" s="4" t="s">
        <v>2316</v>
      </c>
      <c r="K117" s="4" t="s">
        <v>2263</v>
      </c>
      <c r="L117" s="10">
        <v>1</v>
      </c>
      <c r="M117" s="5">
        <v>1537.0346428571427</v>
      </c>
      <c r="N117" s="5">
        <v>1537.0346428571399</v>
      </c>
    </row>
    <row r="118" spans="1:14" x14ac:dyDescent="0.25">
      <c r="A118" s="4" t="s">
        <v>3063</v>
      </c>
      <c r="B118" s="4" t="s">
        <v>3062</v>
      </c>
      <c r="C118" s="4" t="s">
        <v>2320</v>
      </c>
      <c r="D118" s="4" t="s">
        <v>242</v>
      </c>
      <c r="E118" s="4" t="s">
        <v>2390</v>
      </c>
      <c r="F118" s="4" t="s">
        <v>2389</v>
      </c>
      <c r="G118" s="4" t="s">
        <v>2263</v>
      </c>
      <c r="H118" s="9" t="s">
        <v>2263</v>
      </c>
      <c r="I118" s="4" t="s">
        <v>2317</v>
      </c>
      <c r="J118" s="4" t="s">
        <v>2316</v>
      </c>
      <c r="K118" s="4" t="s">
        <v>2263</v>
      </c>
      <c r="L118" s="10">
        <v>1</v>
      </c>
      <c r="M118" s="5">
        <v>1537.0346428571427</v>
      </c>
      <c r="N118" s="5">
        <v>1537.0346428571399</v>
      </c>
    </row>
    <row r="119" spans="1:14" x14ac:dyDescent="0.25">
      <c r="A119" s="4" t="s">
        <v>3051</v>
      </c>
      <c r="B119" s="4" t="s">
        <v>3050</v>
      </c>
      <c r="C119" s="4" t="s">
        <v>2320</v>
      </c>
      <c r="D119" s="4" t="s">
        <v>242</v>
      </c>
      <c r="E119" s="4" t="s">
        <v>2390</v>
      </c>
      <c r="F119" s="4" t="s">
        <v>2389</v>
      </c>
      <c r="G119" s="4" t="s">
        <v>2263</v>
      </c>
      <c r="H119" s="9" t="s">
        <v>2263</v>
      </c>
      <c r="I119" s="4" t="s">
        <v>2317</v>
      </c>
      <c r="J119" s="4" t="s">
        <v>2316</v>
      </c>
      <c r="K119" s="4" t="s">
        <v>2263</v>
      </c>
      <c r="L119" s="10">
        <v>1</v>
      </c>
      <c r="M119" s="5">
        <v>1537.0346428571427</v>
      </c>
      <c r="N119" s="5">
        <v>1537.0346428571399</v>
      </c>
    </row>
    <row r="120" spans="1:14" x14ac:dyDescent="0.25">
      <c r="A120" s="4" t="s">
        <v>2386</v>
      </c>
      <c r="B120" s="4" t="s">
        <v>2385</v>
      </c>
      <c r="C120" s="4" t="s">
        <v>2320</v>
      </c>
      <c r="D120" s="4" t="s">
        <v>242</v>
      </c>
      <c r="E120" s="4" t="s">
        <v>2390</v>
      </c>
      <c r="F120" s="4" t="s">
        <v>2389</v>
      </c>
      <c r="G120" s="4" t="s">
        <v>2263</v>
      </c>
      <c r="H120" s="9" t="s">
        <v>2263</v>
      </c>
      <c r="I120" s="4" t="s">
        <v>2317</v>
      </c>
      <c r="J120" s="4" t="s">
        <v>2316</v>
      </c>
      <c r="K120" s="4" t="s">
        <v>2263</v>
      </c>
      <c r="L120" s="10">
        <v>1</v>
      </c>
      <c r="M120" s="5">
        <v>1537.0346428571427</v>
      </c>
      <c r="N120" s="5">
        <v>1537.0346428571399</v>
      </c>
    </row>
    <row r="121" spans="1:14" x14ac:dyDescent="0.25">
      <c r="A121" s="4" t="s">
        <v>2865</v>
      </c>
      <c r="B121" s="4" t="s">
        <v>2864</v>
      </c>
      <c r="C121" s="4" t="s">
        <v>2274</v>
      </c>
      <c r="D121" s="4" t="s">
        <v>2273</v>
      </c>
      <c r="E121" s="4" t="s">
        <v>2272</v>
      </c>
      <c r="F121" s="4" t="s">
        <v>2271</v>
      </c>
      <c r="G121" s="4" t="s">
        <v>2263</v>
      </c>
      <c r="H121" s="9" t="s">
        <v>2263</v>
      </c>
      <c r="I121" s="4" t="s">
        <v>2263</v>
      </c>
      <c r="J121" s="4" t="s">
        <v>2263</v>
      </c>
      <c r="K121" s="4" t="s">
        <v>2270</v>
      </c>
      <c r="L121" s="10">
        <v>1</v>
      </c>
      <c r="M121" s="5">
        <v>1584.2822696245735</v>
      </c>
      <c r="N121" s="5">
        <v>1584.2822696245701</v>
      </c>
    </row>
    <row r="122" spans="1:14" x14ac:dyDescent="0.25">
      <c r="A122" s="4" t="s">
        <v>2269</v>
      </c>
      <c r="B122" s="4" t="s">
        <v>2268</v>
      </c>
      <c r="C122" s="4" t="s">
        <v>2274</v>
      </c>
      <c r="D122" s="4" t="s">
        <v>2273</v>
      </c>
      <c r="E122" s="4" t="s">
        <v>2272</v>
      </c>
      <c r="F122" s="4" t="s">
        <v>2271</v>
      </c>
      <c r="G122" s="4" t="s">
        <v>2263</v>
      </c>
      <c r="H122" s="9" t="s">
        <v>2263</v>
      </c>
      <c r="I122" s="4" t="s">
        <v>2263</v>
      </c>
      <c r="J122" s="4" t="s">
        <v>2263</v>
      </c>
      <c r="K122" s="4" t="s">
        <v>2270</v>
      </c>
      <c r="L122" s="10">
        <v>1</v>
      </c>
      <c r="M122" s="5">
        <v>1584.2822696245735</v>
      </c>
      <c r="N122" s="5">
        <v>1584.2822696245701</v>
      </c>
    </row>
    <row r="123" spans="1:14" x14ac:dyDescent="0.25">
      <c r="A123" s="4" t="s">
        <v>2320</v>
      </c>
      <c r="B123" s="4" t="s">
        <v>4967</v>
      </c>
      <c r="C123" s="4" t="s">
        <v>2267</v>
      </c>
      <c r="D123" s="4" t="s">
        <v>2266</v>
      </c>
      <c r="E123" s="4" t="s">
        <v>4968</v>
      </c>
      <c r="F123" s="4" t="s">
        <v>2656</v>
      </c>
      <c r="G123" s="4" t="s">
        <v>2263</v>
      </c>
      <c r="H123" s="9" t="s">
        <v>2263</v>
      </c>
      <c r="I123" s="4" t="s">
        <v>2263</v>
      </c>
      <c r="J123" s="4" t="s">
        <v>2263</v>
      </c>
      <c r="K123" s="4" t="s">
        <v>2655</v>
      </c>
      <c r="L123" s="10">
        <v>1</v>
      </c>
      <c r="M123" s="5">
        <v>1654.8</v>
      </c>
      <c r="N123" s="5">
        <v>1654.8</v>
      </c>
    </row>
    <row r="124" spans="1:14" x14ac:dyDescent="0.25">
      <c r="A124" s="4" t="s">
        <v>2344</v>
      </c>
      <c r="B124" s="4" t="s">
        <v>5154</v>
      </c>
      <c r="C124" s="4" t="s">
        <v>2320</v>
      </c>
      <c r="D124" s="4" t="s">
        <v>242</v>
      </c>
      <c r="E124" s="4" t="s">
        <v>4995</v>
      </c>
      <c r="F124" s="4" t="s">
        <v>4994</v>
      </c>
      <c r="G124" s="4" t="s">
        <v>2263</v>
      </c>
      <c r="H124" s="9" t="s">
        <v>2263</v>
      </c>
      <c r="I124" s="4" t="s">
        <v>2317</v>
      </c>
      <c r="J124" s="4" t="s">
        <v>2316</v>
      </c>
      <c r="K124" s="4" t="s">
        <v>2263</v>
      </c>
      <c r="L124" s="10">
        <v>1</v>
      </c>
      <c r="M124" s="5">
        <v>1678</v>
      </c>
      <c r="N124" s="5">
        <v>1678</v>
      </c>
    </row>
    <row r="125" spans="1:14" x14ac:dyDescent="0.25">
      <c r="A125" s="4" t="s">
        <v>2320</v>
      </c>
      <c r="B125" s="4" t="s">
        <v>4967</v>
      </c>
      <c r="C125" s="4" t="s">
        <v>2320</v>
      </c>
      <c r="D125" s="4" t="s">
        <v>242</v>
      </c>
      <c r="E125" s="4" t="s">
        <v>4995</v>
      </c>
      <c r="F125" s="4" t="s">
        <v>4994</v>
      </c>
      <c r="G125" s="4" t="s">
        <v>2263</v>
      </c>
      <c r="H125" s="9" t="s">
        <v>2263</v>
      </c>
      <c r="I125" s="4" t="s">
        <v>2317</v>
      </c>
      <c r="J125" s="4" t="s">
        <v>2316</v>
      </c>
      <c r="K125" s="4" t="s">
        <v>2263</v>
      </c>
      <c r="L125" s="10">
        <v>1</v>
      </c>
      <c r="M125" s="5">
        <v>1678</v>
      </c>
      <c r="N125" s="5">
        <v>1678</v>
      </c>
    </row>
    <row r="126" spans="1:14" x14ac:dyDescent="0.25">
      <c r="A126" s="4" t="s">
        <v>2320</v>
      </c>
      <c r="B126" s="4" t="s">
        <v>4967</v>
      </c>
      <c r="C126" s="4" t="s">
        <v>2320</v>
      </c>
      <c r="D126" s="4" t="s">
        <v>242</v>
      </c>
      <c r="E126" s="4" t="s">
        <v>5061</v>
      </c>
      <c r="F126" s="4" t="s">
        <v>5060</v>
      </c>
      <c r="G126" s="4" t="s">
        <v>2263</v>
      </c>
      <c r="H126" s="9" t="s">
        <v>2263</v>
      </c>
      <c r="I126" s="4" t="s">
        <v>2317</v>
      </c>
      <c r="J126" s="4" t="s">
        <v>2316</v>
      </c>
      <c r="K126" s="4" t="s">
        <v>2263</v>
      </c>
      <c r="L126" s="10">
        <v>1</v>
      </c>
      <c r="M126" s="5">
        <v>1762</v>
      </c>
      <c r="N126" s="5">
        <v>1762</v>
      </c>
    </row>
    <row r="127" spans="1:14" x14ac:dyDescent="0.25">
      <c r="A127" s="4" t="s">
        <v>2320</v>
      </c>
      <c r="B127" s="4" t="s">
        <v>4967</v>
      </c>
      <c r="C127" s="4" t="s">
        <v>2344</v>
      </c>
      <c r="D127" s="4" t="s">
        <v>237</v>
      </c>
      <c r="E127" s="4" t="s">
        <v>5136</v>
      </c>
      <c r="F127" s="4" t="s">
        <v>4733</v>
      </c>
      <c r="G127" s="4" t="s">
        <v>2263</v>
      </c>
      <c r="H127" s="9" t="s">
        <v>2263</v>
      </c>
      <c r="I127" s="4" t="s">
        <v>2263</v>
      </c>
      <c r="J127" s="4" t="s">
        <v>2263</v>
      </c>
      <c r="K127" s="4" t="s">
        <v>2520</v>
      </c>
      <c r="L127" s="10">
        <v>1</v>
      </c>
      <c r="M127" s="5">
        <v>1768</v>
      </c>
      <c r="N127" s="5">
        <v>1768</v>
      </c>
    </row>
    <row r="128" spans="1:14" x14ac:dyDescent="0.25">
      <c r="A128" s="4" t="s">
        <v>3801</v>
      </c>
      <c r="B128" s="4" t="s">
        <v>4965</v>
      </c>
      <c r="C128" s="4" t="s">
        <v>2320</v>
      </c>
      <c r="D128" s="4" t="s">
        <v>242</v>
      </c>
      <c r="E128" s="4" t="s">
        <v>2410</v>
      </c>
      <c r="F128" s="4" t="s">
        <v>2409</v>
      </c>
      <c r="G128" s="4" t="s">
        <v>2263</v>
      </c>
      <c r="H128" s="9" t="s">
        <v>2263</v>
      </c>
      <c r="I128" s="4" t="s">
        <v>2317</v>
      </c>
      <c r="J128" s="4" t="s">
        <v>2316</v>
      </c>
      <c r="K128" s="4" t="s">
        <v>2263</v>
      </c>
      <c r="L128" s="10">
        <v>1</v>
      </c>
      <c r="M128" s="5">
        <v>1874.4585185185185</v>
      </c>
      <c r="N128" s="5">
        <v>1874.4585185185199</v>
      </c>
    </row>
    <row r="129" spans="1:14" x14ac:dyDescent="0.25">
      <c r="A129" s="4" t="s">
        <v>2279</v>
      </c>
      <c r="B129" s="4" t="s">
        <v>4963</v>
      </c>
      <c r="C129" s="4" t="s">
        <v>2320</v>
      </c>
      <c r="D129" s="4" t="s">
        <v>242</v>
      </c>
      <c r="E129" s="4" t="s">
        <v>2410</v>
      </c>
      <c r="F129" s="4" t="s">
        <v>2409</v>
      </c>
      <c r="G129" s="4" t="s">
        <v>2263</v>
      </c>
      <c r="H129" s="9" t="s">
        <v>2263</v>
      </c>
      <c r="I129" s="4" t="s">
        <v>2317</v>
      </c>
      <c r="J129" s="4" t="s">
        <v>2316</v>
      </c>
      <c r="K129" s="4" t="s">
        <v>2263</v>
      </c>
      <c r="L129" s="10">
        <v>1</v>
      </c>
      <c r="M129" s="5">
        <v>1874.4585185185185</v>
      </c>
      <c r="N129" s="5">
        <v>1874.4585185185199</v>
      </c>
    </row>
    <row r="130" spans="1:14" x14ac:dyDescent="0.25">
      <c r="A130" s="4" t="s">
        <v>3196</v>
      </c>
      <c r="B130" s="4" t="s">
        <v>3195</v>
      </c>
      <c r="C130" s="4" t="s">
        <v>2320</v>
      </c>
      <c r="D130" s="4" t="s">
        <v>242</v>
      </c>
      <c r="E130" s="4" t="s">
        <v>2410</v>
      </c>
      <c r="F130" s="4" t="s">
        <v>2409</v>
      </c>
      <c r="G130" s="4" t="s">
        <v>2263</v>
      </c>
      <c r="H130" s="9" t="s">
        <v>2263</v>
      </c>
      <c r="I130" s="4" t="s">
        <v>2317</v>
      </c>
      <c r="J130" s="4" t="s">
        <v>2316</v>
      </c>
      <c r="K130" s="4" t="s">
        <v>2263</v>
      </c>
      <c r="L130" s="10">
        <v>1</v>
      </c>
      <c r="M130" s="5">
        <v>1874.4585185185185</v>
      </c>
      <c r="N130" s="5">
        <v>1874.4585185185199</v>
      </c>
    </row>
    <row r="131" spans="1:14" x14ac:dyDescent="0.25">
      <c r="A131" s="4" t="s">
        <v>2384</v>
      </c>
      <c r="B131" s="4" t="s">
        <v>3187</v>
      </c>
      <c r="C131" s="4" t="s">
        <v>2320</v>
      </c>
      <c r="D131" s="4" t="s">
        <v>242</v>
      </c>
      <c r="E131" s="4" t="s">
        <v>2410</v>
      </c>
      <c r="F131" s="4" t="s">
        <v>2409</v>
      </c>
      <c r="G131" s="4" t="s">
        <v>2263</v>
      </c>
      <c r="H131" s="9" t="s">
        <v>2263</v>
      </c>
      <c r="I131" s="4" t="s">
        <v>2317</v>
      </c>
      <c r="J131" s="4" t="s">
        <v>2316</v>
      </c>
      <c r="K131" s="4" t="s">
        <v>2263</v>
      </c>
      <c r="L131" s="10">
        <v>1</v>
      </c>
      <c r="M131" s="5">
        <v>1874.4585185185185</v>
      </c>
      <c r="N131" s="5">
        <v>1874.4585185185199</v>
      </c>
    </row>
    <row r="132" spans="1:14" x14ac:dyDescent="0.25">
      <c r="A132" s="4" t="s">
        <v>3174</v>
      </c>
      <c r="B132" s="4" t="s">
        <v>3173</v>
      </c>
      <c r="C132" s="4" t="s">
        <v>2320</v>
      </c>
      <c r="D132" s="4" t="s">
        <v>242</v>
      </c>
      <c r="E132" s="4" t="s">
        <v>2410</v>
      </c>
      <c r="F132" s="4" t="s">
        <v>2409</v>
      </c>
      <c r="G132" s="4" t="s">
        <v>2263</v>
      </c>
      <c r="H132" s="9" t="s">
        <v>2263</v>
      </c>
      <c r="I132" s="4" t="s">
        <v>2317</v>
      </c>
      <c r="J132" s="4" t="s">
        <v>2316</v>
      </c>
      <c r="K132" s="4" t="s">
        <v>2263</v>
      </c>
      <c r="L132" s="10">
        <v>1</v>
      </c>
      <c r="M132" s="5">
        <v>1874.4585185185185</v>
      </c>
      <c r="N132" s="5">
        <v>1874.4585185185199</v>
      </c>
    </row>
    <row r="133" spans="1:14" x14ac:dyDescent="0.25">
      <c r="A133" s="4" t="s">
        <v>3157</v>
      </c>
      <c r="B133" s="4" t="s">
        <v>3156</v>
      </c>
      <c r="C133" s="4" t="s">
        <v>2320</v>
      </c>
      <c r="D133" s="4" t="s">
        <v>242</v>
      </c>
      <c r="E133" s="4" t="s">
        <v>2410</v>
      </c>
      <c r="F133" s="4" t="s">
        <v>2409</v>
      </c>
      <c r="G133" s="4" t="s">
        <v>2263</v>
      </c>
      <c r="H133" s="9" t="s">
        <v>2263</v>
      </c>
      <c r="I133" s="4" t="s">
        <v>2317</v>
      </c>
      <c r="J133" s="4" t="s">
        <v>2316</v>
      </c>
      <c r="K133" s="4" t="s">
        <v>2263</v>
      </c>
      <c r="L133" s="10">
        <v>1</v>
      </c>
      <c r="M133" s="5">
        <v>1874.4585185185185</v>
      </c>
      <c r="N133" s="5">
        <v>1874.4585185185199</v>
      </c>
    </row>
    <row r="134" spans="1:14" x14ac:dyDescent="0.25">
      <c r="A134" s="4" t="s">
        <v>3063</v>
      </c>
      <c r="B134" s="4" t="s">
        <v>3062</v>
      </c>
      <c r="C134" s="4" t="s">
        <v>2320</v>
      </c>
      <c r="D134" s="4" t="s">
        <v>242</v>
      </c>
      <c r="E134" s="4" t="s">
        <v>2410</v>
      </c>
      <c r="F134" s="4" t="s">
        <v>2409</v>
      </c>
      <c r="G134" s="4" t="s">
        <v>2263</v>
      </c>
      <c r="H134" s="9" t="s">
        <v>2263</v>
      </c>
      <c r="I134" s="4" t="s">
        <v>2317</v>
      </c>
      <c r="J134" s="4" t="s">
        <v>2316</v>
      </c>
      <c r="K134" s="4" t="s">
        <v>2263</v>
      </c>
      <c r="L134" s="10">
        <v>1</v>
      </c>
      <c r="M134" s="5">
        <v>1874.4585185185185</v>
      </c>
      <c r="N134" s="5">
        <v>1874.4585185185199</v>
      </c>
    </row>
    <row r="135" spans="1:14" x14ac:dyDescent="0.25">
      <c r="A135" s="4" t="s">
        <v>3051</v>
      </c>
      <c r="B135" s="4" t="s">
        <v>3050</v>
      </c>
      <c r="C135" s="4" t="s">
        <v>2320</v>
      </c>
      <c r="D135" s="4" t="s">
        <v>242</v>
      </c>
      <c r="E135" s="4" t="s">
        <v>2410</v>
      </c>
      <c r="F135" s="4" t="s">
        <v>2409</v>
      </c>
      <c r="G135" s="4" t="s">
        <v>2263</v>
      </c>
      <c r="H135" s="9" t="s">
        <v>2263</v>
      </c>
      <c r="I135" s="4" t="s">
        <v>2317</v>
      </c>
      <c r="J135" s="4" t="s">
        <v>2316</v>
      </c>
      <c r="K135" s="4" t="s">
        <v>2263</v>
      </c>
      <c r="L135" s="10">
        <v>1</v>
      </c>
      <c r="M135" s="5">
        <v>1874.4585185185185</v>
      </c>
      <c r="N135" s="5">
        <v>1874.4585185185199</v>
      </c>
    </row>
    <row r="136" spans="1:14" x14ac:dyDescent="0.25">
      <c r="A136" s="4" t="s">
        <v>3024</v>
      </c>
      <c r="B136" s="4" t="s">
        <v>3023</v>
      </c>
      <c r="C136" s="4" t="s">
        <v>2320</v>
      </c>
      <c r="D136" s="4" t="s">
        <v>242</v>
      </c>
      <c r="E136" s="4" t="s">
        <v>2410</v>
      </c>
      <c r="F136" s="4" t="s">
        <v>2409</v>
      </c>
      <c r="G136" s="4" t="s">
        <v>2263</v>
      </c>
      <c r="H136" s="9" t="s">
        <v>2263</v>
      </c>
      <c r="I136" s="4" t="s">
        <v>2317</v>
      </c>
      <c r="J136" s="4" t="s">
        <v>2316</v>
      </c>
      <c r="K136" s="4" t="s">
        <v>2263</v>
      </c>
      <c r="L136" s="10">
        <v>1</v>
      </c>
      <c r="M136" s="5">
        <v>1874.4585185185185</v>
      </c>
      <c r="N136" s="5">
        <v>1874.4585185185199</v>
      </c>
    </row>
    <row r="137" spans="1:14" x14ac:dyDescent="0.25">
      <c r="A137" s="4" t="s">
        <v>2673</v>
      </c>
      <c r="B137" s="4" t="s">
        <v>2672</v>
      </c>
      <c r="C137" s="4" t="s">
        <v>2320</v>
      </c>
      <c r="D137" s="4" t="s">
        <v>242</v>
      </c>
      <c r="E137" s="4" t="s">
        <v>2410</v>
      </c>
      <c r="F137" s="4" t="s">
        <v>2409</v>
      </c>
      <c r="G137" s="4" t="s">
        <v>2263</v>
      </c>
      <c r="H137" s="9" t="s">
        <v>2263</v>
      </c>
      <c r="I137" s="4" t="s">
        <v>2317</v>
      </c>
      <c r="J137" s="4" t="s">
        <v>2316</v>
      </c>
      <c r="K137" s="4" t="s">
        <v>2263</v>
      </c>
      <c r="L137" s="10">
        <v>1</v>
      </c>
      <c r="M137" s="5">
        <v>1874.4585185185185</v>
      </c>
      <c r="N137" s="5">
        <v>1874.4585185185199</v>
      </c>
    </row>
    <row r="138" spans="1:14" x14ac:dyDescent="0.25">
      <c r="A138" s="4" t="s">
        <v>2386</v>
      </c>
      <c r="B138" s="4" t="s">
        <v>2385</v>
      </c>
      <c r="C138" s="4" t="s">
        <v>2320</v>
      </c>
      <c r="D138" s="4" t="s">
        <v>242</v>
      </c>
      <c r="E138" s="4" t="s">
        <v>2410</v>
      </c>
      <c r="F138" s="4" t="s">
        <v>2409</v>
      </c>
      <c r="G138" s="4" t="s">
        <v>2263</v>
      </c>
      <c r="H138" s="9" t="s">
        <v>2263</v>
      </c>
      <c r="I138" s="4" t="s">
        <v>2317</v>
      </c>
      <c r="J138" s="4" t="s">
        <v>2316</v>
      </c>
      <c r="K138" s="4" t="s">
        <v>2263</v>
      </c>
      <c r="L138" s="10">
        <v>1</v>
      </c>
      <c r="M138" s="5">
        <v>1874.4585185185185</v>
      </c>
      <c r="N138" s="5">
        <v>1874.4585185185199</v>
      </c>
    </row>
    <row r="139" spans="1:14" x14ac:dyDescent="0.25">
      <c r="A139" s="4" t="s">
        <v>3174</v>
      </c>
      <c r="B139" s="4" t="s">
        <v>3173</v>
      </c>
      <c r="C139" s="4" t="s">
        <v>2344</v>
      </c>
      <c r="D139" s="4" t="s">
        <v>237</v>
      </c>
      <c r="E139" s="4" t="s">
        <v>3041</v>
      </c>
      <c r="F139" s="4" t="s">
        <v>2477</v>
      </c>
      <c r="G139" s="4" t="s">
        <v>2263</v>
      </c>
      <c r="H139" s="9" t="s">
        <v>2263</v>
      </c>
      <c r="I139" s="4" t="s">
        <v>2263</v>
      </c>
      <c r="J139" s="4" t="s">
        <v>2263</v>
      </c>
      <c r="K139" s="4" t="s">
        <v>2476</v>
      </c>
      <c r="L139" s="10">
        <v>1</v>
      </c>
      <c r="M139" s="5">
        <v>1900</v>
      </c>
      <c r="N139" s="5">
        <v>1900</v>
      </c>
    </row>
    <row r="140" spans="1:14" x14ac:dyDescent="0.25">
      <c r="A140" s="4" t="s">
        <v>3157</v>
      </c>
      <c r="B140" s="4" t="s">
        <v>3156</v>
      </c>
      <c r="C140" s="4" t="s">
        <v>2344</v>
      </c>
      <c r="D140" s="4" t="s">
        <v>237</v>
      </c>
      <c r="E140" s="4" t="s">
        <v>3041</v>
      </c>
      <c r="F140" s="4" t="s">
        <v>2477</v>
      </c>
      <c r="G140" s="4" t="s">
        <v>2263</v>
      </c>
      <c r="H140" s="9" t="s">
        <v>2263</v>
      </c>
      <c r="I140" s="4" t="s">
        <v>2263</v>
      </c>
      <c r="J140" s="4" t="s">
        <v>2263</v>
      </c>
      <c r="K140" s="4" t="s">
        <v>2476</v>
      </c>
      <c r="L140" s="10">
        <v>1</v>
      </c>
      <c r="M140" s="5">
        <v>1900</v>
      </c>
      <c r="N140" s="5">
        <v>1900</v>
      </c>
    </row>
    <row r="141" spans="1:14" x14ac:dyDescent="0.25">
      <c r="A141" s="4" t="s">
        <v>3104</v>
      </c>
      <c r="B141" s="4" t="s">
        <v>3103</v>
      </c>
      <c r="C141" s="4" t="s">
        <v>2344</v>
      </c>
      <c r="D141" s="4" t="s">
        <v>237</v>
      </c>
      <c r="E141" s="4" t="s">
        <v>3041</v>
      </c>
      <c r="F141" s="4" t="s">
        <v>2477</v>
      </c>
      <c r="G141" s="4" t="s">
        <v>2263</v>
      </c>
      <c r="H141" s="9" t="s">
        <v>2263</v>
      </c>
      <c r="I141" s="4" t="s">
        <v>2263</v>
      </c>
      <c r="J141" s="4" t="s">
        <v>2263</v>
      </c>
      <c r="K141" s="4" t="s">
        <v>2476</v>
      </c>
      <c r="L141" s="10">
        <v>1</v>
      </c>
      <c r="M141" s="5">
        <v>1900</v>
      </c>
      <c r="N141" s="5">
        <v>1900</v>
      </c>
    </row>
    <row r="142" spans="1:14" x14ac:dyDescent="0.25">
      <c r="A142" s="4" t="s">
        <v>3063</v>
      </c>
      <c r="B142" s="4" t="s">
        <v>3062</v>
      </c>
      <c r="C142" s="4" t="s">
        <v>2344</v>
      </c>
      <c r="D142" s="4" t="s">
        <v>237</v>
      </c>
      <c r="E142" s="4" t="s">
        <v>3041</v>
      </c>
      <c r="F142" s="4" t="s">
        <v>2477</v>
      </c>
      <c r="G142" s="4" t="s">
        <v>2263</v>
      </c>
      <c r="H142" s="9" t="s">
        <v>2263</v>
      </c>
      <c r="I142" s="4" t="s">
        <v>2263</v>
      </c>
      <c r="J142" s="4" t="s">
        <v>2263</v>
      </c>
      <c r="K142" s="4" t="s">
        <v>2476</v>
      </c>
      <c r="L142" s="10">
        <v>1</v>
      </c>
      <c r="M142" s="5">
        <v>1900</v>
      </c>
      <c r="N142" s="5">
        <v>1900</v>
      </c>
    </row>
    <row r="143" spans="1:14" x14ac:dyDescent="0.25">
      <c r="A143" s="4" t="s">
        <v>3051</v>
      </c>
      <c r="B143" s="4" t="s">
        <v>3050</v>
      </c>
      <c r="C143" s="4" t="s">
        <v>2344</v>
      </c>
      <c r="D143" s="4" t="s">
        <v>237</v>
      </c>
      <c r="E143" s="4" t="s">
        <v>3041</v>
      </c>
      <c r="F143" s="4" t="s">
        <v>2477</v>
      </c>
      <c r="G143" s="4" t="s">
        <v>2263</v>
      </c>
      <c r="H143" s="9" t="s">
        <v>2263</v>
      </c>
      <c r="I143" s="4" t="s">
        <v>2263</v>
      </c>
      <c r="J143" s="4" t="s">
        <v>2263</v>
      </c>
      <c r="K143" s="4" t="s">
        <v>2476</v>
      </c>
      <c r="L143" s="10">
        <v>1</v>
      </c>
      <c r="M143" s="5">
        <v>1900</v>
      </c>
      <c r="N143" s="5">
        <v>1900</v>
      </c>
    </row>
    <row r="144" spans="1:14" x14ac:dyDescent="0.25">
      <c r="A144" s="4" t="s">
        <v>3024</v>
      </c>
      <c r="B144" s="4" t="s">
        <v>3023</v>
      </c>
      <c r="C144" s="4" t="s">
        <v>2344</v>
      </c>
      <c r="D144" s="4" t="s">
        <v>237</v>
      </c>
      <c r="E144" s="4" t="s">
        <v>3041</v>
      </c>
      <c r="F144" s="4" t="s">
        <v>2477</v>
      </c>
      <c r="G144" s="4" t="s">
        <v>2263</v>
      </c>
      <c r="H144" s="9" t="s">
        <v>2263</v>
      </c>
      <c r="I144" s="4" t="s">
        <v>2263</v>
      </c>
      <c r="J144" s="4" t="s">
        <v>2263</v>
      </c>
      <c r="K144" s="4" t="s">
        <v>2476</v>
      </c>
      <c r="L144" s="10">
        <v>1</v>
      </c>
      <c r="M144" s="5">
        <v>1900</v>
      </c>
      <c r="N144" s="5">
        <v>1900</v>
      </c>
    </row>
    <row r="145" spans="1:14" x14ac:dyDescent="0.25">
      <c r="A145" s="4" t="s">
        <v>2893</v>
      </c>
      <c r="B145" s="4" t="s">
        <v>2892</v>
      </c>
      <c r="C145" s="4" t="s">
        <v>2320</v>
      </c>
      <c r="D145" s="4" t="s">
        <v>242</v>
      </c>
      <c r="E145" s="4" t="s">
        <v>2899</v>
      </c>
      <c r="F145" s="4" t="s">
        <v>2898</v>
      </c>
      <c r="G145" s="4" t="s">
        <v>2263</v>
      </c>
      <c r="H145" s="9" t="s">
        <v>2263</v>
      </c>
      <c r="I145" s="4" t="s">
        <v>2317</v>
      </c>
      <c r="J145" s="4" t="s">
        <v>2316</v>
      </c>
      <c r="K145" s="4" t="s">
        <v>2263</v>
      </c>
      <c r="L145" s="10">
        <v>1</v>
      </c>
      <c r="M145" s="5">
        <v>1936.3739855072463</v>
      </c>
      <c r="N145" s="5">
        <v>1936.3739855072499</v>
      </c>
    </row>
    <row r="146" spans="1:14" x14ac:dyDescent="0.25">
      <c r="A146" s="4" t="s">
        <v>3024</v>
      </c>
      <c r="B146" s="4" t="s">
        <v>3023</v>
      </c>
      <c r="C146" s="4" t="s">
        <v>2320</v>
      </c>
      <c r="D146" s="4" t="s">
        <v>242</v>
      </c>
      <c r="E146" s="4" t="s">
        <v>3038</v>
      </c>
      <c r="F146" s="4" t="s">
        <v>3037</v>
      </c>
      <c r="G146" s="4" t="s">
        <v>2263</v>
      </c>
      <c r="H146" s="9" t="s">
        <v>2263</v>
      </c>
      <c r="I146" s="4" t="s">
        <v>2317</v>
      </c>
      <c r="J146" s="4" t="s">
        <v>2316</v>
      </c>
      <c r="K146" s="4" t="s">
        <v>2263</v>
      </c>
      <c r="L146" s="10">
        <v>1</v>
      </c>
      <c r="M146" s="5">
        <v>1959.4821739130434</v>
      </c>
      <c r="N146" s="5">
        <v>1959.48217391304</v>
      </c>
    </row>
    <row r="147" spans="1:14" x14ac:dyDescent="0.25">
      <c r="A147" s="4" t="s">
        <v>3174</v>
      </c>
      <c r="B147" s="4" t="s">
        <v>3173</v>
      </c>
      <c r="C147" s="4" t="s">
        <v>2344</v>
      </c>
      <c r="D147" s="4" t="s">
        <v>237</v>
      </c>
      <c r="E147" s="4" t="s">
        <v>3184</v>
      </c>
      <c r="F147" s="4" t="s">
        <v>2460</v>
      </c>
      <c r="G147" s="4" t="s">
        <v>2263</v>
      </c>
      <c r="H147" s="9" t="s">
        <v>2263</v>
      </c>
      <c r="I147" s="4" t="s">
        <v>2263</v>
      </c>
      <c r="J147" s="4" t="s">
        <v>2263</v>
      </c>
      <c r="K147" s="4" t="s">
        <v>2421</v>
      </c>
      <c r="L147" s="10">
        <v>1</v>
      </c>
      <c r="M147" s="5">
        <v>2010</v>
      </c>
      <c r="N147" s="5">
        <v>2010</v>
      </c>
    </row>
    <row r="148" spans="1:14" x14ac:dyDescent="0.25">
      <c r="A148" s="4" t="s">
        <v>2653</v>
      </c>
      <c r="B148" s="4" t="s">
        <v>3226</v>
      </c>
      <c r="C148" s="4" t="s">
        <v>3107</v>
      </c>
      <c r="D148" s="4" t="s">
        <v>1105</v>
      </c>
      <c r="E148" s="4" t="s">
        <v>3731</v>
      </c>
      <c r="F148" s="4" t="s">
        <v>3730</v>
      </c>
      <c r="G148" s="4" t="s">
        <v>2263</v>
      </c>
      <c r="H148" s="9" t="s">
        <v>2263</v>
      </c>
      <c r="I148" s="4" t="s">
        <v>2317</v>
      </c>
      <c r="J148" s="4" t="s">
        <v>2316</v>
      </c>
      <c r="K148" s="4" t="s">
        <v>2263</v>
      </c>
      <c r="L148" s="10">
        <v>1</v>
      </c>
      <c r="M148" s="5">
        <v>2063.35</v>
      </c>
      <c r="N148" s="5">
        <v>2063.35</v>
      </c>
    </row>
    <row r="149" spans="1:14" x14ac:dyDescent="0.25">
      <c r="A149" s="4" t="s">
        <v>2344</v>
      </c>
      <c r="B149" s="4" t="s">
        <v>5154</v>
      </c>
      <c r="C149" s="4" t="s">
        <v>2344</v>
      </c>
      <c r="D149" s="4" t="s">
        <v>237</v>
      </c>
      <c r="E149" s="4" t="s">
        <v>5411</v>
      </c>
      <c r="F149" s="4" t="s">
        <v>2508</v>
      </c>
      <c r="G149" s="4" t="s">
        <v>2263</v>
      </c>
      <c r="H149" s="9" t="s">
        <v>2263</v>
      </c>
      <c r="I149" s="4" t="s">
        <v>2263</v>
      </c>
      <c r="J149" s="4" t="s">
        <v>2263</v>
      </c>
      <c r="K149" s="4" t="s">
        <v>2494</v>
      </c>
      <c r="L149" s="10">
        <v>1</v>
      </c>
      <c r="M149" s="5">
        <v>2069.13</v>
      </c>
      <c r="N149" s="5">
        <v>2069.13</v>
      </c>
    </row>
    <row r="150" spans="1:14" x14ac:dyDescent="0.25">
      <c r="A150" s="4" t="s">
        <v>2481</v>
      </c>
      <c r="B150" s="4" t="s">
        <v>3217</v>
      </c>
      <c r="C150" s="4" t="s">
        <v>2320</v>
      </c>
      <c r="D150" s="4" t="s">
        <v>242</v>
      </c>
      <c r="E150" s="4" t="s">
        <v>2721</v>
      </c>
      <c r="F150" s="4" t="s">
        <v>2720</v>
      </c>
      <c r="G150" s="4" t="s">
        <v>2263</v>
      </c>
      <c r="H150" s="9" t="s">
        <v>2263</v>
      </c>
      <c r="I150" s="4" t="s">
        <v>2317</v>
      </c>
      <c r="J150" s="4" t="s">
        <v>2316</v>
      </c>
      <c r="K150" s="4" t="s">
        <v>2263</v>
      </c>
      <c r="L150" s="10">
        <v>1</v>
      </c>
      <c r="M150" s="5">
        <v>2132.3942065491183</v>
      </c>
      <c r="N150" s="5">
        <v>2132.3942065491201</v>
      </c>
    </row>
    <row r="151" spans="1:14" x14ac:dyDescent="0.25">
      <c r="A151" s="4" t="s">
        <v>3104</v>
      </c>
      <c r="B151" s="4" t="s">
        <v>3103</v>
      </c>
      <c r="C151" s="4" t="s">
        <v>2320</v>
      </c>
      <c r="D151" s="4" t="s">
        <v>242</v>
      </c>
      <c r="E151" s="4" t="s">
        <v>2721</v>
      </c>
      <c r="F151" s="4" t="s">
        <v>2720</v>
      </c>
      <c r="G151" s="4" t="s">
        <v>2263</v>
      </c>
      <c r="H151" s="9" t="s">
        <v>2263</v>
      </c>
      <c r="I151" s="4" t="s">
        <v>2317</v>
      </c>
      <c r="J151" s="4" t="s">
        <v>2316</v>
      </c>
      <c r="K151" s="4" t="s">
        <v>2263</v>
      </c>
      <c r="L151" s="10">
        <v>1</v>
      </c>
      <c r="M151" s="5">
        <v>2132.3942065491183</v>
      </c>
      <c r="N151" s="5">
        <v>2132.3942065491201</v>
      </c>
    </row>
    <row r="152" spans="1:14" x14ac:dyDescent="0.25">
      <c r="A152" s="4" t="s">
        <v>2673</v>
      </c>
      <c r="B152" s="4" t="s">
        <v>2672</v>
      </c>
      <c r="C152" s="4" t="s">
        <v>2320</v>
      </c>
      <c r="D152" s="4" t="s">
        <v>242</v>
      </c>
      <c r="E152" s="4" t="s">
        <v>2721</v>
      </c>
      <c r="F152" s="4" t="s">
        <v>2720</v>
      </c>
      <c r="G152" s="4" t="s">
        <v>2263</v>
      </c>
      <c r="H152" s="9" t="s">
        <v>2263</v>
      </c>
      <c r="I152" s="4" t="s">
        <v>2317</v>
      </c>
      <c r="J152" s="4" t="s">
        <v>2316</v>
      </c>
      <c r="K152" s="4" t="s">
        <v>2263</v>
      </c>
      <c r="L152" s="10">
        <v>1</v>
      </c>
      <c r="M152" s="5">
        <v>2132.3942065491183</v>
      </c>
      <c r="N152" s="5">
        <v>2132.3942065491201</v>
      </c>
    </row>
    <row r="153" spans="1:14" x14ac:dyDescent="0.25">
      <c r="A153" s="4" t="s">
        <v>2481</v>
      </c>
      <c r="B153" s="4" t="s">
        <v>3217</v>
      </c>
      <c r="C153" s="4" t="s">
        <v>2344</v>
      </c>
      <c r="D153" s="4" t="s">
        <v>237</v>
      </c>
      <c r="E153" s="4" t="s">
        <v>3225</v>
      </c>
      <c r="F153" s="4" t="s">
        <v>2477</v>
      </c>
      <c r="G153" s="4" t="s">
        <v>2263</v>
      </c>
      <c r="H153" s="9" t="s">
        <v>2263</v>
      </c>
      <c r="I153" s="4" t="s">
        <v>2263</v>
      </c>
      <c r="J153" s="4" t="s">
        <v>2263</v>
      </c>
      <c r="K153" s="4" t="s">
        <v>2476</v>
      </c>
      <c r="L153" s="10">
        <v>1</v>
      </c>
      <c r="M153" s="5">
        <v>2172</v>
      </c>
      <c r="N153" s="5">
        <v>2172</v>
      </c>
    </row>
    <row r="154" spans="1:14" x14ac:dyDescent="0.25">
      <c r="A154" s="4" t="s">
        <v>2344</v>
      </c>
      <c r="B154" s="4" t="s">
        <v>5154</v>
      </c>
      <c r="C154" s="4" t="s">
        <v>2274</v>
      </c>
      <c r="D154" s="4" t="s">
        <v>2273</v>
      </c>
      <c r="E154" s="4" t="s">
        <v>4456</v>
      </c>
      <c r="F154" s="4" t="s">
        <v>2527</v>
      </c>
      <c r="G154" s="4" t="s">
        <v>2263</v>
      </c>
      <c r="H154" s="9" t="s">
        <v>2263</v>
      </c>
      <c r="I154" s="4" t="s">
        <v>2263</v>
      </c>
      <c r="J154" s="4" t="s">
        <v>2263</v>
      </c>
      <c r="K154" s="4" t="s">
        <v>2494</v>
      </c>
      <c r="L154" s="10">
        <v>1</v>
      </c>
      <c r="M154" s="5">
        <v>2236.8357692307691</v>
      </c>
      <c r="N154" s="5">
        <v>2236.83576923077</v>
      </c>
    </row>
    <row r="155" spans="1:14" x14ac:dyDescent="0.25">
      <c r="A155" s="4" t="s">
        <v>3104</v>
      </c>
      <c r="B155" s="4" t="s">
        <v>3103</v>
      </c>
      <c r="C155" s="4" t="s">
        <v>2344</v>
      </c>
      <c r="D155" s="4" t="s">
        <v>237</v>
      </c>
      <c r="E155" s="4" t="s">
        <v>3043</v>
      </c>
      <c r="F155" s="4" t="s">
        <v>2458</v>
      </c>
      <c r="G155" s="4" t="s">
        <v>2263</v>
      </c>
      <c r="H155" s="9" t="s">
        <v>2263</v>
      </c>
      <c r="I155" s="4" t="s">
        <v>2263</v>
      </c>
      <c r="J155" s="4" t="s">
        <v>2263</v>
      </c>
      <c r="K155" s="4" t="s">
        <v>2457</v>
      </c>
      <c r="L155" s="10">
        <v>1</v>
      </c>
      <c r="M155" s="5">
        <v>2256.593404255319</v>
      </c>
      <c r="N155" s="5">
        <v>2256.5934042553199</v>
      </c>
    </row>
    <row r="156" spans="1:14" x14ac:dyDescent="0.25">
      <c r="A156" s="4" t="s">
        <v>2865</v>
      </c>
      <c r="B156" s="4" t="s">
        <v>2864</v>
      </c>
      <c r="C156" s="4" t="s">
        <v>2279</v>
      </c>
      <c r="D156" s="4" t="s">
        <v>2278</v>
      </c>
      <c r="E156" s="4" t="s">
        <v>2309</v>
      </c>
      <c r="F156" s="4" t="s">
        <v>2284</v>
      </c>
      <c r="G156" s="4" t="s">
        <v>2263</v>
      </c>
      <c r="H156" s="9" t="s">
        <v>2263</v>
      </c>
      <c r="I156" s="4" t="s">
        <v>2263</v>
      </c>
      <c r="J156" s="4" t="s">
        <v>2263</v>
      </c>
      <c r="K156" s="4" t="s">
        <v>2283</v>
      </c>
      <c r="L156" s="10">
        <v>1</v>
      </c>
      <c r="M156" s="5">
        <v>2291</v>
      </c>
      <c r="N156" s="5">
        <v>2291</v>
      </c>
    </row>
    <row r="157" spans="1:14" x14ac:dyDescent="0.25">
      <c r="A157" s="4" t="s">
        <v>3801</v>
      </c>
      <c r="B157" s="4" t="s">
        <v>4965</v>
      </c>
      <c r="C157" s="4" t="s">
        <v>2320</v>
      </c>
      <c r="D157" s="4" t="s">
        <v>242</v>
      </c>
      <c r="E157" s="4" t="s">
        <v>2729</v>
      </c>
      <c r="F157" s="4" t="s">
        <v>2728</v>
      </c>
      <c r="G157" s="4" t="s">
        <v>2263</v>
      </c>
      <c r="H157" s="9" t="s">
        <v>2263</v>
      </c>
      <c r="I157" s="4" t="s">
        <v>2317</v>
      </c>
      <c r="J157" s="4" t="s">
        <v>2316</v>
      </c>
      <c r="K157" s="4" t="s">
        <v>2263</v>
      </c>
      <c r="L157" s="10">
        <v>1</v>
      </c>
      <c r="M157" s="5">
        <v>2343.1153424657537</v>
      </c>
      <c r="N157" s="5">
        <v>2343.11534246575</v>
      </c>
    </row>
    <row r="158" spans="1:14" x14ac:dyDescent="0.25">
      <c r="A158" s="4" t="s">
        <v>2279</v>
      </c>
      <c r="B158" s="4" t="s">
        <v>4963</v>
      </c>
      <c r="C158" s="4" t="s">
        <v>2320</v>
      </c>
      <c r="D158" s="4" t="s">
        <v>242</v>
      </c>
      <c r="E158" s="4" t="s">
        <v>2729</v>
      </c>
      <c r="F158" s="4" t="s">
        <v>2728</v>
      </c>
      <c r="G158" s="4" t="s">
        <v>2263</v>
      </c>
      <c r="H158" s="9" t="s">
        <v>2263</v>
      </c>
      <c r="I158" s="4" t="s">
        <v>2317</v>
      </c>
      <c r="J158" s="4" t="s">
        <v>2316</v>
      </c>
      <c r="K158" s="4" t="s">
        <v>2263</v>
      </c>
      <c r="L158" s="10">
        <v>1</v>
      </c>
      <c r="M158" s="5">
        <v>2343.1153424657537</v>
      </c>
      <c r="N158" s="5">
        <v>2343.11534246575</v>
      </c>
    </row>
    <row r="159" spans="1:14" x14ac:dyDescent="0.25">
      <c r="A159" s="4" t="s">
        <v>2481</v>
      </c>
      <c r="B159" s="4" t="s">
        <v>3217</v>
      </c>
      <c r="C159" s="4" t="s">
        <v>2320</v>
      </c>
      <c r="D159" s="4" t="s">
        <v>242</v>
      </c>
      <c r="E159" s="4" t="s">
        <v>2729</v>
      </c>
      <c r="F159" s="4" t="s">
        <v>2728</v>
      </c>
      <c r="G159" s="4" t="s">
        <v>2263</v>
      </c>
      <c r="H159" s="9" t="s">
        <v>2263</v>
      </c>
      <c r="I159" s="4" t="s">
        <v>2317</v>
      </c>
      <c r="J159" s="4" t="s">
        <v>2316</v>
      </c>
      <c r="K159" s="4" t="s">
        <v>2263</v>
      </c>
      <c r="L159" s="10">
        <v>1</v>
      </c>
      <c r="M159" s="5">
        <v>2343.1153424657537</v>
      </c>
      <c r="N159" s="5">
        <v>2343.11534246575</v>
      </c>
    </row>
    <row r="160" spans="1:14" x14ac:dyDescent="0.25">
      <c r="A160" s="4" t="s">
        <v>2384</v>
      </c>
      <c r="B160" s="4" t="s">
        <v>3187</v>
      </c>
      <c r="C160" s="4" t="s">
        <v>2320</v>
      </c>
      <c r="D160" s="4" t="s">
        <v>242</v>
      </c>
      <c r="E160" s="4" t="s">
        <v>2729</v>
      </c>
      <c r="F160" s="4" t="s">
        <v>2728</v>
      </c>
      <c r="G160" s="4" t="s">
        <v>2263</v>
      </c>
      <c r="H160" s="9" t="s">
        <v>2263</v>
      </c>
      <c r="I160" s="4" t="s">
        <v>2317</v>
      </c>
      <c r="J160" s="4" t="s">
        <v>2316</v>
      </c>
      <c r="K160" s="4" t="s">
        <v>2263</v>
      </c>
      <c r="L160" s="10">
        <v>1</v>
      </c>
      <c r="M160" s="5">
        <v>2343.1153424657537</v>
      </c>
      <c r="N160" s="5">
        <v>2343.11534246575</v>
      </c>
    </row>
    <row r="161" spans="1:14" x14ac:dyDescent="0.25">
      <c r="A161" s="4" t="s">
        <v>3174</v>
      </c>
      <c r="B161" s="4" t="s">
        <v>3173</v>
      </c>
      <c r="C161" s="4" t="s">
        <v>2320</v>
      </c>
      <c r="D161" s="4" t="s">
        <v>242</v>
      </c>
      <c r="E161" s="4" t="s">
        <v>2729</v>
      </c>
      <c r="F161" s="4" t="s">
        <v>2728</v>
      </c>
      <c r="G161" s="4" t="s">
        <v>2263</v>
      </c>
      <c r="H161" s="9" t="s">
        <v>2263</v>
      </c>
      <c r="I161" s="4" t="s">
        <v>2317</v>
      </c>
      <c r="J161" s="4" t="s">
        <v>2316</v>
      </c>
      <c r="K161" s="4" t="s">
        <v>2263</v>
      </c>
      <c r="L161" s="10">
        <v>1</v>
      </c>
      <c r="M161" s="5">
        <v>2343.1153424657537</v>
      </c>
      <c r="N161" s="5">
        <v>2343.11534246575</v>
      </c>
    </row>
    <row r="162" spans="1:14" x14ac:dyDescent="0.25">
      <c r="A162" s="4" t="s">
        <v>3157</v>
      </c>
      <c r="B162" s="4" t="s">
        <v>3156</v>
      </c>
      <c r="C162" s="4" t="s">
        <v>2320</v>
      </c>
      <c r="D162" s="4" t="s">
        <v>242</v>
      </c>
      <c r="E162" s="4" t="s">
        <v>2729</v>
      </c>
      <c r="F162" s="4" t="s">
        <v>2728</v>
      </c>
      <c r="G162" s="4" t="s">
        <v>2263</v>
      </c>
      <c r="H162" s="9" t="s">
        <v>2263</v>
      </c>
      <c r="I162" s="4" t="s">
        <v>2317</v>
      </c>
      <c r="J162" s="4" t="s">
        <v>2316</v>
      </c>
      <c r="K162" s="4" t="s">
        <v>2263</v>
      </c>
      <c r="L162" s="10">
        <v>1</v>
      </c>
      <c r="M162" s="5">
        <v>2343.1153424657537</v>
      </c>
      <c r="N162" s="5">
        <v>2343.11534246575</v>
      </c>
    </row>
    <row r="163" spans="1:14" x14ac:dyDescent="0.25">
      <c r="A163" s="4" t="s">
        <v>3104</v>
      </c>
      <c r="B163" s="4" t="s">
        <v>3103</v>
      </c>
      <c r="C163" s="4" t="s">
        <v>2320</v>
      </c>
      <c r="D163" s="4" t="s">
        <v>242</v>
      </c>
      <c r="E163" s="4" t="s">
        <v>2729</v>
      </c>
      <c r="F163" s="4" t="s">
        <v>2728</v>
      </c>
      <c r="G163" s="4" t="s">
        <v>2263</v>
      </c>
      <c r="H163" s="9" t="s">
        <v>2263</v>
      </c>
      <c r="I163" s="4" t="s">
        <v>2317</v>
      </c>
      <c r="J163" s="4" t="s">
        <v>2316</v>
      </c>
      <c r="K163" s="4" t="s">
        <v>2263</v>
      </c>
      <c r="L163" s="10">
        <v>1</v>
      </c>
      <c r="M163" s="5">
        <v>2343.1153424657537</v>
      </c>
      <c r="N163" s="5">
        <v>2343.11534246575</v>
      </c>
    </row>
    <row r="164" spans="1:14" x14ac:dyDescent="0.25">
      <c r="A164" s="4" t="s">
        <v>2673</v>
      </c>
      <c r="B164" s="4" t="s">
        <v>2672</v>
      </c>
      <c r="C164" s="4" t="s">
        <v>2320</v>
      </c>
      <c r="D164" s="4" t="s">
        <v>242</v>
      </c>
      <c r="E164" s="4" t="s">
        <v>2729</v>
      </c>
      <c r="F164" s="4" t="s">
        <v>2728</v>
      </c>
      <c r="G164" s="4" t="s">
        <v>2263</v>
      </c>
      <c r="H164" s="9" t="s">
        <v>2263</v>
      </c>
      <c r="I164" s="4" t="s">
        <v>2317</v>
      </c>
      <c r="J164" s="4" t="s">
        <v>2316</v>
      </c>
      <c r="K164" s="4" t="s">
        <v>2263</v>
      </c>
      <c r="L164" s="10">
        <v>1</v>
      </c>
      <c r="M164" s="5">
        <v>2343.1153424657537</v>
      </c>
      <c r="N164" s="5">
        <v>2343.11534246575</v>
      </c>
    </row>
    <row r="165" spans="1:14" x14ac:dyDescent="0.25">
      <c r="A165" s="4" t="s">
        <v>2344</v>
      </c>
      <c r="B165" s="4" t="s">
        <v>5154</v>
      </c>
      <c r="C165" s="4" t="s">
        <v>2320</v>
      </c>
      <c r="D165" s="4" t="s">
        <v>242</v>
      </c>
      <c r="E165" s="4" t="s">
        <v>3026</v>
      </c>
      <c r="F165" s="4" t="s">
        <v>3025</v>
      </c>
      <c r="G165" s="4" t="s">
        <v>2263</v>
      </c>
      <c r="H165" s="9" t="s">
        <v>2263</v>
      </c>
      <c r="I165" s="4" t="s">
        <v>2317</v>
      </c>
      <c r="J165" s="4" t="s">
        <v>2316</v>
      </c>
      <c r="K165" s="4" t="s">
        <v>2263</v>
      </c>
      <c r="L165" s="10">
        <v>1</v>
      </c>
      <c r="M165" s="5">
        <v>2355.9733333333334</v>
      </c>
      <c r="N165" s="5">
        <v>2355.9733333333302</v>
      </c>
    </row>
    <row r="166" spans="1:14" x14ac:dyDescent="0.25">
      <c r="A166" s="4" t="s">
        <v>3102</v>
      </c>
      <c r="B166" s="4" t="s">
        <v>3101</v>
      </c>
      <c r="C166" s="4" t="s">
        <v>2320</v>
      </c>
      <c r="D166" s="4" t="s">
        <v>242</v>
      </c>
      <c r="E166" s="4" t="s">
        <v>3026</v>
      </c>
      <c r="F166" s="4" t="s">
        <v>3025</v>
      </c>
      <c r="G166" s="4" t="s">
        <v>2263</v>
      </c>
      <c r="H166" s="9" t="s">
        <v>2263</v>
      </c>
      <c r="I166" s="4" t="s">
        <v>2317</v>
      </c>
      <c r="J166" s="4" t="s">
        <v>2316</v>
      </c>
      <c r="K166" s="4" t="s">
        <v>2263</v>
      </c>
      <c r="L166" s="10">
        <v>1</v>
      </c>
      <c r="M166" s="5">
        <v>2355.9733333333334</v>
      </c>
      <c r="N166" s="5">
        <v>2355.9733333333302</v>
      </c>
    </row>
    <row r="167" spans="1:14" x14ac:dyDescent="0.25">
      <c r="A167" s="4" t="s">
        <v>3024</v>
      </c>
      <c r="B167" s="4" t="s">
        <v>3023</v>
      </c>
      <c r="C167" s="4" t="s">
        <v>2320</v>
      </c>
      <c r="D167" s="4" t="s">
        <v>242</v>
      </c>
      <c r="E167" s="4" t="s">
        <v>3026</v>
      </c>
      <c r="F167" s="4" t="s">
        <v>3025</v>
      </c>
      <c r="G167" s="4" t="s">
        <v>2263</v>
      </c>
      <c r="H167" s="9" t="s">
        <v>2263</v>
      </c>
      <c r="I167" s="4" t="s">
        <v>2317</v>
      </c>
      <c r="J167" s="4" t="s">
        <v>2316</v>
      </c>
      <c r="K167" s="4" t="s">
        <v>2263</v>
      </c>
      <c r="L167" s="10">
        <v>1</v>
      </c>
      <c r="M167" s="5">
        <v>2355.9733333333334</v>
      </c>
      <c r="N167" s="5">
        <v>2355.9733333333302</v>
      </c>
    </row>
    <row r="168" spans="1:14" x14ac:dyDescent="0.25">
      <c r="A168" s="4" t="s">
        <v>2344</v>
      </c>
      <c r="B168" s="4" t="s">
        <v>5154</v>
      </c>
      <c r="C168" s="4" t="s">
        <v>2344</v>
      </c>
      <c r="D168" s="4" t="s">
        <v>237</v>
      </c>
      <c r="E168" s="4" t="s">
        <v>5378</v>
      </c>
      <c r="F168" s="4" t="s">
        <v>5377</v>
      </c>
      <c r="G168" s="4" t="s">
        <v>2263</v>
      </c>
      <c r="H168" s="9" t="s">
        <v>2263</v>
      </c>
      <c r="I168" s="4" t="s">
        <v>2263</v>
      </c>
      <c r="J168" s="4" t="s">
        <v>2263</v>
      </c>
      <c r="K168" s="4" t="s">
        <v>2341</v>
      </c>
      <c r="L168" s="10">
        <v>1</v>
      </c>
      <c r="M168" s="5">
        <v>2489.9699999999998</v>
      </c>
      <c r="N168" s="5">
        <v>2489.9699999999998</v>
      </c>
    </row>
    <row r="169" spans="1:14" x14ac:dyDescent="0.25">
      <c r="A169" s="4" t="s">
        <v>3801</v>
      </c>
      <c r="B169" s="4" t="s">
        <v>4965</v>
      </c>
      <c r="C169" s="4" t="s">
        <v>2320</v>
      </c>
      <c r="D169" s="4" t="s">
        <v>242</v>
      </c>
      <c r="E169" s="4" t="s">
        <v>2727</v>
      </c>
      <c r="F169" s="4" t="s">
        <v>2726</v>
      </c>
      <c r="G169" s="4" t="s">
        <v>2263</v>
      </c>
      <c r="H169" s="9" t="s">
        <v>2263</v>
      </c>
      <c r="I169" s="4" t="s">
        <v>2317</v>
      </c>
      <c r="J169" s="4" t="s">
        <v>2316</v>
      </c>
      <c r="K169" s="4" t="s">
        <v>2263</v>
      </c>
      <c r="L169" s="10">
        <v>1</v>
      </c>
      <c r="M169" s="5">
        <v>2529.7741935483873</v>
      </c>
      <c r="N169" s="5">
        <v>2529.77419354839</v>
      </c>
    </row>
    <row r="170" spans="1:14" x14ac:dyDescent="0.25">
      <c r="A170" s="4" t="s">
        <v>2279</v>
      </c>
      <c r="B170" s="4" t="s">
        <v>4963</v>
      </c>
      <c r="C170" s="4" t="s">
        <v>2320</v>
      </c>
      <c r="D170" s="4" t="s">
        <v>242</v>
      </c>
      <c r="E170" s="4" t="s">
        <v>2727</v>
      </c>
      <c r="F170" s="4" t="s">
        <v>2726</v>
      </c>
      <c r="G170" s="4" t="s">
        <v>2263</v>
      </c>
      <c r="H170" s="9" t="s">
        <v>2263</v>
      </c>
      <c r="I170" s="4" t="s">
        <v>2317</v>
      </c>
      <c r="J170" s="4" t="s">
        <v>2316</v>
      </c>
      <c r="K170" s="4" t="s">
        <v>2263</v>
      </c>
      <c r="L170" s="10">
        <v>1</v>
      </c>
      <c r="M170" s="5">
        <v>2529.7741935483873</v>
      </c>
      <c r="N170" s="5">
        <v>2529.77419354839</v>
      </c>
    </row>
    <row r="171" spans="1:14" x14ac:dyDescent="0.25">
      <c r="A171" s="4" t="s">
        <v>2481</v>
      </c>
      <c r="B171" s="4" t="s">
        <v>3217</v>
      </c>
      <c r="C171" s="4" t="s">
        <v>2320</v>
      </c>
      <c r="D171" s="4" t="s">
        <v>242</v>
      </c>
      <c r="E171" s="4" t="s">
        <v>2727</v>
      </c>
      <c r="F171" s="4" t="s">
        <v>2726</v>
      </c>
      <c r="G171" s="4" t="s">
        <v>2263</v>
      </c>
      <c r="H171" s="9" t="s">
        <v>2263</v>
      </c>
      <c r="I171" s="4" t="s">
        <v>2317</v>
      </c>
      <c r="J171" s="4" t="s">
        <v>2316</v>
      </c>
      <c r="K171" s="4" t="s">
        <v>2263</v>
      </c>
      <c r="L171" s="10">
        <v>1</v>
      </c>
      <c r="M171" s="5">
        <v>2529.7741935483873</v>
      </c>
      <c r="N171" s="5">
        <v>2529.77419354839</v>
      </c>
    </row>
    <row r="172" spans="1:14" x14ac:dyDescent="0.25">
      <c r="A172" s="4" t="s">
        <v>3196</v>
      </c>
      <c r="B172" s="4" t="s">
        <v>3195</v>
      </c>
      <c r="C172" s="4" t="s">
        <v>2320</v>
      </c>
      <c r="D172" s="4" t="s">
        <v>242</v>
      </c>
      <c r="E172" s="4" t="s">
        <v>2727</v>
      </c>
      <c r="F172" s="4" t="s">
        <v>2726</v>
      </c>
      <c r="G172" s="4" t="s">
        <v>2263</v>
      </c>
      <c r="H172" s="9" t="s">
        <v>2263</v>
      </c>
      <c r="I172" s="4" t="s">
        <v>2317</v>
      </c>
      <c r="J172" s="4" t="s">
        <v>2316</v>
      </c>
      <c r="K172" s="4" t="s">
        <v>2263</v>
      </c>
      <c r="L172" s="10">
        <v>1</v>
      </c>
      <c r="M172" s="5">
        <v>2529.7741935483873</v>
      </c>
      <c r="N172" s="5">
        <v>2529.77419354839</v>
      </c>
    </row>
    <row r="173" spans="1:14" x14ac:dyDescent="0.25">
      <c r="A173" s="4" t="s">
        <v>3174</v>
      </c>
      <c r="B173" s="4" t="s">
        <v>3173</v>
      </c>
      <c r="C173" s="4" t="s">
        <v>2320</v>
      </c>
      <c r="D173" s="4" t="s">
        <v>242</v>
      </c>
      <c r="E173" s="4" t="s">
        <v>2727</v>
      </c>
      <c r="F173" s="4" t="s">
        <v>2726</v>
      </c>
      <c r="G173" s="4" t="s">
        <v>2263</v>
      </c>
      <c r="H173" s="9" t="s">
        <v>2263</v>
      </c>
      <c r="I173" s="4" t="s">
        <v>2317</v>
      </c>
      <c r="J173" s="4" t="s">
        <v>2316</v>
      </c>
      <c r="K173" s="4" t="s">
        <v>2263</v>
      </c>
      <c r="L173" s="10">
        <v>1</v>
      </c>
      <c r="M173" s="5">
        <v>2529.7741935483873</v>
      </c>
      <c r="N173" s="5">
        <v>2529.77419354839</v>
      </c>
    </row>
    <row r="174" spans="1:14" x14ac:dyDescent="0.25">
      <c r="A174" s="4" t="s">
        <v>3157</v>
      </c>
      <c r="B174" s="4" t="s">
        <v>3156</v>
      </c>
      <c r="C174" s="4" t="s">
        <v>2320</v>
      </c>
      <c r="D174" s="4" t="s">
        <v>242</v>
      </c>
      <c r="E174" s="4" t="s">
        <v>2727</v>
      </c>
      <c r="F174" s="4" t="s">
        <v>2726</v>
      </c>
      <c r="G174" s="4" t="s">
        <v>2263</v>
      </c>
      <c r="H174" s="9" t="s">
        <v>2263</v>
      </c>
      <c r="I174" s="4" t="s">
        <v>2317</v>
      </c>
      <c r="J174" s="4" t="s">
        <v>2316</v>
      </c>
      <c r="K174" s="4" t="s">
        <v>2263</v>
      </c>
      <c r="L174" s="10">
        <v>1</v>
      </c>
      <c r="M174" s="5">
        <v>2529.7741935483873</v>
      </c>
      <c r="N174" s="5">
        <v>2529.77419354839</v>
      </c>
    </row>
    <row r="175" spans="1:14" x14ac:dyDescent="0.25">
      <c r="A175" s="4" t="s">
        <v>3104</v>
      </c>
      <c r="B175" s="4" t="s">
        <v>3103</v>
      </c>
      <c r="C175" s="4" t="s">
        <v>2320</v>
      </c>
      <c r="D175" s="4" t="s">
        <v>242</v>
      </c>
      <c r="E175" s="4" t="s">
        <v>2727</v>
      </c>
      <c r="F175" s="4" t="s">
        <v>2726</v>
      </c>
      <c r="G175" s="4" t="s">
        <v>2263</v>
      </c>
      <c r="H175" s="9" t="s">
        <v>2263</v>
      </c>
      <c r="I175" s="4" t="s">
        <v>2317</v>
      </c>
      <c r="J175" s="4" t="s">
        <v>2316</v>
      </c>
      <c r="K175" s="4" t="s">
        <v>2263</v>
      </c>
      <c r="L175" s="10">
        <v>1</v>
      </c>
      <c r="M175" s="5">
        <v>2529.7741935483873</v>
      </c>
      <c r="N175" s="5">
        <v>2529.77419354839</v>
      </c>
    </row>
    <row r="176" spans="1:14" x14ac:dyDescent="0.25">
      <c r="A176" s="4" t="s">
        <v>3051</v>
      </c>
      <c r="B176" s="4" t="s">
        <v>3050</v>
      </c>
      <c r="C176" s="4" t="s">
        <v>2320</v>
      </c>
      <c r="D176" s="4" t="s">
        <v>242</v>
      </c>
      <c r="E176" s="4" t="s">
        <v>2727</v>
      </c>
      <c r="F176" s="4" t="s">
        <v>2726</v>
      </c>
      <c r="G176" s="4" t="s">
        <v>2263</v>
      </c>
      <c r="H176" s="9" t="s">
        <v>2263</v>
      </c>
      <c r="I176" s="4" t="s">
        <v>2317</v>
      </c>
      <c r="J176" s="4" t="s">
        <v>2316</v>
      </c>
      <c r="K176" s="4" t="s">
        <v>2263</v>
      </c>
      <c r="L176" s="10">
        <v>1</v>
      </c>
      <c r="M176" s="5">
        <v>2529.7741935483873</v>
      </c>
      <c r="N176" s="5">
        <v>2529.77419354839</v>
      </c>
    </row>
    <row r="177" spans="1:14" x14ac:dyDescent="0.25">
      <c r="A177" s="4" t="s">
        <v>3024</v>
      </c>
      <c r="B177" s="4" t="s">
        <v>3023</v>
      </c>
      <c r="C177" s="4" t="s">
        <v>2320</v>
      </c>
      <c r="D177" s="4" t="s">
        <v>242</v>
      </c>
      <c r="E177" s="4" t="s">
        <v>2727</v>
      </c>
      <c r="F177" s="4" t="s">
        <v>2726</v>
      </c>
      <c r="G177" s="4" t="s">
        <v>2263</v>
      </c>
      <c r="H177" s="9" t="s">
        <v>2263</v>
      </c>
      <c r="I177" s="4" t="s">
        <v>2317</v>
      </c>
      <c r="J177" s="4" t="s">
        <v>2316</v>
      </c>
      <c r="K177" s="4" t="s">
        <v>2263</v>
      </c>
      <c r="L177" s="10">
        <v>1</v>
      </c>
      <c r="M177" s="5">
        <v>2529.7741935483873</v>
      </c>
      <c r="N177" s="5">
        <v>2529.77419354839</v>
      </c>
    </row>
    <row r="178" spans="1:14" x14ac:dyDescent="0.25">
      <c r="A178" s="4" t="s">
        <v>2673</v>
      </c>
      <c r="B178" s="4" t="s">
        <v>2672</v>
      </c>
      <c r="C178" s="4" t="s">
        <v>2320</v>
      </c>
      <c r="D178" s="4" t="s">
        <v>242</v>
      </c>
      <c r="E178" s="4" t="s">
        <v>2727</v>
      </c>
      <c r="F178" s="4" t="s">
        <v>2726</v>
      </c>
      <c r="G178" s="4" t="s">
        <v>2263</v>
      </c>
      <c r="H178" s="9" t="s">
        <v>2263</v>
      </c>
      <c r="I178" s="4" t="s">
        <v>2317</v>
      </c>
      <c r="J178" s="4" t="s">
        <v>2316</v>
      </c>
      <c r="K178" s="4" t="s">
        <v>2263</v>
      </c>
      <c r="L178" s="10">
        <v>1</v>
      </c>
      <c r="M178" s="5">
        <v>2529.7741935483873</v>
      </c>
      <c r="N178" s="5">
        <v>2529.77419354839</v>
      </c>
    </row>
    <row r="179" spans="1:14" x14ac:dyDescent="0.25">
      <c r="A179" s="4" t="s">
        <v>2384</v>
      </c>
      <c r="B179" s="4" t="s">
        <v>3187</v>
      </c>
      <c r="C179" s="4" t="s">
        <v>2320</v>
      </c>
      <c r="D179" s="4" t="s">
        <v>242</v>
      </c>
      <c r="E179" s="4" t="s">
        <v>3066</v>
      </c>
      <c r="F179" s="4" t="s">
        <v>3065</v>
      </c>
      <c r="G179" s="4" t="s">
        <v>2263</v>
      </c>
      <c r="H179" s="9" t="s">
        <v>2263</v>
      </c>
      <c r="I179" s="4" t="s">
        <v>2317</v>
      </c>
      <c r="J179" s="4" t="s">
        <v>2316</v>
      </c>
      <c r="K179" s="4" t="s">
        <v>2263</v>
      </c>
      <c r="L179" s="10">
        <v>1</v>
      </c>
      <c r="M179" s="5">
        <v>2559</v>
      </c>
      <c r="N179" s="5">
        <v>2559</v>
      </c>
    </row>
    <row r="180" spans="1:14" x14ac:dyDescent="0.25">
      <c r="A180" s="4" t="s">
        <v>3063</v>
      </c>
      <c r="B180" s="4" t="s">
        <v>3062</v>
      </c>
      <c r="C180" s="4" t="s">
        <v>2320</v>
      </c>
      <c r="D180" s="4" t="s">
        <v>242</v>
      </c>
      <c r="E180" s="4" t="s">
        <v>3066</v>
      </c>
      <c r="F180" s="4" t="s">
        <v>3065</v>
      </c>
      <c r="G180" s="4" t="s">
        <v>2263</v>
      </c>
      <c r="H180" s="9" t="s">
        <v>2263</v>
      </c>
      <c r="I180" s="4" t="s">
        <v>2317</v>
      </c>
      <c r="J180" s="4" t="s">
        <v>2316</v>
      </c>
      <c r="K180" s="4" t="s">
        <v>2263</v>
      </c>
      <c r="L180" s="10">
        <v>1</v>
      </c>
      <c r="M180" s="5">
        <v>2559</v>
      </c>
      <c r="N180" s="5">
        <v>2559</v>
      </c>
    </row>
    <row r="181" spans="1:14" x14ac:dyDescent="0.25">
      <c r="A181" s="4" t="s">
        <v>3051</v>
      </c>
      <c r="B181" s="4" t="s">
        <v>3050</v>
      </c>
      <c r="C181" s="4" t="s">
        <v>2344</v>
      </c>
      <c r="D181" s="4" t="s">
        <v>237</v>
      </c>
      <c r="E181" s="4" t="s">
        <v>2747</v>
      </c>
      <c r="F181" s="4" t="s">
        <v>2640</v>
      </c>
      <c r="G181" s="4" t="s">
        <v>2263</v>
      </c>
      <c r="H181" s="9" t="s">
        <v>2263</v>
      </c>
      <c r="I181" s="4" t="s">
        <v>2263</v>
      </c>
      <c r="J181" s="4" t="s">
        <v>2263</v>
      </c>
      <c r="K181" s="4" t="s">
        <v>2557</v>
      </c>
      <c r="L181" s="10">
        <v>1</v>
      </c>
      <c r="M181" s="5">
        <v>2745.2384554455443</v>
      </c>
      <c r="N181" s="5">
        <v>2745.2384554455398</v>
      </c>
    </row>
    <row r="182" spans="1:14" x14ac:dyDescent="0.25">
      <c r="A182" s="4" t="s">
        <v>2673</v>
      </c>
      <c r="B182" s="4" t="s">
        <v>2672</v>
      </c>
      <c r="C182" s="4" t="s">
        <v>2344</v>
      </c>
      <c r="D182" s="4" t="s">
        <v>237</v>
      </c>
      <c r="E182" s="4" t="s">
        <v>2747</v>
      </c>
      <c r="F182" s="4" t="s">
        <v>2640</v>
      </c>
      <c r="G182" s="4" t="s">
        <v>2263</v>
      </c>
      <c r="H182" s="9" t="s">
        <v>2263</v>
      </c>
      <c r="I182" s="4" t="s">
        <v>2263</v>
      </c>
      <c r="J182" s="4" t="s">
        <v>2263</v>
      </c>
      <c r="K182" s="4" t="s">
        <v>2557</v>
      </c>
      <c r="L182" s="10">
        <v>1</v>
      </c>
      <c r="M182" s="5">
        <v>2745.2384554455443</v>
      </c>
      <c r="N182" s="5">
        <v>2745.2384554455398</v>
      </c>
    </row>
    <row r="183" spans="1:14" x14ac:dyDescent="0.25">
      <c r="A183" s="4" t="s">
        <v>2320</v>
      </c>
      <c r="B183" s="4" t="s">
        <v>4967</v>
      </c>
      <c r="C183" s="4" t="s">
        <v>2344</v>
      </c>
      <c r="D183" s="4" t="s">
        <v>237</v>
      </c>
      <c r="E183" s="4" t="s">
        <v>5134</v>
      </c>
      <c r="F183" s="4" t="s">
        <v>5133</v>
      </c>
      <c r="G183" s="4" t="s">
        <v>2263</v>
      </c>
      <c r="H183" s="9" t="s">
        <v>2263</v>
      </c>
      <c r="I183" s="4" t="s">
        <v>2263</v>
      </c>
      <c r="J183" s="4" t="s">
        <v>2263</v>
      </c>
      <c r="K183" s="4" t="s">
        <v>2494</v>
      </c>
      <c r="L183" s="10">
        <v>1</v>
      </c>
      <c r="M183" s="5">
        <v>2788.68</v>
      </c>
      <c r="N183" s="5">
        <v>2788.68</v>
      </c>
    </row>
    <row r="184" spans="1:14" x14ac:dyDescent="0.25">
      <c r="A184" s="4" t="s">
        <v>3203</v>
      </c>
      <c r="B184" s="4" t="s">
        <v>3202</v>
      </c>
      <c r="C184" s="4" t="s">
        <v>2320</v>
      </c>
      <c r="D184" s="4" t="s">
        <v>242</v>
      </c>
      <c r="E184" s="4" t="s">
        <v>3211</v>
      </c>
      <c r="F184" s="4" t="s">
        <v>3210</v>
      </c>
      <c r="G184" s="4" t="s">
        <v>2263</v>
      </c>
      <c r="H184" s="9" t="s">
        <v>2263</v>
      </c>
      <c r="I184" s="4" t="s">
        <v>2317</v>
      </c>
      <c r="J184" s="4" t="s">
        <v>2316</v>
      </c>
      <c r="K184" s="4" t="s">
        <v>2263</v>
      </c>
      <c r="L184" s="10">
        <v>1</v>
      </c>
      <c r="M184" s="5">
        <v>2791</v>
      </c>
      <c r="N184" s="5">
        <v>2791</v>
      </c>
    </row>
    <row r="185" spans="1:14" x14ac:dyDescent="0.25">
      <c r="A185" s="4" t="s">
        <v>2344</v>
      </c>
      <c r="B185" s="4" t="s">
        <v>5154</v>
      </c>
      <c r="C185" s="4" t="s">
        <v>2344</v>
      </c>
      <c r="D185" s="4" t="s">
        <v>237</v>
      </c>
      <c r="E185" s="4" t="s">
        <v>4857</v>
      </c>
      <c r="F185" s="4" t="s">
        <v>4856</v>
      </c>
      <c r="G185" s="4" t="s">
        <v>2263</v>
      </c>
      <c r="H185" s="9" t="s">
        <v>2263</v>
      </c>
      <c r="I185" s="4" t="s">
        <v>2263</v>
      </c>
      <c r="J185" s="4" t="s">
        <v>2263</v>
      </c>
      <c r="K185" s="4" t="s">
        <v>4855</v>
      </c>
      <c r="L185" s="10">
        <v>1</v>
      </c>
      <c r="M185" s="5">
        <v>2803</v>
      </c>
      <c r="N185" s="5">
        <v>2803</v>
      </c>
    </row>
    <row r="186" spans="1:14" x14ac:dyDescent="0.25">
      <c r="A186" s="4" t="s">
        <v>2274</v>
      </c>
      <c r="B186" s="4" t="s">
        <v>4348</v>
      </c>
      <c r="C186" s="4" t="s">
        <v>2344</v>
      </c>
      <c r="D186" s="4" t="s">
        <v>237</v>
      </c>
      <c r="E186" s="4" t="s">
        <v>4857</v>
      </c>
      <c r="F186" s="4" t="s">
        <v>4856</v>
      </c>
      <c r="G186" s="4" t="s">
        <v>2263</v>
      </c>
      <c r="H186" s="9" t="s">
        <v>2263</v>
      </c>
      <c r="I186" s="4" t="s">
        <v>2263</v>
      </c>
      <c r="J186" s="4" t="s">
        <v>2263</v>
      </c>
      <c r="K186" s="4" t="s">
        <v>4855</v>
      </c>
      <c r="L186" s="10">
        <v>1</v>
      </c>
      <c r="M186" s="5">
        <v>2803</v>
      </c>
      <c r="N186" s="5">
        <v>2803</v>
      </c>
    </row>
    <row r="187" spans="1:14" x14ac:dyDescent="0.25">
      <c r="A187" s="4" t="s">
        <v>2320</v>
      </c>
      <c r="B187" s="4" t="s">
        <v>4967</v>
      </c>
      <c r="C187" s="4" t="s">
        <v>2320</v>
      </c>
      <c r="D187" s="4" t="s">
        <v>242</v>
      </c>
      <c r="E187" s="4" t="s">
        <v>3865</v>
      </c>
      <c r="F187" s="4" t="s">
        <v>3864</v>
      </c>
      <c r="G187" s="4" t="s">
        <v>2263</v>
      </c>
      <c r="H187" s="9" t="s">
        <v>2263</v>
      </c>
      <c r="I187" s="4" t="s">
        <v>2317</v>
      </c>
      <c r="J187" s="4" t="s">
        <v>2316</v>
      </c>
      <c r="K187" s="4" t="s">
        <v>2263</v>
      </c>
      <c r="L187" s="10">
        <v>1</v>
      </c>
      <c r="M187" s="5">
        <v>2900</v>
      </c>
      <c r="N187" s="5">
        <v>2900</v>
      </c>
    </row>
    <row r="188" spans="1:14" x14ac:dyDescent="0.25">
      <c r="A188" s="4" t="s">
        <v>3203</v>
      </c>
      <c r="B188" s="4" t="s">
        <v>3202</v>
      </c>
      <c r="C188" s="4" t="s">
        <v>2320</v>
      </c>
      <c r="D188" s="4" t="s">
        <v>242</v>
      </c>
      <c r="E188" s="4" t="s">
        <v>3209</v>
      </c>
      <c r="F188" s="4" t="s">
        <v>3208</v>
      </c>
      <c r="G188" s="4" t="s">
        <v>2263</v>
      </c>
      <c r="H188" s="9" t="s">
        <v>2263</v>
      </c>
      <c r="I188" s="4" t="s">
        <v>2317</v>
      </c>
      <c r="J188" s="4" t="s">
        <v>2316</v>
      </c>
      <c r="K188" s="4" t="s">
        <v>2263</v>
      </c>
      <c r="L188" s="10">
        <v>1</v>
      </c>
      <c r="M188" s="5">
        <v>2900</v>
      </c>
      <c r="N188" s="5">
        <v>2900</v>
      </c>
    </row>
    <row r="189" spans="1:14" x14ac:dyDescent="0.25">
      <c r="A189" s="4" t="s">
        <v>2320</v>
      </c>
      <c r="B189" s="4" t="s">
        <v>4967</v>
      </c>
      <c r="C189" s="4" t="s">
        <v>2344</v>
      </c>
      <c r="D189" s="4" t="s">
        <v>237</v>
      </c>
      <c r="E189" s="4" t="s">
        <v>2478</v>
      </c>
      <c r="F189" s="4" t="s">
        <v>2477</v>
      </c>
      <c r="G189" s="4" t="s">
        <v>2263</v>
      </c>
      <c r="H189" s="9" t="s">
        <v>2263</v>
      </c>
      <c r="I189" s="4" t="s">
        <v>2263</v>
      </c>
      <c r="J189" s="4" t="s">
        <v>2263</v>
      </c>
      <c r="K189" s="4" t="s">
        <v>2476</v>
      </c>
      <c r="L189" s="10">
        <v>1</v>
      </c>
      <c r="M189" s="5">
        <v>2915.8510465116278</v>
      </c>
      <c r="N189" s="5">
        <v>2915.8510465116301</v>
      </c>
    </row>
    <row r="190" spans="1:14" x14ac:dyDescent="0.25">
      <c r="A190" s="4" t="s">
        <v>3801</v>
      </c>
      <c r="B190" s="4" t="s">
        <v>4965</v>
      </c>
      <c r="C190" s="4" t="s">
        <v>2344</v>
      </c>
      <c r="D190" s="4" t="s">
        <v>237</v>
      </c>
      <c r="E190" s="4" t="s">
        <v>2478</v>
      </c>
      <c r="F190" s="4" t="s">
        <v>2477</v>
      </c>
      <c r="G190" s="4" t="s">
        <v>2263</v>
      </c>
      <c r="H190" s="9" t="s">
        <v>2263</v>
      </c>
      <c r="I190" s="4" t="s">
        <v>2263</v>
      </c>
      <c r="J190" s="4" t="s">
        <v>2263</v>
      </c>
      <c r="K190" s="4" t="s">
        <v>2476</v>
      </c>
      <c r="L190" s="10">
        <v>1</v>
      </c>
      <c r="M190" s="5">
        <v>2915.8510465116278</v>
      </c>
      <c r="N190" s="5">
        <v>2915.8510465116301</v>
      </c>
    </row>
    <row r="191" spans="1:14" x14ac:dyDescent="0.25">
      <c r="A191" s="4" t="s">
        <v>2279</v>
      </c>
      <c r="B191" s="4" t="s">
        <v>4963</v>
      </c>
      <c r="C191" s="4" t="s">
        <v>2344</v>
      </c>
      <c r="D191" s="4" t="s">
        <v>237</v>
      </c>
      <c r="E191" s="4" t="s">
        <v>2478</v>
      </c>
      <c r="F191" s="4" t="s">
        <v>2477</v>
      </c>
      <c r="G191" s="4" t="s">
        <v>2263</v>
      </c>
      <c r="H191" s="9" t="s">
        <v>2263</v>
      </c>
      <c r="I191" s="4" t="s">
        <v>2263</v>
      </c>
      <c r="J191" s="4" t="s">
        <v>2263</v>
      </c>
      <c r="K191" s="4" t="s">
        <v>2476</v>
      </c>
      <c r="L191" s="10">
        <v>1</v>
      </c>
      <c r="M191" s="5">
        <v>2915.8510465116278</v>
      </c>
      <c r="N191" s="5">
        <v>2915.8510465116301</v>
      </c>
    </row>
    <row r="192" spans="1:14" x14ac:dyDescent="0.25">
      <c r="A192" s="4" t="s">
        <v>3196</v>
      </c>
      <c r="B192" s="4" t="s">
        <v>3195</v>
      </c>
      <c r="C192" s="4" t="s">
        <v>2344</v>
      </c>
      <c r="D192" s="4" t="s">
        <v>237</v>
      </c>
      <c r="E192" s="4" t="s">
        <v>2478</v>
      </c>
      <c r="F192" s="4" t="s">
        <v>2477</v>
      </c>
      <c r="G192" s="4" t="s">
        <v>2263</v>
      </c>
      <c r="H192" s="9" t="s">
        <v>2263</v>
      </c>
      <c r="I192" s="4" t="s">
        <v>2263</v>
      </c>
      <c r="J192" s="4" t="s">
        <v>2263</v>
      </c>
      <c r="K192" s="4" t="s">
        <v>2476</v>
      </c>
      <c r="L192" s="10">
        <v>1</v>
      </c>
      <c r="M192" s="5">
        <v>2915.8510465116278</v>
      </c>
      <c r="N192" s="5">
        <v>2915.8510465116301</v>
      </c>
    </row>
    <row r="193" spans="1:14" x14ac:dyDescent="0.25">
      <c r="A193" s="4" t="s">
        <v>2384</v>
      </c>
      <c r="B193" s="4" t="s">
        <v>3187</v>
      </c>
      <c r="C193" s="4" t="s">
        <v>2344</v>
      </c>
      <c r="D193" s="4" t="s">
        <v>237</v>
      </c>
      <c r="E193" s="4" t="s">
        <v>2478</v>
      </c>
      <c r="F193" s="4" t="s">
        <v>2477</v>
      </c>
      <c r="G193" s="4" t="s">
        <v>2263</v>
      </c>
      <c r="H193" s="9" t="s">
        <v>2263</v>
      </c>
      <c r="I193" s="4" t="s">
        <v>2263</v>
      </c>
      <c r="J193" s="4" t="s">
        <v>2263</v>
      </c>
      <c r="K193" s="4" t="s">
        <v>2476</v>
      </c>
      <c r="L193" s="10">
        <v>1</v>
      </c>
      <c r="M193" s="5">
        <v>2915.8510465116278</v>
      </c>
      <c r="N193" s="5">
        <v>2915.8510465116301</v>
      </c>
    </row>
    <row r="194" spans="1:14" x14ac:dyDescent="0.25">
      <c r="A194" s="4" t="s">
        <v>2386</v>
      </c>
      <c r="B194" s="4" t="s">
        <v>2385</v>
      </c>
      <c r="C194" s="4" t="s">
        <v>2344</v>
      </c>
      <c r="D194" s="4" t="s">
        <v>237</v>
      </c>
      <c r="E194" s="4" t="s">
        <v>2478</v>
      </c>
      <c r="F194" s="4" t="s">
        <v>2477</v>
      </c>
      <c r="G194" s="4" t="s">
        <v>2263</v>
      </c>
      <c r="H194" s="9" t="s">
        <v>2263</v>
      </c>
      <c r="I194" s="4" t="s">
        <v>2263</v>
      </c>
      <c r="J194" s="4" t="s">
        <v>2263</v>
      </c>
      <c r="K194" s="4" t="s">
        <v>2476</v>
      </c>
      <c r="L194" s="10">
        <v>1</v>
      </c>
      <c r="M194" s="5">
        <v>2915.8510465116278</v>
      </c>
      <c r="N194" s="5">
        <v>2915.8510465116301</v>
      </c>
    </row>
    <row r="195" spans="1:14" x14ac:dyDescent="0.25">
      <c r="A195" s="4" t="s">
        <v>2320</v>
      </c>
      <c r="B195" s="4" t="s">
        <v>4967</v>
      </c>
      <c r="C195" s="4" t="s">
        <v>2344</v>
      </c>
      <c r="D195" s="4" t="s">
        <v>237</v>
      </c>
      <c r="E195" s="4" t="s">
        <v>5137</v>
      </c>
      <c r="F195" s="4" t="s">
        <v>2542</v>
      </c>
      <c r="G195" s="4" t="s">
        <v>2263</v>
      </c>
      <c r="H195" s="9" t="s">
        <v>2263</v>
      </c>
      <c r="I195" s="4" t="s">
        <v>2263</v>
      </c>
      <c r="J195" s="4" t="s">
        <v>2263</v>
      </c>
      <c r="K195" s="4" t="s">
        <v>2541</v>
      </c>
      <c r="L195" s="10">
        <v>1</v>
      </c>
      <c r="M195" s="5">
        <v>3007</v>
      </c>
      <c r="N195" s="5">
        <v>3007</v>
      </c>
    </row>
    <row r="196" spans="1:14" x14ac:dyDescent="0.25">
      <c r="A196" s="4" t="s">
        <v>2344</v>
      </c>
      <c r="B196" s="4" t="s">
        <v>5154</v>
      </c>
      <c r="C196" s="4" t="s">
        <v>2320</v>
      </c>
      <c r="D196" s="4" t="s">
        <v>242</v>
      </c>
      <c r="E196" s="4" t="s">
        <v>2693</v>
      </c>
      <c r="F196" s="4" t="s">
        <v>2692</v>
      </c>
      <c r="G196" s="4" t="s">
        <v>2263</v>
      </c>
      <c r="H196" s="9" t="s">
        <v>2263</v>
      </c>
      <c r="I196" s="4" t="s">
        <v>2317</v>
      </c>
      <c r="J196" s="4" t="s">
        <v>2316</v>
      </c>
      <c r="K196" s="4" t="s">
        <v>2263</v>
      </c>
      <c r="L196" s="10">
        <v>1</v>
      </c>
      <c r="M196" s="5">
        <v>3056.5454545454545</v>
      </c>
      <c r="N196" s="5">
        <v>3056.54545454545</v>
      </c>
    </row>
    <row r="197" spans="1:14" x14ac:dyDescent="0.25">
      <c r="A197" s="4" t="s">
        <v>2320</v>
      </c>
      <c r="B197" s="4" t="s">
        <v>4967</v>
      </c>
      <c r="C197" s="4" t="s">
        <v>2320</v>
      </c>
      <c r="D197" s="4" t="s">
        <v>242</v>
      </c>
      <c r="E197" s="4" t="s">
        <v>2693</v>
      </c>
      <c r="F197" s="4" t="s">
        <v>2692</v>
      </c>
      <c r="G197" s="4" t="s">
        <v>2263</v>
      </c>
      <c r="H197" s="9" t="s">
        <v>2263</v>
      </c>
      <c r="I197" s="4" t="s">
        <v>2317</v>
      </c>
      <c r="J197" s="4" t="s">
        <v>2316</v>
      </c>
      <c r="K197" s="4" t="s">
        <v>2263</v>
      </c>
      <c r="L197" s="10">
        <v>1</v>
      </c>
      <c r="M197" s="5">
        <v>3056.5454545454545</v>
      </c>
      <c r="N197" s="5">
        <v>3056.54545454545</v>
      </c>
    </row>
    <row r="198" spans="1:14" x14ac:dyDescent="0.25">
      <c r="A198" s="4" t="s">
        <v>2279</v>
      </c>
      <c r="B198" s="4" t="s">
        <v>4963</v>
      </c>
      <c r="C198" s="4" t="s">
        <v>2320</v>
      </c>
      <c r="D198" s="4" t="s">
        <v>242</v>
      </c>
      <c r="E198" s="4" t="s">
        <v>2693</v>
      </c>
      <c r="F198" s="4" t="s">
        <v>2692</v>
      </c>
      <c r="G198" s="4" t="s">
        <v>2263</v>
      </c>
      <c r="H198" s="9" t="s">
        <v>2263</v>
      </c>
      <c r="I198" s="4" t="s">
        <v>2317</v>
      </c>
      <c r="J198" s="4" t="s">
        <v>2316</v>
      </c>
      <c r="K198" s="4" t="s">
        <v>2263</v>
      </c>
      <c r="L198" s="10">
        <v>1</v>
      </c>
      <c r="M198" s="5">
        <v>3056.5454545454545</v>
      </c>
      <c r="N198" s="5">
        <v>3056.54545454545</v>
      </c>
    </row>
    <row r="199" spans="1:14" x14ac:dyDescent="0.25">
      <c r="A199" s="4" t="s">
        <v>3174</v>
      </c>
      <c r="B199" s="4" t="s">
        <v>3173</v>
      </c>
      <c r="C199" s="4" t="s">
        <v>2320</v>
      </c>
      <c r="D199" s="4" t="s">
        <v>242</v>
      </c>
      <c r="E199" s="4" t="s">
        <v>2693</v>
      </c>
      <c r="F199" s="4" t="s">
        <v>2692</v>
      </c>
      <c r="G199" s="4" t="s">
        <v>2263</v>
      </c>
      <c r="H199" s="9" t="s">
        <v>2263</v>
      </c>
      <c r="I199" s="4" t="s">
        <v>2317</v>
      </c>
      <c r="J199" s="4" t="s">
        <v>2316</v>
      </c>
      <c r="K199" s="4" t="s">
        <v>2263</v>
      </c>
      <c r="L199" s="10">
        <v>1</v>
      </c>
      <c r="M199" s="5">
        <v>3056.5454545454545</v>
      </c>
      <c r="N199" s="5">
        <v>3056.54545454545</v>
      </c>
    </row>
    <row r="200" spans="1:14" x14ac:dyDescent="0.25">
      <c r="A200" s="4" t="s">
        <v>3157</v>
      </c>
      <c r="B200" s="4" t="s">
        <v>3156</v>
      </c>
      <c r="C200" s="4" t="s">
        <v>2320</v>
      </c>
      <c r="D200" s="4" t="s">
        <v>242</v>
      </c>
      <c r="E200" s="4" t="s">
        <v>2693</v>
      </c>
      <c r="F200" s="4" t="s">
        <v>2692</v>
      </c>
      <c r="G200" s="4" t="s">
        <v>2263</v>
      </c>
      <c r="H200" s="9" t="s">
        <v>2263</v>
      </c>
      <c r="I200" s="4" t="s">
        <v>2317</v>
      </c>
      <c r="J200" s="4" t="s">
        <v>2316</v>
      </c>
      <c r="K200" s="4" t="s">
        <v>2263</v>
      </c>
      <c r="L200" s="10">
        <v>1</v>
      </c>
      <c r="M200" s="5">
        <v>3056.5454545454545</v>
      </c>
      <c r="N200" s="5">
        <v>3056.54545454545</v>
      </c>
    </row>
    <row r="201" spans="1:14" x14ac:dyDescent="0.25">
      <c r="A201" s="4" t="s">
        <v>3104</v>
      </c>
      <c r="B201" s="4" t="s">
        <v>3103</v>
      </c>
      <c r="C201" s="4" t="s">
        <v>2320</v>
      </c>
      <c r="D201" s="4" t="s">
        <v>242</v>
      </c>
      <c r="E201" s="4" t="s">
        <v>2693</v>
      </c>
      <c r="F201" s="4" t="s">
        <v>2692</v>
      </c>
      <c r="G201" s="4" t="s">
        <v>2263</v>
      </c>
      <c r="H201" s="9" t="s">
        <v>2263</v>
      </c>
      <c r="I201" s="4" t="s">
        <v>2317</v>
      </c>
      <c r="J201" s="4" t="s">
        <v>2316</v>
      </c>
      <c r="K201" s="4" t="s">
        <v>2263</v>
      </c>
      <c r="L201" s="10">
        <v>1</v>
      </c>
      <c r="M201" s="5">
        <v>3056.5454545454545</v>
      </c>
      <c r="N201" s="5">
        <v>3056.54545454545</v>
      </c>
    </row>
    <row r="202" spans="1:14" x14ac:dyDescent="0.25">
      <c r="A202" s="4" t="s">
        <v>3051</v>
      </c>
      <c r="B202" s="4" t="s">
        <v>3050</v>
      </c>
      <c r="C202" s="4" t="s">
        <v>2320</v>
      </c>
      <c r="D202" s="4" t="s">
        <v>242</v>
      </c>
      <c r="E202" s="4" t="s">
        <v>2693</v>
      </c>
      <c r="F202" s="4" t="s">
        <v>2692</v>
      </c>
      <c r="G202" s="4" t="s">
        <v>2263</v>
      </c>
      <c r="H202" s="9" t="s">
        <v>2263</v>
      </c>
      <c r="I202" s="4" t="s">
        <v>2317</v>
      </c>
      <c r="J202" s="4" t="s">
        <v>2316</v>
      </c>
      <c r="K202" s="4" t="s">
        <v>2263</v>
      </c>
      <c r="L202" s="10">
        <v>1</v>
      </c>
      <c r="M202" s="5">
        <v>3056.5454545454545</v>
      </c>
      <c r="N202" s="5">
        <v>3056.54545454545</v>
      </c>
    </row>
    <row r="203" spans="1:14" x14ac:dyDescent="0.25">
      <c r="A203" s="4" t="s">
        <v>3024</v>
      </c>
      <c r="B203" s="4" t="s">
        <v>3023</v>
      </c>
      <c r="C203" s="4" t="s">
        <v>2320</v>
      </c>
      <c r="D203" s="4" t="s">
        <v>242</v>
      </c>
      <c r="E203" s="4" t="s">
        <v>2693</v>
      </c>
      <c r="F203" s="4" t="s">
        <v>2692</v>
      </c>
      <c r="G203" s="4" t="s">
        <v>2263</v>
      </c>
      <c r="H203" s="9" t="s">
        <v>2263</v>
      </c>
      <c r="I203" s="4" t="s">
        <v>2317</v>
      </c>
      <c r="J203" s="4" t="s">
        <v>2316</v>
      </c>
      <c r="K203" s="4" t="s">
        <v>2263</v>
      </c>
      <c r="L203" s="10">
        <v>1</v>
      </c>
      <c r="M203" s="5">
        <v>3056.5454545454545</v>
      </c>
      <c r="N203" s="5">
        <v>3056.54545454545</v>
      </c>
    </row>
    <row r="204" spans="1:14" x14ac:dyDescent="0.25">
      <c r="A204" s="4" t="s">
        <v>2673</v>
      </c>
      <c r="B204" s="4" t="s">
        <v>2672</v>
      </c>
      <c r="C204" s="4" t="s">
        <v>2320</v>
      </c>
      <c r="D204" s="4" t="s">
        <v>242</v>
      </c>
      <c r="E204" s="4" t="s">
        <v>2693</v>
      </c>
      <c r="F204" s="4" t="s">
        <v>2692</v>
      </c>
      <c r="G204" s="4" t="s">
        <v>2263</v>
      </c>
      <c r="H204" s="9" t="s">
        <v>2263</v>
      </c>
      <c r="I204" s="4" t="s">
        <v>2317</v>
      </c>
      <c r="J204" s="4" t="s">
        <v>2316</v>
      </c>
      <c r="K204" s="4" t="s">
        <v>2263</v>
      </c>
      <c r="L204" s="10">
        <v>1</v>
      </c>
      <c r="M204" s="5">
        <v>3056.5454545454545</v>
      </c>
      <c r="N204" s="5">
        <v>3056.54545454545</v>
      </c>
    </row>
    <row r="205" spans="1:14" x14ac:dyDescent="0.25">
      <c r="A205" s="4" t="s">
        <v>3196</v>
      </c>
      <c r="B205" s="4" t="s">
        <v>3195</v>
      </c>
      <c r="C205" s="4" t="s">
        <v>2320</v>
      </c>
      <c r="D205" s="4" t="s">
        <v>242</v>
      </c>
      <c r="E205" s="4" t="s">
        <v>3036</v>
      </c>
      <c r="F205" s="4" t="s">
        <v>3035</v>
      </c>
      <c r="G205" s="4" t="s">
        <v>2263</v>
      </c>
      <c r="H205" s="9" t="s">
        <v>2263</v>
      </c>
      <c r="I205" s="4" t="s">
        <v>2317</v>
      </c>
      <c r="J205" s="4" t="s">
        <v>2316</v>
      </c>
      <c r="K205" s="4" t="s">
        <v>2263</v>
      </c>
      <c r="L205" s="10">
        <v>1</v>
      </c>
      <c r="M205" s="5">
        <v>3095.4549999999999</v>
      </c>
      <c r="N205" s="5">
        <v>3095.4549999999999</v>
      </c>
    </row>
    <row r="206" spans="1:14" x14ac:dyDescent="0.25">
      <c r="A206" s="4" t="s">
        <v>3063</v>
      </c>
      <c r="B206" s="4" t="s">
        <v>3062</v>
      </c>
      <c r="C206" s="4" t="s">
        <v>2320</v>
      </c>
      <c r="D206" s="4" t="s">
        <v>242</v>
      </c>
      <c r="E206" s="4" t="s">
        <v>3036</v>
      </c>
      <c r="F206" s="4" t="s">
        <v>3035</v>
      </c>
      <c r="G206" s="4" t="s">
        <v>2263</v>
      </c>
      <c r="H206" s="9" t="s">
        <v>2263</v>
      </c>
      <c r="I206" s="4" t="s">
        <v>2317</v>
      </c>
      <c r="J206" s="4" t="s">
        <v>2316</v>
      </c>
      <c r="K206" s="4" t="s">
        <v>2263</v>
      </c>
      <c r="L206" s="10">
        <v>1</v>
      </c>
      <c r="M206" s="5">
        <v>3095.4549999999999</v>
      </c>
      <c r="N206" s="5">
        <v>3095.4549999999999</v>
      </c>
    </row>
    <row r="207" spans="1:14" x14ac:dyDescent="0.25">
      <c r="A207" s="4" t="s">
        <v>3051</v>
      </c>
      <c r="B207" s="4" t="s">
        <v>3050</v>
      </c>
      <c r="C207" s="4" t="s">
        <v>2320</v>
      </c>
      <c r="D207" s="4" t="s">
        <v>242</v>
      </c>
      <c r="E207" s="4" t="s">
        <v>3036</v>
      </c>
      <c r="F207" s="4" t="s">
        <v>3035</v>
      </c>
      <c r="G207" s="4" t="s">
        <v>2263</v>
      </c>
      <c r="H207" s="9" t="s">
        <v>2263</v>
      </c>
      <c r="I207" s="4" t="s">
        <v>2317</v>
      </c>
      <c r="J207" s="4" t="s">
        <v>2316</v>
      </c>
      <c r="K207" s="4" t="s">
        <v>2263</v>
      </c>
      <c r="L207" s="10">
        <v>1</v>
      </c>
      <c r="M207" s="5">
        <v>3095.4549999999999</v>
      </c>
      <c r="N207" s="5">
        <v>3095.4549999999999</v>
      </c>
    </row>
    <row r="208" spans="1:14" x14ac:dyDescent="0.25">
      <c r="A208" s="4" t="s">
        <v>3024</v>
      </c>
      <c r="B208" s="4" t="s">
        <v>3023</v>
      </c>
      <c r="C208" s="4" t="s">
        <v>2320</v>
      </c>
      <c r="D208" s="4" t="s">
        <v>242</v>
      </c>
      <c r="E208" s="4" t="s">
        <v>3036</v>
      </c>
      <c r="F208" s="4" t="s">
        <v>3035</v>
      </c>
      <c r="G208" s="4" t="s">
        <v>2263</v>
      </c>
      <c r="H208" s="9" t="s">
        <v>2263</v>
      </c>
      <c r="I208" s="4" t="s">
        <v>2317</v>
      </c>
      <c r="J208" s="4" t="s">
        <v>2316</v>
      </c>
      <c r="K208" s="4" t="s">
        <v>2263</v>
      </c>
      <c r="L208" s="10">
        <v>1</v>
      </c>
      <c r="M208" s="5">
        <v>3095.4549999999999</v>
      </c>
      <c r="N208" s="5">
        <v>3095.4549999999999</v>
      </c>
    </row>
    <row r="209" spans="1:14" x14ac:dyDescent="0.25">
      <c r="A209" s="4" t="s">
        <v>2320</v>
      </c>
      <c r="B209" s="4" t="s">
        <v>4967</v>
      </c>
      <c r="C209" s="4" t="s">
        <v>2267</v>
      </c>
      <c r="D209" s="4" t="s">
        <v>2266</v>
      </c>
      <c r="E209" s="4" t="s">
        <v>4405</v>
      </c>
      <c r="F209" s="4" t="s">
        <v>4404</v>
      </c>
      <c r="G209" s="4" t="s">
        <v>2263</v>
      </c>
      <c r="H209" s="9" t="s">
        <v>2263</v>
      </c>
      <c r="I209" s="4" t="s">
        <v>2263</v>
      </c>
      <c r="J209" s="4" t="s">
        <v>2263</v>
      </c>
      <c r="K209" s="4" t="s">
        <v>2568</v>
      </c>
      <c r="L209" s="10">
        <v>1</v>
      </c>
      <c r="M209" s="5">
        <v>3119.0335238095236</v>
      </c>
      <c r="N209" s="5">
        <v>3119.0335238095199</v>
      </c>
    </row>
    <row r="210" spans="1:14" x14ac:dyDescent="0.25">
      <c r="A210" s="4" t="s">
        <v>2344</v>
      </c>
      <c r="B210" s="4" t="s">
        <v>5154</v>
      </c>
      <c r="C210" s="4" t="s">
        <v>2320</v>
      </c>
      <c r="D210" s="4" t="s">
        <v>242</v>
      </c>
      <c r="E210" s="4" t="s">
        <v>4119</v>
      </c>
      <c r="F210" s="4" t="s">
        <v>4118</v>
      </c>
      <c r="G210" s="4" t="s">
        <v>2263</v>
      </c>
      <c r="H210" s="9" t="s">
        <v>2263</v>
      </c>
      <c r="I210" s="4" t="s">
        <v>2317</v>
      </c>
      <c r="J210" s="4" t="s">
        <v>2316</v>
      </c>
      <c r="K210" s="4" t="s">
        <v>2263</v>
      </c>
      <c r="L210" s="10">
        <v>1</v>
      </c>
      <c r="M210" s="5">
        <v>3133</v>
      </c>
      <c r="N210" s="5">
        <v>3133</v>
      </c>
    </row>
    <row r="211" spans="1:14" x14ac:dyDescent="0.25">
      <c r="A211" s="4" t="s">
        <v>2317</v>
      </c>
      <c r="B211" s="4" t="s">
        <v>3839</v>
      </c>
      <c r="C211" s="4" t="s">
        <v>2320</v>
      </c>
      <c r="D211" s="4" t="s">
        <v>242</v>
      </c>
      <c r="E211" s="4" t="s">
        <v>4119</v>
      </c>
      <c r="F211" s="4" t="s">
        <v>4118</v>
      </c>
      <c r="G211" s="4" t="s">
        <v>2263</v>
      </c>
      <c r="H211" s="9" t="s">
        <v>2263</v>
      </c>
      <c r="I211" s="4" t="s">
        <v>2317</v>
      </c>
      <c r="J211" s="4" t="s">
        <v>2316</v>
      </c>
      <c r="K211" s="4" t="s">
        <v>2263</v>
      </c>
      <c r="L211" s="10">
        <v>1</v>
      </c>
      <c r="M211" s="5">
        <v>3133</v>
      </c>
      <c r="N211" s="5">
        <v>3133</v>
      </c>
    </row>
    <row r="212" spans="1:14" x14ac:dyDescent="0.25">
      <c r="A212" s="4" t="s">
        <v>2320</v>
      </c>
      <c r="B212" s="4" t="s">
        <v>4967</v>
      </c>
      <c r="C212" s="4" t="s">
        <v>2320</v>
      </c>
      <c r="D212" s="4" t="s">
        <v>242</v>
      </c>
      <c r="E212" s="4" t="s">
        <v>2398</v>
      </c>
      <c r="F212" s="4" t="s">
        <v>2397</v>
      </c>
      <c r="G212" s="4" t="s">
        <v>2263</v>
      </c>
      <c r="H212" s="9" t="s">
        <v>2263</v>
      </c>
      <c r="I212" s="4" t="s">
        <v>2317</v>
      </c>
      <c r="J212" s="4" t="s">
        <v>2316</v>
      </c>
      <c r="K212" s="4" t="s">
        <v>2263</v>
      </c>
      <c r="L212" s="10">
        <v>1</v>
      </c>
      <c r="M212" s="5">
        <v>3146.0238095238092</v>
      </c>
      <c r="N212" s="5">
        <v>3146.0238095238101</v>
      </c>
    </row>
    <row r="213" spans="1:14" x14ac:dyDescent="0.25">
      <c r="A213" s="4" t="s">
        <v>3801</v>
      </c>
      <c r="B213" s="4" t="s">
        <v>4965</v>
      </c>
      <c r="C213" s="4" t="s">
        <v>2320</v>
      </c>
      <c r="D213" s="4" t="s">
        <v>242</v>
      </c>
      <c r="E213" s="4" t="s">
        <v>2398</v>
      </c>
      <c r="F213" s="4" t="s">
        <v>2397</v>
      </c>
      <c r="G213" s="4" t="s">
        <v>2263</v>
      </c>
      <c r="H213" s="9" t="s">
        <v>2263</v>
      </c>
      <c r="I213" s="4" t="s">
        <v>2317</v>
      </c>
      <c r="J213" s="4" t="s">
        <v>2316</v>
      </c>
      <c r="K213" s="4" t="s">
        <v>2263</v>
      </c>
      <c r="L213" s="10">
        <v>1</v>
      </c>
      <c r="M213" s="5">
        <v>3146.0238095238092</v>
      </c>
      <c r="N213" s="5">
        <v>3146.0238095238101</v>
      </c>
    </row>
    <row r="214" spans="1:14" x14ac:dyDescent="0.25">
      <c r="A214" s="4" t="s">
        <v>2279</v>
      </c>
      <c r="B214" s="4" t="s">
        <v>4963</v>
      </c>
      <c r="C214" s="4" t="s">
        <v>2320</v>
      </c>
      <c r="D214" s="4" t="s">
        <v>242</v>
      </c>
      <c r="E214" s="4" t="s">
        <v>2398</v>
      </c>
      <c r="F214" s="4" t="s">
        <v>2397</v>
      </c>
      <c r="G214" s="4" t="s">
        <v>2263</v>
      </c>
      <c r="H214" s="9" t="s">
        <v>2263</v>
      </c>
      <c r="I214" s="4" t="s">
        <v>2317</v>
      </c>
      <c r="J214" s="4" t="s">
        <v>2316</v>
      </c>
      <c r="K214" s="4" t="s">
        <v>2263</v>
      </c>
      <c r="L214" s="10">
        <v>1</v>
      </c>
      <c r="M214" s="5">
        <v>3146.0238095238092</v>
      </c>
      <c r="N214" s="5">
        <v>3146.0238095238101</v>
      </c>
    </row>
    <row r="215" spans="1:14" x14ac:dyDescent="0.25">
      <c r="A215" s="4" t="s">
        <v>3196</v>
      </c>
      <c r="B215" s="4" t="s">
        <v>3195</v>
      </c>
      <c r="C215" s="4" t="s">
        <v>2320</v>
      </c>
      <c r="D215" s="4" t="s">
        <v>242</v>
      </c>
      <c r="E215" s="4" t="s">
        <v>2398</v>
      </c>
      <c r="F215" s="4" t="s">
        <v>2397</v>
      </c>
      <c r="G215" s="4" t="s">
        <v>2263</v>
      </c>
      <c r="H215" s="9" t="s">
        <v>2263</v>
      </c>
      <c r="I215" s="4" t="s">
        <v>2317</v>
      </c>
      <c r="J215" s="4" t="s">
        <v>2316</v>
      </c>
      <c r="K215" s="4" t="s">
        <v>2263</v>
      </c>
      <c r="L215" s="10">
        <v>1</v>
      </c>
      <c r="M215" s="5">
        <v>3146.0238095238092</v>
      </c>
      <c r="N215" s="5">
        <v>3146.0238095238101</v>
      </c>
    </row>
    <row r="216" spans="1:14" x14ac:dyDescent="0.25">
      <c r="A216" s="4" t="s">
        <v>2384</v>
      </c>
      <c r="B216" s="4" t="s">
        <v>3187</v>
      </c>
      <c r="C216" s="4" t="s">
        <v>2320</v>
      </c>
      <c r="D216" s="4" t="s">
        <v>242</v>
      </c>
      <c r="E216" s="4" t="s">
        <v>2398</v>
      </c>
      <c r="F216" s="4" t="s">
        <v>2397</v>
      </c>
      <c r="G216" s="4" t="s">
        <v>2263</v>
      </c>
      <c r="H216" s="9" t="s">
        <v>2263</v>
      </c>
      <c r="I216" s="4" t="s">
        <v>2317</v>
      </c>
      <c r="J216" s="4" t="s">
        <v>2316</v>
      </c>
      <c r="K216" s="4" t="s">
        <v>2263</v>
      </c>
      <c r="L216" s="10">
        <v>1</v>
      </c>
      <c r="M216" s="5">
        <v>3146.0238095238092</v>
      </c>
      <c r="N216" s="5">
        <v>3146.0238095238101</v>
      </c>
    </row>
    <row r="217" spans="1:14" x14ac:dyDescent="0.25">
      <c r="A217" s="4" t="s">
        <v>3174</v>
      </c>
      <c r="B217" s="4" t="s">
        <v>3173</v>
      </c>
      <c r="C217" s="4" t="s">
        <v>2320</v>
      </c>
      <c r="D217" s="4" t="s">
        <v>242</v>
      </c>
      <c r="E217" s="4" t="s">
        <v>2398</v>
      </c>
      <c r="F217" s="4" t="s">
        <v>2397</v>
      </c>
      <c r="G217" s="4" t="s">
        <v>2263</v>
      </c>
      <c r="H217" s="9" t="s">
        <v>2263</v>
      </c>
      <c r="I217" s="4" t="s">
        <v>2317</v>
      </c>
      <c r="J217" s="4" t="s">
        <v>2316</v>
      </c>
      <c r="K217" s="4" t="s">
        <v>2263</v>
      </c>
      <c r="L217" s="10">
        <v>1</v>
      </c>
      <c r="M217" s="5">
        <v>3146.0238095238092</v>
      </c>
      <c r="N217" s="5">
        <v>3146.0238095238101</v>
      </c>
    </row>
    <row r="218" spans="1:14" x14ac:dyDescent="0.25">
      <c r="A218" s="4" t="s">
        <v>3157</v>
      </c>
      <c r="B218" s="4" t="s">
        <v>3156</v>
      </c>
      <c r="C218" s="4" t="s">
        <v>2320</v>
      </c>
      <c r="D218" s="4" t="s">
        <v>242</v>
      </c>
      <c r="E218" s="4" t="s">
        <v>2398</v>
      </c>
      <c r="F218" s="4" t="s">
        <v>2397</v>
      </c>
      <c r="G218" s="4" t="s">
        <v>2263</v>
      </c>
      <c r="H218" s="9" t="s">
        <v>2263</v>
      </c>
      <c r="I218" s="4" t="s">
        <v>2317</v>
      </c>
      <c r="J218" s="4" t="s">
        <v>2316</v>
      </c>
      <c r="K218" s="4" t="s">
        <v>2263</v>
      </c>
      <c r="L218" s="10">
        <v>1</v>
      </c>
      <c r="M218" s="5">
        <v>3146.0238095238092</v>
      </c>
      <c r="N218" s="5">
        <v>3146.0238095238101</v>
      </c>
    </row>
    <row r="219" spans="1:14" x14ac:dyDescent="0.25">
      <c r="A219" s="4" t="s">
        <v>3104</v>
      </c>
      <c r="B219" s="4" t="s">
        <v>3103</v>
      </c>
      <c r="C219" s="4" t="s">
        <v>2320</v>
      </c>
      <c r="D219" s="4" t="s">
        <v>242</v>
      </c>
      <c r="E219" s="4" t="s">
        <v>2398</v>
      </c>
      <c r="F219" s="4" t="s">
        <v>2397</v>
      </c>
      <c r="G219" s="4" t="s">
        <v>2263</v>
      </c>
      <c r="H219" s="9" t="s">
        <v>2263</v>
      </c>
      <c r="I219" s="4" t="s">
        <v>2317</v>
      </c>
      <c r="J219" s="4" t="s">
        <v>2316</v>
      </c>
      <c r="K219" s="4" t="s">
        <v>2263</v>
      </c>
      <c r="L219" s="10">
        <v>1</v>
      </c>
      <c r="M219" s="5">
        <v>3146.0238095238092</v>
      </c>
      <c r="N219" s="5">
        <v>3146.0238095238101</v>
      </c>
    </row>
    <row r="220" spans="1:14" x14ac:dyDescent="0.25">
      <c r="A220" s="4" t="s">
        <v>3063</v>
      </c>
      <c r="B220" s="4" t="s">
        <v>3062</v>
      </c>
      <c r="C220" s="4" t="s">
        <v>2320</v>
      </c>
      <c r="D220" s="4" t="s">
        <v>242</v>
      </c>
      <c r="E220" s="4" t="s">
        <v>2398</v>
      </c>
      <c r="F220" s="4" t="s">
        <v>2397</v>
      </c>
      <c r="G220" s="4" t="s">
        <v>2263</v>
      </c>
      <c r="H220" s="9" t="s">
        <v>2263</v>
      </c>
      <c r="I220" s="4" t="s">
        <v>2317</v>
      </c>
      <c r="J220" s="4" t="s">
        <v>2316</v>
      </c>
      <c r="K220" s="4" t="s">
        <v>2263</v>
      </c>
      <c r="L220" s="10">
        <v>1</v>
      </c>
      <c r="M220" s="5">
        <v>3146.0238095238092</v>
      </c>
      <c r="N220" s="5">
        <v>3146.0238095238101</v>
      </c>
    </row>
    <row r="221" spans="1:14" x14ac:dyDescent="0.25">
      <c r="A221" s="4" t="s">
        <v>3024</v>
      </c>
      <c r="B221" s="4" t="s">
        <v>3023</v>
      </c>
      <c r="C221" s="4" t="s">
        <v>2320</v>
      </c>
      <c r="D221" s="4" t="s">
        <v>242</v>
      </c>
      <c r="E221" s="4" t="s">
        <v>2398</v>
      </c>
      <c r="F221" s="4" t="s">
        <v>2397</v>
      </c>
      <c r="G221" s="4" t="s">
        <v>2263</v>
      </c>
      <c r="H221" s="9" t="s">
        <v>2263</v>
      </c>
      <c r="I221" s="4" t="s">
        <v>2317</v>
      </c>
      <c r="J221" s="4" t="s">
        <v>2316</v>
      </c>
      <c r="K221" s="4" t="s">
        <v>2263</v>
      </c>
      <c r="L221" s="10">
        <v>1</v>
      </c>
      <c r="M221" s="5">
        <v>3146.0238095238092</v>
      </c>
      <c r="N221" s="5">
        <v>3146.0238095238101</v>
      </c>
    </row>
    <row r="222" spans="1:14" x14ac:dyDescent="0.25">
      <c r="A222" s="4" t="s">
        <v>2673</v>
      </c>
      <c r="B222" s="4" t="s">
        <v>2672</v>
      </c>
      <c r="C222" s="4" t="s">
        <v>2320</v>
      </c>
      <c r="D222" s="4" t="s">
        <v>242</v>
      </c>
      <c r="E222" s="4" t="s">
        <v>2398</v>
      </c>
      <c r="F222" s="4" t="s">
        <v>2397</v>
      </c>
      <c r="G222" s="4" t="s">
        <v>2263</v>
      </c>
      <c r="H222" s="9" t="s">
        <v>2263</v>
      </c>
      <c r="I222" s="4" t="s">
        <v>2317</v>
      </c>
      <c r="J222" s="4" t="s">
        <v>2316</v>
      </c>
      <c r="K222" s="4" t="s">
        <v>2263</v>
      </c>
      <c r="L222" s="10">
        <v>1</v>
      </c>
      <c r="M222" s="5">
        <v>3146.0238095238092</v>
      </c>
      <c r="N222" s="5">
        <v>3146.0238095238101</v>
      </c>
    </row>
    <row r="223" spans="1:14" x14ac:dyDescent="0.25">
      <c r="A223" s="4" t="s">
        <v>2386</v>
      </c>
      <c r="B223" s="4" t="s">
        <v>2385</v>
      </c>
      <c r="C223" s="4" t="s">
        <v>2320</v>
      </c>
      <c r="D223" s="4" t="s">
        <v>242</v>
      </c>
      <c r="E223" s="4" t="s">
        <v>2398</v>
      </c>
      <c r="F223" s="4" t="s">
        <v>2397</v>
      </c>
      <c r="G223" s="4" t="s">
        <v>2263</v>
      </c>
      <c r="H223" s="9" t="s">
        <v>2263</v>
      </c>
      <c r="I223" s="4" t="s">
        <v>2317</v>
      </c>
      <c r="J223" s="4" t="s">
        <v>2316</v>
      </c>
      <c r="K223" s="4" t="s">
        <v>2263</v>
      </c>
      <c r="L223" s="10">
        <v>1</v>
      </c>
      <c r="M223" s="5">
        <v>3146.0238095238092</v>
      </c>
      <c r="N223" s="5">
        <v>3146.0238095238101</v>
      </c>
    </row>
    <row r="224" spans="1:14" x14ac:dyDescent="0.25">
      <c r="A224" s="4" t="s">
        <v>3801</v>
      </c>
      <c r="B224" s="4" t="s">
        <v>4965</v>
      </c>
      <c r="C224" s="4" t="s">
        <v>2320</v>
      </c>
      <c r="D224" s="4" t="s">
        <v>242</v>
      </c>
      <c r="E224" s="4" t="s">
        <v>2406</v>
      </c>
      <c r="F224" s="4" t="s">
        <v>2405</v>
      </c>
      <c r="G224" s="4" t="s">
        <v>2263</v>
      </c>
      <c r="H224" s="9" t="s">
        <v>2263</v>
      </c>
      <c r="I224" s="4" t="s">
        <v>2317</v>
      </c>
      <c r="J224" s="4" t="s">
        <v>2316</v>
      </c>
      <c r="K224" s="4" t="s">
        <v>2263</v>
      </c>
      <c r="L224" s="10">
        <v>1</v>
      </c>
      <c r="M224" s="5">
        <v>3147.4638144329897</v>
      </c>
      <c r="N224" s="5">
        <v>3147.4638144329901</v>
      </c>
    </row>
    <row r="225" spans="1:14" x14ac:dyDescent="0.25">
      <c r="A225" s="4" t="s">
        <v>2279</v>
      </c>
      <c r="B225" s="4" t="s">
        <v>4963</v>
      </c>
      <c r="C225" s="4" t="s">
        <v>2320</v>
      </c>
      <c r="D225" s="4" t="s">
        <v>242</v>
      </c>
      <c r="E225" s="4" t="s">
        <v>2406</v>
      </c>
      <c r="F225" s="4" t="s">
        <v>2405</v>
      </c>
      <c r="G225" s="4" t="s">
        <v>2263</v>
      </c>
      <c r="H225" s="9" t="s">
        <v>2263</v>
      </c>
      <c r="I225" s="4" t="s">
        <v>2317</v>
      </c>
      <c r="J225" s="4" t="s">
        <v>2316</v>
      </c>
      <c r="K225" s="4" t="s">
        <v>2263</v>
      </c>
      <c r="L225" s="10">
        <v>1</v>
      </c>
      <c r="M225" s="5">
        <v>3147.4638144329897</v>
      </c>
      <c r="N225" s="5">
        <v>3147.4638144329901</v>
      </c>
    </row>
    <row r="226" spans="1:14" x14ac:dyDescent="0.25">
      <c r="A226" s="4" t="s">
        <v>2481</v>
      </c>
      <c r="B226" s="4" t="s">
        <v>3217</v>
      </c>
      <c r="C226" s="4" t="s">
        <v>2320</v>
      </c>
      <c r="D226" s="4" t="s">
        <v>242</v>
      </c>
      <c r="E226" s="4" t="s">
        <v>2406</v>
      </c>
      <c r="F226" s="4" t="s">
        <v>2405</v>
      </c>
      <c r="G226" s="4" t="s">
        <v>2263</v>
      </c>
      <c r="H226" s="9" t="s">
        <v>2263</v>
      </c>
      <c r="I226" s="4" t="s">
        <v>2317</v>
      </c>
      <c r="J226" s="4" t="s">
        <v>2316</v>
      </c>
      <c r="K226" s="4" t="s">
        <v>2263</v>
      </c>
      <c r="L226" s="10">
        <v>1</v>
      </c>
      <c r="M226" s="5">
        <v>3147.4638144329897</v>
      </c>
      <c r="N226" s="5">
        <v>3147.4638144329901</v>
      </c>
    </row>
    <row r="227" spans="1:14" x14ac:dyDescent="0.25">
      <c r="A227" s="4" t="s">
        <v>3196</v>
      </c>
      <c r="B227" s="4" t="s">
        <v>3195</v>
      </c>
      <c r="C227" s="4" t="s">
        <v>2320</v>
      </c>
      <c r="D227" s="4" t="s">
        <v>242</v>
      </c>
      <c r="E227" s="4" t="s">
        <v>2406</v>
      </c>
      <c r="F227" s="4" t="s">
        <v>2405</v>
      </c>
      <c r="G227" s="4" t="s">
        <v>2263</v>
      </c>
      <c r="H227" s="9" t="s">
        <v>2263</v>
      </c>
      <c r="I227" s="4" t="s">
        <v>2317</v>
      </c>
      <c r="J227" s="4" t="s">
        <v>2316</v>
      </c>
      <c r="K227" s="4" t="s">
        <v>2263</v>
      </c>
      <c r="L227" s="10">
        <v>1</v>
      </c>
      <c r="M227" s="5">
        <v>3147.4638144329897</v>
      </c>
      <c r="N227" s="5">
        <v>3147.4638144329901</v>
      </c>
    </row>
    <row r="228" spans="1:14" x14ac:dyDescent="0.25">
      <c r="A228" s="4" t="s">
        <v>2384</v>
      </c>
      <c r="B228" s="4" t="s">
        <v>3187</v>
      </c>
      <c r="C228" s="4" t="s">
        <v>2320</v>
      </c>
      <c r="D228" s="4" t="s">
        <v>242</v>
      </c>
      <c r="E228" s="4" t="s">
        <v>2406</v>
      </c>
      <c r="F228" s="4" t="s">
        <v>2405</v>
      </c>
      <c r="G228" s="4" t="s">
        <v>2263</v>
      </c>
      <c r="H228" s="9" t="s">
        <v>2263</v>
      </c>
      <c r="I228" s="4" t="s">
        <v>2317</v>
      </c>
      <c r="J228" s="4" t="s">
        <v>2316</v>
      </c>
      <c r="K228" s="4" t="s">
        <v>2263</v>
      </c>
      <c r="L228" s="10">
        <v>1</v>
      </c>
      <c r="M228" s="5">
        <v>3147.4638144329897</v>
      </c>
      <c r="N228" s="5">
        <v>3147.4638144329901</v>
      </c>
    </row>
    <row r="229" spans="1:14" x14ac:dyDescent="0.25">
      <c r="A229" s="4" t="s">
        <v>3174</v>
      </c>
      <c r="B229" s="4" t="s">
        <v>3173</v>
      </c>
      <c r="C229" s="4" t="s">
        <v>2320</v>
      </c>
      <c r="D229" s="4" t="s">
        <v>242</v>
      </c>
      <c r="E229" s="4" t="s">
        <v>2406</v>
      </c>
      <c r="F229" s="4" t="s">
        <v>2405</v>
      </c>
      <c r="G229" s="4" t="s">
        <v>2263</v>
      </c>
      <c r="H229" s="9" t="s">
        <v>2263</v>
      </c>
      <c r="I229" s="4" t="s">
        <v>2317</v>
      </c>
      <c r="J229" s="4" t="s">
        <v>2316</v>
      </c>
      <c r="K229" s="4" t="s">
        <v>2263</v>
      </c>
      <c r="L229" s="10">
        <v>1</v>
      </c>
      <c r="M229" s="5">
        <v>3147.4638144329897</v>
      </c>
      <c r="N229" s="5">
        <v>3147.4638144329901</v>
      </c>
    </row>
    <row r="230" spans="1:14" x14ac:dyDescent="0.25">
      <c r="A230" s="4" t="s">
        <v>3168</v>
      </c>
      <c r="B230" s="4" t="s">
        <v>3167</v>
      </c>
      <c r="C230" s="4" t="s">
        <v>2320</v>
      </c>
      <c r="D230" s="4" t="s">
        <v>242</v>
      </c>
      <c r="E230" s="4" t="s">
        <v>2406</v>
      </c>
      <c r="F230" s="4" t="s">
        <v>2405</v>
      </c>
      <c r="G230" s="4" t="s">
        <v>2263</v>
      </c>
      <c r="H230" s="9" t="s">
        <v>2263</v>
      </c>
      <c r="I230" s="4" t="s">
        <v>2317</v>
      </c>
      <c r="J230" s="4" t="s">
        <v>2316</v>
      </c>
      <c r="K230" s="4" t="s">
        <v>2263</v>
      </c>
      <c r="L230" s="10">
        <v>1</v>
      </c>
      <c r="M230" s="5">
        <v>3147.4638144329897</v>
      </c>
      <c r="N230" s="5">
        <v>3147.4638144329901</v>
      </c>
    </row>
    <row r="231" spans="1:14" x14ac:dyDescent="0.25">
      <c r="A231" s="4" t="s">
        <v>3157</v>
      </c>
      <c r="B231" s="4" t="s">
        <v>3156</v>
      </c>
      <c r="C231" s="4" t="s">
        <v>2320</v>
      </c>
      <c r="D231" s="4" t="s">
        <v>242</v>
      </c>
      <c r="E231" s="4" t="s">
        <v>2406</v>
      </c>
      <c r="F231" s="4" t="s">
        <v>2405</v>
      </c>
      <c r="G231" s="4" t="s">
        <v>2263</v>
      </c>
      <c r="H231" s="9" t="s">
        <v>2263</v>
      </c>
      <c r="I231" s="4" t="s">
        <v>2317</v>
      </c>
      <c r="J231" s="4" t="s">
        <v>2316</v>
      </c>
      <c r="K231" s="4" t="s">
        <v>2263</v>
      </c>
      <c r="L231" s="10">
        <v>1</v>
      </c>
      <c r="M231" s="5">
        <v>3147.4638144329897</v>
      </c>
      <c r="N231" s="5">
        <v>3147.4638144329901</v>
      </c>
    </row>
    <row r="232" spans="1:14" x14ac:dyDescent="0.25">
      <c r="A232" s="4" t="s">
        <v>3145</v>
      </c>
      <c r="B232" s="4" t="s">
        <v>3144</v>
      </c>
      <c r="C232" s="4" t="s">
        <v>2320</v>
      </c>
      <c r="D232" s="4" t="s">
        <v>242</v>
      </c>
      <c r="E232" s="4" t="s">
        <v>2406</v>
      </c>
      <c r="F232" s="4" t="s">
        <v>2405</v>
      </c>
      <c r="G232" s="4" t="s">
        <v>2263</v>
      </c>
      <c r="H232" s="9" t="s">
        <v>2263</v>
      </c>
      <c r="I232" s="4" t="s">
        <v>2317</v>
      </c>
      <c r="J232" s="4" t="s">
        <v>2316</v>
      </c>
      <c r="K232" s="4" t="s">
        <v>2263</v>
      </c>
      <c r="L232" s="10">
        <v>1</v>
      </c>
      <c r="M232" s="5">
        <v>3147.4638144329897</v>
      </c>
      <c r="N232" s="5">
        <v>3147.4638144329901</v>
      </c>
    </row>
    <row r="233" spans="1:14" x14ac:dyDescent="0.25">
      <c r="A233" s="4" t="s">
        <v>3063</v>
      </c>
      <c r="B233" s="4" t="s">
        <v>3062</v>
      </c>
      <c r="C233" s="4" t="s">
        <v>2320</v>
      </c>
      <c r="D233" s="4" t="s">
        <v>242</v>
      </c>
      <c r="E233" s="4" t="s">
        <v>2406</v>
      </c>
      <c r="F233" s="4" t="s">
        <v>2405</v>
      </c>
      <c r="G233" s="4" t="s">
        <v>2263</v>
      </c>
      <c r="H233" s="9" t="s">
        <v>2263</v>
      </c>
      <c r="I233" s="4" t="s">
        <v>2317</v>
      </c>
      <c r="J233" s="4" t="s">
        <v>2316</v>
      </c>
      <c r="K233" s="4" t="s">
        <v>2263</v>
      </c>
      <c r="L233" s="10">
        <v>1</v>
      </c>
      <c r="M233" s="5">
        <v>3147.4638144329897</v>
      </c>
      <c r="N233" s="5">
        <v>3147.4638144329901</v>
      </c>
    </row>
    <row r="234" spans="1:14" x14ac:dyDescent="0.25">
      <c r="A234" s="4" t="s">
        <v>3051</v>
      </c>
      <c r="B234" s="4" t="s">
        <v>3050</v>
      </c>
      <c r="C234" s="4" t="s">
        <v>2320</v>
      </c>
      <c r="D234" s="4" t="s">
        <v>242</v>
      </c>
      <c r="E234" s="4" t="s">
        <v>2406</v>
      </c>
      <c r="F234" s="4" t="s">
        <v>2405</v>
      </c>
      <c r="G234" s="4" t="s">
        <v>2263</v>
      </c>
      <c r="H234" s="9" t="s">
        <v>2263</v>
      </c>
      <c r="I234" s="4" t="s">
        <v>2317</v>
      </c>
      <c r="J234" s="4" t="s">
        <v>2316</v>
      </c>
      <c r="K234" s="4" t="s">
        <v>2263</v>
      </c>
      <c r="L234" s="10">
        <v>1</v>
      </c>
      <c r="M234" s="5">
        <v>3147.4638144329897</v>
      </c>
      <c r="N234" s="5">
        <v>3147.4638144329901</v>
      </c>
    </row>
    <row r="235" spans="1:14" x14ac:dyDescent="0.25">
      <c r="A235" s="4" t="s">
        <v>3024</v>
      </c>
      <c r="B235" s="4" t="s">
        <v>3023</v>
      </c>
      <c r="C235" s="4" t="s">
        <v>2320</v>
      </c>
      <c r="D235" s="4" t="s">
        <v>242</v>
      </c>
      <c r="E235" s="4" t="s">
        <v>2406</v>
      </c>
      <c r="F235" s="4" t="s">
        <v>2405</v>
      </c>
      <c r="G235" s="4" t="s">
        <v>2263</v>
      </c>
      <c r="H235" s="9" t="s">
        <v>2263</v>
      </c>
      <c r="I235" s="4" t="s">
        <v>2317</v>
      </c>
      <c r="J235" s="4" t="s">
        <v>2316</v>
      </c>
      <c r="K235" s="4" t="s">
        <v>2263</v>
      </c>
      <c r="L235" s="10">
        <v>1</v>
      </c>
      <c r="M235" s="5">
        <v>3147.4638144329897</v>
      </c>
      <c r="N235" s="5">
        <v>3147.4638144329901</v>
      </c>
    </row>
    <row r="236" spans="1:14" x14ac:dyDescent="0.25">
      <c r="A236" s="4" t="s">
        <v>2386</v>
      </c>
      <c r="B236" s="4" t="s">
        <v>2385</v>
      </c>
      <c r="C236" s="4" t="s">
        <v>2320</v>
      </c>
      <c r="D236" s="4" t="s">
        <v>242</v>
      </c>
      <c r="E236" s="4" t="s">
        <v>2406</v>
      </c>
      <c r="F236" s="4" t="s">
        <v>2405</v>
      </c>
      <c r="G236" s="4" t="s">
        <v>2263</v>
      </c>
      <c r="H236" s="9" t="s">
        <v>2263</v>
      </c>
      <c r="I236" s="4" t="s">
        <v>2317</v>
      </c>
      <c r="J236" s="4" t="s">
        <v>2316</v>
      </c>
      <c r="K236" s="4" t="s">
        <v>2263</v>
      </c>
      <c r="L236" s="10">
        <v>1</v>
      </c>
      <c r="M236" s="5">
        <v>3147.4638144329897</v>
      </c>
      <c r="N236" s="5">
        <v>3147.4638144329901</v>
      </c>
    </row>
    <row r="237" spans="1:14" x14ac:dyDescent="0.25">
      <c r="A237" s="4" t="s">
        <v>2320</v>
      </c>
      <c r="B237" s="4" t="s">
        <v>4967</v>
      </c>
      <c r="C237" s="4" t="s">
        <v>2320</v>
      </c>
      <c r="D237" s="4" t="s">
        <v>242</v>
      </c>
      <c r="E237" s="4" t="s">
        <v>2687</v>
      </c>
      <c r="F237" s="4" t="s">
        <v>2686</v>
      </c>
      <c r="G237" s="4" t="s">
        <v>2263</v>
      </c>
      <c r="H237" s="9" t="s">
        <v>2263</v>
      </c>
      <c r="I237" s="4" t="s">
        <v>2317</v>
      </c>
      <c r="J237" s="4" t="s">
        <v>2316</v>
      </c>
      <c r="K237" s="4" t="s">
        <v>2263</v>
      </c>
      <c r="L237" s="10">
        <v>1</v>
      </c>
      <c r="M237" s="5">
        <v>3156.7916666666665</v>
      </c>
      <c r="N237" s="5">
        <v>3156.7916666666702</v>
      </c>
    </row>
    <row r="238" spans="1:14" x14ac:dyDescent="0.25">
      <c r="A238" s="4" t="s">
        <v>3801</v>
      </c>
      <c r="B238" s="4" t="s">
        <v>4965</v>
      </c>
      <c r="C238" s="4" t="s">
        <v>2320</v>
      </c>
      <c r="D238" s="4" t="s">
        <v>242</v>
      </c>
      <c r="E238" s="4" t="s">
        <v>2687</v>
      </c>
      <c r="F238" s="4" t="s">
        <v>2686</v>
      </c>
      <c r="G238" s="4" t="s">
        <v>2263</v>
      </c>
      <c r="H238" s="9" t="s">
        <v>2263</v>
      </c>
      <c r="I238" s="4" t="s">
        <v>2317</v>
      </c>
      <c r="J238" s="4" t="s">
        <v>2316</v>
      </c>
      <c r="K238" s="4" t="s">
        <v>2263</v>
      </c>
      <c r="L238" s="10">
        <v>1</v>
      </c>
      <c r="M238" s="5">
        <v>3156.7916666666665</v>
      </c>
      <c r="N238" s="5">
        <v>3156.7916666666702</v>
      </c>
    </row>
    <row r="239" spans="1:14" x14ac:dyDescent="0.25">
      <c r="A239" s="4" t="s">
        <v>2279</v>
      </c>
      <c r="B239" s="4" t="s">
        <v>4963</v>
      </c>
      <c r="C239" s="4" t="s">
        <v>2320</v>
      </c>
      <c r="D239" s="4" t="s">
        <v>242</v>
      </c>
      <c r="E239" s="4" t="s">
        <v>2687</v>
      </c>
      <c r="F239" s="4" t="s">
        <v>2686</v>
      </c>
      <c r="G239" s="4" t="s">
        <v>2263</v>
      </c>
      <c r="H239" s="9" t="s">
        <v>2263</v>
      </c>
      <c r="I239" s="4" t="s">
        <v>2317</v>
      </c>
      <c r="J239" s="4" t="s">
        <v>2316</v>
      </c>
      <c r="K239" s="4" t="s">
        <v>2263</v>
      </c>
      <c r="L239" s="10">
        <v>1</v>
      </c>
      <c r="M239" s="5">
        <v>3156.7916666666665</v>
      </c>
      <c r="N239" s="5">
        <v>3156.7916666666702</v>
      </c>
    </row>
    <row r="240" spans="1:14" x14ac:dyDescent="0.25">
      <c r="A240" s="4" t="s">
        <v>2481</v>
      </c>
      <c r="B240" s="4" t="s">
        <v>3217</v>
      </c>
      <c r="C240" s="4" t="s">
        <v>2320</v>
      </c>
      <c r="D240" s="4" t="s">
        <v>242</v>
      </c>
      <c r="E240" s="4" t="s">
        <v>2687</v>
      </c>
      <c r="F240" s="4" t="s">
        <v>2686</v>
      </c>
      <c r="G240" s="4" t="s">
        <v>2263</v>
      </c>
      <c r="H240" s="9" t="s">
        <v>2263</v>
      </c>
      <c r="I240" s="4" t="s">
        <v>2317</v>
      </c>
      <c r="J240" s="4" t="s">
        <v>2316</v>
      </c>
      <c r="K240" s="4" t="s">
        <v>2263</v>
      </c>
      <c r="L240" s="10">
        <v>1</v>
      </c>
      <c r="M240" s="5">
        <v>3156.7916666666665</v>
      </c>
      <c r="N240" s="5">
        <v>3156.7916666666702</v>
      </c>
    </row>
    <row r="241" spans="1:14" x14ac:dyDescent="0.25">
      <c r="A241" s="4" t="s">
        <v>3196</v>
      </c>
      <c r="B241" s="4" t="s">
        <v>3195</v>
      </c>
      <c r="C241" s="4" t="s">
        <v>2320</v>
      </c>
      <c r="D241" s="4" t="s">
        <v>242</v>
      </c>
      <c r="E241" s="4" t="s">
        <v>2687</v>
      </c>
      <c r="F241" s="4" t="s">
        <v>2686</v>
      </c>
      <c r="G241" s="4" t="s">
        <v>2263</v>
      </c>
      <c r="H241" s="9" t="s">
        <v>2263</v>
      </c>
      <c r="I241" s="4" t="s">
        <v>2317</v>
      </c>
      <c r="J241" s="4" t="s">
        <v>2316</v>
      </c>
      <c r="K241" s="4" t="s">
        <v>2263</v>
      </c>
      <c r="L241" s="10">
        <v>1</v>
      </c>
      <c r="M241" s="5">
        <v>3156.7916666666665</v>
      </c>
      <c r="N241" s="5">
        <v>3156.7916666666702</v>
      </c>
    </row>
    <row r="242" spans="1:14" x14ac:dyDescent="0.25">
      <c r="A242" s="4" t="s">
        <v>2384</v>
      </c>
      <c r="B242" s="4" t="s">
        <v>3187</v>
      </c>
      <c r="C242" s="4" t="s">
        <v>2320</v>
      </c>
      <c r="D242" s="4" t="s">
        <v>242</v>
      </c>
      <c r="E242" s="4" t="s">
        <v>2687</v>
      </c>
      <c r="F242" s="4" t="s">
        <v>2686</v>
      </c>
      <c r="G242" s="4" t="s">
        <v>2263</v>
      </c>
      <c r="H242" s="9" t="s">
        <v>2263</v>
      </c>
      <c r="I242" s="4" t="s">
        <v>2317</v>
      </c>
      <c r="J242" s="4" t="s">
        <v>2316</v>
      </c>
      <c r="K242" s="4" t="s">
        <v>2263</v>
      </c>
      <c r="L242" s="10">
        <v>1</v>
      </c>
      <c r="M242" s="5">
        <v>3156.7916666666665</v>
      </c>
      <c r="N242" s="5">
        <v>3156.7916666666702</v>
      </c>
    </row>
    <row r="243" spans="1:14" x14ac:dyDescent="0.25">
      <c r="A243" s="4" t="s">
        <v>3174</v>
      </c>
      <c r="B243" s="4" t="s">
        <v>3173</v>
      </c>
      <c r="C243" s="4" t="s">
        <v>2320</v>
      </c>
      <c r="D243" s="4" t="s">
        <v>242</v>
      </c>
      <c r="E243" s="4" t="s">
        <v>2687</v>
      </c>
      <c r="F243" s="4" t="s">
        <v>2686</v>
      </c>
      <c r="G243" s="4" t="s">
        <v>2263</v>
      </c>
      <c r="H243" s="9" t="s">
        <v>2263</v>
      </c>
      <c r="I243" s="4" t="s">
        <v>2317</v>
      </c>
      <c r="J243" s="4" t="s">
        <v>2316</v>
      </c>
      <c r="K243" s="4" t="s">
        <v>2263</v>
      </c>
      <c r="L243" s="10">
        <v>1</v>
      </c>
      <c r="M243" s="5">
        <v>3156.7916666666665</v>
      </c>
      <c r="N243" s="5">
        <v>3156.7916666666702</v>
      </c>
    </row>
    <row r="244" spans="1:14" x14ac:dyDescent="0.25">
      <c r="A244" s="4" t="s">
        <v>3104</v>
      </c>
      <c r="B244" s="4" t="s">
        <v>3103</v>
      </c>
      <c r="C244" s="4" t="s">
        <v>2320</v>
      </c>
      <c r="D244" s="4" t="s">
        <v>242</v>
      </c>
      <c r="E244" s="4" t="s">
        <v>2687</v>
      </c>
      <c r="F244" s="4" t="s">
        <v>2686</v>
      </c>
      <c r="G244" s="4" t="s">
        <v>2263</v>
      </c>
      <c r="H244" s="9" t="s">
        <v>2263</v>
      </c>
      <c r="I244" s="4" t="s">
        <v>2317</v>
      </c>
      <c r="J244" s="4" t="s">
        <v>2316</v>
      </c>
      <c r="K244" s="4" t="s">
        <v>2263</v>
      </c>
      <c r="L244" s="10">
        <v>1</v>
      </c>
      <c r="M244" s="5">
        <v>3156.7916666666665</v>
      </c>
      <c r="N244" s="5">
        <v>3156.7916666666702</v>
      </c>
    </row>
    <row r="245" spans="1:14" x14ac:dyDescent="0.25">
      <c r="A245" s="4" t="s">
        <v>3063</v>
      </c>
      <c r="B245" s="4" t="s">
        <v>3062</v>
      </c>
      <c r="C245" s="4" t="s">
        <v>2320</v>
      </c>
      <c r="D245" s="4" t="s">
        <v>242</v>
      </c>
      <c r="E245" s="4" t="s">
        <v>2687</v>
      </c>
      <c r="F245" s="4" t="s">
        <v>2686</v>
      </c>
      <c r="G245" s="4" t="s">
        <v>2263</v>
      </c>
      <c r="H245" s="9" t="s">
        <v>2263</v>
      </c>
      <c r="I245" s="4" t="s">
        <v>2317</v>
      </c>
      <c r="J245" s="4" t="s">
        <v>2316</v>
      </c>
      <c r="K245" s="4" t="s">
        <v>2263</v>
      </c>
      <c r="L245" s="10">
        <v>1</v>
      </c>
      <c r="M245" s="5">
        <v>3156.7916666666665</v>
      </c>
      <c r="N245" s="5">
        <v>3156.7916666666702</v>
      </c>
    </row>
    <row r="246" spans="1:14" x14ac:dyDescent="0.25">
      <c r="A246" s="4" t="s">
        <v>3051</v>
      </c>
      <c r="B246" s="4" t="s">
        <v>3050</v>
      </c>
      <c r="C246" s="4" t="s">
        <v>2320</v>
      </c>
      <c r="D246" s="4" t="s">
        <v>242</v>
      </c>
      <c r="E246" s="4" t="s">
        <v>2687</v>
      </c>
      <c r="F246" s="4" t="s">
        <v>2686</v>
      </c>
      <c r="G246" s="4" t="s">
        <v>2263</v>
      </c>
      <c r="H246" s="9" t="s">
        <v>2263</v>
      </c>
      <c r="I246" s="4" t="s">
        <v>2317</v>
      </c>
      <c r="J246" s="4" t="s">
        <v>2316</v>
      </c>
      <c r="K246" s="4" t="s">
        <v>2263</v>
      </c>
      <c r="L246" s="10">
        <v>1</v>
      </c>
      <c r="M246" s="5">
        <v>3156.7916666666665</v>
      </c>
      <c r="N246" s="5">
        <v>3156.7916666666702</v>
      </c>
    </row>
    <row r="247" spans="1:14" x14ac:dyDescent="0.25">
      <c r="A247" s="4" t="s">
        <v>3024</v>
      </c>
      <c r="B247" s="4" t="s">
        <v>3023</v>
      </c>
      <c r="C247" s="4" t="s">
        <v>2320</v>
      </c>
      <c r="D247" s="4" t="s">
        <v>242</v>
      </c>
      <c r="E247" s="4" t="s">
        <v>2687</v>
      </c>
      <c r="F247" s="4" t="s">
        <v>2686</v>
      </c>
      <c r="G247" s="4" t="s">
        <v>2263</v>
      </c>
      <c r="H247" s="9" t="s">
        <v>2263</v>
      </c>
      <c r="I247" s="4" t="s">
        <v>2317</v>
      </c>
      <c r="J247" s="4" t="s">
        <v>2316</v>
      </c>
      <c r="K247" s="4" t="s">
        <v>2263</v>
      </c>
      <c r="L247" s="10">
        <v>1</v>
      </c>
      <c r="M247" s="5">
        <v>3156.7916666666665</v>
      </c>
      <c r="N247" s="5">
        <v>3156.7916666666702</v>
      </c>
    </row>
    <row r="248" spans="1:14" x14ac:dyDescent="0.25">
      <c r="A248" s="4" t="s">
        <v>2673</v>
      </c>
      <c r="B248" s="4" t="s">
        <v>2672</v>
      </c>
      <c r="C248" s="4" t="s">
        <v>2320</v>
      </c>
      <c r="D248" s="4" t="s">
        <v>242</v>
      </c>
      <c r="E248" s="4" t="s">
        <v>2687</v>
      </c>
      <c r="F248" s="4" t="s">
        <v>2686</v>
      </c>
      <c r="G248" s="4" t="s">
        <v>2263</v>
      </c>
      <c r="H248" s="9" t="s">
        <v>2263</v>
      </c>
      <c r="I248" s="4" t="s">
        <v>2317</v>
      </c>
      <c r="J248" s="4" t="s">
        <v>2316</v>
      </c>
      <c r="K248" s="4" t="s">
        <v>2263</v>
      </c>
      <c r="L248" s="10">
        <v>1</v>
      </c>
      <c r="M248" s="5">
        <v>3156.7916666666665</v>
      </c>
      <c r="N248" s="5">
        <v>3156.7916666666702</v>
      </c>
    </row>
    <row r="249" spans="1:14" x14ac:dyDescent="0.25">
      <c r="A249" s="4" t="s">
        <v>3203</v>
      </c>
      <c r="B249" s="4" t="s">
        <v>3202</v>
      </c>
      <c r="C249" s="4" t="s">
        <v>2320</v>
      </c>
      <c r="D249" s="4" t="s">
        <v>242</v>
      </c>
      <c r="E249" s="4" t="s">
        <v>3205</v>
      </c>
      <c r="F249" s="4" t="s">
        <v>3204</v>
      </c>
      <c r="G249" s="4" t="s">
        <v>2263</v>
      </c>
      <c r="H249" s="9" t="s">
        <v>2263</v>
      </c>
      <c r="I249" s="4" t="s">
        <v>2317</v>
      </c>
      <c r="J249" s="4" t="s">
        <v>2316</v>
      </c>
      <c r="K249" s="4" t="s">
        <v>2263</v>
      </c>
      <c r="L249" s="10">
        <v>1</v>
      </c>
      <c r="M249" s="5">
        <v>3200</v>
      </c>
      <c r="N249" s="5">
        <v>3200</v>
      </c>
    </row>
    <row r="250" spans="1:14" x14ac:dyDescent="0.25">
      <c r="A250" s="4" t="s">
        <v>3801</v>
      </c>
      <c r="B250" s="4" t="s">
        <v>4965</v>
      </c>
      <c r="C250" s="4" t="s">
        <v>2320</v>
      </c>
      <c r="D250" s="4" t="s">
        <v>242</v>
      </c>
      <c r="E250" s="4" t="s">
        <v>2396</v>
      </c>
      <c r="F250" s="4" t="s">
        <v>2395</v>
      </c>
      <c r="G250" s="4" t="s">
        <v>2263</v>
      </c>
      <c r="H250" s="9" t="s">
        <v>2263</v>
      </c>
      <c r="I250" s="4" t="s">
        <v>2317</v>
      </c>
      <c r="J250" s="4" t="s">
        <v>2316</v>
      </c>
      <c r="K250" s="4" t="s">
        <v>2263</v>
      </c>
      <c r="L250" s="10">
        <v>1</v>
      </c>
      <c r="M250" s="5">
        <v>3219.5391304347827</v>
      </c>
      <c r="N250" s="5">
        <v>3219.53913043478</v>
      </c>
    </row>
    <row r="251" spans="1:14" x14ac:dyDescent="0.25">
      <c r="A251" s="4" t="s">
        <v>2279</v>
      </c>
      <c r="B251" s="4" t="s">
        <v>4963</v>
      </c>
      <c r="C251" s="4" t="s">
        <v>2320</v>
      </c>
      <c r="D251" s="4" t="s">
        <v>242</v>
      </c>
      <c r="E251" s="4" t="s">
        <v>2396</v>
      </c>
      <c r="F251" s="4" t="s">
        <v>2395</v>
      </c>
      <c r="G251" s="4" t="s">
        <v>2263</v>
      </c>
      <c r="H251" s="9" t="s">
        <v>2263</v>
      </c>
      <c r="I251" s="4" t="s">
        <v>2317</v>
      </c>
      <c r="J251" s="4" t="s">
        <v>2316</v>
      </c>
      <c r="K251" s="4" t="s">
        <v>2263</v>
      </c>
      <c r="L251" s="10">
        <v>1</v>
      </c>
      <c r="M251" s="5">
        <v>3219.5391304347827</v>
      </c>
      <c r="N251" s="5">
        <v>3219.53913043478</v>
      </c>
    </row>
    <row r="252" spans="1:14" x14ac:dyDescent="0.25">
      <c r="A252" s="4" t="s">
        <v>2481</v>
      </c>
      <c r="B252" s="4" t="s">
        <v>3217</v>
      </c>
      <c r="C252" s="4" t="s">
        <v>2320</v>
      </c>
      <c r="D252" s="4" t="s">
        <v>242</v>
      </c>
      <c r="E252" s="4" t="s">
        <v>2396</v>
      </c>
      <c r="F252" s="4" t="s">
        <v>2395</v>
      </c>
      <c r="G252" s="4" t="s">
        <v>2263</v>
      </c>
      <c r="H252" s="9" t="s">
        <v>2263</v>
      </c>
      <c r="I252" s="4" t="s">
        <v>2317</v>
      </c>
      <c r="J252" s="4" t="s">
        <v>2316</v>
      </c>
      <c r="K252" s="4" t="s">
        <v>2263</v>
      </c>
      <c r="L252" s="10">
        <v>1</v>
      </c>
      <c r="M252" s="5">
        <v>3219.5391304347827</v>
      </c>
      <c r="N252" s="5">
        <v>3219.53913043478</v>
      </c>
    </row>
    <row r="253" spans="1:14" x14ac:dyDescent="0.25">
      <c r="A253" s="4" t="s">
        <v>3196</v>
      </c>
      <c r="B253" s="4" t="s">
        <v>3195</v>
      </c>
      <c r="C253" s="4" t="s">
        <v>2320</v>
      </c>
      <c r="D253" s="4" t="s">
        <v>242</v>
      </c>
      <c r="E253" s="4" t="s">
        <v>2396</v>
      </c>
      <c r="F253" s="4" t="s">
        <v>2395</v>
      </c>
      <c r="G253" s="4" t="s">
        <v>2263</v>
      </c>
      <c r="H253" s="9" t="s">
        <v>2263</v>
      </c>
      <c r="I253" s="4" t="s">
        <v>2317</v>
      </c>
      <c r="J253" s="4" t="s">
        <v>2316</v>
      </c>
      <c r="K253" s="4" t="s">
        <v>2263</v>
      </c>
      <c r="L253" s="10">
        <v>1</v>
      </c>
      <c r="M253" s="5">
        <v>3219.5391304347827</v>
      </c>
      <c r="N253" s="5">
        <v>3219.53913043478</v>
      </c>
    </row>
    <row r="254" spans="1:14" x14ac:dyDescent="0.25">
      <c r="A254" s="4" t="s">
        <v>2384</v>
      </c>
      <c r="B254" s="4" t="s">
        <v>3187</v>
      </c>
      <c r="C254" s="4" t="s">
        <v>2320</v>
      </c>
      <c r="D254" s="4" t="s">
        <v>242</v>
      </c>
      <c r="E254" s="4" t="s">
        <v>2396</v>
      </c>
      <c r="F254" s="4" t="s">
        <v>2395</v>
      </c>
      <c r="G254" s="4" t="s">
        <v>2263</v>
      </c>
      <c r="H254" s="9" t="s">
        <v>2263</v>
      </c>
      <c r="I254" s="4" t="s">
        <v>2317</v>
      </c>
      <c r="J254" s="4" t="s">
        <v>2316</v>
      </c>
      <c r="K254" s="4" t="s">
        <v>2263</v>
      </c>
      <c r="L254" s="10">
        <v>1</v>
      </c>
      <c r="M254" s="5">
        <v>3219.5391304347827</v>
      </c>
      <c r="N254" s="5">
        <v>3219.53913043478</v>
      </c>
    </row>
    <row r="255" spans="1:14" x14ac:dyDescent="0.25">
      <c r="A255" s="4" t="s">
        <v>3174</v>
      </c>
      <c r="B255" s="4" t="s">
        <v>3173</v>
      </c>
      <c r="C255" s="4" t="s">
        <v>2320</v>
      </c>
      <c r="D255" s="4" t="s">
        <v>242</v>
      </c>
      <c r="E255" s="4" t="s">
        <v>2396</v>
      </c>
      <c r="F255" s="4" t="s">
        <v>2395</v>
      </c>
      <c r="G255" s="4" t="s">
        <v>2263</v>
      </c>
      <c r="H255" s="9" t="s">
        <v>2263</v>
      </c>
      <c r="I255" s="4" t="s">
        <v>2317</v>
      </c>
      <c r="J255" s="4" t="s">
        <v>2316</v>
      </c>
      <c r="K255" s="4" t="s">
        <v>2263</v>
      </c>
      <c r="L255" s="10">
        <v>1</v>
      </c>
      <c r="M255" s="5">
        <v>3219.5391304347827</v>
      </c>
      <c r="N255" s="5">
        <v>3219.53913043478</v>
      </c>
    </row>
    <row r="256" spans="1:14" x14ac:dyDescent="0.25">
      <c r="A256" s="4" t="s">
        <v>3104</v>
      </c>
      <c r="B256" s="4" t="s">
        <v>3103</v>
      </c>
      <c r="C256" s="4" t="s">
        <v>2320</v>
      </c>
      <c r="D256" s="4" t="s">
        <v>242</v>
      </c>
      <c r="E256" s="4" t="s">
        <v>2396</v>
      </c>
      <c r="F256" s="4" t="s">
        <v>2395</v>
      </c>
      <c r="G256" s="4" t="s">
        <v>2263</v>
      </c>
      <c r="H256" s="9" t="s">
        <v>2263</v>
      </c>
      <c r="I256" s="4" t="s">
        <v>2317</v>
      </c>
      <c r="J256" s="4" t="s">
        <v>2316</v>
      </c>
      <c r="K256" s="4" t="s">
        <v>2263</v>
      </c>
      <c r="L256" s="10">
        <v>1</v>
      </c>
      <c r="M256" s="5">
        <v>3219.5391304347827</v>
      </c>
      <c r="N256" s="5">
        <v>3219.53913043478</v>
      </c>
    </row>
    <row r="257" spans="1:14" x14ac:dyDescent="0.25">
      <c r="A257" s="4" t="s">
        <v>3063</v>
      </c>
      <c r="B257" s="4" t="s">
        <v>3062</v>
      </c>
      <c r="C257" s="4" t="s">
        <v>2320</v>
      </c>
      <c r="D257" s="4" t="s">
        <v>242</v>
      </c>
      <c r="E257" s="4" t="s">
        <v>2396</v>
      </c>
      <c r="F257" s="4" t="s">
        <v>2395</v>
      </c>
      <c r="G257" s="4" t="s">
        <v>2263</v>
      </c>
      <c r="H257" s="9" t="s">
        <v>2263</v>
      </c>
      <c r="I257" s="4" t="s">
        <v>2317</v>
      </c>
      <c r="J257" s="4" t="s">
        <v>2316</v>
      </c>
      <c r="K257" s="4" t="s">
        <v>2263</v>
      </c>
      <c r="L257" s="10">
        <v>1</v>
      </c>
      <c r="M257" s="5">
        <v>3219.5391304347827</v>
      </c>
      <c r="N257" s="5">
        <v>3219.53913043478</v>
      </c>
    </row>
    <row r="258" spans="1:14" x14ac:dyDescent="0.25">
      <c r="A258" s="4" t="s">
        <v>3051</v>
      </c>
      <c r="B258" s="4" t="s">
        <v>3050</v>
      </c>
      <c r="C258" s="4" t="s">
        <v>2320</v>
      </c>
      <c r="D258" s="4" t="s">
        <v>242</v>
      </c>
      <c r="E258" s="4" t="s">
        <v>2396</v>
      </c>
      <c r="F258" s="4" t="s">
        <v>2395</v>
      </c>
      <c r="G258" s="4" t="s">
        <v>2263</v>
      </c>
      <c r="H258" s="9" t="s">
        <v>2263</v>
      </c>
      <c r="I258" s="4" t="s">
        <v>2317</v>
      </c>
      <c r="J258" s="4" t="s">
        <v>2316</v>
      </c>
      <c r="K258" s="4" t="s">
        <v>2263</v>
      </c>
      <c r="L258" s="10">
        <v>1</v>
      </c>
      <c r="M258" s="5">
        <v>3219.5391304347827</v>
      </c>
      <c r="N258" s="5">
        <v>3219.53913043478</v>
      </c>
    </row>
    <row r="259" spans="1:14" x14ac:dyDescent="0.25">
      <c r="A259" s="4" t="s">
        <v>2386</v>
      </c>
      <c r="B259" s="4" t="s">
        <v>2385</v>
      </c>
      <c r="C259" s="4" t="s">
        <v>2320</v>
      </c>
      <c r="D259" s="4" t="s">
        <v>242</v>
      </c>
      <c r="E259" s="4" t="s">
        <v>2396</v>
      </c>
      <c r="F259" s="4" t="s">
        <v>2395</v>
      </c>
      <c r="G259" s="4" t="s">
        <v>2263</v>
      </c>
      <c r="H259" s="9" t="s">
        <v>2263</v>
      </c>
      <c r="I259" s="4" t="s">
        <v>2317</v>
      </c>
      <c r="J259" s="4" t="s">
        <v>2316</v>
      </c>
      <c r="K259" s="4" t="s">
        <v>2263</v>
      </c>
      <c r="L259" s="10">
        <v>1</v>
      </c>
      <c r="M259" s="5">
        <v>3219.5391304347827</v>
      </c>
      <c r="N259" s="5">
        <v>3219.53913043478</v>
      </c>
    </row>
    <row r="260" spans="1:14" x14ac:dyDescent="0.25">
      <c r="A260" s="4" t="s">
        <v>2320</v>
      </c>
      <c r="B260" s="4" t="s">
        <v>4967</v>
      </c>
      <c r="C260" s="4" t="s">
        <v>2344</v>
      </c>
      <c r="D260" s="4" t="s">
        <v>237</v>
      </c>
      <c r="E260" s="4" t="s">
        <v>4615</v>
      </c>
      <c r="F260" s="4" t="s">
        <v>4614</v>
      </c>
      <c r="G260" s="4" t="s">
        <v>2263</v>
      </c>
      <c r="H260" s="9" t="s">
        <v>2263</v>
      </c>
      <c r="I260" s="4" t="s">
        <v>2263</v>
      </c>
      <c r="J260" s="4" t="s">
        <v>2263</v>
      </c>
      <c r="K260" s="4" t="s">
        <v>2557</v>
      </c>
      <c r="L260" s="10">
        <v>1</v>
      </c>
      <c r="M260" s="5">
        <v>3243.3902499999999</v>
      </c>
      <c r="N260" s="5">
        <v>3243.3902499999999</v>
      </c>
    </row>
    <row r="261" spans="1:14" x14ac:dyDescent="0.25">
      <c r="A261" s="4" t="s">
        <v>2344</v>
      </c>
      <c r="B261" s="4" t="s">
        <v>5154</v>
      </c>
      <c r="C261" s="4" t="s">
        <v>2320</v>
      </c>
      <c r="D261" s="4" t="s">
        <v>242</v>
      </c>
      <c r="E261" s="4" t="s">
        <v>2689</v>
      </c>
      <c r="F261" s="4" t="s">
        <v>2688</v>
      </c>
      <c r="G261" s="4" t="s">
        <v>2263</v>
      </c>
      <c r="H261" s="9" t="s">
        <v>2263</v>
      </c>
      <c r="I261" s="4" t="s">
        <v>2317</v>
      </c>
      <c r="J261" s="4" t="s">
        <v>2316</v>
      </c>
      <c r="K261" s="4" t="s">
        <v>2263</v>
      </c>
      <c r="L261" s="10">
        <v>1</v>
      </c>
      <c r="M261" s="5">
        <v>3250.4286666666667</v>
      </c>
      <c r="N261" s="5">
        <v>3250.4286666666699</v>
      </c>
    </row>
    <row r="262" spans="1:14" x14ac:dyDescent="0.25">
      <c r="A262" s="4" t="s">
        <v>3801</v>
      </c>
      <c r="B262" s="4" t="s">
        <v>4965</v>
      </c>
      <c r="C262" s="4" t="s">
        <v>2320</v>
      </c>
      <c r="D262" s="4" t="s">
        <v>242</v>
      </c>
      <c r="E262" s="4" t="s">
        <v>2689</v>
      </c>
      <c r="F262" s="4" t="s">
        <v>2688</v>
      </c>
      <c r="G262" s="4" t="s">
        <v>2263</v>
      </c>
      <c r="H262" s="9" t="s">
        <v>2263</v>
      </c>
      <c r="I262" s="4" t="s">
        <v>2317</v>
      </c>
      <c r="J262" s="4" t="s">
        <v>2316</v>
      </c>
      <c r="K262" s="4" t="s">
        <v>2263</v>
      </c>
      <c r="L262" s="10">
        <v>1</v>
      </c>
      <c r="M262" s="5">
        <v>3250.4286666666667</v>
      </c>
      <c r="N262" s="5">
        <v>3250.4286666666699</v>
      </c>
    </row>
    <row r="263" spans="1:14" x14ac:dyDescent="0.25">
      <c r="A263" s="4" t="s">
        <v>2279</v>
      </c>
      <c r="B263" s="4" t="s">
        <v>4963</v>
      </c>
      <c r="C263" s="4" t="s">
        <v>2320</v>
      </c>
      <c r="D263" s="4" t="s">
        <v>242</v>
      </c>
      <c r="E263" s="4" t="s">
        <v>2689</v>
      </c>
      <c r="F263" s="4" t="s">
        <v>2688</v>
      </c>
      <c r="G263" s="4" t="s">
        <v>2263</v>
      </c>
      <c r="H263" s="9" t="s">
        <v>2263</v>
      </c>
      <c r="I263" s="4" t="s">
        <v>2317</v>
      </c>
      <c r="J263" s="4" t="s">
        <v>2316</v>
      </c>
      <c r="K263" s="4" t="s">
        <v>2263</v>
      </c>
      <c r="L263" s="10">
        <v>1</v>
      </c>
      <c r="M263" s="5">
        <v>3250.4286666666667</v>
      </c>
      <c r="N263" s="5">
        <v>3250.4286666666699</v>
      </c>
    </row>
    <row r="264" spans="1:14" x14ac:dyDescent="0.25">
      <c r="A264" s="4" t="s">
        <v>3196</v>
      </c>
      <c r="B264" s="4" t="s">
        <v>3195</v>
      </c>
      <c r="C264" s="4" t="s">
        <v>2320</v>
      </c>
      <c r="D264" s="4" t="s">
        <v>242</v>
      </c>
      <c r="E264" s="4" t="s">
        <v>2689</v>
      </c>
      <c r="F264" s="4" t="s">
        <v>2688</v>
      </c>
      <c r="G264" s="4" t="s">
        <v>2263</v>
      </c>
      <c r="H264" s="9" t="s">
        <v>2263</v>
      </c>
      <c r="I264" s="4" t="s">
        <v>2317</v>
      </c>
      <c r="J264" s="4" t="s">
        <v>2316</v>
      </c>
      <c r="K264" s="4" t="s">
        <v>2263</v>
      </c>
      <c r="L264" s="10">
        <v>1</v>
      </c>
      <c r="M264" s="5">
        <v>3250.4286666666667</v>
      </c>
      <c r="N264" s="5">
        <v>3250.4286666666699</v>
      </c>
    </row>
    <row r="265" spans="1:14" x14ac:dyDescent="0.25">
      <c r="A265" s="4" t="s">
        <v>2384</v>
      </c>
      <c r="B265" s="4" t="s">
        <v>3187</v>
      </c>
      <c r="C265" s="4" t="s">
        <v>2320</v>
      </c>
      <c r="D265" s="4" t="s">
        <v>242</v>
      </c>
      <c r="E265" s="4" t="s">
        <v>2689</v>
      </c>
      <c r="F265" s="4" t="s">
        <v>2688</v>
      </c>
      <c r="G265" s="4" t="s">
        <v>2263</v>
      </c>
      <c r="H265" s="9" t="s">
        <v>2263</v>
      </c>
      <c r="I265" s="4" t="s">
        <v>2317</v>
      </c>
      <c r="J265" s="4" t="s">
        <v>2316</v>
      </c>
      <c r="K265" s="4" t="s">
        <v>2263</v>
      </c>
      <c r="L265" s="10">
        <v>1</v>
      </c>
      <c r="M265" s="5">
        <v>3250.4286666666667</v>
      </c>
      <c r="N265" s="5">
        <v>3250.4286666666699</v>
      </c>
    </row>
    <row r="266" spans="1:14" x14ac:dyDescent="0.25">
      <c r="A266" s="4" t="s">
        <v>3157</v>
      </c>
      <c r="B266" s="4" t="s">
        <v>3156</v>
      </c>
      <c r="C266" s="4" t="s">
        <v>2320</v>
      </c>
      <c r="D266" s="4" t="s">
        <v>242</v>
      </c>
      <c r="E266" s="4" t="s">
        <v>2689</v>
      </c>
      <c r="F266" s="4" t="s">
        <v>2688</v>
      </c>
      <c r="G266" s="4" t="s">
        <v>2263</v>
      </c>
      <c r="H266" s="9" t="s">
        <v>2263</v>
      </c>
      <c r="I266" s="4" t="s">
        <v>2317</v>
      </c>
      <c r="J266" s="4" t="s">
        <v>2316</v>
      </c>
      <c r="K266" s="4" t="s">
        <v>2263</v>
      </c>
      <c r="L266" s="10">
        <v>1</v>
      </c>
      <c r="M266" s="5">
        <v>3250.4286666666667</v>
      </c>
      <c r="N266" s="5">
        <v>3250.4286666666699</v>
      </c>
    </row>
    <row r="267" spans="1:14" x14ac:dyDescent="0.25">
      <c r="A267" s="4" t="s">
        <v>3104</v>
      </c>
      <c r="B267" s="4" t="s">
        <v>3103</v>
      </c>
      <c r="C267" s="4" t="s">
        <v>2320</v>
      </c>
      <c r="D267" s="4" t="s">
        <v>242</v>
      </c>
      <c r="E267" s="4" t="s">
        <v>2689</v>
      </c>
      <c r="F267" s="4" t="s">
        <v>2688</v>
      </c>
      <c r="G267" s="4" t="s">
        <v>2263</v>
      </c>
      <c r="H267" s="9" t="s">
        <v>2263</v>
      </c>
      <c r="I267" s="4" t="s">
        <v>2317</v>
      </c>
      <c r="J267" s="4" t="s">
        <v>2316</v>
      </c>
      <c r="K267" s="4" t="s">
        <v>2263</v>
      </c>
      <c r="L267" s="10">
        <v>1</v>
      </c>
      <c r="M267" s="5">
        <v>3250.4286666666667</v>
      </c>
      <c r="N267" s="5">
        <v>3250.4286666666699</v>
      </c>
    </row>
    <row r="268" spans="1:14" x14ac:dyDescent="0.25">
      <c r="A268" s="4" t="s">
        <v>3063</v>
      </c>
      <c r="B268" s="4" t="s">
        <v>3062</v>
      </c>
      <c r="C268" s="4" t="s">
        <v>2320</v>
      </c>
      <c r="D268" s="4" t="s">
        <v>242</v>
      </c>
      <c r="E268" s="4" t="s">
        <v>2689</v>
      </c>
      <c r="F268" s="4" t="s">
        <v>2688</v>
      </c>
      <c r="G268" s="4" t="s">
        <v>2263</v>
      </c>
      <c r="H268" s="9" t="s">
        <v>2263</v>
      </c>
      <c r="I268" s="4" t="s">
        <v>2317</v>
      </c>
      <c r="J268" s="4" t="s">
        <v>2316</v>
      </c>
      <c r="K268" s="4" t="s">
        <v>2263</v>
      </c>
      <c r="L268" s="10">
        <v>1</v>
      </c>
      <c r="M268" s="5">
        <v>3250.4286666666667</v>
      </c>
      <c r="N268" s="5">
        <v>3250.4286666666699</v>
      </c>
    </row>
    <row r="269" spans="1:14" x14ac:dyDescent="0.25">
      <c r="A269" s="4" t="s">
        <v>3051</v>
      </c>
      <c r="B269" s="4" t="s">
        <v>3050</v>
      </c>
      <c r="C269" s="4" t="s">
        <v>2320</v>
      </c>
      <c r="D269" s="4" t="s">
        <v>242</v>
      </c>
      <c r="E269" s="4" t="s">
        <v>2689</v>
      </c>
      <c r="F269" s="4" t="s">
        <v>2688</v>
      </c>
      <c r="G269" s="4" t="s">
        <v>2263</v>
      </c>
      <c r="H269" s="9" t="s">
        <v>2263</v>
      </c>
      <c r="I269" s="4" t="s">
        <v>2317</v>
      </c>
      <c r="J269" s="4" t="s">
        <v>2316</v>
      </c>
      <c r="K269" s="4" t="s">
        <v>2263</v>
      </c>
      <c r="L269" s="10">
        <v>1</v>
      </c>
      <c r="M269" s="5">
        <v>3250.4286666666667</v>
      </c>
      <c r="N269" s="5">
        <v>3250.4286666666699</v>
      </c>
    </row>
    <row r="270" spans="1:14" x14ac:dyDescent="0.25">
      <c r="A270" s="4" t="s">
        <v>3024</v>
      </c>
      <c r="B270" s="4" t="s">
        <v>3023</v>
      </c>
      <c r="C270" s="4" t="s">
        <v>2320</v>
      </c>
      <c r="D270" s="4" t="s">
        <v>242</v>
      </c>
      <c r="E270" s="4" t="s">
        <v>2689</v>
      </c>
      <c r="F270" s="4" t="s">
        <v>2688</v>
      </c>
      <c r="G270" s="4" t="s">
        <v>2263</v>
      </c>
      <c r="H270" s="9" t="s">
        <v>2263</v>
      </c>
      <c r="I270" s="4" t="s">
        <v>2317</v>
      </c>
      <c r="J270" s="4" t="s">
        <v>2316</v>
      </c>
      <c r="K270" s="4" t="s">
        <v>2263</v>
      </c>
      <c r="L270" s="10">
        <v>1</v>
      </c>
      <c r="M270" s="5">
        <v>3250.4286666666667</v>
      </c>
      <c r="N270" s="5">
        <v>3250.4286666666699</v>
      </c>
    </row>
    <row r="271" spans="1:14" x14ac:dyDescent="0.25">
      <c r="A271" s="4" t="s">
        <v>2673</v>
      </c>
      <c r="B271" s="4" t="s">
        <v>2672</v>
      </c>
      <c r="C271" s="4" t="s">
        <v>2320</v>
      </c>
      <c r="D271" s="4" t="s">
        <v>242</v>
      </c>
      <c r="E271" s="4" t="s">
        <v>2689</v>
      </c>
      <c r="F271" s="4" t="s">
        <v>2688</v>
      </c>
      <c r="G271" s="4" t="s">
        <v>2263</v>
      </c>
      <c r="H271" s="9" t="s">
        <v>2263</v>
      </c>
      <c r="I271" s="4" t="s">
        <v>2317</v>
      </c>
      <c r="J271" s="4" t="s">
        <v>2316</v>
      </c>
      <c r="K271" s="4" t="s">
        <v>2263</v>
      </c>
      <c r="L271" s="10">
        <v>1</v>
      </c>
      <c r="M271" s="5">
        <v>3250.4286666666667</v>
      </c>
      <c r="N271" s="5">
        <v>3250.4286666666699</v>
      </c>
    </row>
    <row r="272" spans="1:14" x14ac:dyDescent="0.25">
      <c r="A272" s="4" t="s">
        <v>3801</v>
      </c>
      <c r="B272" s="4" t="s">
        <v>4965</v>
      </c>
      <c r="C272" s="4" t="s">
        <v>2320</v>
      </c>
      <c r="D272" s="4" t="s">
        <v>242</v>
      </c>
      <c r="E272" s="4" t="s">
        <v>2691</v>
      </c>
      <c r="F272" s="4" t="s">
        <v>2690</v>
      </c>
      <c r="G272" s="4" t="s">
        <v>2263</v>
      </c>
      <c r="H272" s="9" t="s">
        <v>2263</v>
      </c>
      <c r="I272" s="4" t="s">
        <v>2317</v>
      </c>
      <c r="J272" s="4" t="s">
        <v>2316</v>
      </c>
      <c r="K272" s="4" t="s">
        <v>2263</v>
      </c>
      <c r="L272" s="10">
        <v>1</v>
      </c>
      <c r="M272" s="5">
        <v>3269.9845714285716</v>
      </c>
      <c r="N272" s="5">
        <v>3269.9845714285698</v>
      </c>
    </row>
    <row r="273" spans="1:14" x14ac:dyDescent="0.25">
      <c r="A273" s="4" t="s">
        <v>2279</v>
      </c>
      <c r="B273" s="4" t="s">
        <v>4963</v>
      </c>
      <c r="C273" s="4" t="s">
        <v>2320</v>
      </c>
      <c r="D273" s="4" t="s">
        <v>242</v>
      </c>
      <c r="E273" s="4" t="s">
        <v>2691</v>
      </c>
      <c r="F273" s="4" t="s">
        <v>2690</v>
      </c>
      <c r="G273" s="4" t="s">
        <v>2263</v>
      </c>
      <c r="H273" s="9" t="s">
        <v>2263</v>
      </c>
      <c r="I273" s="4" t="s">
        <v>2317</v>
      </c>
      <c r="J273" s="4" t="s">
        <v>2316</v>
      </c>
      <c r="K273" s="4" t="s">
        <v>2263</v>
      </c>
      <c r="L273" s="10">
        <v>1</v>
      </c>
      <c r="M273" s="5">
        <v>3269.9845714285716</v>
      </c>
      <c r="N273" s="5">
        <v>3269.9845714285698</v>
      </c>
    </row>
    <row r="274" spans="1:14" x14ac:dyDescent="0.25">
      <c r="A274" s="4" t="s">
        <v>3196</v>
      </c>
      <c r="B274" s="4" t="s">
        <v>3195</v>
      </c>
      <c r="C274" s="4" t="s">
        <v>2320</v>
      </c>
      <c r="D274" s="4" t="s">
        <v>242</v>
      </c>
      <c r="E274" s="4" t="s">
        <v>2691</v>
      </c>
      <c r="F274" s="4" t="s">
        <v>2690</v>
      </c>
      <c r="G274" s="4" t="s">
        <v>2263</v>
      </c>
      <c r="H274" s="9" t="s">
        <v>2263</v>
      </c>
      <c r="I274" s="4" t="s">
        <v>2317</v>
      </c>
      <c r="J274" s="4" t="s">
        <v>2316</v>
      </c>
      <c r="K274" s="4" t="s">
        <v>2263</v>
      </c>
      <c r="L274" s="10">
        <v>1</v>
      </c>
      <c r="M274" s="5">
        <v>3269.9845714285716</v>
      </c>
      <c r="N274" s="5">
        <v>3269.9845714285698</v>
      </c>
    </row>
    <row r="275" spans="1:14" x14ac:dyDescent="0.25">
      <c r="A275" s="4" t="s">
        <v>2384</v>
      </c>
      <c r="B275" s="4" t="s">
        <v>3187</v>
      </c>
      <c r="C275" s="4" t="s">
        <v>2320</v>
      </c>
      <c r="D275" s="4" t="s">
        <v>242</v>
      </c>
      <c r="E275" s="4" t="s">
        <v>2691</v>
      </c>
      <c r="F275" s="4" t="s">
        <v>2690</v>
      </c>
      <c r="G275" s="4" t="s">
        <v>2263</v>
      </c>
      <c r="H275" s="9" t="s">
        <v>2263</v>
      </c>
      <c r="I275" s="4" t="s">
        <v>2317</v>
      </c>
      <c r="J275" s="4" t="s">
        <v>2316</v>
      </c>
      <c r="K275" s="4" t="s">
        <v>2263</v>
      </c>
      <c r="L275" s="10">
        <v>1</v>
      </c>
      <c r="M275" s="5">
        <v>3269.9845714285716</v>
      </c>
      <c r="N275" s="5">
        <v>3269.9845714285698</v>
      </c>
    </row>
    <row r="276" spans="1:14" x14ac:dyDescent="0.25">
      <c r="A276" s="4" t="s">
        <v>3174</v>
      </c>
      <c r="B276" s="4" t="s">
        <v>3173</v>
      </c>
      <c r="C276" s="4" t="s">
        <v>2320</v>
      </c>
      <c r="D276" s="4" t="s">
        <v>242</v>
      </c>
      <c r="E276" s="4" t="s">
        <v>2691</v>
      </c>
      <c r="F276" s="4" t="s">
        <v>2690</v>
      </c>
      <c r="G276" s="4" t="s">
        <v>2263</v>
      </c>
      <c r="H276" s="9" t="s">
        <v>2263</v>
      </c>
      <c r="I276" s="4" t="s">
        <v>2317</v>
      </c>
      <c r="J276" s="4" t="s">
        <v>2316</v>
      </c>
      <c r="K276" s="4" t="s">
        <v>2263</v>
      </c>
      <c r="L276" s="10">
        <v>1</v>
      </c>
      <c r="M276" s="5">
        <v>3269.9845714285716</v>
      </c>
      <c r="N276" s="5">
        <v>3269.9845714285698</v>
      </c>
    </row>
    <row r="277" spans="1:14" x14ac:dyDescent="0.25">
      <c r="A277" s="4" t="s">
        <v>3157</v>
      </c>
      <c r="B277" s="4" t="s">
        <v>3156</v>
      </c>
      <c r="C277" s="4" t="s">
        <v>2320</v>
      </c>
      <c r="D277" s="4" t="s">
        <v>242</v>
      </c>
      <c r="E277" s="4" t="s">
        <v>2691</v>
      </c>
      <c r="F277" s="4" t="s">
        <v>2690</v>
      </c>
      <c r="G277" s="4" t="s">
        <v>2263</v>
      </c>
      <c r="H277" s="9" t="s">
        <v>2263</v>
      </c>
      <c r="I277" s="4" t="s">
        <v>2317</v>
      </c>
      <c r="J277" s="4" t="s">
        <v>2316</v>
      </c>
      <c r="K277" s="4" t="s">
        <v>2263</v>
      </c>
      <c r="L277" s="10">
        <v>1</v>
      </c>
      <c r="M277" s="5">
        <v>3269.9845714285716</v>
      </c>
      <c r="N277" s="5">
        <v>3269.9845714285698</v>
      </c>
    </row>
    <row r="278" spans="1:14" x14ac:dyDescent="0.25">
      <c r="A278" s="4" t="s">
        <v>3063</v>
      </c>
      <c r="B278" s="4" t="s">
        <v>3062</v>
      </c>
      <c r="C278" s="4" t="s">
        <v>2320</v>
      </c>
      <c r="D278" s="4" t="s">
        <v>242</v>
      </c>
      <c r="E278" s="4" t="s">
        <v>2691</v>
      </c>
      <c r="F278" s="4" t="s">
        <v>2690</v>
      </c>
      <c r="G278" s="4" t="s">
        <v>2263</v>
      </c>
      <c r="H278" s="9" t="s">
        <v>2263</v>
      </c>
      <c r="I278" s="4" t="s">
        <v>2317</v>
      </c>
      <c r="J278" s="4" t="s">
        <v>2316</v>
      </c>
      <c r="K278" s="4" t="s">
        <v>2263</v>
      </c>
      <c r="L278" s="10">
        <v>1</v>
      </c>
      <c r="M278" s="5">
        <v>3269.9845714285716</v>
      </c>
      <c r="N278" s="5">
        <v>3269.9845714285698</v>
      </c>
    </row>
    <row r="279" spans="1:14" x14ac:dyDescent="0.25">
      <c r="A279" s="4" t="s">
        <v>3051</v>
      </c>
      <c r="B279" s="4" t="s">
        <v>3050</v>
      </c>
      <c r="C279" s="4" t="s">
        <v>2320</v>
      </c>
      <c r="D279" s="4" t="s">
        <v>242</v>
      </c>
      <c r="E279" s="4" t="s">
        <v>2691</v>
      </c>
      <c r="F279" s="4" t="s">
        <v>2690</v>
      </c>
      <c r="G279" s="4" t="s">
        <v>2263</v>
      </c>
      <c r="H279" s="9" t="s">
        <v>2263</v>
      </c>
      <c r="I279" s="4" t="s">
        <v>2317</v>
      </c>
      <c r="J279" s="4" t="s">
        <v>2316</v>
      </c>
      <c r="K279" s="4" t="s">
        <v>2263</v>
      </c>
      <c r="L279" s="10">
        <v>1</v>
      </c>
      <c r="M279" s="5">
        <v>3269.9845714285716</v>
      </c>
      <c r="N279" s="5">
        <v>3269.9845714285698</v>
      </c>
    </row>
    <row r="280" spans="1:14" x14ac:dyDescent="0.25">
      <c r="A280" s="4" t="s">
        <v>3024</v>
      </c>
      <c r="B280" s="4" t="s">
        <v>3023</v>
      </c>
      <c r="C280" s="4" t="s">
        <v>2320</v>
      </c>
      <c r="D280" s="4" t="s">
        <v>242</v>
      </c>
      <c r="E280" s="4" t="s">
        <v>2691</v>
      </c>
      <c r="F280" s="4" t="s">
        <v>2690</v>
      </c>
      <c r="G280" s="4" t="s">
        <v>2263</v>
      </c>
      <c r="H280" s="9" t="s">
        <v>2263</v>
      </c>
      <c r="I280" s="4" t="s">
        <v>2317</v>
      </c>
      <c r="J280" s="4" t="s">
        <v>2316</v>
      </c>
      <c r="K280" s="4" t="s">
        <v>2263</v>
      </c>
      <c r="L280" s="10">
        <v>1</v>
      </c>
      <c r="M280" s="5">
        <v>3269.9845714285716</v>
      </c>
      <c r="N280" s="5">
        <v>3269.9845714285698</v>
      </c>
    </row>
    <row r="281" spans="1:14" x14ac:dyDescent="0.25">
      <c r="A281" s="4" t="s">
        <v>2673</v>
      </c>
      <c r="B281" s="4" t="s">
        <v>2672</v>
      </c>
      <c r="C281" s="4" t="s">
        <v>2320</v>
      </c>
      <c r="D281" s="4" t="s">
        <v>242</v>
      </c>
      <c r="E281" s="4" t="s">
        <v>2691</v>
      </c>
      <c r="F281" s="4" t="s">
        <v>2690</v>
      </c>
      <c r="G281" s="4" t="s">
        <v>2263</v>
      </c>
      <c r="H281" s="9" t="s">
        <v>2263</v>
      </c>
      <c r="I281" s="4" t="s">
        <v>2317</v>
      </c>
      <c r="J281" s="4" t="s">
        <v>2316</v>
      </c>
      <c r="K281" s="4" t="s">
        <v>2263</v>
      </c>
      <c r="L281" s="10">
        <v>1</v>
      </c>
      <c r="M281" s="5">
        <v>3269.9845714285716</v>
      </c>
      <c r="N281" s="5">
        <v>3269.9845714285698</v>
      </c>
    </row>
    <row r="282" spans="1:14" x14ac:dyDescent="0.25">
      <c r="A282" s="4" t="s">
        <v>2344</v>
      </c>
      <c r="B282" s="4" t="s">
        <v>5154</v>
      </c>
      <c r="C282" s="4" t="s">
        <v>2320</v>
      </c>
      <c r="D282" s="4" t="s">
        <v>242</v>
      </c>
      <c r="E282" s="4" t="s">
        <v>2394</v>
      </c>
      <c r="F282" s="4" t="s">
        <v>2393</v>
      </c>
      <c r="G282" s="4" t="s">
        <v>2263</v>
      </c>
      <c r="H282" s="9" t="s">
        <v>2263</v>
      </c>
      <c r="I282" s="4" t="s">
        <v>2317</v>
      </c>
      <c r="J282" s="4" t="s">
        <v>2316</v>
      </c>
      <c r="K282" s="4" t="s">
        <v>2263</v>
      </c>
      <c r="L282" s="10">
        <v>1</v>
      </c>
      <c r="M282" s="5">
        <v>3280.1967213114754</v>
      </c>
      <c r="N282" s="5">
        <v>3280.1967213114799</v>
      </c>
    </row>
    <row r="283" spans="1:14" x14ac:dyDescent="0.25">
      <c r="A283" s="4" t="s">
        <v>3801</v>
      </c>
      <c r="B283" s="4" t="s">
        <v>4965</v>
      </c>
      <c r="C283" s="4" t="s">
        <v>2320</v>
      </c>
      <c r="D283" s="4" t="s">
        <v>242</v>
      </c>
      <c r="E283" s="4" t="s">
        <v>2394</v>
      </c>
      <c r="F283" s="4" t="s">
        <v>2393</v>
      </c>
      <c r="G283" s="4" t="s">
        <v>2263</v>
      </c>
      <c r="H283" s="9" t="s">
        <v>2263</v>
      </c>
      <c r="I283" s="4" t="s">
        <v>2317</v>
      </c>
      <c r="J283" s="4" t="s">
        <v>2316</v>
      </c>
      <c r="K283" s="4" t="s">
        <v>2263</v>
      </c>
      <c r="L283" s="10">
        <v>1</v>
      </c>
      <c r="M283" s="5">
        <v>3280.1967213114754</v>
      </c>
      <c r="N283" s="5">
        <v>3280.1967213114799</v>
      </c>
    </row>
    <row r="284" spans="1:14" x14ac:dyDescent="0.25">
      <c r="A284" s="4" t="s">
        <v>2481</v>
      </c>
      <c r="B284" s="4" t="s">
        <v>3217</v>
      </c>
      <c r="C284" s="4" t="s">
        <v>2320</v>
      </c>
      <c r="D284" s="4" t="s">
        <v>242</v>
      </c>
      <c r="E284" s="4" t="s">
        <v>2394</v>
      </c>
      <c r="F284" s="4" t="s">
        <v>2393</v>
      </c>
      <c r="G284" s="4" t="s">
        <v>2263</v>
      </c>
      <c r="H284" s="9" t="s">
        <v>2263</v>
      </c>
      <c r="I284" s="4" t="s">
        <v>2317</v>
      </c>
      <c r="J284" s="4" t="s">
        <v>2316</v>
      </c>
      <c r="K284" s="4" t="s">
        <v>2263</v>
      </c>
      <c r="L284" s="10">
        <v>1</v>
      </c>
      <c r="M284" s="5">
        <v>3280.1967213114754</v>
      </c>
      <c r="N284" s="5">
        <v>3280.1967213114799</v>
      </c>
    </row>
    <row r="285" spans="1:14" x14ac:dyDescent="0.25">
      <c r="A285" s="4" t="s">
        <v>3196</v>
      </c>
      <c r="B285" s="4" t="s">
        <v>3195</v>
      </c>
      <c r="C285" s="4" t="s">
        <v>2320</v>
      </c>
      <c r="D285" s="4" t="s">
        <v>242</v>
      </c>
      <c r="E285" s="4" t="s">
        <v>2394</v>
      </c>
      <c r="F285" s="4" t="s">
        <v>2393</v>
      </c>
      <c r="G285" s="4" t="s">
        <v>2263</v>
      </c>
      <c r="H285" s="9" t="s">
        <v>2263</v>
      </c>
      <c r="I285" s="4" t="s">
        <v>2317</v>
      </c>
      <c r="J285" s="4" t="s">
        <v>2316</v>
      </c>
      <c r="K285" s="4" t="s">
        <v>2263</v>
      </c>
      <c r="L285" s="10">
        <v>1</v>
      </c>
      <c r="M285" s="5">
        <v>3280.1967213114754</v>
      </c>
      <c r="N285" s="5">
        <v>3280.1967213114799</v>
      </c>
    </row>
    <row r="286" spans="1:14" x14ac:dyDescent="0.25">
      <c r="A286" s="4" t="s">
        <v>2384</v>
      </c>
      <c r="B286" s="4" t="s">
        <v>3187</v>
      </c>
      <c r="C286" s="4" t="s">
        <v>2320</v>
      </c>
      <c r="D286" s="4" t="s">
        <v>242</v>
      </c>
      <c r="E286" s="4" t="s">
        <v>2394</v>
      </c>
      <c r="F286" s="4" t="s">
        <v>2393</v>
      </c>
      <c r="G286" s="4" t="s">
        <v>2263</v>
      </c>
      <c r="H286" s="9" t="s">
        <v>2263</v>
      </c>
      <c r="I286" s="4" t="s">
        <v>2317</v>
      </c>
      <c r="J286" s="4" t="s">
        <v>2316</v>
      </c>
      <c r="K286" s="4" t="s">
        <v>2263</v>
      </c>
      <c r="L286" s="10">
        <v>1</v>
      </c>
      <c r="M286" s="5">
        <v>3280.1967213114754</v>
      </c>
      <c r="N286" s="5">
        <v>3280.1967213114799</v>
      </c>
    </row>
    <row r="287" spans="1:14" x14ac:dyDescent="0.25">
      <c r="A287" s="4" t="s">
        <v>3174</v>
      </c>
      <c r="B287" s="4" t="s">
        <v>3173</v>
      </c>
      <c r="C287" s="4" t="s">
        <v>2320</v>
      </c>
      <c r="D287" s="4" t="s">
        <v>242</v>
      </c>
      <c r="E287" s="4" t="s">
        <v>2394</v>
      </c>
      <c r="F287" s="4" t="s">
        <v>2393</v>
      </c>
      <c r="G287" s="4" t="s">
        <v>2263</v>
      </c>
      <c r="H287" s="9" t="s">
        <v>2263</v>
      </c>
      <c r="I287" s="4" t="s">
        <v>2317</v>
      </c>
      <c r="J287" s="4" t="s">
        <v>2316</v>
      </c>
      <c r="K287" s="4" t="s">
        <v>2263</v>
      </c>
      <c r="L287" s="10">
        <v>1</v>
      </c>
      <c r="M287" s="5">
        <v>3280.1967213114754</v>
      </c>
      <c r="N287" s="5">
        <v>3280.1967213114799</v>
      </c>
    </row>
    <row r="288" spans="1:14" x14ac:dyDescent="0.25">
      <c r="A288" s="4" t="s">
        <v>3157</v>
      </c>
      <c r="B288" s="4" t="s">
        <v>3156</v>
      </c>
      <c r="C288" s="4" t="s">
        <v>2320</v>
      </c>
      <c r="D288" s="4" t="s">
        <v>242</v>
      </c>
      <c r="E288" s="4" t="s">
        <v>2394</v>
      </c>
      <c r="F288" s="4" t="s">
        <v>2393</v>
      </c>
      <c r="G288" s="4" t="s">
        <v>2263</v>
      </c>
      <c r="H288" s="9" t="s">
        <v>2263</v>
      </c>
      <c r="I288" s="4" t="s">
        <v>2317</v>
      </c>
      <c r="J288" s="4" t="s">
        <v>2316</v>
      </c>
      <c r="K288" s="4" t="s">
        <v>2263</v>
      </c>
      <c r="L288" s="10">
        <v>1</v>
      </c>
      <c r="M288" s="5">
        <v>3280.1967213114754</v>
      </c>
      <c r="N288" s="5">
        <v>3280.1967213114799</v>
      </c>
    </row>
    <row r="289" spans="1:14" x14ac:dyDescent="0.25">
      <c r="A289" s="4" t="s">
        <v>3104</v>
      </c>
      <c r="B289" s="4" t="s">
        <v>3103</v>
      </c>
      <c r="C289" s="4" t="s">
        <v>2320</v>
      </c>
      <c r="D289" s="4" t="s">
        <v>242</v>
      </c>
      <c r="E289" s="4" t="s">
        <v>2394</v>
      </c>
      <c r="F289" s="4" t="s">
        <v>2393</v>
      </c>
      <c r="G289" s="4" t="s">
        <v>2263</v>
      </c>
      <c r="H289" s="9" t="s">
        <v>2263</v>
      </c>
      <c r="I289" s="4" t="s">
        <v>2317</v>
      </c>
      <c r="J289" s="4" t="s">
        <v>2316</v>
      </c>
      <c r="K289" s="4" t="s">
        <v>2263</v>
      </c>
      <c r="L289" s="10">
        <v>1</v>
      </c>
      <c r="M289" s="5">
        <v>3280.1967213114754</v>
      </c>
      <c r="N289" s="5">
        <v>3280.1967213114799</v>
      </c>
    </row>
    <row r="290" spans="1:14" x14ac:dyDescent="0.25">
      <c r="A290" s="4" t="s">
        <v>3102</v>
      </c>
      <c r="B290" s="4" t="s">
        <v>3101</v>
      </c>
      <c r="C290" s="4" t="s">
        <v>2320</v>
      </c>
      <c r="D290" s="4" t="s">
        <v>242</v>
      </c>
      <c r="E290" s="4" t="s">
        <v>2394</v>
      </c>
      <c r="F290" s="4" t="s">
        <v>2393</v>
      </c>
      <c r="G290" s="4" t="s">
        <v>2263</v>
      </c>
      <c r="H290" s="9" t="s">
        <v>2263</v>
      </c>
      <c r="I290" s="4" t="s">
        <v>2317</v>
      </c>
      <c r="J290" s="4" t="s">
        <v>2316</v>
      </c>
      <c r="K290" s="4" t="s">
        <v>2263</v>
      </c>
      <c r="L290" s="10">
        <v>1</v>
      </c>
      <c r="M290" s="5">
        <v>3280.1967213114754</v>
      </c>
      <c r="N290" s="5">
        <v>3280.1967213114799</v>
      </c>
    </row>
    <row r="291" spans="1:14" x14ac:dyDescent="0.25">
      <c r="A291" s="4" t="s">
        <v>3063</v>
      </c>
      <c r="B291" s="4" t="s">
        <v>3062</v>
      </c>
      <c r="C291" s="4" t="s">
        <v>2320</v>
      </c>
      <c r="D291" s="4" t="s">
        <v>242</v>
      </c>
      <c r="E291" s="4" t="s">
        <v>2394</v>
      </c>
      <c r="F291" s="4" t="s">
        <v>2393</v>
      </c>
      <c r="G291" s="4" t="s">
        <v>2263</v>
      </c>
      <c r="H291" s="9" t="s">
        <v>2263</v>
      </c>
      <c r="I291" s="4" t="s">
        <v>2317</v>
      </c>
      <c r="J291" s="4" t="s">
        <v>2316</v>
      </c>
      <c r="K291" s="4" t="s">
        <v>2263</v>
      </c>
      <c r="L291" s="10">
        <v>1</v>
      </c>
      <c r="M291" s="5">
        <v>3280.1967213114754</v>
      </c>
      <c r="N291" s="5">
        <v>3280.1967213114799</v>
      </c>
    </row>
    <row r="292" spans="1:14" x14ac:dyDescent="0.25">
      <c r="A292" s="4" t="s">
        <v>3051</v>
      </c>
      <c r="B292" s="4" t="s">
        <v>3050</v>
      </c>
      <c r="C292" s="4" t="s">
        <v>2320</v>
      </c>
      <c r="D292" s="4" t="s">
        <v>242</v>
      </c>
      <c r="E292" s="4" t="s">
        <v>2394</v>
      </c>
      <c r="F292" s="4" t="s">
        <v>2393</v>
      </c>
      <c r="G292" s="4" t="s">
        <v>2263</v>
      </c>
      <c r="H292" s="9" t="s">
        <v>2263</v>
      </c>
      <c r="I292" s="4" t="s">
        <v>2317</v>
      </c>
      <c r="J292" s="4" t="s">
        <v>2316</v>
      </c>
      <c r="K292" s="4" t="s">
        <v>2263</v>
      </c>
      <c r="L292" s="10">
        <v>1</v>
      </c>
      <c r="M292" s="5">
        <v>3280.1967213114754</v>
      </c>
      <c r="N292" s="5">
        <v>3280.1967213114799</v>
      </c>
    </row>
    <row r="293" spans="1:14" x14ac:dyDescent="0.25">
      <c r="A293" s="4" t="s">
        <v>3024</v>
      </c>
      <c r="B293" s="4" t="s">
        <v>3023</v>
      </c>
      <c r="C293" s="4" t="s">
        <v>2320</v>
      </c>
      <c r="D293" s="4" t="s">
        <v>242</v>
      </c>
      <c r="E293" s="4" t="s">
        <v>2394</v>
      </c>
      <c r="F293" s="4" t="s">
        <v>2393</v>
      </c>
      <c r="G293" s="4" t="s">
        <v>2263</v>
      </c>
      <c r="H293" s="9" t="s">
        <v>2263</v>
      </c>
      <c r="I293" s="4" t="s">
        <v>2317</v>
      </c>
      <c r="J293" s="4" t="s">
        <v>2316</v>
      </c>
      <c r="K293" s="4" t="s">
        <v>2263</v>
      </c>
      <c r="L293" s="10">
        <v>1</v>
      </c>
      <c r="M293" s="5">
        <v>3280.1967213114754</v>
      </c>
      <c r="N293" s="5">
        <v>3280.1967213114799</v>
      </c>
    </row>
    <row r="294" spans="1:14" x14ac:dyDescent="0.25">
      <c r="A294" s="4" t="s">
        <v>2673</v>
      </c>
      <c r="B294" s="4" t="s">
        <v>2672</v>
      </c>
      <c r="C294" s="4" t="s">
        <v>2320</v>
      </c>
      <c r="D294" s="4" t="s">
        <v>242</v>
      </c>
      <c r="E294" s="4" t="s">
        <v>2394</v>
      </c>
      <c r="F294" s="4" t="s">
        <v>2393</v>
      </c>
      <c r="G294" s="4" t="s">
        <v>2263</v>
      </c>
      <c r="H294" s="9" t="s">
        <v>2263</v>
      </c>
      <c r="I294" s="4" t="s">
        <v>2317</v>
      </c>
      <c r="J294" s="4" t="s">
        <v>2316</v>
      </c>
      <c r="K294" s="4" t="s">
        <v>2263</v>
      </c>
      <c r="L294" s="10">
        <v>1</v>
      </c>
      <c r="M294" s="5">
        <v>3280.1967213114754</v>
      </c>
      <c r="N294" s="5">
        <v>3280.1967213114799</v>
      </c>
    </row>
    <row r="295" spans="1:14" x14ac:dyDescent="0.25">
      <c r="A295" s="4" t="s">
        <v>2386</v>
      </c>
      <c r="B295" s="4" t="s">
        <v>2385</v>
      </c>
      <c r="C295" s="4" t="s">
        <v>2320</v>
      </c>
      <c r="D295" s="4" t="s">
        <v>242</v>
      </c>
      <c r="E295" s="4" t="s">
        <v>2394</v>
      </c>
      <c r="F295" s="4" t="s">
        <v>2393</v>
      </c>
      <c r="G295" s="4" t="s">
        <v>2263</v>
      </c>
      <c r="H295" s="9" t="s">
        <v>2263</v>
      </c>
      <c r="I295" s="4" t="s">
        <v>2317</v>
      </c>
      <c r="J295" s="4" t="s">
        <v>2316</v>
      </c>
      <c r="K295" s="4" t="s">
        <v>2263</v>
      </c>
      <c r="L295" s="10">
        <v>1</v>
      </c>
      <c r="M295" s="5">
        <v>3280.1967213114754</v>
      </c>
      <c r="N295" s="5">
        <v>3280.1967213114799</v>
      </c>
    </row>
    <row r="296" spans="1:14" x14ac:dyDescent="0.25">
      <c r="A296" s="4" t="s">
        <v>2320</v>
      </c>
      <c r="B296" s="4" t="s">
        <v>4967</v>
      </c>
      <c r="C296" s="4" t="s">
        <v>2267</v>
      </c>
      <c r="D296" s="4" t="s">
        <v>2266</v>
      </c>
      <c r="E296" s="4" t="s">
        <v>4971</v>
      </c>
      <c r="F296" s="4" t="s">
        <v>2502</v>
      </c>
      <c r="G296" s="4" t="s">
        <v>2263</v>
      </c>
      <c r="H296" s="9" t="s">
        <v>2263</v>
      </c>
      <c r="I296" s="4" t="s">
        <v>2263</v>
      </c>
      <c r="J296" s="4" t="s">
        <v>2263</v>
      </c>
      <c r="K296" s="4" t="s">
        <v>2494</v>
      </c>
      <c r="L296" s="10">
        <v>1</v>
      </c>
      <c r="M296" s="5">
        <v>3363.14</v>
      </c>
      <c r="N296" s="5">
        <v>3363.14</v>
      </c>
    </row>
    <row r="297" spans="1:14" x14ac:dyDescent="0.25">
      <c r="A297" s="4" t="s">
        <v>2320</v>
      </c>
      <c r="B297" s="4" t="s">
        <v>4967</v>
      </c>
      <c r="C297" s="4" t="s">
        <v>2320</v>
      </c>
      <c r="D297" s="4" t="s">
        <v>242</v>
      </c>
      <c r="E297" s="4" t="s">
        <v>3869</v>
      </c>
      <c r="F297" s="4" t="s">
        <v>3868</v>
      </c>
      <c r="G297" s="4" t="s">
        <v>2263</v>
      </c>
      <c r="H297" s="9" t="s">
        <v>2263</v>
      </c>
      <c r="I297" s="4" t="s">
        <v>2317</v>
      </c>
      <c r="J297" s="4" t="s">
        <v>2316</v>
      </c>
      <c r="K297" s="4" t="s">
        <v>2263</v>
      </c>
      <c r="L297" s="10">
        <v>1</v>
      </c>
      <c r="M297" s="5">
        <v>3411.1904761904761</v>
      </c>
      <c r="N297" s="5">
        <v>3411.1904761904798</v>
      </c>
    </row>
    <row r="298" spans="1:14" x14ac:dyDescent="0.25">
      <c r="A298" s="4" t="s">
        <v>2344</v>
      </c>
      <c r="B298" s="4" t="s">
        <v>5154</v>
      </c>
      <c r="C298" s="4" t="s">
        <v>2267</v>
      </c>
      <c r="D298" s="4" t="s">
        <v>2266</v>
      </c>
      <c r="E298" s="4" t="s">
        <v>4969</v>
      </c>
      <c r="F298" s="4" t="s">
        <v>2502</v>
      </c>
      <c r="G298" s="4" t="s">
        <v>2263</v>
      </c>
      <c r="H298" s="9" t="s">
        <v>2263</v>
      </c>
      <c r="I298" s="4" t="s">
        <v>2263</v>
      </c>
      <c r="J298" s="4" t="s">
        <v>2263</v>
      </c>
      <c r="K298" s="4" t="s">
        <v>2494</v>
      </c>
      <c r="L298" s="10">
        <v>1</v>
      </c>
      <c r="M298" s="5">
        <v>3498</v>
      </c>
      <c r="N298" s="5">
        <v>3498</v>
      </c>
    </row>
    <row r="299" spans="1:14" x14ac:dyDescent="0.25">
      <c r="A299" s="4" t="s">
        <v>2344</v>
      </c>
      <c r="B299" s="4" t="s">
        <v>5154</v>
      </c>
      <c r="C299" s="4" t="s">
        <v>2344</v>
      </c>
      <c r="D299" s="4" t="s">
        <v>237</v>
      </c>
      <c r="E299" s="4" t="s">
        <v>5430</v>
      </c>
      <c r="F299" s="4" t="s">
        <v>4417</v>
      </c>
      <c r="G299" s="4" t="s">
        <v>2263</v>
      </c>
      <c r="H299" s="9" t="s">
        <v>2263</v>
      </c>
      <c r="I299" s="4" t="s">
        <v>2263</v>
      </c>
      <c r="J299" s="4" t="s">
        <v>2263</v>
      </c>
      <c r="K299" s="4" t="s">
        <v>4381</v>
      </c>
      <c r="L299" s="10">
        <v>1</v>
      </c>
      <c r="M299" s="5">
        <v>3500</v>
      </c>
      <c r="N299" s="5">
        <v>3500</v>
      </c>
    </row>
    <row r="300" spans="1:14" x14ac:dyDescent="0.25">
      <c r="A300" s="4" t="s">
        <v>2279</v>
      </c>
      <c r="B300" s="4" t="s">
        <v>4963</v>
      </c>
      <c r="C300" s="4" t="s">
        <v>2320</v>
      </c>
      <c r="D300" s="4" t="s">
        <v>242</v>
      </c>
      <c r="E300" s="4" t="s">
        <v>2322</v>
      </c>
      <c r="F300" s="4" t="s">
        <v>2321</v>
      </c>
      <c r="G300" s="4" t="s">
        <v>2263</v>
      </c>
      <c r="H300" s="9" t="s">
        <v>2263</v>
      </c>
      <c r="I300" s="4" t="s">
        <v>2317</v>
      </c>
      <c r="J300" s="4" t="s">
        <v>2316</v>
      </c>
      <c r="K300" s="4" t="s">
        <v>2263</v>
      </c>
      <c r="L300" s="10">
        <v>1</v>
      </c>
      <c r="M300" s="5">
        <v>3766.5286274509804</v>
      </c>
      <c r="N300" s="5">
        <v>3766.5286274509799</v>
      </c>
    </row>
    <row r="301" spans="1:14" x14ac:dyDescent="0.25">
      <c r="A301" s="4" t="s">
        <v>3157</v>
      </c>
      <c r="B301" s="4" t="s">
        <v>3156</v>
      </c>
      <c r="C301" s="4" t="s">
        <v>2320</v>
      </c>
      <c r="D301" s="4" t="s">
        <v>242</v>
      </c>
      <c r="E301" s="4" t="s">
        <v>2322</v>
      </c>
      <c r="F301" s="4" t="s">
        <v>2321</v>
      </c>
      <c r="G301" s="4" t="s">
        <v>2263</v>
      </c>
      <c r="H301" s="9" t="s">
        <v>2263</v>
      </c>
      <c r="I301" s="4" t="s">
        <v>2317</v>
      </c>
      <c r="J301" s="4" t="s">
        <v>2316</v>
      </c>
      <c r="K301" s="4" t="s">
        <v>2263</v>
      </c>
      <c r="L301" s="10">
        <v>1</v>
      </c>
      <c r="M301" s="5">
        <v>3766.5286274509804</v>
      </c>
      <c r="N301" s="5">
        <v>3766.5286274509799</v>
      </c>
    </row>
    <row r="302" spans="1:14" x14ac:dyDescent="0.25">
      <c r="A302" s="4" t="s">
        <v>3145</v>
      </c>
      <c r="B302" s="4" t="s">
        <v>3144</v>
      </c>
      <c r="C302" s="4" t="s">
        <v>2320</v>
      </c>
      <c r="D302" s="4" t="s">
        <v>242</v>
      </c>
      <c r="E302" s="4" t="s">
        <v>2322</v>
      </c>
      <c r="F302" s="4" t="s">
        <v>2321</v>
      </c>
      <c r="G302" s="4" t="s">
        <v>2263</v>
      </c>
      <c r="H302" s="9" t="s">
        <v>2263</v>
      </c>
      <c r="I302" s="4" t="s">
        <v>2317</v>
      </c>
      <c r="J302" s="4" t="s">
        <v>2316</v>
      </c>
      <c r="K302" s="4" t="s">
        <v>2263</v>
      </c>
      <c r="L302" s="10">
        <v>1</v>
      </c>
      <c r="M302" s="5">
        <v>3766.5286274509804</v>
      </c>
      <c r="N302" s="5">
        <v>3766.5286274509799</v>
      </c>
    </row>
    <row r="303" spans="1:14" x14ac:dyDescent="0.25">
      <c r="A303" s="4" t="s">
        <v>2269</v>
      </c>
      <c r="B303" s="4" t="s">
        <v>2268</v>
      </c>
      <c r="C303" s="4" t="s">
        <v>2320</v>
      </c>
      <c r="D303" s="4" t="s">
        <v>242</v>
      </c>
      <c r="E303" s="4" t="s">
        <v>2322</v>
      </c>
      <c r="F303" s="4" t="s">
        <v>2321</v>
      </c>
      <c r="G303" s="4" t="s">
        <v>2263</v>
      </c>
      <c r="H303" s="9" t="s">
        <v>2263</v>
      </c>
      <c r="I303" s="4" t="s">
        <v>2317</v>
      </c>
      <c r="J303" s="4" t="s">
        <v>2316</v>
      </c>
      <c r="K303" s="4" t="s">
        <v>2263</v>
      </c>
      <c r="L303" s="10">
        <v>1</v>
      </c>
      <c r="M303" s="5">
        <v>3766.5286274509804</v>
      </c>
      <c r="N303" s="5">
        <v>3766.5286274509799</v>
      </c>
    </row>
    <row r="304" spans="1:14" x14ac:dyDescent="0.25">
      <c r="A304" s="4" t="s">
        <v>2673</v>
      </c>
      <c r="B304" s="4" t="s">
        <v>2672</v>
      </c>
      <c r="C304" s="4" t="s">
        <v>2344</v>
      </c>
      <c r="D304" s="4" t="s">
        <v>237</v>
      </c>
      <c r="E304" s="4" t="s">
        <v>2426</v>
      </c>
      <c r="F304" s="4" t="s">
        <v>2425</v>
      </c>
      <c r="G304" s="4" t="s">
        <v>2263</v>
      </c>
      <c r="H304" s="9" t="s">
        <v>2263</v>
      </c>
      <c r="I304" s="4" t="s">
        <v>2263</v>
      </c>
      <c r="J304" s="4" t="s">
        <v>2263</v>
      </c>
      <c r="K304" s="4" t="s">
        <v>2424</v>
      </c>
      <c r="L304" s="10">
        <v>1</v>
      </c>
      <c r="M304" s="5">
        <v>3825.5590000000002</v>
      </c>
      <c r="N304" s="5">
        <v>3825.5590000000002</v>
      </c>
    </row>
    <row r="305" spans="1:14" x14ac:dyDescent="0.25">
      <c r="A305" s="4" t="s">
        <v>2386</v>
      </c>
      <c r="B305" s="4" t="s">
        <v>2385</v>
      </c>
      <c r="C305" s="4" t="s">
        <v>2344</v>
      </c>
      <c r="D305" s="4" t="s">
        <v>237</v>
      </c>
      <c r="E305" s="4" t="s">
        <v>2426</v>
      </c>
      <c r="F305" s="4" t="s">
        <v>2425</v>
      </c>
      <c r="G305" s="4" t="s">
        <v>2263</v>
      </c>
      <c r="H305" s="9" t="s">
        <v>2263</v>
      </c>
      <c r="I305" s="4" t="s">
        <v>2263</v>
      </c>
      <c r="J305" s="4" t="s">
        <v>2263</v>
      </c>
      <c r="K305" s="4" t="s">
        <v>2424</v>
      </c>
      <c r="L305" s="10">
        <v>1</v>
      </c>
      <c r="M305" s="5">
        <v>3825.5590000000002</v>
      </c>
      <c r="N305" s="5">
        <v>3825.5590000000002</v>
      </c>
    </row>
    <row r="306" spans="1:14" x14ac:dyDescent="0.25">
      <c r="A306" s="4" t="s">
        <v>2344</v>
      </c>
      <c r="B306" s="4" t="s">
        <v>5154</v>
      </c>
      <c r="C306" s="4" t="s">
        <v>2320</v>
      </c>
      <c r="D306" s="4" t="s">
        <v>242</v>
      </c>
      <c r="E306" s="4" t="s">
        <v>3877</v>
      </c>
      <c r="F306" s="4" t="s">
        <v>3876</v>
      </c>
      <c r="G306" s="4" t="s">
        <v>2263</v>
      </c>
      <c r="H306" s="9" t="s">
        <v>2263</v>
      </c>
      <c r="I306" s="4" t="s">
        <v>2317</v>
      </c>
      <c r="J306" s="4" t="s">
        <v>2316</v>
      </c>
      <c r="K306" s="4" t="s">
        <v>2263</v>
      </c>
      <c r="L306" s="10">
        <v>1</v>
      </c>
      <c r="M306" s="5">
        <v>3846.7933333333335</v>
      </c>
      <c r="N306" s="5">
        <v>3846.7933333333299</v>
      </c>
    </row>
    <row r="307" spans="1:14" x14ac:dyDescent="0.25">
      <c r="A307" s="4" t="s">
        <v>3801</v>
      </c>
      <c r="B307" s="4" t="s">
        <v>4965</v>
      </c>
      <c r="C307" s="4" t="s">
        <v>2344</v>
      </c>
      <c r="D307" s="4" t="s">
        <v>237</v>
      </c>
      <c r="E307" s="4" t="s">
        <v>2461</v>
      </c>
      <c r="F307" s="4" t="s">
        <v>2460</v>
      </c>
      <c r="G307" s="4" t="s">
        <v>2263</v>
      </c>
      <c r="H307" s="9" t="s">
        <v>2263</v>
      </c>
      <c r="I307" s="4" t="s">
        <v>2263</v>
      </c>
      <c r="J307" s="4" t="s">
        <v>2263</v>
      </c>
      <c r="K307" s="4" t="s">
        <v>2421</v>
      </c>
      <c r="L307" s="10">
        <v>1</v>
      </c>
      <c r="M307" s="5">
        <v>3894.9839393939396</v>
      </c>
      <c r="N307" s="5">
        <v>3894.9839393939401</v>
      </c>
    </row>
    <row r="308" spans="1:14" x14ac:dyDescent="0.25">
      <c r="A308" s="4" t="s">
        <v>2279</v>
      </c>
      <c r="B308" s="4" t="s">
        <v>4963</v>
      </c>
      <c r="C308" s="4" t="s">
        <v>2344</v>
      </c>
      <c r="D308" s="4" t="s">
        <v>237</v>
      </c>
      <c r="E308" s="4" t="s">
        <v>2461</v>
      </c>
      <c r="F308" s="4" t="s">
        <v>2460</v>
      </c>
      <c r="G308" s="4" t="s">
        <v>2263</v>
      </c>
      <c r="H308" s="9" t="s">
        <v>2263</v>
      </c>
      <c r="I308" s="4" t="s">
        <v>2263</v>
      </c>
      <c r="J308" s="4" t="s">
        <v>2263</v>
      </c>
      <c r="K308" s="4" t="s">
        <v>2421</v>
      </c>
      <c r="L308" s="10">
        <v>1</v>
      </c>
      <c r="M308" s="5">
        <v>3894.9839393939396</v>
      </c>
      <c r="N308" s="5">
        <v>3894.9839393939401</v>
      </c>
    </row>
    <row r="309" spans="1:14" x14ac:dyDescent="0.25">
      <c r="A309" s="4" t="s">
        <v>2481</v>
      </c>
      <c r="B309" s="4" t="s">
        <v>3217</v>
      </c>
      <c r="C309" s="4" t="s">
        <v>2344</v>
      </c>
      <c r="D309" s="4" t="s">
        <v>237</v>
      </c>
      <c r="E309" s="4" t="s">
        <v>2461</v>
      </c>
      <c r="F309" s="4" t="s">
        <v>2460</v>
      </c>
      <c r="G309" s="4" t="s">
        <v>2263</v>
      </c>
      <c r="H309" s="9" t="s">
        <v>2263</v>
      </c>
      <c r="I309" s="4" t="s">
        <v>2263</v>
      </c>
      <c r="J309" s="4" t="s">
        <v>2263</v>
      </c>
      <c r="K309" s="4" t="s">
        <v>2421</v>
      </c>
      <c r="L309" s="10">
        <v>1</v>
      </c>
      <c r="M309" s="5">
        <v>3894.9839393939396</v>
      </c>
      <c r="N309" s="5">
        <v>3894.9839393939401</v>
      </c>
    </row>
    <row r="310" spans="1:14" x14ac:dyDescent="0.25">
      <c r="A310" s="4" t="s">
        <v>3196</v>
      </c>
      <c r="B310" s="4" t="s">
        <v>3195</v>
      </c>
      <c r="C310" s="4" t="s">
        <v>2344</v>
      </c>
      <c r="D310" s="4" t="s">
        <v>237</v>
      </c>
      <c r="E310" s="4" t="s">
        <v>2461</v>
      </c>
      <c r="F310" s="4" t="s">
        <v>2460</v>
      </c>
      <c r="G310" s="4" t="s">
        <v>2263</v>
      </c>
      <c r="H310" s="9" t="s">
        <v>2263</v>
      </c>
      <c r="I310" s="4" t="s">
        <v>2263</v>
      </c>
      <c r="J310" s="4" t="s">
        <v>2263</v>
      </c>
      <c r="K310" s="4" t="s">
        <v>2421</v>
      </c>
      <c r="L310" s="10">
        <v>1</v>
      </c>
      <c r="M310" s="5">
        <v>3894.9839393939396</v>
      </c>
      <c r="N310" s="5">
        <v>3894.9839393939401</v>
      </c>
    </row>
    <row r="311" spans="1:14" x14ac:dyDescent="0.25">
      <c r="A311" s="4" t="s">
        <v>3174</v>
      </c>
      <c r="B311" s="4" t="s">
        <v>3173</v>
      </c>
      <c r="C311" s="4" t="s">
        <v>2344</v>
      </c>
      <c r="D311" s="4" t="s">
        <v>237</v>
      </c>
      <c r="E311" s="4" t="s">
        <v>2461</v>
      </c>
      <c r="F311" s="4" t="s">
        <v>2460</v>
      </c>
      <c r="G311" s="4" t="s">
        <v>2263</v>
      </c>
      <c r="H311" s="9" t="s">
        <v>2263</v>
      </c>
      <c r="I311" s="4" t="s">
        <v>2263</v>
      </c>
      <c r="J311" s="4" t="s">
        <v>2263</v>
      </c>
      <c r="K311" s="4" t="s">
        <v>2421</v>
      </c>
      <c r="L311" s="10">
        <v>1</v>
      </c>
      <c r="M311" s="5">
        <v>3894.9839393939396</v>
      </c>
      <c r="N311" s="5">
        <v>3894.9839393939401</v>
      </c>
    </row>
    <row r="312" spans="1:14" x14ac:dyDescent="0.25">
      <c r="A312" s="4" t="s">
        <v>3104</v>
      </c>
      <c r="B312" s="4" t="s">
        <v>3103</v>
      </c>
      <c r="C312" s="4" t="s">
        <v>2344</v>
      </c>
      <c r="D312" s="4" t="s">
        <v>237</v>
      </c>
      <c r="E312" s="4" t="s">
        <v>2461</v>
      </c>
      <c r="F312" s="4" t="s">
        <v>2460</v>
      </c>
      <c r="G312" s="4" t="s">
        <v>2263</v>
      </c>
      <c r="H312" s="9" t="s">
        <v>2263</v>
      </c>
      <c r="I312" s="4" t="s">
        <v>2263</v>
      </c>
      <c r="J312" s="4" t="s">
        <v>2263</v>
      </c>
      <c r="K312" s="4" t="s">
        <v>2421</v>
      </c>
      <c r="L312" s="10">
        <v>1</v>
      </c>
      <c r="M312" s="5">
        <v>3894.9839393939396</v>
      </c>
      <c r="N312" s="5">
        <v>3894.9839393939401</v>
      </c>
    </row>
    <row r="313" spans="1:14" x14ac:dyDescent="0.25">
      <c r="A313" s="4" t="s">
        <v>3063</v>
      </c>
      <c r="B313" s="4" t="s">
        <v>3062</v>
      </c>
      <c r="C313" s="4" t="s">
        <v>2344</v>
      </c>
      <c r="D313" s="4" t="s">
        <v>237</v>
      </c>
      <c r="E313" s="4" t="s">
        <v>2461</v>
      </c>
      <c r="F313" s="4" t="s">
        <v>2460</v>
      </c>
      <c r="G313" s="4" t="s">
        <v>2263</v>
      </c>
      <c r="H313" s="9" t="s">
        <v>2263</v>
      </c>
      <c r="I313" s="4" t="s">
        <v>2263</v>
      </c>
      <c r="J313" s="4" t="s">
        <v>2263</v>
      </c>
      <c r="K313" s="4" t="s">
        <v>2421</v>
      </c>
      <c r="L313" s="10">
        <v>1</v>
      </c>
      <c r="M313" s="5">
        <v>3894.9839393939396</v>
      </c>
      <c r="N313" s="5">
        <v>3894.9839393939401</v>
      </c>
    </row>
    <row r="314" spans="1:14" x14ac:dyDescent="0.25">
      <c r="A314" s="4" t="s">
        <v>2386</v>
      </c>
      <c r="B314" s="4" t="s">
        <v>2385</v>
      </c>
      <c r="C314" s="4" t="s">
        <v>2344</v>
      </c>
      <c r="D314" s="4" t="s">
        <v>237</v>
      </c>
      <c r="E314" s="4" t="s">
        <v>2461</v>
      </c>
      <c r="F314" s="4" t="s">
        <v>2460</v>
      </c>
      <c r="G314" s="4" t="s">
        <v>2263</v>
      </c>
      <c r="H314" s="9" t="s">
        <v>2263</v>
      </c>
      <c r="I314" s="4" t="s">
        <v>2263</v>
      </c>
      <c r="J314" s="4" t="s">
        <v>2263</v>
      </c>
      <c r="K314" s="4" t="s">
        <v>2421</v>
      </c>
      <c r="L314" s="10">
        <v>1</v>
      </c>
      <c r="M314" s="5">
        <v>3894.9839393939396</v>
      </c>
      <c r="N314" s="5">
        <v>3894.9839393939401</v>
      </c>
    </row>
    <row r="315" spans="1:14" x14ac:dyDescent="0.25">
      <c r="A315" s="4" t="s">
        <v>2344</v>
      </c>
      <c r="B315" s="4" t="s">
        <v>5154</v>
      </c>
      <c r="C315" s="4" t="s">
        <v>2267</v>
      </c>
      <c r="D315" s="4" t="s">
        <v>2266</v>
      </c>
      <c r="E315" s="4" t="s">
        <v>4384</v>
      </c>
      <c r="F315" s="4" t="s">
        <v>4383</v>
      </c>
      <c r="G315" s="4" t="s">
        <v>2263</v>
      </c>
      <c r="H315" s="9" t="s">
        <v>2263</v>
      </c>
      <c r="I315" s="4" t="s">
        <v>2263</v>
      </c>
      <c r="J315" s="4" t="s">
        <v>2263</v>
      </c>
      <c r="K315" s="4" t="s">
        <v>4381</v>
      </c>
      <c r="L315" s="10">
        <v>1</v>
      </c>
      <c r="M315" s="5">
        <v>4019.3333333333335</v>
      </c>
      <c r="N315" s="5">
        <v>4019.3333333333298</v>
      </c>
    </row>
    <row r="316" spans="1:14" x14ac:dyDescent="0.25">
      <c r="A316" s="4" t="s">
        <v>3801</v>
      </c>
      <c r="B316" s="4" t="s">
        <v>4965</v>
      </c>
      <c r="C316" s="4" t="s">
        <v>2320</v>
      </c>
      <c r="D316" s="4" t="s">
        <v>242</v>
      </c>
      <c r="E316" s="4" t="s">
        <v>2400</v>
      </c>
      <c r="F316" s="4" t="s">
        <v>2399</v>
      </c>
      <c r="G316" s="4" t="s">
        <v>2263</v>
      </c>
      <c r="H316" s="9" t="s">
        <v>2263</v>
      </c>
      <c r="I316" s="4" t="s">
        <v>2317</v>
      </c>
      <c r="J316" s="4" t="s">
        <v>2316</v>
      </c>
      <c r="K316" s="4" t="s">
        <v>2263</v>
      </c>
      <c r="L316" s="10">
        <v>1</v>
      </c>
      <c r="M316" s="5">
        <v>4187</v>
      </c>
      <c r="N316" s="5">
        <v>4187</v>
      </c>
    </row>
    <row r="317" spans="1:14" x14ac:dyDescent="0.25">
      <c r="A317" s="4" t="s">
        <v>2279</v>
      </c>
      <c r="B317" s="4" t="s">
        <v>4963</v>
      </c>
      <c r="C317" s="4" t="s">
        <v>2320</v>
      </c>
      <c r="D317" s="4" t="s">
        <v>242</v>
      </c>
      <c r="E317" s="4" t="s">
        <v>2400</v>
      </c>
      <c r="F317" s="4" t="s">
        <v>2399</v>
      </c>
      <c r="G317" s="4" t="s">
        <v>2263</v>
      </c>
      <c r="H317" s="9" t="s">
        <v>2263</v>
      </c>
      <c r="I317" s="4" t="s">
        <v>2317</v>
      </c>
      <c r="J317" s="4" t="s">
        <v>2316</v>
      </c>
      <c r="K317" s="4" t="s">
        <v>2263</v>
      </c>
      <c r="L317" s="10">
        <v>1</v>
      </c>
      <c r="M317" s="5">
        <v>4187</v>
      </c>
      <c r="N317" s="5">
        <v>4187</v>
      </c>
    </row>
    <row r="318" spans="1:14" x14ac:dyDescent="0.25">
      <c r="A318" s="4" t="s">
        <v>3196</v>
      </c>
      <c r="B318" s="4" t="s">
        <v>3195</v>
      </c>
      <c r="C318" s="4" t="s">
        <v>2320</v>
      </c>
      <c r="D318" s="4" t="s">
        <v>242</v>
      </c>
      <c r="E318" s="4" t="s">
        <v>2400</v>
      </c>
      <c r="F318" s="4" t="s">
        <v>2399</v>
      </c>
      <c r="G318" s="4" t="s">
        <v>2263</v>
      </c>
      <c r="H318" s="9" t="s">
        <v>2263</v>
      </c>
      <c r="I318" s="4" t="s">
        <v>2317</v>
      </c>
      <c r="J318" s="4" t="s">
        <v>2316</v>
      </c>
      <c r="K318" s="4" t="s">
        <v>2263</v>
      </c>
      <c r="L318" s="10">
        <v>1</v>
      </c>
      <c r="M318" s="5">
        <v>4187</v>
      </c>
      <c r="N318" s="5">
        <v>4187</v>
      </c>
    </row>
    <row r="319" spans="1:14" x14ac:dyDescent="0.25">
      <c r="A319" s="4" t="s">
        <v>2384</v>
      </c>
      <c r="B319" s="4" t="s">
        <v>3187</v>
      </c>
      <c r="C319" s="4" t="s">
        <v>2320</v>
      </c>
      <c r="D319" s="4" t="s">
        <v>242</v>
      </c>
      <c r="E319" s="4" t="s">
        <v>2400</v>
      </c>
      <c r="F319" s="4" t="s">
        <v>2399</v>
      </c>
      <c r="G319" s="4" t="s">
        <v>2263</v>
      </c>
      <c r="H319" s="9" t="s">
        <v>2263</v>
      </c>
      <c r="I319" s="4" t="s">
        <v>2317</v>
      </c>
      <c r="J319" s="4" t="s">
        <v>2316</v>
      </c>
      <c r="K319" s="4" t="s">
        <v>2263</v>
      </c>
      <c r="L319" s="10">
        <v>1</v>
      </c>
      <c r="M319" s="5">
        <v>4187</v>
      </c>
      <c r="N319" s="5">
        <v>4187</v>
      </c>
    </row>
    <row r="320" spans="1:14" x14ac:dyDescent="0.25">
      <c r="A320" s="4" t="s">
        <v>3174</v>
      </c>
      <c r="B320" s="4" t="s">
        <v>3173</v>
      </c>
      <c r="C320" s="4" t="s">
        <v>2320</v>
      </c>
      <c r="D320" s="4" t="s">
        <v>242</v>
      </c>
      <c r="E320" s="4" t="s">
        <v>2400</v>
      </c>
      <c r="F320" s="4" t="s">
        <v>2399</v>
      </c>
      <c r="G320" s="4" t="s">
        <v>2263</v>
      </c>
      <c r="H320" s="9" t="s">
        <v>2263</v>
      </c>
      <c r="I320" s="4" t="s">
        <v>2317</v>
      </c>
      <c r="J320" s="4" t="s">
        <v>2316</v>
      </c>
      <c r="K320" s="4" t="s">
        <v>2263</v>
      </c>
      <c r="L320" s="10">
        <v>1</v>
      </c>
      <c r="M320" s="5">
        <v>4187</v>
      </c>
      <c r="N320" s="5">
        <v>4187</v>
      </c>
    </row>
    <row r="321" spans="1:14" x14ac:dyDescent="0.25">
      <c r="A321" s="4" t="s">
        <v>3157</v>
      </c>
      <c r="B321" s="4" t="s">
        <v>3156</v>
      </c>
      <c r="C321" s="4" t="s">
        <v>2320</v>
      </c>
      <c r="D321" s="4" t="s">
        <v>242</v>
      </c>
      <c r="E321" s="4" t="s">
        <v>2400</v>
      </c>
      <c r="F321" s="4" t="s">
        <v>2399</v>
      </c>
      <c r="G321" s="4" t="s">
        <v>2263</v>
      </c>
      <c r="H321" s="9" t="s">
        <v>2263</v>
      </c>
      <c r="I321" s="4" t="s">
        <v>2317</v>
      </c>
      <c r="J321" s="4" t="s">
        <v>2316</v>
      </c>
      <c r="K321" s="4" t="s">
        <v>2263</v>
      </c>
      <c r="L321" s="10">
        <v>1</v>
      </c>
      <c r="M321" s="5">
        <v>4187</v>
      </c>
      <c r="N321" s="5">
        <v>4187</v>
      </c>
    </row>
    <row r="322" spans="1:14" x14ac:dyDescent="0.25">
      <c r="A322" s="4" t="s">
        <v>3104</v>
      </c>
      <c r="B322" s="4" t="s">
        <v>3103</v>
      </c>
      <c r="C322" s="4" t="s">
        <v>2320</v>
      </c>
      <c r="D322" s="4" t="s">
        <v>242</v>
      </c>
      <c r="E322" s="4" t="s">
        <v>2400</v>
      </c>
      <c r="F322" s="4" t="s">
        <v>2399</v>
      </c>
      <c r="G322" s="4" t="s">
        <v>2263</v>
      </c>
      <c r="H322" s="9" t="s">
        <v>2263</v>
      </c>
      <c r="I322" s="4" t="s">
        <v>2317</v>
      </c>
      <c r="J322" s="4" t="s">
        <v>2316</v>
      </c>
      <c r="K322" s="4" t="s">
        <v>2263</v>
      </c>
      <c r="L322" s="10">
        <v>1</v>
      </c>
      <c r="M322" s="5">
        <v>4187</v>
      </c>
      <c r="N322" s="5">
        <v>4187</v>
      </c>
    </row>
    <row r="323" spans="1:14" x14ac:dyDescent="0.25">
      <c r="A323" s="4" t="s">
        <v>3063</v>
      </c>
      <c r="B323" s="4" t="s">
        <v>3062</v>
      </c>
      <c r="C323" s="4" t="s">
        <v>2320</v>
      </c>
      <c r="D323" s="4" t="s">
        <v>242</v>
      </c>
      <c r="E323" s="4" t="s">
        <v>2400</v>
      </c>
      <c r="F323" s="4" t="s">
        <v>2399</v>
      </c>
      <c r="G323" s="4" t="s">
        <v>2263</v>
      </c>
      <c r="H323" s="9" t="s">
        <v>2263</v>
      </c>
      <c r="I323" s="4" t="s">
        <v>2317</v>
      </c>
      <c r="J323" s="4" t="s">
        <v>2316</v>
      </c>
      <c r="K323" s="4" t="s">
        <v>2263</v>
      </c>
      <c r="L323" s="10">
        <v>1</v>
      </c>
      <c r="M323" s="5">
        <v>4187</v>
      </c>
      <c r="N323" s="5">
        <v>4187</v>
      </c>
    </row>
    <row r="324" spans="1:14" x14ac:dyDescent="0.25">
      <c r="A324" s="4" t="s">
        <v>3051</v>
      </c>
      <c r="B324" s="4" t="s">
        <v>3050</v>
      </c>
      <c r="C324" s="4" t="s">
        <v>2320</v>
      </c>
      <c r="D324" s="4" t="s">
        <v>242</v>
      </c>
      <c r="E324" s="4" t="s">
        <v>2400</v>
      </c>
      <c r="F324" s="4" t="s">
        <v>2399</v>
      </c>
      <c r="G324" s="4" t="s">
        <v>2263</v>
      </c>
      <c r="H324" s="9" t="s">
        <v>2263</v>
      </c>
      <c r="I324" s="4" t="s">
        <v>2317</v>
      </c>
      <c r="J324" s="4" t="s">
        <v>2316</v>
      </c>
      <c r="K324" s="4" t="s">
        <v>2263</v>
      </c>
      <c r="L324" s="10">
        <v>1</v>
      </c>
      <c r="M324" s="5">
        <v>4187</v>
      </c>
      <c r="N324" s="5">
        <v>4187</v>
      </c>
    </row>
    <row r="325" spans="1:14" x14ac:dyDescent="0.25">
      <c r="A325" s="4" t="s">
        <v>3024</v>
      </c>
      <c r="B325" s="4" t="s">
        <v>3023</v>
      </c>
      <c r="C325" s="4" t="s">
        <v>2320</v>
      </c>
      <c r="D325" s="4" t="s">
        <v>242</v>
      </c>
      <c r="E325" s="4" t="s">
        <v>2400</v>
      </c>
      <c r="F325" s="4" t="s">
        <v>2399</v>
      </c>
      <c r="G325" s="4" t="s">
        <v>2263</v>
      </c>
      <c r="H325" s="9" t="s">
        <v>2263</v>
      </c>
      <c r="I325" s="4" t="s">
        <v>2317</v>
      </c>
      <c r="J325" s="4" t="s">
        <v>2316</v>
      </c>
      <c r="K325" s="4" t="s">
        <v>2263</v>
      </c>
      <c r="L325" s="10">
        <v>1</v>
      </c>
      <c r="M325" s="5">
        <v>4187</v>
      </c>
      <c r="N325" s="5">
        <v>4187</v>
      </c>
    </row>
    <row r="326" spans="1:14" x14ac:dyDescent="0.25">
      <c r="A326" s="4" t="s">
        <v>2386</v>
      </c>
      <c r="B326" s="4" t="s">
        <v>2385</v>
      </c>
      <c r="C326" s="4" t="s">
        <v>2320</v>
      </c>
      <c r="D326" s="4" t="s">
        <v>242</v>
      </c>
      <c r="E326" s="4" t="s">
        <v>2400</v>
      </c>
      <c r="F326" s="4" t="s">
        <v>2399</v>
      </c>
      <c r="G326" s="4" t="s">
        <v>2263</v>
      </c>
      <c r="H326" s="9" t="s">
        <v>2263</v>
      </c>
      <c r="I326" s="4" t="s">
        <v>2317</v>
      </c>
      <c r="J326" s="4" t="s">
        <v>2316</v>
      </c>
      <c r="K326" s="4" t="s">
        <v>2263</v>
      </c>
      <c r="L326" s="10">
        <v>1</v>
      </c>
      <c r="M326" s="5">
        <v>4187</v>
      </c>
      <c r="N326" s="5">
        <v>4187</v>
      </c>
    </row>
    <row r="327" spans="1:14" x14ac:dyDescent="0.25">
      <c r="A327" s="4" t="s">
        <v>3801</v>
      </c>
      <c r="B327" s="4" t="s">
        <v>4965</v>
      </c>
      <c r="C327" s="4" t="s">
        <v>3107</v>
      </c>
      <c r="D327" s="4" t="s">
        <v>1105</v>
      </c>
      <c r="E327" s="4" t="s">
        <v>3106</v>
      </c>
      <c r="F327" s="4" t="s">
        <v>3105</v>
      </c>
      <c r="G327" s="4" t="s">
        <v>2263</v>
      </c>
      <c r="H327" s="9" t="s">
        <v>2263</v>
      </c>
      <c r="I327" s="4" t="s">
        <v>2317</v>
      </c>
      <c r="J327" s="4" t="s">
        <v>2316</v>
      </c>
      <c r="K327" s="4" t="s">
        <v>2263</v>
      </c>
      <c r="L327" s="10">
        <v>1</v>
      </c>
      <c r="M327" s="5">
        <v>4226.4341176470589</v>
      </c>
      <c r="N327" s="5">
        <v>4226.4341176470598</v>
      </c>
    </row>
    <row r="328" spans="1:14" x14ac:dyDescent="0.25">
      <c r="A328" s="4" t="s">
        <v>2279</v>
      </c>
      <c r="B328" s="4" t="s">
        <v>4963</v>
      </c>
      <c r="C328" s="4" t="s">
        <v>3107</v>
      </c>
      <c r="D328" s="4" t="s">
        <v>1105</v>
      </c>
      <c r="E328" s="4" t="s">
        <v>3106</v>
      </c>
      <c r="F328" s="4" t="s">
        <v>3105</v>
      </c>
      <c r="G328" s="4" t="s">
        <v>2263</v>
      </c>
      <c r="H328" s="9" t="s">
        <v>2263</v>
      </c>
      <c r="I328" s="4" t="s">
        <v>2317</v>
      </c>
      <c r="J328" s="4" t="s">
        <v>2316</v>
      </c>
      <c r="K328" s="4" t="s">
        <v>2263</v>
      </c>
      <c r="L328" s="10">
        <v>1</v>
      </c>
      <c r="M328" s="5">
        <v>4226.4341176470589</v>
      </c>
      <c r="N328" s="5">
        <v>4226.4341176470598</v>
      </c>
    </row>
    <row r="329" spans="1:14" x14ac:dyDescent="0.25">
      <c r="A329" s="4" t="s">
        <v>3196</v>
      </c>
      <c r="B329" s="4" t="s">
        <v>3195</v>
      </c>
      <c r="C329" s="4" t="s">
        <v>3107</v>
      </c>
      <c r="D329" s="4" t="s">
        <v>1105</v>
      </c>
      <c r="E329" s="4" t="s">
        <v>3106</v>
      </c>
      <c r="F329" s="4" t="s">
        <v>3105</v>
      </c>
      <c r="G329" s="4" t="s">
        <v>2263</v>
      </c>
      <c r="H329" s="9" t="s">
        <v>2263</v>
      </c>
      <c r="I329" s="4" t="s">
        <v>2317</v>
      </c>
      <c r="J329" s="4" t="s">
        <v>2316</v>
      </c>
      <c r="K329" s="4" t="s">
        <v>2263</v>
      </c>
      <c r="L329" s="10">
        <v>1</v>
      </c>
      <c r="M329" s="5">
        <v>4226.4341176470589</v>
      </c>
      <c r="N329" s="5">
        <v>4226.4341176470598</v>
      </c>
    </row>
    <row r="330" spans="1:14" x14ac:dyDescent="0.25">
      <c r="A330" s="4" t="s">
        <v>2384</v>
      </c>
      <c r="B330" s="4" t="s">
        <v>3187</v>
      </c>
      <c r="C330" s="4" t="s">
        <v>3107</v>
      </c>
      <c r="D330" s="4" t="s">
        <v>1105</v>
      </c>
      <c r="E330" s="4" t="s">
        <v>3106</v>
      </c>
      <c r="F330" s="4" t="s">
        <v>3105</v>
      </c>
      <c r="G330" s="4" t="s">
        <v>2263</v>
      </c>
      <c r="H330" s="9" t="s">
        <v>2263</v>
      </c>
      <c r="I330" s="4" t="s">
        <v>2317</v>
      </c>
      <c r="J330" s="4" t="s">
        <v>2316</v>
      </c>
      <c r="K330" s="4" t="s">
        <v>2263</v>
      </c>
      <c r="L330" s="10">
        <v>1</v>
      </c>
      <c r="M330" s="5">
        <v>4226.4341176470589</v>
      </c>
      <c r="N330" s="5">
        <v>4226.4341176470598</v>
      </c>
    </row>
    <row r="331" spans="1:14" x14ac:dyDescent="0.25">
      <c r="A331" s="4" t="s">
        <v>3174</v>
      </c>
      <c r="B331" s="4" t="s">
        <v>3173</v>
      </c>
      <c r="C331" s="4" t="s">
        <v>3107</v>
      </c>
      <c r="D331" s="4" t="s">
        <v>1105</v>
      </c>
      <c r="E331" s="4" t="s">
        <v>3106</v>
      </c>
      <c r="F331" s="4" t="s">
        <v>3105</v>
      </c>
      <c r="G331" s="4" t="s">
        <v>2263</v>
      </c>
      <c r="H331" s="9" t="s">
        <v>2263</v>
      </c>
      <c r="I331" s="4" t="s">
        <v>2317</v>
      </c>
      <c r="J331" s="4" t="s">
        <v>2316</v>
      </c>
      <c r="K331" s="4" t="s">
        <v>2263</v>
      </c>
      <c r="L331" s="10">
        <v>1</v>
      </c>
      <c r="M331" s="5">
        <v>4226.4341176470589</v>
      </c>
      <c r="N331" s="5">
        <v>4226.4341176470598</v>
      </c>
    </row>
    <row r="332" spans="1:14" x14ac:dyDescent="0.25">
      <c r="A332" s="4" t="s">
        <v>3157</v>
      </c>
      <c r="B332" s="4" t="s">
        <v>3156</v>
      </c>
      <c r="C332" s="4" t="s">
        <v>3107</v>
      </c>
      <c r="D332" s="4" t="s">
        <v>1105</v>
      </c>
      <c r="E332" s="4" t="s">
        <v>3106</v>
      </c>
      <c r="F332" s="4" t="s">
        <v>3105</v>
      </c>
      <c r="G332" s="4" t="s">
        <v>2263</v>
      </c>
      <c r="H332" s="9" t="s">
        <v>2263</v>
      </c>
      <c r="I332" s="4" t="s">
        <v>2317</v>
      </c>
      <c r="J332" s="4" t="s">
        <v>2316</v>
      </c>
      <c r="K332" s="4" t="s">
        <v>2263</v>
      </c>
      <c r="L332" s="10">
        <v>1</v>
      </c>
      <c r="M332" s="5">
        <v>4226.4341176470589</v>
      </c>
      <c r="N332" s="5">
        <v>4226.4341176470598</v>
      </c>
    </row>
    <row r="333" spans="1:14" x14ac:dyDescent="0.25">
      <c r="A333" s="4" t="s">
        <v>3104</v>
      </c>
      <c r="B333" s="4" t="s">
        <v>3103</v>
      </c>
      <c r="C333" s="4" t="s">
        <v>3107</v>
      </c>
      <c r="D333" s="4" t="s">
        <v>1105</v>
      </c>
      <c r="E333" s="4" t="s">
        <v>3106</v>
      </c>
      <c r="F333" s="4" t="s">
        <v>3105</v>
      </c>
      <c r="G333" s="4" t="s">
        <v>2263</v>
      </c>
      <c r="H333" s="9" t="s">
        <v>2263</v>
      </c>
      <c r="I333" s="4" t="s">
        <v>2317</v>
      </c>
      <c r="J333" s="4" t="s">
        <v>2316</v>
      </c>
      <c r="K333" s="4" t="s">
        <v>2263</v>
      </c>
      <c r="L333" s="10">
        <v>1</v>
      </c>
      <c r="M333" s="5">
        <v>4226.4341176470589</v>
      </c>
      <c r="N333" s="5">
        <v>4226.4341176470598</v>
      </c>
    </row>
    <row r="334" spans="1:14" x14ac:dyDescent="0.25">
      <c r="A334" s="4" t="s">
        <v>3801</v>
      </c>
      <c r="B334" s="4" t="s">
        <v>4965</v>
      </c>
      <c r="C334" s="4" t="s">
        <v>2320</v>
      </c>
      <c r="D334" s="4" t="s">
        <v>242</v>
      </c>
      <c r="E334" s="4" t="s">
        <v>2695</v>
      </c>
      <c r="F334" s="4" t="s">
        <v>2694</v>
      </c>
      <c r="G334" s="4" t="s">
        <v>2263</v>
      </c>
      <c r="H334" s="9" t="s">
        <v>2263</v>
      </c>
      <c r="I334" s="4" t="s">
        <v>2317</v>
      </c>
      <c r="J334" s="4" t="s">
        <v>2316</v>
      </c>
      <c r="K334" s="4" t="s">
        <v>2263</v>
      </c>
      <c r="L334" s="10">
        <v>1</v>
      </c>
      <c r="M334" s="5">
        <v>4259.3705405405408</v>
      </c>
      <c r="N334" s="5">
        <v>4259.3705405405399</v>
      </c>
    </row>
    <row r="335" spans="1:14" x14ac:dyDescent="0.25">
      <c r="A335" s="4" t="s">
        <v>2279</v>
      </c>
      <c r="B335" s="4" t="s">
        <v>4963</v>
      </c>
      <c r="C335" s="4" t="s">
        <v>2320</v>
      </c>
      <c r="D335" s="4" t="s">
        <v>242</v>
      </c>
      <c r="E335" s="4" t="s">
        <v>2695</v>
      </c>
      <c r="F335" s="4" t="s">
        <v>2694</v>
      </c>
      <c r="G335" s="4" t="s">
        <v>2263</v>
      </c>
      <c r="H335" s="9" t="s">
        <v>2263</v>
      </c>
      <c r="I335" s="4" t="s">
        <v>2317</v>
      </c>
      <c r="J335" s="4" t="s">
        <v>2316</v>
      </c>
      <c r="K335" s="4" t="s">
        <v>2263</v>
      </c>
      <c r="L335" s="10">
        <v>1</v>
      </c>
      <c r="M335" s="5">
        <v>4259.3705405405408</v>
      </c>
      <c r="N335" s="5">
        <v>4259.3705405405399</v>
      </c>
    </row>
    <row r="336" spans="1:14" x14ac:dyDescent="0.25">
      <c r="A336" s="4" t="s">
        <v>2481</v>
      </c>
      <c r="B336" s="4" t="s">
        <v>3217</v>
      </c>
      <c r="C336" s="4" t="s">
        <v>2320</v>
      </c>
      <c r="D336" s="4" t="s">
        <v>242</v>
      </c>
      <c r="E336" s="4" t="s">
        <v>2695</v>
      </c>
      <c r="F336" s="4" t="s">
        <v>2694</v>
      </c>
      <c r="G336" s="4" t="s">
        <v>2263</v>
      </c>
      <c r="H336" s="9" t="s">
        <v>2263</v>
      </c>
      <c r="I336" s="4" t="s">
        <v>2317</v>
      </c>
      <c r="J336" s="4" t="s">
        <v>2316</v>
      </c>
      <c r="K336" s="4" t="s">
        <v>2263</v>
      </c>
      <c r="L336" s="10">
        <v>1</v>
      </c>
      <c r="M336" s="5">
        <v>4259.3705405405408</v>
      </c>
      <c r="N336" s="5">
        <v>4259.3705405405399</v>
      </c>
    </row>
    <row r="337" spans="1:14" x14ac:dyDescent="0.25">
      <c r="A337" s="4" t="s">
        <v>3196</v>
      </c>
      <c r="B337" s="4" t="s">
        <v>3195</v>
      </c>
      <c r="C337" s="4" t="s">
        <v>2320</v>
      </c>
      <c r="D337" s="4" t="s">
        <v>242</v>
      </c>
      <c r="E337" s="4" t="s">
        <v>2695</v>
      </c>
      <c r="F337" s="4" t="s">
        <v>2694</v>
      </c>
      <c r="G337" s="4" t="s">
        <v>2263</v>
      </c>
      <c r="H337" s="9" t="s">
        <v>2263</v>
      </c>
      <c r="I337" s="4" t="s">
        <v>2317</v>
      </c>
      <c r="J337" s="4" t="s">
        <v>2316</v>
      </c>
      <c r="K337" s="4" t="s">
        <v>2263</v>
      </c>
      <c r="L337" s="10">
        <v>1</v>
      </c>
      <c r="M337" s="5">
        <v>4259.3705405405408</v>
      </c>
      <c r="N337" s="5">
        <v>4259.3705405405399</v>
      </c>
    </row>
    <row r="338" spans="1:14" x14ac:dyDescent="0.25">
      <c r="A338" s="4" t="s">
        <v>2384</v>
      </c>
      <c r="B338" s="4" t="s">
        <v>3187</v>
      </c>
      <c r="C338" s="4" t="s">
        <v>2320</v>
      </c>
      <c r="D338" s="4" t="s">
        <v>242</v>
      </c>
      <c r="E338" s="4" t="s">
        <v>2695</v>
      </c>
      <c r="F338" s="4" t="s">
        <v>2694</v>
      </c>
      <c r="G338" s="4" t="s">
        <v>2263</v>
      </c>
      <c r="H338" s="9" t="s">
        <v>2263</v>
      </c>
      <c r="I338" s="4" t="s">
        <v>2317</v>
      </c>
      <c r="J338" s="4" t="s">
        <v>2316</v>
      </c>
      <c r="K338" s="4" t="s">
        <v>2263</v>
      </c>
      <c r="L338" s="10">
        <v>1</v>
      </c>
      <c r="M338" s="5">
        <v>4259.3705405405408</v>
      </c>
      <c r="N338" s="5">
        <v>4259.3705405405399</v>
      </c>
    </row>
    <row r="339" spans="1:14" x14ac:dyDescent="0.25">
      <c r="A339" s="4" t="s">
        <v>3174</v>
      </c>
      <c r="B339" s="4" t="s">
        <v>3173</v>
      </c>
      <c r="C339" s="4" t="s">
        <v>2320</v>
      </c>
      <c r="D339" s="4" t="s">
        <v>242</v>
      </c>
      <c r="E339" s="4" t="s">
        <v>2695</v>
      </c>
      <c r="F339" s="4" t="s">
        <v>2694</v>
      </c>
      <c r="G339" s="4" t="s">
        <v>2263</v>
      </c>
      <c r="H339" s="9" t="s">
        <v>2263</v>
      </c>
      <c r="I339" s="4" t="s">
        <v>2317</v>
      </c>
      <c r="J339" s="4" t="s">
        <v>2316</v>
      </c>
      <c r="K339" s="4" t="s">
        <v>2263</v>
      </c>
      <c r="L339" s="10">
        <v>1</v>
      </c>
      <c r="M339" s="5">
        <v>4259.3705405405408</v>
      </c>
      <c r="N339" s="5">
        <v>4259.3705405405399</v>
      </c>
    </row>
    <row r="340" spans="1:14" x14ac:dyDescent="0.25">
      <c r="A340" s="4" t="s">
        <v>3157</v>
      </c>
      <c r="B340" s="4" t="s">
        <v>3156</v>
      </c>
      <c r="C340" s="4" t="s">
        <v>2320</v>
      </c>
      <c r="D340" s="4" t="s">
        <v>242</v>
      </c>
      <c r="E340" s="4" t="s">
        <v>2695</v>
      </c>
      <c r="F340" s="4" t="s">
        <v>2694</v>
      </c>
      <c r="G340" s="4" t="s">
        <v>2263</v>
      </c>
      <c r="H340" s="9" t="s">
        <v>2263</v>
      </c>
      <c r="I340" s="4" t="s">
        <v>2317</v>
      </c>
      <c r="J340" s="4" t="s">
        <v>2316</v>
      </c>
      <c r="K340" s="4" t="s">
        <v>2263</v>
      </c>
      <c r="L340" s="10">
        <v>1</v>
      </c>
      <c r="M340" s="5">
        <v>4259.3705405405408</v>
      </c>
      <c r="N340" s="5">
        <v>4259.3705405405399</v>
      </c>
    </row>
    <row r="341" spans="1:14" x14ac:dyDescent="0.25">
      <c r="A341" s="4" t="s">
        <v>3104</v>
      </c>
      <c r="B341" s="4" t="s">
        <v>3103</v>
      </c>
      <c r="C341" s="4" t="s">
        <v>2320</v>
      </c>
      <c r="D341" s="4" t="s">
        <v>242</v>
      </c>
      <c r="E341" s="4" t="s">
        <v>2695</v>
      </c>
      <c r="F341" s="4" t="s">
        <v>2694</v>
      </c>
      <c r="G341" s="4" t="s">
        <v>2263</v>
      </c>
      <c r="H341" s="9" t="s">
        <v>2263</v>
      </c>
      <c r="I341" s="4" t="s">
        <v>2317</v>
      </c>
      <c r="J341" s="4" t="s">
        <v>2316</v>
      </c>
      <c r="K341" s="4" t="s">
        <v>2263</v>
      </c>
      <c r="L341" s="10">
        <v>1</v>
      </c>
      <c r="M341" s="5">
        <v>4259.3705405405408</v>
      </c>
      <c r="N341" s="5">
        <v>4259.3705405405399</v>
      </c>
    </row>
    <row r="342" spans="1:14" x14ac:dyDescent="0.25">
      <c r="A342" s="4" t="s">
        <v>3063</v>
      </c>
      <c r="B342" s="4" t="s">
        <v>3062</v>
      </c>
      <c r="C342" s="4" t="s">
        <v>2320</v>
      </c>
      <c r="D342" s="4" t="s">
        <v>242</v>
      </c>
      <c r="E342" s="4" t="s">
        <v>2695</v>
      </c>
      <c r="F342" s="4" t="s">
        <v>2694</v>
      </c>
      <c r="G342" s="4" t="s">
        <v>2263</v>
      </c>
      <c r="H342" s="9" t="s">
        <v>2263</v>
      </c>
      <c r="I342" s="4" t="s">
        <v>2317</v>
      </c>
      <c r="J342" s="4" t="s">
        <v>2316</v>
      </c>
      <c r="K342" s="4" t="s">
        <v>2263</v>
      </c>
      <c r="L342" s="10">
        <v>1</v>
      </c>
      <c r="M342" s="5">
        <v>4259.3705405405408</v>
      </c>
      <c r="N342" s="5">
        <v>4259.3705405405399</v>
      </c>
    </row>
    <row r="343" spans="1:14" x14ac:dyDescent="0.25">
      <c r="A343" s="4" t="s">
        <v>3051</v>
      </c>
      <c r="B343" s="4" t="s">
        <v>3050</v>
      </c>
      <c r="C343" s="4" t="s">
        <v>2320</v>
      </c>
      <c r="D343" s="4" t="s">
        <v>242</v>
      </c>
      <c r="E343" s="4" t="s">
        <v>2695</v>
      </c>
      <c r="F343" s="4" t="s">
        <v>2694</v>
      </c>
      <c r="G343" s="4" t="s">
        <v>2263</v>
      </c>
      <c r="H343" s="9" t="s">
        <v>2263</v>
      </c>
      <c r="I343" s="4" t="s">
        <v>2317</v>
      </c>
      <c r="J343" s="4" t="s">
        <v>2316</v>
      </c>
      <c r="K343" s="4" t="s">
        <v>2263</v>
      </c>
      <c r="L343" s="10">
        <v>1</v>
      </c>
      <c r="M343" s="5">
        <v>4259.3705405405408</v>
      </c>
      <c r="N343" s="5">
        <v>4259.3705405405399</v>
      </c>
    </row>
    <row r="344" spans="1:14" x14ac:dyDescent="0.25">
      <c r="A344" s="4" t="s">
        <v>3024</v>
      </c>
      <c r="B344" s="4" t="s">
        <v>3023</v>
      </c>
      <c r="C344" s="4" t="s">
        <v>2320</v>
      </c>
      <c r="D344" s="4" t="s">
        <v>242</v>
      </c>
      <c r="E344" s="4" t="s">
        <v>2695</v>
      </c>
      <c r="F344" s="4" t="s">
        <v>2694</v>
      </c>
      <c r="G344" s="4" t="s">
        <v>2263</v>
      </c>
      <c r="H344" s="9" t="s">
        <v>2263</v>
      </c>
      <c r="I344" s="4" t="s">
        <v>2317</v>
      </c>
      <c r="J344" s="4" t="s">
        <v>2316</v>
      </c>
      <c r="K344" s="4" t="s">
        <v>2263</v>
      </c>
      <c r="L344" s="10">
        <v>1</v>
      </c>
      <c r="M344" s="5">
        <v>4259.3705405405408</v>
      </c>
      <c r="N344" s="5">
        <v>4259.3705405405399</v>
      </c>
    </row>
    <row r="345" spans="1:14" x14ac:dyDescent="0.25">
      <c r="A345" s="4" t="s">
        <v>2673</v>
      </c>
      <c r="B345" s="4" t="s">
        <v>2672</v>
      </c>
      <c r="C345" s="4" t="s">
        <v>2320</v>
      </c>
      <c r="D345" s="4" t="s">
        <v>242</v>
      </c>
      <c r="E345" s="4" t="s">
        <v>2695</v>
      </c>
      <c r="F345" s="4" t="s">
        <v>2694</v>
      </c>
      <c r="G345" s="4" t="s">
        <v>2263</v>
      </c>
      <c r="H345" s="9" t="s">
        <v>2263</v>
      </c>
      <c r="I345" s="4" t="s">
        <v>2317</v>
      </c>
      <c r="J345" s="4" t="s">
        <v>2316</v>
      </c>
      <c r="K345" s="4" t="s">
        <v>2263</v>
      </c>
      <c r="L345" s="10">
        <v>1</v>
      </c>
      <c r="M345" s="5">
        <v>4259.3705405405408</v>
      </c>
      <c r="N345" s="5">
        <v>4259.3705405405399</v>
      </c>
    </row>
    <row r="346" spans="1:14" x14ac:dyDescent="0.25">
      <c r="A346" s="4" t="s">
        <v>2274</v>
      </c>
      <c r="B346" s="4" t="s">
        <v>4348</v>
      </c>
      <c r="C346" s="4" t="s">
        <v>2344</v>
      </c>
      <c r="D346" s="4" t="s">
        <v>237</v>
      </c>
      <c r="E346" s="4" t="s">
        <v>4915</v>
      </c>
      <c r="F346" s="4" t="s">
        <v>4914</v>
      </c>
      <c r="G346" s="4" t="s">
        <v>2263</v>
      </c>
      <c r="H346" s="9" t="s">
        <v>2263</v>
      </c>
      <c r="I346" s="4" t="s">
        <v>2263</v>
      </c>
      <c r="J346" s="4" t="s">
        <v>2263</v>
      </c>
      <c r="K346" s="4" t="s">
        <v>4381</v>
      </c>
      <c r="L346" s="10">
        <v>1</v>
      </c>
      <c r="M346" s="5">
        <v>4270</v>
      </c>
      <c r="N346" s="5">
        <v>4270</v>
      </c>
    </row>
    <row r="347" spans="1:14" x14ac:dyDescent="0.25">
      <c r="A347" s="4" t="s">
        <v>2344</v>
      </c>
      <c r="B347" s="4" t="s">
        <v>5154</v>
      </c>
      <c r="C347" s="4" t="s">
        <v>2320</v>
      </c>
      <c r="D347" s="4" t="s">
        <v>242</v>
      </c>
      <c r="E347" s="4" t="s">
        <v>3847</v>
      </c>
      <c r="F347" s="4" t="s">
        <v>3846</v>
      </c>
      <c r="G347" s="4" t="s">
        <v>2263</v>
      </c>
      <c r="H347" s="9" t="s">
        <v>2263</v>
      </c>
      <c r="I347" s="4" t="s">
        <v>2317</v>
      </c>
      <c r="J347" s="4" t="s">
        <v>2316</v>
      </c>
      <c r="K347" s="4" t="s">
        <v>2263</v>
      </c>
      <c r="L347" s="10">
        <v>1</v>
      </c>
      <c r="M347" s="5">
        <v>4369.3103448275861</v>
      </c>
      <c r="N347" s="5">
        <v>4369.3103448275897</v>
      </c>
    </row>
    <row r="348" spans="1:14" x14ac:dyDescent="0.25">
      <c r="A348" s="4" t="s">
        <v>2344</v>
      </c>
      <c r="B348" s="4" t="s">
        <v>5154</v>
      </c>
      <c r="C348" s="4" t="s">
        <v>2320</v>
      </c>
      <c r="D348" s="4" t="s">
        <v>242</v>
      </c>
      <c r="E348" s="4" t="s">
        <v>3873</v>
      </c>
      <c r="F348" s="4" t="s">
        <v>3872</v>
      </c>
      <c r="G348" s="4" t="s">
        <v>2263</v>
      </c>
      <c r="H348" s="9" t="s">
        <v>2263</v>
      </c>
      <c r="I348" s="4" t="s">
        <v>2317</v>
      </c>
      <c r="J348" s="4" t="s">
        <v>2316</v>
      </c>
      <c r="K348" s="4" t="s">
        <v>2263</v>
      </c>
      <c r="L348" s="10">
        <v>1</v>
      </c>
      <c r="M348" s="5">
        <v>4398.5443333333333</v>
      </c>
      <c r="N348" s="5">
        <v>4398.5443333333296</v>
      </c>
    </row>
    <row r="349" spans="1:14" x14ac:dyDescent="0.25">
      <c r="A349" s="4" t="s">
        <v>3070</v>
      </c>
      <c r="B349" s="4" t="s">
        <v>3216</v>
      </c>
      <c r="C349" s="4" t="s">
        <v>2320</v>
      </c>
      <c r="D349" s="4" t="s">
        <v>242</v>
      </c>
      <c r="E349" s="4" t="s">
        <v>2392</v>
      </c>
      <c r="F349" s="4" t="s">
        <v>2391</v>
      </c>
      <c r="G349" s="4" t="s">
        <v>2263</v>
      </c>
      <c r="H349" s="9" t="s">
        <v>2263</v>
      </c>
      <c r="I349" s="4" t="s">
        <v>2317</v>
      </c>
      <c r="J349" s="4" t="s">
        <v>2316</v>
      </c>
      <c r="K349" s="4" t="s">
        <v>2263</v>
      </c>
      <c r="L349" s="10">
        <v>1</v>
      </c>
      <c r="M349" s="5">
        <v>4436.8685029940125</v>
      </c>
      <c r="N349" s="5">
        <v>4436.8685029940098</v>
      </c>
    </row>
    <row r="350" spans="1:14" x14ac:dyDescent="0.25">
      <c r="A350" s="4" t="s">
        <v>3196</v>
      </c>
      <c r="B350" s="4" t="s">
        <v>3195</v>
      </c>
      <c r="C350" s="4" t="s">
        <v>2320</v>
      </c>
      <c r="D350" s="4" t="s">
        <v>242</v>
      </c>
      <c r="E350" s="4" t="s">
        <v>2392</v>
      </c>
      <c r="F350" s="4" t="s">
        <v>2391</v>
      </c>
      <c r="G350" s="4" t="s">
        <v>2263</v>
      </c>
      <c r="H350" s="9" t="s">
        <v>2263</v>
      </c>
      <c r="I350" s="4" t="s">
        <v>2317</v>
      </c>
      <c r="J350" s="4" t="s">
        <v>2316</v>
      </c>
      <c r="K350" s="4" t="s">
        <v>2263</v>
      </c>
      <c r="L350" s="10">
        <v>1</v>
      </c>
      <c r="M350" s="5">
        <v>4436.8685029940125</v>
      </c>
      <c r="N350" s="5">
        <v>4436.8685029940098</v>
      </c>
    </row>
    <row r="351" spans="1:14" x14ac:dyDescent="0.25">
      <c r="A351" s="4" t="s">
        <v>3174</v>
      </c>
      <c r="B351" s="4" t="s">
        <v>3173</v>
      </c>
      <c r="C351" s="4" t="s">
        <v>2320</v>
      </c>
      <c r="D351" s="4" t="s">
        <v>242</v>
      </c>
      <c r="E351" s="4" t="s">
        <v>2392</v>
      </c>
      <c r="F351" s="4" t="s">
        <v>2391</v>
      </c>
      <c r="G351" s="4" t="s">
        <v>2263</v>
      </c>
      <c r="H351" s="9" t="s">
        <v>2263</v>
      </c>
      <c r="I351" s="4" t="s">
        <v>2317</v>
      </c>
      <c r="J351" s="4" t="s">
        <v>2316</v>
      </c>
      <c r="K351" s="4" t="s">
        <v>2263</v>
      </c>
      <c r="L351" s="10">
        <v>1</v>
      </c>
      <c r="M351" s="5">
        <v>4436.8685029940125</v>
      </c>
      <c r="N351" s="5">
        <v>4436.8685029940098</v>
      </c>
    </row>
    <row r="352" spans="1:14" x14ac:dyDescent="0.25">
      <c r="A352" s="4" t="s">
        <v>3168</v>
      </c>
      <c r="B352" s="4" t="s">
        <v>3167</v>
      </c>
      <c r="C352" s="4" t="s">
        <v>2320</v>
      </c>
      <c r="D352" s="4" t="s">
        <v>242</v>
      </c>
      <c r="E352" s="4" t="s">
        <v>2392</v>
      </c>
      <c r="F352" s="4" t="s">
        <v>2391</v>
      </c>
      <c r="G352" s="4" t="s">
        <v>2263</v>
      </c>
      <c r="H352" s="9" t="s">
        <v>2263</v>
      </c>
      <c r="I352" s="4" t="s">
        <v>2317</v>
      </c>
      <c r="J352" s="4" t="s">
        <v>2316</v>
      </c>
      <c r="K352" s="4" t="s">
        <v>2263</v>
      </c>
      <c r="L352" s="10">
        <v>1</v>
      </c>
      <c r="M352" s="5">
        <v>4436.8685029940125</v>
      </c>
      <c r="N352" s="5">
        <v>4436.8685029940098</v>
      </c>
    </row>
    <row r="353" spans="1:14" x14ac:dyDescent="0.25">
      <c r="A353" s="4" t="s">
        <v>3157</v>
      </c>
      <c r="B353" s="4" t="s">
        <v>3156</v>
      </c>
      <c r="C353" s="4" t="s">
        <v>2320</v>
      </c>
      <c r="D353" s="4" t="s">
        <v>242</v>
      </c>
      <c r="E353" s="4" t="s">
        <v>2392</v>
      </c>
      <c r="F353" s="4" t="s">
        <v>2391</v>
      </c>
      <c r="G353" s="4" t="s">
        <v>2263</v>
      </c>
      <c r="H353" s="9" t="s">
        <v>2263</v>
      </c>
      <c r="I353" s="4" t="s">
        <v>2317</v>
      </c>
      <c r="J353" s="4" t="s">
        <v>2316</v>
      </c>
      <c r="K353" s="4" t="s">
        <v>2263</v>
      </c>
      <c r="L353" s="10">
        <v>1</v>
      </c>
      <c r="M353" s="5">
        <v>4436.8685029940125</v>
      </c>
      <c r="N353" s="5">
        <v>4436.8685029940098</v>
      </c>
    </row>
    <row r="354" spans="1:14" x14ac:dyDescent="0.25">
      <c r="A354" s="4" t="s">
        <v>3145</v>
      </c>
      <c r="B354" s="4" t="s">
        <v>3144</v>
      </c>
      <c r="C354" s="4" t="s">
        <v>2320</v>
      </c>
      <c r="D354" s="4" t="s">
        <v>242</v>
      </c>
      <c r="E354" s="4" t="s">
        <v>2392</v>
      </c>
      <c r="F354" s="4" t="s">
        <v>2391</v>
      </c>
      <c r="G354" s="4" t="s">
        <v>2263</v>
      </c>
      <c r="H354" s="9" t="s">
        <v>2263</v>
      </c>
      <c r="I354" s="4" t="s">
        <v>2317</v>
      </c>
      <c r="J354" s="4" t="s">
        <v>2316</v>
      </c>
      <c r="K354" s="4" t="s">
        <v>2263</v>
      </c>
      <c r="L354" s="10">
        <v>1</v>
      </c>
      <c r="M354" s="5">
        <v>4436.8685029940125</v>
      </c>
      <c r="N354" s="5">
        <v>4436.8685029940098</v>
      </c>
    </row>
    <row r="355" spans="1:14" x14ac:dyDescent="0.25">
      <c r="A355" s="4" t="s">
        <v>3063</v>
      </c>
      <c r="B355" s="4" t="s">
        <v>3062</v>
      </c>
      <c r="C355" s="4" t="s">
        <v>2320</v>
      </c>
      <c r="D355" s="4" t="s">
        <v>242</v>
      </c>
      <c r="E355" s="4" t="s">
        <v>2392</v>
      </c>
      <c r="F355" s="4" t="s">
        <v>2391</v>
      </c>
      <c r="G355" s="4" t="s">
        <v>2263</v>
      </c>
      <c r="H355" s="9" t="s">
        <v>2263</v>
      </c>
      <c r="I355" s="4" t="s">
        <v>2317</v>
      </c>
      <c r="J355" s="4" t="s">
        <v>2316</v>
      </c>
      <c r="K355" s="4" t="s">
        <v>2263</v>
      </c>
      <c r="L355" s="10">
        <v>1</v>
      </c>
      <c r="M355" s="5">
        <v>4436.8685029940125</v>
      </c>
      <c r="N355" s="5">
        <v>4436.8685029940098</v>
      </c>
    </row>
    <row r="356" spans="1:14" x14ac:dyDescent="0.25">
      <c r="A356" s="4" t="s">
        <v>3051</v>
      </c>
      <c r="B356" s="4" t="s">
        <v>3050</v>
      </c>
      <c r="C356" s="4" t="s">
        <v>2320</v>
      </c>
      <c r="D356" s="4" t="s">
        <v>242</v>
      </c>
      <c r="E356" s="4" t="s">
        <v>2392</v>
      </c>
      <c r="F356" s="4" t="s">
        <v>2391</v>
      </c>
      <c r="G356" s="4" t="s">
        <v>2263</v>
      </c>
      <c r="H356" s="9" t="s">
        <v>2263</v>
      </c>
      <c r="I356" s="4" t="s">
        <v>2317</v>
      </c>
      <c r="J356" s="4" t="s">
        <v>2316</v>
      </c>
      <c r="K356" s="4" t="s">
        <v>2263</v>
      </c>
      <c r="L356" s="10">
        <v>1</v>
      </c>
      <c r="M356" s="5">
        <v>4436.8685029940125</v>
      </c>
      <c r="N356" s="5">
        <v>4436.8685029940098</v>
      </c>
    </row>
    <row r="357" spans="1:14" x14ac:dyDescent="0.25">
      <c r="A357" s="4" t="s">
        <v>2673</v>
      </c>
      <c r="B357" s="4" t="s">
        <v>2672</v>
      </c>
      <c r="C357" s="4" t="s">
        <v>2320</v>
      </c>
      <c r="D357" s="4" t="s">
        <v>242</v>
      </c>
      <c r="E357" s="4" t="s">
        <v>2392</v>
      </c>
      <c r="F357" s="4" t="s">
        <v>2391</v>
      </c>
      <c r="G357" s="4" t="s">
        <v>2263</v>
      </c>
      <c r="H357" s="9" t="s">
        <v>2263</v>
      </c>
      <c r="I357" s="4" t="s">
        <v>2317</v>
      </c>
      <c r="J357" s="4" t="s">
        <v>2316</v>
      </c>
      <c r="K357" s="4" t="s">
        <v>2263</v>
      </c>
      <c r="L357" s="10">
        <v>1</v>
      </c>
      <c r="M357" s="5">
        <v>4436.8685029940125</v>
      </c>
      <c r="N357" s="5">
        <v>4436.8685029940098</v>
      </c>
    </row>
    <row r="358" spans="1:14" x14ac:dyDescent="0.25">
      <c r="A358" s="4" t="s">
        <v>2279</v>
      </c>
      <c r="B358" s="4" t="s">
        <v>4963</v>
      </c>
      <c r="C358" s="4" t="s">
        <v>2353</v>
      </c>
      <c r="D358" s="4" t="s">
        <v>258</v>
      </c>
      <c r="E358" s="4" t="s">
        <v>2677</v>
      </c>
      <c r="F358" s="4" t="s">
        <v>2676</v>
      </c>
      <c r="G358" s="4" t="s">
        <v>2263</v>
      </c>
      <c r="H358" s="9" t="s">
        <v>2263</v>
      </c>
      <c r="I358" s="4" t="s">
        <v>2317</v>
      </c>
      <c r="J358" s="4" t="s">
        <v>2316</v>
      </c>
      <c r="K358" s="4" t="s">
        <v>2263</v>
      </c>
      <c r="L358" s="10">
        <v>1</v>
      </c>
      <c r="M358" s="5">
        <v>4459.875</v>
      </c>
      <c r="N358" s="5">
        <v>4459.875</v>
      </c>
    </row>
    <row r="359" spans="1:14" x14ac:dyDescent="0.25">
      <c r="A359" s="4" t="s">
        <v>2481</v>
      </c>
      <c r="B359" s="4" t="s">
        <v>3217</v>
      </c>
      <c r="C359" s="4" t="s">
        <v>2353</v>
      </c>
      <c r="D359" s="4" t="s">
        <v>258</v>
      </c>
      <c r="E359" s="4" t="s">
        <v>2677</v>
      </c>
      <c r="F359" s="4" t="s">
        <v>2676</v>
      </c>
      <c r="G359" s="4" t="s">
        <v>2263</v>
      </c>
      <c r="H359" s="9" t="s">
        <v>2263</v>
      </c>
      <c r="I359" s="4" t="s">
        <v>2317</v>
      </c>
      <c r="J359" s="4" t="s">
        <v>2316</v>
      </c>
      <c r="K359" s="4" t="s">
        <v>2263</v>
      </c>
      <c r="L359" s="10">
        <v>1</v>
      </c>
      <c r="M359" s="5">
        <v>4459.875</v>
      </c>
      <c r="N359" s="5">
        <v>4459.875</v>
      </c>
    </row>
    <row r="360" spans="1:14" x14ac:dyDescent="0.25">
      <c r="A360" s="4" t="s">
        <v>3051</v>
      </c>
      <c r="B360" s="4" t="s">
        <v>3050</v>
      </c>
      <c r="C360" s="4" t="s">
        <v>2353</v>
      </c>
      <c r="D360" s="4" t="s">
        <v>258</v>
      </c>
      <c r="E360" s="4" t="s">
        <v>2677</v>
      </c>
      <c r="F360" s="4" t="s">
        <v>2676</v>
      </c>
      <c r="G360" s="4" t="s">
        <v>2263</v>
      </c>
      <c r="H360" s="9" t="s">
        <v>2263</v>
      </c>
      <c r="I360" s="4" t="s">
        <v>2317</v>
      </c>
      <c r="J360" s="4" t="s">
        <v>2316</v>
      </c>
      <c r="K360" s="4" t="s">
        <v>2263</v>
      </c>
      <c r="L360" s="10">
        <v>1</v>
      </c>
      <c r="M360" s="5">
        <v>4459.875</v>
      </c>
      <c r="N360" s="5">
        <v>4459.875</v>
      </c>
    </row>
    <row r="361" spans="1:14" x14ac:dyDescent="0.25">
      <c r="A361" s="4" t="s">
        <v>2673</v>
      </c>
      <c r="B361" s="4" t="s">
        <v>2672</v>
      </c>
      <c r="C361" s="4" t="s">
        <v>2353</v>
      </c>
      <c r="D361" s="4" t="s">
        <v>258</v>
      </c>
      <c r="E361" s="4" t="s">
        <v>2677</v>
      </c>
      <c r="F361" s="4" t="s">
        <v>2676</v>
      </c>
      <c r="G361" s="4" t="s">
        <v>2263</v>
      </c>
      <c r="H361" s="9" t="s">
        <v>2263</v>
      </c>
      <c r="I361" s="4" t="s">
        <v>2317</v>
      </c>
      <c r="J361" s="4" t="s">
        <v>2316</v>
      </c>
      <c r="K361" s="4" t="s">
        <v>2263</v>
      </c>
      <c r="L361" s="10">
        <v>1</v>
      </c>
      <c r="M361" s="5">
        <v>4459.875</v>
      </c>
      <c r="N361" s="5">
        <v>4459.875</v>
      </c>
    </row>
    <row r="362" spans="1:14" x14ac:dyDescent="0.25">
      <c r="A362" s="4" t="s">
        <v>2344</v>
      </c>
      <c r="B362" s="4" t="s">
        <v>5154</v>
      </c>
      <c r="C362" s="4" t="s">
        <v>2344</v>
      </c>
      <c r="D362" s="4" t="s">
        <v>237</v>
      </c>
      <c r="E362" s="4" t="s">
        <v>4622</v>
      </c>
      <c r="F362" s="4" t="s">
        <v>2569</v>
      </c>
      <c r="G362" s="4" t="s">
        <v>2263</v>
      </c>
      <c r="H362" s="9" t="s">
        <v>2263</v>
      </c>
      <c r="I362" s="4" t="s">
        <v>2263</v>
      </c>
      <c r="J362" s="4" t="s">
        <v>2263</v>
      </c>
      <c r="K362" s="4" t="s">
        <v>2568</v>
      </c>
      <c r="L362" s="10">
        <v>1</v>
      </c>
      <c r="M362" s="5">
        <v>4594.8019801980199</v>
      </c>
      <c r="N362" s="5">
        <v>4594.8019801980199</v>
      </c>
    </row>
    <row r="363" spans="1:14" x14ac:dyDescent="0.25">
      <c r="A363" s="4" t="s">
        <v>2320</v>
      </c>
      <c r="B363" s="4" t="s">
        <v>4967</v>
      </c>
      <c r="C363" s="4" t="s">
        <v>2267</v>
      </c>
      <c r="D363" s="4" t="s">
        <v>2266</v>
      </c>
      <c r="E363" s="4" t="s">
        <v>4409</v>
      </c>
      <c r="F363" s="4" t="s">
        <v>2506</v>
      </c>
      <c r="G363" s="4" t="s">
        <v>2263</v>
      </c>
      <c r="H363" s="9" t="s">
        <v>2263</v>
      </c>
      <c r="I363" s="4" t="s">
        <v>2263</v>
      </c>
      <c r="J363" s="4" t="s">
        <v>2263</v>
      </c>
      <c r="K363" s="4" t="s">
        <v>2505</v>
      </c>
      <c r="L363" s="10">
        <v>1</v>
      </c>
      <c r="M363" s="5">
        <v>4610.7261428571428</v>
      </c>
      <c r="N363" s="5">
        <v>4610.7261428571401</v>
      </c>
    </row>
    <row r="364" spans="1:14" x14ac:dyDescent="0.25">
      <c r="A364" s="4" t="s">
        <v>2320</v>
      </c>
      <c r="B364" s="4" t="s">
        <v>4967</v>
      </c>
      <c r="C364" s="4" t="s">
        <v>2344</v>
      </c>
      <c r="D364" s="4" t="s">
        <v>237</v>
      </c>
      <c r="E364" s="4" t="s">
        <v>4779</v>
      </c>
      <c r="F364" s="4" t="s">
        <v>2612</v>
      </c>
      <c r="G364" s="4" t="s">
        <v>2263</v>
      </c>
      <c r="H364" s="9" t="s">
        <v>2263</v>
      </c>
      <c r="I364" s="4" t="s">
        <v>2263</v>
      </c>
      <c r="J364" s="4" t="s">
        <v>2263</v>
      </c>
      <c r="K364" s="4" t="s">
        <v>2611</v>
      </c>
      <c r="L364" s="10">
        <v>1</v>
      </c>
      <c r="M364" s="5">
        <v>4708.1851851851852</v>
      </c>
      <c r="N364" s="5">
        <v>4708.1851851851898</v>
      </c>
    </row>
    <row r="365" spans="1:14" x14ac:dyDescent="0.25">
      <c r="A365" s="4" t="s">
        <v>2344</v>
      </c>
      <c r="B365" s="4" t="s">
        <v>5154</v>
      </c>
      <c r="C365" s="4" t="s">
        <v>2267</v>
      </c>
      <c r="D365" s="4" t="s">
        <v>2266</v>
      </c>
      <c r="E365" s="4" t="s">
        <v>5202</v>
      </c>
      <c r="F365" s="4" t="s">
        <v>4417</v>
      </c>
      <c r="G365" s="4" t="s">
        <v>2263</v>
      </c>
      <c r="H365" s="9" t="s">
        <v>2263</v>
      </c>
      <c r="I365" s="4" t="s">
        <v>2263</v>
      </c>
      <c r="J365" s="4" t="s">
        <v>2263</v>
      </c>
      <c r="K365" s="4" t="s">
        <v>4381</v>
      </c>
      <c r="L365" s="10">
        <v>1</v>
      </c>
      <c r="M365" s="5">
        <v>4796</v>
      </c>
      <c r="N365" s="5">
        <v>4796</v>
      </c>
    </row>
    <row r="366" spans="1:14" x14ac:dyDescent="0.25">
      <c r="A366" s="4" t="s">
        <v>2344</v>
      </c>
      <c r="B366" s="4" t="s">
        <v>5154</v>
      </c>
      <c r="C366" s="4" t="s">
        <v>2267</v>
      </c>
      <c r="D366" s="4" t="s">
        <v>2266</v>
      </c>
      <c r="E366" s="4" t="s">
        <v>4389</v>
      </c>
      <c r="F366" s="4" t="s">
        <v>4388</v>
      </c>
      <c r="G366" s="4" t="s">
        <v>2263</v>
      </c>
      <c r="H366" s="9" t="s">
        <v>2263</v>
      </c>
      <c r="I366" s="4" t="s">
        <v>2263</v>
      </c>
      <c r="J366" s="4" t="s">
        <v>2263</v>
      </c>
      <c r="K366" s="4" t="s">
        <v>4387</v>
      </c>
      <c r="L366" s="10">
        <v>1</v>
      </c>
      <c r="M366" s="5">
        <v>4918.666666666667</v>
      </c>
      <c r="N366" s="5">
        <v>4918.6666666666697</v>
      </c>
    </row>
    <row r="367" spans="1:14" x14ac:dyDescent="0.25">
      <c r="A367" s="4" t="s">
        <v>2274</v>
      </c>
      <c r="B367" s="4" t="s">
        <v>4348</v>
      </c>
      <c r="C367" s="4" t="s">
        <v>2344</v>
      </c>
      <c r="D367" s="4" t="s">
        <v>237</v>
      </c>
      <c r="E367" s="4" t="s">
        <v>4699</v>
      </c>
      <c r="F367" s="4" t="s">
        <v>4698</v>
      </c>
      <c r="G367" s="4" t="s">
        <v>2263</v>
      </c>
      <c r="H367" s="9" t="s">
        <v>2263</v>
      </c>
      <c r="I367" s="4" t="s">
        <v>2263</v>
      </c>
      <c r="J367" s="4" t="s">
        <v>2263</v>
      </c>
      <c r="K367" s="4" t="s">
        <v>4697</v>
      </c>
      <c r="L367" s="10">
        <v>1</v>
      </c>
      <c r="M367" s="5">
        <v>5498</v>
      </c>
      <c r="N367" s="5">
        <v>5498</v>
      </c>
    </row>
    <row r="368" spans="1:14" x14ac:dyDescent="0.25">
      <c r="A368" s="4" t="s">
        <v>2653</v>
      </c>
      <c r="B368" s="4" t="s">
        <v>3226</v>
      </c>
      <c r="C368" s="4" t="s">
        <v>2353</v>
      </c>
      <c r="D368" s="4" t="s">
        <v>258</v>
      </c>
      <c r="E368" s="4" t="s">
        <v>3242</v>
      </c>
      <c r="F368" s="4" t="s">
        <v>3241</v>
      </c>
      <c r="G368" s="4" t="s">
        <v>2263</v>
      </c>
      <c r="H368" s="9" t="s">
        <v>2263</v>
      </c>
      <c r="I368" s="4" t="s">
        <v>2317</v>
      </c>
      <c r="J368" s="4" t="s">
        <v>2316</v>
      </c>
      <c r="K368" s="4" t="s">
        <v>2263</v>
      </c>
      <c r="L368" s="10">
        <v>1</v>
      </c>
      <c r="M368" s="5">
        <v>5679.96</v>
      </c>
      <c r="N368" s="5">
        <v>5679.96</v>
      </c>
    </row>
    <row r="369" spans="1:14" x14ac:dyDescent="0.25">
      <c r="A369" s="4" t="s">
        <v>3801</v>
      </c>
      <c r="B369" s="4" t="s">
        <v>4965</v>
      </c>
      <c r="C369" s="4" t="s">
        <v>2353</v>
      </c>
      <c r="D369" s="4" t="s">
        <v>258</v>
      </c>
      <c r="E369" s="4" t="s">
        <v>2671</v>
      </c>
      <c r="F369" s="4" t="s">
        <v>2670</v>
      </c>
      <c r="G369" s="4" t="s">
        <v>2263</v>
      </c>
      <c r="H369" s="9" t="s">
        <v>2263</v>
      </c>
      <c r="I369" s="4" t="s">
        <v>2317</v>
      </c>
      <c r="J369" s="4" t="s">
        <v>2316</v>
      </c>
      <c r="K369" s="4" t="s">
        <v>2263</v>
      </c>
      <c r="L369" s="10">
        <v>1</v>
      </c>
      <c r="M369" s="5">
        <v>5873.5638461538456</v>
      </c>
      <c r="N369" s="5">
        <v>5873.5638461538501</v>
      </c>
    </row>
    <row r="370" spans="1:14" x14ac:dyDescent="0.25">
      <c r="A370" s="4" t="s">
        <v>2279</v>
      </c>
      <c r="B370" s="4" t="s">
        <v>4963</v>
      </c>
      <c r="C370" s="4" t="s">
        <v>2353</v>
      </c>
      <c r="D370" s="4" t="s">
        <v>258</v>
      </c>
      <c r="E370" s="4" t="s">
        <v>2671</v>
      </c>
      <c r="F370" s="4" t="s">
        <v>2670</v>
      </c>
      <c r="G370" s="4" t="s">
        <v>2263</v>
      </c>
      <c r="H370" s="9" t="s">
        <v>2263</v>
      </c>
      <c r="I370" s="4" t="s">
        <v>2317</v>
      </c>
      <c r="J370" s="4" t="s">
        <v>2316</v>
      </c>
      <c r="K370" s="4" t="s">
        <v>2263</v>
      </c>
      <c r="L370" s="10">
        <v>1</v>
      </c>
      <c r="M370" s="5">
        <v>5873.5638461538456</v>
      </c>
      <c r="N370" s="5">
        <v>5873.5638461538501</v>
      </c>
    </row>
    <row r="371" spans="1:14" x14ac:dyDescent="0.25">
      <c r="A371" s="4" t="s">
        <v>2481</v>
      </c>
      <c r="B371" s="4" t="s">
        <v>3217</v>
      </c>
      <c r="C371" s="4" t="s">
        <v>2353</v>
      </c>
      <c r="D371" s="4" t="s">
        <v>258</v>
      </c>
      <c r="E371" s="4" t="s">
        <v>2671</v>
      </c>
      <c r="F371" s="4" t="s">
        <v>2670</v>
      </c>
      <c r="G371" s="4" t="s">
        <v>2263</v>
      </c>
      <c r="H371" s="9" t="s">
        <v>2263</v>
      </c>
      <c r="I371" s="4" t="s">
        <v>2317</v>
      </c>
      <c r="J371" s="4" t="s">
        <v>2316</v>
      </c>
      <c r="K371" s="4" t="s">
        <v>2263</v>
      </c>
      <c r="L371" s="10">
        <v>1</v>
      </c>
      <c r="M371" s="5">
        <v>5873.5638461538456</v>
      </c>
      <c r="N371" s="5">
        <v>5873.5638461538501</v>
      </c>
    </row>
    <row r="372" spans="1:14" x14ac:dyDescent="0.25">
      <c r="A372" s="4" t="s">
        <v>3196</v>
      </c>
      <c r="B372" s="4" t="s">
        <v>3195</v>
      </c>
      <c r="C372" s="4" t="s">
        <v>2353</v>
      </c>
      <c r="D372" s="4" t="s">
        <v>258</v>
      </c>
      <c r="E372" s="4" t="s">
        <v>2671</v>
      </c>
      <c r="F372" s="4" t="s">
        <v>2670</v>
      </c>
      <c r="G372" s="4" t="s">
        <v>2263</v>
      </c>
      <c r="H372" s="9" t="s">
        <v>2263</v>
      </c>
      <c r="I372" s="4" t="s">
        <v>2317</v>
      </c>
      <c r="J372" s="4" t="s">
        <v>2316</v>
      </c>
      <c r="K372" s="4" t="s">
        <v>2263</v>
      </c>
      <c r="L372" s="10">
        <v>1</v>
      </c>
      <c r="M372" s="5">
        <v>5873.5638461538456</v>
      </c>
      <c r="N372" s="5">
        <v>5873.5638461538501</v>
      </c>
    </row>
    <row r="373" spans="1:14" x14ac:dyDescent="0.25">
      <c r="A373" s="4" t="s">
        <v>2384</v>
      </c>
      <c r="B373" s="4" t="s">
        <v>3187</v>
      </c>
      <c r="C373" s="4" t="s">
        <v>2353</v>
      </c>
      <c r="D373" s="4" t="s">
        <v>258</v>
      </c>
      <c r="E373" s="4" t="s">
        <v>2671</v>
      </c>
      <c r="F373" s="4" t="s">
        <v>2670</v>
      </c>
      <c r="G373" s="4" t="s">
        <v>2263</v>
      </c>
      <c r="H373" s="9" t="s">
        <v>2263</v>
      </c>
      <c r="I373" s="4" t="s">
        <v>2317</v>
      </c>
      <c r="J373" s="4" t="s">
        <v>2316</v>
      </c>
      <c r="K373" s="4" t="s">
        <v>2263</v>
      </c>
      <c r="L373" s="10">
        <v>1</v>
      </c>
      <c r="M373" s="5">
        <v>5873.5638461538456</v>
      </c>
      <c r="N373" s="5">
        <v>5873.5638461538501</v>
      </c>
    </row>
    <row r="374" spans="1:14" x14ac:dyDescent="0.25">
      <c r="A374" s="4" t="s">
        <v>3174</v>
      </c>
      <c r="B374" s="4" t="s">
        <v>3173</v>
      </c>
      <c r="C374" s="4" t="s">
        <v>2353</v>
      </c>
      <c r="D374" s="4" t="s">
        <v>258</v>
      </c>
      <c r="E374" s="4" t="s">
        <v>2671</v>
      </c>
      <c r="F374" s="4" t="s">
        <v>2670</v>
      </c>
      <c r="G374" s="4" t="s">
        <v>2263</v>
      </c>
      <c r="H374" s="9" t="s">
        <v>2263</v>
      </c>
      <c r="I374" s="4" t="s">
        <v>2317</v>
      </c>
      <c r="J374" s="4" t="s">
        <v>2316</v>
      </c>
      <c r="K374" s="4" t="s">
        <v>2263</v>
      </c>
      <c r="L374" s="10">
        <v>1</v>
      </c>
      <c r="M374" s="5">
        <v>5873.5638461538456</v>
      </c>
      <c r="N374" s="5">
        <v>5873.5638461538501</v>
      </c>
    </row>
    <row r="375" spans="1:14" x14ac:dyDescent="0.25">
      <c r="A375" s="4" t="s">
        <v>3104</v>
      </c>
      <c r="B375" s="4" t="s">
        <v>3103</v>
      </c>
      <c r="C375" s="4" t="s">
        <v>2353</v>
      </c>
      <c r="D375" s="4" t="s">
        <v>258</v>
      </c>
      <c r="E375" s="4" t="s">
        <v>2671</v>
      </c>
      <c r="F375" s="4" t="s">
        <v>2670</v>
      </c>
      <c r="G375" s="4" t="s">
        <v>2263</v>
      </c>
      <c r="H375" s="9" t="s">
        <v>2263</v>
      </c>
      <c r="I375" s="4" t="s">
        <v>2317</v>
      </c>
      <c r="J375" s="4" t="s">
        <v>2316</v>
      </c>
      <c r="K375" s="4" t="s">
        <v>2263</v>
      </c>
      <c r="L375" s="10">
        <v>1</v>
      </c>
      <c r="M375" s="5">
        <v>5873.5638461538456</v>
      </c>
      <c r="N375" s="5">
        <v>5873.5638461538501</v>
      </c>
    </row>
    <row r="376" spans="1:14" x14ac:dyDescent="0.25">
      <c r="A376" s="4" t="s">
        <v>3063</v>
      </c>
      <c r="B376" s="4" t="s">
        <v>3062</v>
      </c>
      <c r="C376" s="4" t="s">
        <v>2353</v>
      </c>
      <c r="D376" s="4" t="s">
        <v>258</v>
      </c>
      <c r="E376" s="4" t="s">
        <v>2671</v>
      </c>
      <c r="F376" s="4" t="s">
        <v>2670</v>
      </c>
      <c r="G376" s="4" t="s">
        <v>2263</v>
      </c>
      <c r="H376" s="9" t="s">
        <v>2263</v>
      </c>
      <c r="I376" s="4" t="s">
        <v>2317</v>
      </c>
      <c r="J376" s="4" t="s">
        <v>2316</v>
      </c>
      <c r="K376" s="4" t="s">
        <v>2263</v>
      </c>
      <c r="L376" s="10">
        <v>1</v>
      </c>
      <c r="M376" s="5">
        <v>5873.5638461538456</v>
      </c>
      <c r="N376" s="5">
        <v>5873.5638461538501</v>
      </c>
    </row>
    <row r="377" spans="1:14" x14ac:dyDescent="0.25">
      <c r="A377" s="4" t="s">
        <v>3051</v>
      </c>
      <c r="B377" s="4" t="s">
        <v>3050</v>
      </c>
      <c r="C377" s="4" t="s">
        <v>2353</v>
      </c>
      <c r="D377" s="4" t="s">
        <v>258</v>
      </c>
      <c r="E377" s="4" t="s">
        <v>2671</v>
      </c>
      <c r="F377" s="4" t="s">
        <v>2670</v>
      </c>
      <c r="G377" s="4" t="s">
        <v>2263</v>
      </c>
      <c r="H377" s="9" t="s">
        <v>2263</v>
      </c>
      <c r="I377" s="4" t="s">
        <v>2317</v>
      </c>
      <c r="J377" s="4" t="s">
        <v>2316</v>
      </c>
      <c r="K377" s="4" t="s">
        <v>2263</v>
      </c>
      <c r="L377" s="10">
        <v>1</v>
      </c>
      <c r="M377" s="5">
        <v>5873.5638461538456</v>
      </c>
      <c r="N377" s="5">
        <v>5873.5638461538501</v>
      </c>
    </row>
    <row r="378" spans="1:14" x14ac:dyDescent="0.25">
      <c r="A378" s="4" t="s">
        <v>3024</v>
      </c>
      <c r="B378" s="4" t="s">
        <v>3023</v>
      </c>
      <c r="C378" s="4" t="s">
        <v>2353</v>
      </c>
      <c r="D378" s="4" t="s">
        <v>258</v>
      </c>
      <c r="E378" s="4" t="s">
        <v>2671</v>
      </c>
      <c r="F378" s="4" t="s">
        <v>2670</v>
      </c>
      <c r="G378" s="4" t="s">
        <v>2263</v>
      </c>
      <c r="H378" s="9" t="s">
        <v>2263</v>
      </c>
      <c r="I378" s="4" t="s">
        <v>2317</v>
      </c>
      <c r="J378" s="4" t="s">
        <v>2316</v>
      </c>
      <c r="K378" s="4" t="s">
        <v>2263</v>
      </c>
      <c r="L378" s="10">
        <v>1</v>
      </c>
      <c r="M378" s="5">
        <v>5873.5638461538456</v>
      </c>
      <c r="N378" s="5">
        <v>5873.5638461538501</v>
      </c>
    </row>
    <row r="379" spans="1:14" x14ac:dyDescent="0.25">
      <c r="A379" s="4" t="s">
        <v>2673</v>
      </c>
      <c r="B379" s="4" t="s">
        <v>2672</v>
      </c>
      <c r="C379" s="4" t="s">
        <v>2353</v>
      </c>
      <c r="D379" s="4" t="s">
        <v>258</v>
      </c>
      <c r="E379" s="4" t="s">
        <v>2671</v>
      </c>
      <c r="F379" s="4" t="s">
        <v>2670</v>
      </c>
      <c r="G379" s="4" t="s">
        <v>2263</v>
      </c>
      <c r="H379" s="9" t="s">
        <v>2263</v>
      </c>
      <c r="I379" s="4" t="s">
        <v>2317</v>
      </c>
      <c r="J379" s="4" t="s">
        <v>2316</v>
      </c>
      <c r="K379" s="4" t="s">
        <v>2263</v>
      </c>
      <c r="L379" s="10">
        <v>1</v>
      </c>
      <c r="M379" s="5">
        <v>5873.5638461538456</v>
      </c>
      <c r="N379" s="5">
        <v>5873.5638461538501</v>
      </c>
    </row>
    <row r="380" spans="1:14" x14ac:dyDescent="0.25">
      <c r="A380" s="4" t="s">
        <v>2274</v>
      </c>
      <c r="B380" s="4" t="s">
        <v>4348</v>
      </c>
      <c r="C380" s="4" t="s">
        <v>2344</v>
      </c>
      <c r="D380" s="4" t="s">
        <v>237</v>
      </c>
      <c r="E380" s="4" t="s">
        <v>4558</v>
      </c>
      <c r="F380" s="4" t="s">
        <v>4557</v>
      </c>
      <c r="G380" s="4" t="s">
        <v>2263</v>
      </c>
      <c r="H380" s="9" t="s">
        <v>2263</v>
      </c>
      <c r="I380" s="4" t="s">
        <v>2263</v>
      </c>
      <c r="J380" s="4" t="s">
        <v>2263</v>
      </c>
      <c r="K380" s="4" t="s">
        <v>4381</v>
      </c>
      <c r="L380" s="10">
        <v>1</v>
      </c>
      <c r="M380" s="5">
        <v>5956.8666666666668</v>
      </c>
      <c r="N380" s="5">
        <v>5956.8666666666704</v>
      </c>
    </row>
    <row r="381" spans="1:14" x14ac:dyDescent="0.25">
      <c r="A381" s="4" t="s">
        <v>2279</v>
      </c>
      <c r="B381" s="4" t="s">
        <v>4963</v>
      </c>
      <c r="C381" s="4" t="s">
        <v>2353</v>
      </c>
      <c r="D381" s="4" t="s">
        <v>258</v>
      </c>
      <c r="E381" s="4" t="s">
        <v>3264</v>
      </c>
      <c r="F381" s="4" t="s">
        <v>3263</v>
      </c>
      <c r="G381" s="4" t="s">
        <v>2263</v>
      </c>
      <c r="H381" s="9" t="s">
        <v>2263</v>
      </c>
      <c r="I381" s="4" t="s">
        <v>2317</v>
      </c>
      <c r="J381" s="4" t="s">
        <v>2316</v>
      </c>
      <c r="K381" s="4" t="s">
        <v>2263</v>
      </c>
      <c r="L381" s="10">
        <v>1</v>
      </c>
      <c r="M381" s="5">
        <v>6004.2436893203885</v>
      </c>
      <c r="N381" s="5">
        <v>6004.2436893203903</v>
      </c>
    </row>
    <row r="382" spans="1:14" x14ac:dyDescent="0.25">
      <c r="A382" s="4" t="s">
        <v>2344</v>
      </c>
      <c r="B382" s="4" t="s">
        <v>5154</v>
      </c>
      <c r="C382" s="4" t="s">
        <v>2320</v>
      </c>
      <c r="D382" s="4" t="s">
        <v>242</v>
      </c>
      <c r="E382" s="4" t="s">
        <v>3207</v>
      </c>
      <c r="F382" s="4" t="s">
        <v>3206</v>
      </c>
      <c r="G382" s="4" t="s">
        <v>2263</v>
      </c>
      <c r="H382" s="9" t="s">
        <v>2263</v>
      </c>
      <c r="I382" s="4" t="s">
        <v>2317</v>
      </c>
      <c r="J382" s="4" t="s">
        <v>2316</v>
      </c>
      <c r="K382" s="4" t="s">
        <v>2263</v>
      </c>
      <c r="L382" s="10">
        <v>1</v>
      </c>
      <c r="M382" s="5">
        <v>6176</v>
      </c>
      <c r="N382" s="5">
        <v>6176</v>
      </c>
    </row>
    <row r="383" spans="1:14" x14ac:dyDescent="0.25">
      <c r="A383" s="4" t="s">
        <v>3203</v>
      </c>
      <c r="B383" s="4" t="s">
        <v>3202</v>
      </c>
      <c r="C383" s="4" t="s">
        <v>2320</v>
      </c>
      <c r="D383" s="4" t="s">
        <v>242</v>
      </c>
      <c r="E383" s="4" t="s">
        <v>3207</v>
      </c>
      <c r="F383" s="4" t="s">
        <v>3206</v>
      </c>
      <c r="G383" s="4" t="s">
        <v>2263</v>
      </c>
      <c r="H383" s="9" t="s">
        <v>2263</v>
      </c>
      <c r="I383" s="4" t="s">
        <v>2317</v>
      </c>
      <c r="J383" s="4" t="s">
        <v>2316</v>
      </c>
      <c r="K383" s="4" t="s">
        <v>2263</v>
      </c>
      <c r="L383" s="10">
        <v>1</v>
      </c>
      <c r="M383" s="5">
        <v>6176</v>
      </c>
      <c r="N383" s="5">
        <v>6176</v>
      </c>
    </row>
    <row r="384" spans="1:14" x14ac:dyDescent="0.25">
      <c r="A384" s="4" t="s">
        <v>3168</v>
      </c>
      <c r="B384" s="4" t="s">
        <v>3167</v>
      </c>
      <c r="C384" s="4" t="s">
        <v>2320</v>
      </c>
      <c r="D384" s="4" t="s">
        <v>242</v>
      </c>
      <c r="E384" s="4" t="s">
        <v>3149</v>
      </c>
      <c r="F384" s="4" t="s">
        <v>3148</v>
      </c>
      <c r="G384" s="4" t="s">
        <v>2263</v>
      </c>
      <c r="H384" s="9" t="s">
        <v>2263</v>
      </c>
      <c r="I384" s="4" t="s">
        <v>2317</v>
      </c>
      <c r="J384" s="4" t="s">
        <v>2316</v>
      </c>
      <c r="K384" s="4" t="s">
        <v>2263</v>
      </c>
      <c r="L384" s="10">
        <v>1</v>
      </c>
      <c r="M384" s="5">
        <v>6438.768</v>
      </c>
      <c r="N384" s="5">
        <v>6438.768</v>
      </c>
    </row>
    <row r="385" spans="1:14" x14ac:dyDescent="0.25">
      <c r="A385" s="4" t="s">
        <v>3145</v>
      </c>
      <c r="B385" s="4" t="s">
        <v>3144</v>
      </c>
      <c r="C385" s="4" t="s">
        <v>2320</v>
      </c>
      <c r="D385" s="4" t="s">
        <v>242</v>
      </c>
      <c r="E385" s="4" t="s">
        <v>3149</v>
      </c>
      <c r="F385" s="4" t="s">
        <v>3148</v>
      </c>
      <c r="G385" s="4" t="s">
        <v>2263</v>
      </c>
      <c r="H385" s="9" t="s">
        <v>2263</v>
      </c>
      <c r="I385" s="4" t="s">
        <v>2317</v>
      </c>
      <c r="J385" s="4" t="s">
        <v>2316</v>
      </c>
      <c r="K385" s="4" t="s">
        <v>2263</v>
      </c>
      <c r="L385" s="10">
        <v>1</v>
      </c>
      <c r="M385" s="5">
        <v>6438.768</v>
      </c>
      <c r="N385" s="5">
        <v>6438.768</v>
      </c>
    </row>
    <row r="386" spans="1:14" x14ac:dyDescent="0.25">
      <c r="A386" s="4" t="s">
        <v>2673</v>
      </c>
      <c r="B386" s="4" t="s">
        <v>2672</v>
      </c>
      <c r="C386" s="4" t="s">
        <v>2353</v>
      </c>
      <c r="D386" s="4" t="s">
        <v>258</v>
      </c>
      <c r="E386" s="4" t="s">
        <v>2675</v>
      </c>
      <c r="F386" s="4" t="s">
        <v>2674</v>
      </c>
      <c r="G386" s="4" t="s">
        <v>2263</v>
      </c>
      <c r="H386" s="9" t="s">
        <v>2263</v>
      </c>
      <c r="I386" s="4" t="s">
        <v>2317</v>
      </c>
      <c r="J386" s="4" t="s">
        <v>2316</v>
      </c>
      <c r="K386" s="4" t="s">
        <v>2263</v>
      </c>
      <c r="L386" s="10">
        <v>1</v>
      </c>
      <c r="M386" s="5">
        <v>6452.4775690607739</v>
      </c>
      <c r="N386" s="5">
        <v>6452.4775690607703</v>
      </c>
    </row>
    <row r="387" spans="1:14" x14ac:dyDescent="0.25">
      <c r="A387" s="4" t="s">
        <v>3104</v>
      </c>
      <c r="B387" s="4" t="s">
        <v>3103</v>
      </c>
      <c r="C387" s="4" t="s">
        <v>2320</v>
      </c>
      <c r="D387" s="4" t="s">
        <v>242</v>
      </c>
      <c r="E387" s="4" t="s">
        <v>2743</v>
      </c>
      <c r="F387" s="4" t="s">
        <v>2742</v>
      </c>
      <c r="G387" s="4" t="s">
        <v>2263</v>
      </c>
      <c r="H387" s="9" t="s">
        <v>2263</v>
      </c>
      <c r="I387" s="4" t="s">
        <v>2317</v>
      </c>
      <c r="J387" s="4" t="s">
        <v>2316</v>
      </c>
      <c r="K387" s="4" t="s">
        <v>2263</v>
      </c>
      <c r="L387" s="10">
        <v>1</v>
      </c>
      <c r="M387" s="5">
        <v>6828.93</v>
      </c>
      <c r="N387" s="5">
        <v>6828.93</v>
      </c>
    </row>
    <row r="388" spans="1:14" x14ac:dyDescent="0.25">
      <c r="A388" s="4" t="s">
        <v>2274</v>
      </c>
      <c r="B388" s="4" t="s">
        <v>4348</v>
      </c>
      <c r="C388" s="4" t="s">
        <v>2344</v>
      </c>
      <c r="D388" s="4" t="s">
        <v>237</v>
      </c>
      <c r="E388" s="4" t="s">
        <v>4840</v>
      </c>
      <c r="F388" s="4" t="s">
        <v>4579</v>
      </c>
      <c r="G388" s="4" t="s">
        <v>2263</v>
      </c>
      <c r="H388" s="9" t="s">
        <v>2263</v>
      </c>
      <c r="I388" s="4" t="s">
        <v>2263</v>
      </c>
      <c r="J388" s="4" t="s">
        <v>2263</v>
      </c>
      <c r="K388" s="4" t="s">
        <v>4578</v>
      </c>
      <c r="L388" s="10">
        <v>1</v>
      </c>
      <c r="M388" s="5">
        <v>6890</v>
      </c>
      <c r="N388" s="5">
        <v>6890</v>
      </c>
    </row>
    <row r="389" spans="1:14" x14ac:dyDescent="0.25">
      <c r="A389" s="4" t="s">
        <v>2653</v>
      </c>
      <c r="B389" s="4" t="s">
        <v>3226</v>
      </c>
      <c r="C389" s="4" t="s">
        <v>2384</v>
      </c>
      <c r="D389" s="4" t="s">
        <v>262</v>
      </c>
      <c r="E389" s="4" t="s">
        <v>3336</v>
      </c>
      <c r="F389" s="4" t="s">
        <v>3335</v>
      </c>
      <c r="G389" s="4" t="s">
        <v>2263</v>
      </c>
      <c r="H389" s="9" t="s">
        <v>2263</v>
      </c>
      <c r="I389" s="4" t="s">
        <v>2317</v>
      </c>
      <c r="J389" s="4" t="s">
        <v>2316</v>
      </c>
      <c r="K389" s="4" t="s">
        <v>2263</v>
      </c>
      <c r="L389" s="10">
        <v>1</v>
      </c>
      <c r="M389" s="5">
        <v>7000</v>
      </c>
      <c r="N389" s="5">
        <v>7000</v>
      </c>
    </row>
    <row r="390" spans="1:14" x14ac:dyDescent="0.25">
      <c r="A390" s="4" t="s">
        <v>2344</v>
      </c>
      <c r="B390" s="4" t="s">
        <v>5154</v>
      </c>
      <c r="C390" s="4" t="s">
        <v>2344</v>
      </c>
      <c r="D390" s="4" t="s">
        <v>237</v>
      </c>
      <c r="E390" s="4" t="s">
        <v>2884</v>
      </c>
      <c r="F390" s="4" t="s">
        <v>2883</v>
      </c>
      <c r="G390" s="4" t="s">
        <v>2263</v>
      </c>
      <c r="H390" s="9" t="s">
        <v>2263</v>
      </c>
      <c r="I390" s="4" t="s">
        <v>2263</v>
      </c>
      <c r="J390" s="4" t="s">
        <v>2263</v>
      </c>
      <c r="K390" s="4" t="s">
        <v>2566</v>
      </c>
      <c r="L390" s="10">
        <v>1</v>
      </c>
      <c r="M390" s="5">
        <v>7714.5542857142855</v>
      </c>
      <c r="N390" s="5">
        <v>7714.55428571429</v>
      </c>
    </row>
    <row r="391" spans="1:14" x14ac:dyDescent="0.25">
      <c r="A391" s="4" t="s">
        <v>2673</v>
      </c>
      <c r="B391" s="4" t="s">
        <v>2672</v>
      </c>
      <c r="C391" s="4" t="s">
        <v>2344</v>
      </c>
      <c r="D391" s="4" t="s">
        <v>237</v>
      </c>
      <c r="E391" s="4" t="s">
        <v>2754</v>
      </c>
      <c r="F391" s="4" t="s">
        <v>2474</v>
      </c>
      <c r="G391" s="4" t="s">
        <v>2263</v>
      </c>
      <c r="H391" s="9" t="s">
        <v>2263</v>
      </c>
      <c r="I391" s="4" t="s">
        <v>2263</v>
      </c>
      <c r="J391" s="4" t="s">
        <v>2263</v>
      </c>
      <c r="K391" s="4" t="s">
        <v>2473</v>
      </c>
      <c r="L391" s="10">
        <v>1</v>
      </c>
      <c r="M391" s="5">
        <v>8400.3259602649014</v>
      </c>
      <c r="N391" s="5">
        <v>8400.3259602648995</v>
      </c>
    </row>
    <row r="392" spans="1:14" x14ac:dyDescent="0.25">
      <c r="A392" s="4" t="s">
        <v>2320</v>
      </c>
      <c r="B392" s="4" t="s">
        <v>4967</v>
      </c>
      <c r="C392" s="4" t="s">
        <v>2320</v>
      </c>
      <c r="D392" s="4" t="s">
        <v>242</v>
      </c>
      <c r="E392" s="4" t="s">
        <v>4223</v>
      </c>
      <c r="F392" s="4" t="s">
        <v>4222</v>
      </c>
      <c r="G392" s="4" t="s">
        <v>2263</v>
      </c>
      <c r="H392" s="9" t="s">
        <v>2263</v>
      </c>
      <c r="I392" s="4" t="s">
        <v>2317</v>
      </c>
      <c r="J392" s="4" t="s">
        <v>2316</v>
      </c>
      <c r="K392" s="4" t="s">
        <v>2263</v>
      </c>
      <c r="L392" s="10">
        <v>1</v>
      </c>
      <c r="M392" s="5">
        <v>8440.2525000000005</v>
      </c>
      <c r="N392" s="5">
        <v>8440.2525000000005</v>
      </c>
    </row>
    <row r="393" spans="1:14" x14ac:dyDescent="0.25">
      <c r="A393" s="4" t="s">
        <v>2279</v>
      </c>
      <c r="B393" s="4" t="s">
        <v>4963</v>
      </c>
      <c r="C393" s="4" t="s">
        <v>2344</v>
      </c>
      <c r="D393" s="4" t="s">
        <v>237</v>
      </c>
      <c r="E393" s="4" t="s">
        <v>2432</v>
      </c>
      <c r="F393" s="4" t="s">
        <v>2431</v>
      </c>
      <c r="G393" s="4" t="s">
        <v>2263</v>
      </c>
      <c r="H393" s="9" t="s">
        <v>2263</v>
      </c>
      <c r="I393" s="4" t="s">
        <v>2263</v>
      </c>
      <c r="J393" s="4" t="s">
        <v>2263</v>
      </c>
      <c r="K393" s="4" t="s">
        <v>2430</v>
      </c>
      <c r="L393" s="10">
        <v>1</v>
      </c>
      <c r="M393" s="5">
        <v>9728.7152252252235</v>
      </c>
      <c r="N393" s="5">
        <v>9728.7152252252308</v>
      </c>
    </row>
    <row r="394" spans="1:14" x14ac:dyDescent="0.25">
      <c r="A394" s="4" t="s">
        <v>2481</v>
      </c>
      <c r="B394" s="4" t="s">
        <v>3217</v>
      </c>
      <c r="C394" s="4" t="s">
        <v>2344</v>
      </c>
      <c r="D394" s="4" t="s">
        <v>237</v>
      </c>
      <c r="E394" s="4" t="s">
        <v>2432</v>
      </c>
      <c r="F394" s="4" t="s">
        <v>2431</v>
      </c>
      <c r="G394" s="4" t="s">
        <v>2263</v>
      </c>
      <c r="H394" s="9" t="s">
        <v>2263</v>
      </c>
      <c r="I394" s="4" t="s">
        <v>2263</v>
      </c>
      <c r="J394" s="4" t="s">
        <v>2263</v>
      </c>
      <c r="K394" s="4" t="s">
        <v>2430</v>
      </c>
      <c r="L394" s="10">
        <v>1</v>
      </c>
      <c r="M394" s="5">
        <v>9728.7152252252235</v>
      </c>
      <c r="N394" s="5">
        <v>9728.7152252252308</v>
      </c>
    </row>
    <row r="395" spans="1:14" x14ac:dyDescent="0.25">
      <c r="A395" s="4" t="s">
        <v>3196</v>
      </c>
      <c r="B395" s="4" t="s">
        <v>3195</v>
      </c>
      <c r="C395" s="4" t="s">
        <v>2344</v>
      </c>
      <c r="D395" s="4" t="s">
        <v>237</v>
      </c>
      <c r="E395" s="4" t="s">
        <v>2432</v>
      </c>
      <c r="F395" s="4" t="s">
        <v>2431</v>
      </c>
      <c r="G395" s="4" t="s">
        <v>2263</v>
      </c>
      <c r="H395" s="9" t="s">
        <v>2263</v>
      </c>
      <c r="I395" s="4" t="s">
        <v>2263</v>
      </c>
      <c r="J395" s="4" t="s">
        <v>2263</v>
      </c>
      <c r="K395" s="4" t="s">
        <v>2430</v>
      </c>
      <c r="L395" s="10">
        <v>1</v>
      </c>
      <c r="M395" s="5">
        <v>9728.7152252252235</v>
      </c>
      <c r="N395" s="5">
        <v>9728.7152252252308</v>
      </c>
    </row>
    <row r="396" spans="1:14" x14ac:dyDescent="0.25">
      <c r="A396" s="4" t="s">
        <v>3174</v>
      </c>
      <c r="B396" s="4" t="s">
        <v>3173</v>
      </c>
      <c r="C396" s="4" t="s">
        <v>2344</v>
      </c>
      <c r="D396" s="4" t="s">
        <v>237</v>
      </c>
      <c r="E396" s="4" t="s">
        <v>2432</v>
      </c>
      <c r="F396" s="4" t="s">
        <v>2431</v>
      </c>
      <c r="G396" s="4" t="s">
        <v>2263</v>
      </c>
      <c r="H396" s="9" t="s">
        <v>2263</v>
      </c>
      <c r="I396" s="4" t="s">
        <v>2263</v>
      </c>
      <c r="J396" s="4" t="s">
        <v>2263</v>
      </c>
      <c r="K396" s="4" t="s">
        <v>2430</v>
      </c>
      <c r="L396" s="10">
        <v>1</v>
      </c>
      <c r="M396" s="5">
        <v>9728.7152252252235</v>
      </c>
      <c r="N396" s="5">
        <v>9728.7152252252308</v>
      </c>
    </row>
    <row r="397" spans="1:14" x14ac:dyDescent="0.25">
      <c r="A397" s="4" t="s">
        <v>3157</v>
      </c>
      <c r="B397" s="4" t="s">
        <v>3156</v>
      </c>
      <c r="C397" s="4" t="s">
        <v>2344</v>
      </c>
      <c r="D397" s="4" t="s">
        <v>237</v>
      </c>
      <c r="E397" s="4" t="s">
        <v>2432</v>
      </c>
      <c r="F397" s="4" t="s">
        <v>2431</v>
      </c>
      <c r="G397" s="4" t="s">
        <v>2263</v>
      </c>
      <c r="H397" s="9" t="s">
        <v>2263</v>
      </c>
      <c r="I397" s="4" t="s">
        <v>2263</v>
      </c>
      <c r="J397" s="4" t="s">
        <v>2263</v>
      </c>
      <c r="K397" s="4" t="s">
        <v>2430</v>
      </c>
      <c r="L397" s="10">
        <v>1</v>
      </c>
      <c r="M397" s="5">
        <v>9728.7152252252235</v>
      </c>
      <c r="N397" s="5">
        <v>9728.7152252252308</v>
      </c>
    </row>
    <row r="398" spans="1:14" x14ac:dyDescent="0.25">
      <c r="A398" s="4" t="s">
        <v>3104</v>
      </c>
      <c r="B398" s="4" t="s">
        <v>3103</v>
      </c>
      <c r="C398" s="4" t="s">
        <v>2344</v>
      </c>
      <c r="D398" s="4" t="s">
        <v>237</v>
      </c>
      <c r="E398" s="4" t="s">
        <v>2432</v>
      </c>
      <c r="F398" s="4" t="s">
        <v>2431</v>
      </c>
      <c r="G398" s="4" t="s">
        <v>2263</v>
      </c>
      <c r="H398" s="9" t="s">
        <v>2263</v>
      </c>
      <c r="I398" s="4" t="s">
        <v>2263</v>
      </c>
      <c r="J398" s="4" t="s">
        <v>2263</v>
      </c>
      <c r="K398" s="4" t="s">
        <v>2430</v>
      </c>
      <c r="L398" s="10">
        <v>1</v>
      </c>
      <c r="M398" s="5">
        <v>9728.7152252252235</v>
      </c>
      <c r="N398" s="5">
        <v>9728.7152252252308</v>
      </c>
    </row>
    <row r="399" spans="1:14" x14ac:dyDescent="0.25">
      <c r="A399" s="4" t="s">
        <v>3063</v>
      </c>
      <c r="B399" s="4" t="s">
        <v>3062</v>
      </c>
      <c r="C399" s="4" t="s">
        <v>2344</v>
      </c>
      <c r="D399" s="4" t="s">
        <v>237</v>
      </c>
      <c r="E399" s="4" t="s">
        <v>2432</v>
      </c>
      <c r="F399" s="4" t="s">
        <v>2431</v>
      </c>
      <c r="G399" s="4" t="s">
        <v>2263</v>
      </c>
      <c r="H399" s="9" t="s">
        <v>2263</v>
      </c>
      <c r="I399" s="4" t="s">
        <v>2263</v>
      </c>
      <c r="J399" s="4" t="s">
        <v>2263</v>
      </c>
      <c r="K399" s="4" t="s">
        <v>2430</v>
      </c>
      <c r="L399" s="10">
        <v>1</v>
      </c>
      <c r="M399" s="5">
        <v>9728.7152252252235</v>
      </c>
      <c r="N399" s="5">
        <v>9728.7152252252308</v>
      </c>
    </row>
    <row r="400" spans="1:14" x14ac:dyDescent="0.25">
      <c r="A400" s="4" t="s">
        <v>3051</v>
      </c>
      <c r="B400" s="4" t="s">
        <v>3050</v>
      </c>
      <c r="C400" s="4" t="s">
        <v>2344</v>
      </c>
      <c r="D400" s="4" t="s">
        <v>237</v>
      </c>
      <c r="E400" s="4" t="s">
        <v>2432</v>
      </c>
      <c r="F400" s="4" t="s">
        <v>2431</v>
      </c>
      <c r="G400" s="4" t="s">
        <v>2263</v>
      </c>
      <c r="H400" s="9" t="s">
        <v>2263</v>
      </c>
      <c r="I400" s="4" t="s">
        <v>2263</v>
      </c>
      <c r="J400" s="4" t="s">
        <v>2263</v>
      </c>
      <c r="K400" s="4" t="s">
        <v>2430</v>
      </c>
      <c r="L400" s="10">
        <v>1</v>
      </c>
      <c r="M400" s="5">
        <v>9728.7152252252235</v>
      </c>
      <c r="N400" s="5">
        <v>9728.7152252252308</v>
      </c>
    </row>
    <row r="401" spans="1:14" x14ac:dyDescent="0.25">
      <c r="A401" s="4" t="s">
        <v>3024</v>
      </c>
      <c r="B401" s="4" t="s">
        <v>3023</v>
      </c>
      <c r="C401" s="4" t="s">
        <v>2344</v>
      </c>
      <c r="D401" s="4" t="s">
        <v>237</v>
      </c>
      <c r="E401" s="4" t="s">
        <v>2432</v>
      </c>
      <c r="F401" s="4" t="s">
        <v>2431</v>
      </c>
      <c r="G401" s="4" t="s">
        <v>2263</v>
      </c>
      <c r="H401" s="9" t="s">
        <v>2263</v>
      </c>
      <c r="I401" s="4" t="s">
        <v>2263</v>
      </c>
      <c r="J401" s="4" t="s">
        <v>2263</v>
      </c>
      <c r="K401" s="4" t="s">
        <v>2430</v>
      </c>
      <c r="L401" s="10">
        <v>1</v>
      </c>
      <c r="M401" s="5">
        <v>9728.7152252252235</v>
      </c>
      <c r="N401" s="5">
        <v>9728.7152252252308</v>
      </c>
    </row>
    <row r="402" spans="1:14" x14ac:dyDescent="0.25">
      <c r="A402" s="4" t="s">
        <v>2386</v>
      </c>
      <c r="B402" s="4" t="s">
        <v>2385</v>
      </c>
      <c r="C402" s="4" t="s">
        <v>2344</v>
      </c>
      <c r="D402" s="4" t="s">
        <v>237</v>
      </c>
      <c r="E402" s="4" t="s">
        <v>2432</v>
      </c>
      <c r="F402" s="4" t="s">
        <v>2431</v>
      </c>
      <c r="G402" s="4" t="s">
        <v>2263</v>
      </c>
      <c r="H402" s="9" t="s">
        <v>2263</v>
      </c>
      <c r="I402" s="4" t="s">
        <v>2263</v>
      </c>
      <c r="J402" s="4" t="s">
        <v>2263</v>
      </c>
      <c r="K402" s="4" t="s">
        <v>2430</v>
      </c>
      <c r="L402" s="10">
        <v>1</v>
      </c>
      <c r="M402" s="5">
        <v>9728.7152252252235</v>
      </c>
      <c r="N402" s="5">
        <v>9728.7152252252308</v>
      </c>
    </row>
    <row r="403" spans="1:14" x14ac:dyDescent="0.25">
      <c r="A403" s="4" t="s">
        <v>2344</v>
      </c>
      <c r="B403" s="4" t="s">
        <v>5154</v>
      </c>
      <c r="C403" s="4" t="s">
        <v>2320</v>
      </c>
      <c r="D403" s="4" t="s">
        <v>242</v>
      </c>
      <c r="E403" s="4" t="s">
        <v>3957</v>
      </c>
      <c r="F403" s="4" t="s">
        <v>3956</v>
      </c>
      <c r="G403" s="4" t="s">
        <v>2263</v>
      </c>
      <c r="H403" s="9" t="s">
        <v>2263</v>
      </c>
      <c r="I403" s="4" t="s">
        <v>2317</v>
      </c>
      <c r="J403" s="4" t="s">
        <v>2316</v>
      </c>
      <c r="K403" s="4" t="s">
        <v>2263</v>
      </c>
      <c r="L403" s="10">
        <v>1</v>
      </c>
      <c r="M403" s="5">
        <v>9973.8160465116289</v>
      </c>
      <c r="N403" s="5">
        <v>9973.8160465116307</v>
      </c>
    </row>
    <row r="404" spans="1:14" x14ac:dyDescent="0.25">
      <c r="A404" s="4" t="s">
        <v>3801</v>
      </c>
      <c r="B404" s="4" t="s">
        <v>4965</v>
      </c>
      <c r="C404" s="4" t="s">
        <v>2320</v>
      </c>
      <c r="D404" s="4" t="s">
        <v>242</v>
      </c>
      <c r="E404" s="4" t="s">
        <v>2717</v>
      </c>
      <c r="F404" s="4" t="s">
        <v>2716</v>
      </c>
      <c r="G404" s="4" t="s">
        <v>2263</v>
      </c>
      <c r="H404" s="9" t="s">
        <v>2263</v>
      </c>
      <c r="I404" s="4" t="s">
        <v>2317</v>
      </c>
      <c r="J404" s="4" t="s">
        <v>2316</v>
      </c>
      <c r="K404" s="4" t="s">
        <v>2263</v>
      </c>
      <c r="L404" s="10">
        <v>1</v>
      </c>
      <c r="M404" s="5">
        <v>10302.013482142856</v>
      </c>
      <c r="N404" s="5">
        <v>10302.01348214286</v>
      </c>
    </row>
    <row r="405" spans="1:14" x14ac:dyDescent="0.25">
      <c r="A405" s="4" t="s">
        <v>2279</v>
      </c>
      <c r="B405" s="4" t="s">
        <v>4963</v>
      </c>
      <c r="C405" s="4" t="s">
        <v>2320</v>
      </c>
      <c r="D405" s="4" t="s">
        <v>242</v>
      </c>
      <c r="E405" s="4" t="s">
        <v>2717</v>
      </c>
      <c r="F405" s="4" t="s">
        <v>2716</v>
      </c>
      <c r="G405" s="4" t="s">
        <v>2263</v>
      </c>
      <c r="H405" s="9" t="s">
        <v>2263</v>
      </c>
      <c r="I405" s="4" t="s">
        <v>2317</v>
      </c>
      <c r="J405" s="4" t="s">
        <v>2316</v>
      </c>
      <c r="K405" s="4" t="s">
        <v>2263</v>
      </c>
      <c r="L405" s="10">
        <v>1</v>
      </c>
      <c r="M405" s="5">
        <v>10302.013482142856</v>
      </c>
      <c r="N405" s="5">
        <v>10302.01348214286</v>
      </c>
    </row>
    <row r="406" spans="1:14" x14ac:dyDescent="0.25">
      <c r="A406" s="4" t="s">
        <v>2481</v>
      </c>
      <c r="B406" s="4" t="s">
        <v>3217</v>
      </c>
      <c r="C406" s="4" t="s">
        <v>2320</v>
      </c>
      <c r="D406" s="4" t="s">
        <v>242</v>
      </c>
      <c r="E406" s="4" t="s">
        <v>2717</v>
      </c>
      <c r="F406" s="4" t="s">
        <v>2716</v>
      </c>
      <c r="G406" s="4" t="s">
        <v>2263</v>
      </c>
      <c r="H406" s="9" t="s">
        <v>2263</v>
      </c>
      <c r="I406" s="4" t="s">
        <v>2317</v>
      </c>
      <c r="J406" s="4" t="s">
        <v>2316</v>
      </c>
      <c r="K406" s="4" t="s">
        <v>2263</v>
      </c>
      <c r="L406" s="10">
        <v>1</v>
      </c>
      <c r="M406" s="5">
        <v>10302.013482142856</v>
      </c>
      <c r="N406" s="5">
        <v>10302.01348214286</v>
      </c>
    </row>
    <row r="407" spans="1:14" x14ac:dyDescent="0.25">
      <c r="A407" s="4" t="s">
        <v>3196</v>
      </c>
      <c r="B407" s="4" t="s">
        <v>3195</v>
      </c>
      <c r="C407" s="4" t="s">
        <v>2320</v>
      </c>
      <c r="D407" s="4" t="s">
        <v>242</v>
      </c>
      <c r="E407" s="4" t="s">
        <v>2717</v>
      </c>
      <c r="F407" s="4" t="s">
        <v>2716</v>
      </c>
      <c r="G407" s="4" t="s">
        <v>2263</v>
      </c>
      <c r="H407" s="9" t="s">
        <v>2263</v>
      </c>
      <c r="I407" s="4" t="s">
        <v>2317</v>
      </c>
      <c r="J407" s="4" t="s">
        <v>2316</v>
      </c>
      <c r="K407" s="4" t="s">
        <v>2263</v>
      </c>
      <c r="L407" s="10">
        <v>1</v>
      </c>
      <c r="M407" s="5">
        <v>10302.013482142856</v>
      </c>
      <c r="N407" s="5">
        <v>10302.01348214286</v>
      </c>
    </row>
    <row r="408" spans="1:14" x14ac:dyDescent="0.25">
      <c r="A408" s="4" t="s">
        <v>2384</v>
      </c>
      <c r="B408" s="4" t="s">
        <v>3187</v>
      </c>
      <c r="C408" s="4" t="s">
        <v>2320</v>
      </c>
      <c r="D408" s="4" t="s">
        <v>242</v>
      </c>
      <c r="E408" s="4" t="s">
        <v>2717</v>
      </c>
      <c r="F408" s="4" t="s">
        <v>2716</v>
      </c>
      <c r="G408" s="4" t="s">
        <v>2263</v>
      </c>
      <c r="H408" s="9" t="s">
        <v>2263</v>
      </c>
      <c r="I408" s="4" t="s">
        <v>2317</v>
      </c>
      <c r="J408" s="4" t="s">
        <v>2316</v>
      </c>
      <c r="K408" s="4" t="s">
        <v>2263</v>
      </c>
      <c r="L408" s="10">
        <v>1</v>
      </c>
      <c r="M408" s="5">
        <v>10302.013482142856</v>
      </c>
      <c r="N408" s="5">
        <v>10302.01348214286</v>
      </c>
    </row>
    <row r="409" spans="1:14" x14ac:dyDescent="0.25">
      <c r="A409" s="4" t="s">
        <v>3174</v>
      </c>
      <c r="B409" s="4" t="s">
        <v>3173</v>
      </c>
      <c r="C409" s="4" t="s">
        <v>2320</v>
      </c>
      <c r="D409" s="4" t="s">
        <v>242</v>
      </c>
      <c r="E409" s="4" t="s">
        <v>2717</v>
      </c>
      <c r="F409" s="4" t="s">
        <v>2716</v>
      </c>
      <c r="G409" s="4" t="s">
        <v>2263</v>
      </c>
      <c r="H409" s="9" t="s">
        <v>2263</v>
      </c>
      <c r="I409" s="4" t="s">
        <v>2317</v>
      </c>
      <c r="J409" s="4" t="s">
        <v>2316</v>
      </c>
      <c r="K409" s="4" t="s">
        <v>2263</v>
      </c>
      <c r="L409" s="10">
        <v>1</v>
      </c>
      <c r="M409" s="5">
        <v>10302.013482142856</v>
      </c>
      <c r="N409" s="5">
        <v>10302.01348214286</v>
      </c>
    </row>
    <row r="410" spans="1:14" x14ac:dyDescent="0.25">
      <c r="A410" s="4" t="s">
        <v>3157</v>
      </c>
      <c r="B410" s="4" t="s">
        <v>3156</v>
      </c>
      <c r="C410" s="4" t="s">
        <v>2320</v>
      </c>
      <c r="D410" s="4" t="s">
        <v>242</v>
      </c>
      <c r="E410" s="4" t="s">
        <v>2717</v>
      </c>
      <c r="F410" s="4" t="s">
        <v>2716</v>
      </c>
      <c r="G410" s="4" t="s">
        <v>2263</v>
      </c>
      <c r="H410" s="9" t="s">
        <v>2263</v>
      </c>
      <c r="I410" s="4" t="s">
        <v>2317</v>
      </c>
      <c r="J410" s="4" t="s">
        <v>2316</v>
      </c>
      <c r="K410" s="4" t="s">
        <v>2263</v>
      </c>
      <c r="L410" s="10">
        <v>1</v>
      </c>
      <c r="M410" s="5">
        <v>10302.013482142856</v>
      </c>
      <c r="N410" s="5">
        <v>10302.01348214286</v>
      </c>
    </row>
    <row r="411" spans="1:14" x14ac:dyDescent="0.25">
      <c r="A411" s="4" t="s">
        <v>3104</v>
      </c>
      <c r="B411" s="4" t="s">
        <v>3103</v>
      </c>
      <c r="C411" s="4" t="s">
        <v>2320</v>
      </c>
      <c r="D411" s="4" t="s">
        <v>242</v>
      </c>
      <c r="E411" s="4" t="s">
        <v>2717</v>
      </c>
      <c r="F411" s="4" t="s">
        <v>2716</v>
      </c>
      <c r="G411" s="4" t="s">
        <v>2263</v>
      </c>
      <c r="H411" s="9" t="s">
        <v>2263</v>
      </c>
      <c r="I411" s="4" t="s">
        <v>2317</v>
      </c>
      <c r="J411" s="4" t="s">
        <v>2316</v>
      </c>
      <c r="K411" s="4" t="s">
        <v>2263</v>
      </c>
      <c r="L411" s="10">
        <v>1</v>
      </c>
      <c r="M411" s="5">
        <v>10302.013482142856</v>
      </c>
      <c r="N411" s="5">
        <v>10302.01348214286</v>
      </c>
    </row>
    <row r="412" spans="1:14" x14ac:dyDescent="0.25">
      <c r="A412" s="4" t="s">
        <v>3063</v>
      </c>
      <c r="B412" s="4" t="s">
        <v>3062</v>
      </c>
      <c r="C412" s="4" t="s">
        <v>2320</v>
      </c>
      <c r="D412" s="4" t="s">
        <v>242</v>
      </c>
      <c r="E412" s="4" t="s">
        <v>2717</v>
      </c>
      <c r="F412" s="4" t="s">
        <v>2716</v>
      </c>
      <c r="G412" s="4" t="s">
        <v>2263</v>
      </c>
      <c r="H412" s="9" t="s">
        <v>2263</v>
      </c>
      <c r="I412" s="4" t="s">
        <v>2317</v>
      </c>
      <c r="J412" s="4" t="s">
        <v>2316</v>
      </c>
      <c r="K412" s="4" t="s">
        <v>2263</v>
      </c>
      <c r="L412" s="10">
        <v>1</v>
      </c>
      <c r="M412" s="5">
        <v>10302.013482142856</v>
      </c>
      <c r="N412" s="5">
        <v>10302.01348214286</v>
      </c>
    </row>
    <row r="413" spans="1:14" x14ac:dyDescent="0.25">
      <c r="A413" s="4" t="s">
        <v>3051</v>
      </c>
      <c r="B413" s="4" t="s">
        <v>3050</v>
      </c>
      <c r="C413" s="4" t="s">
        <v>2320</v>
      </c>
      <c r="D413" s="4" t="s">
        <v>242</v>
      </c>
      <c r="E413" s="4" t="s">
        <v>2717</v>
      </c>
      <c r="F413" s="4" t="s">
        <v>2716</v>
      </c>
      <c r="G413" s="4" t="s">
        <v>2263</v>
      </c>
      <c r="H413" s="9" t="s">
        <v>2263</v>
      </c>
      <c r="I413" s="4" t="s">
        <v>2317</v>
      </c>
      <c r="J413" s="4" t="s">
        <v>2316</v>
      </c>
      <c r="K413" s="4" t="s">
        <v>2263</v>
      </c>
      <c r="L413" s="10">
        <v>1</v>
      </c>
      <c r="M413" s="5">
        <v>10302.013482142856</v>
      </c>
      <c r="N413" s="5">
        <v>10302.01348214286</v>
      </c>
    </row>
    <row r="414" spans="1:14" x14ac:dyDescent="0.25">
      <c r="A414" s="4" t="s">
        <v>3024</v>
      </c>
      <c r="B414" s="4" t="s">
        <v>3023</v>
      </c>
      <c r="C414" s="4" t="s">
        <v>2320</v>
      </c>
      <c r="D414" s="4" t="s">
        <v>242</v>
      </c>
      <c r="E414" s="4" t="s">
        <v>2717</v>
      </c>
      <c r="F414" s="4" t="s">
        <v>2716</v>
      </c>
      <c r="G414" s="4" t="s">
        <v>2263</v>
      </c>
      <c r="H414" s="9" t="s">
        <v>2263</v>
      </c>
      <c r="I414" s="4" t="s">
        <v>2317</v>
      </c>
      <c r="J414" s="4" t="s">
        <v>2316</v>
      </c>
      <c r="K414" s="4" t="s">
        <v>2263</v>
      </c>
      <c r="L414" s="10">
        <v>1</v>
      </c>
      <c r="M414" s="5">
        <v>10302.013482142856</v>
      </c>
      <c r="N414" s="5">
        <v>10302.01348214286</v>
      </c>
    </row>
    <row r="415" spans="1:14" x14ac:dyDescent="0.25">
      <c r="A415" s="4" t="s">
        <v>2673</v>
      </c>
      <c r="B415" s="4" t="s">
        <v>2672</v>
      </c>
      <c r="C415" s="4" t="s">
        <v>2320</v>
      </c>
      <c r="D415" s="4" t="s">
        <v>242</v>
      </c>
      <c r="E415" s="4" t="s">
        <v>2717</v>
      </c>
      <c r="F415" s="4" t="s">
        <v>2716</v>
      </c>
      <c r="G415" s="4" t="s">
        <v>2263</v>
      </c>
      <c r="H415" s="9" t="s">
        <v>2263</v>
      </c>
      <c r="I415" s="4" t="s">
        <v>2317</v>
      </c>
      <c r="J415" s="4" t="s">
        <v>2316</v>
      </c>
      <c r="K415" s="4" t="s">
        <v>2263</v>
      </c>
      <c r="L415" s="10">
        <v>1</v>
      </c>
      <c r="M415" s="5">
        <v>10302.013482142856</v>
      </c>
      <c r="N415" s="5">
        <v>10302.01348214286</v>
      </c>
    </row>
    <row r="416" spans="1:14" x14ac:dyDescent="0.25">
      <c r="A416" s="4" t="s">
        <v>3801</v>
      </c>
      <c r="B416" s="4" t="s">
        <v>4965</v>
      </c>
      <c r="C416" s="4" t="s">
        <v>2344</v>
      </c>
      <c r="D416" s="4" t="s">
        <v>237</v>
      </c>
      <c r="E416" s="4" t="s">
        <v>2438</v>
      </c>
      <c r="F416" s="4" t="s">
        <v>2437</v>
      </c>
      <c r="G416" s="4" t="s">
        <v>2263</v>
      </c>
      <c r="H416" s="9" t="s">
        <v>2263</v>
      </c>
      <c r="I416" s="4" t="s">
        <v>2263</v>
      </c>
      <c r="J416" s="4" t="s">
        <v>2263</v>
      </c>
      <c r="K416" s="4" t="s">
        <v>2436</v>
      </c>
      <c r="L416" s="10">
        <v>1</v>
      </c>
      <c r="M416" s="5">
        <v>10404.861842105262</v>
      </c>
      <c r="N416" s="5">
        <v>10404.86184210526</v>
      </c>
    </row>
    <row r="417" spans="1:14" x14ac:dyDescent="0.25">
      <c r="A417" s="4" t="s">
        <v>2481</v>
      </c>
      <c r="B417" s="4" t="s">
        <v>3217</v>
      </c>
      <c r="C417" s="4" t="s">
        <v>2344</v>
      </c>
      <c r="D417" s="4" t="s">
        <v>237</v>
      </c>
      <c r="E417" s="4" t="s">
        <v>2438</v>
      </c>
      <c r="F417" s="4" t="s">
        <v>2437</v>
      </c>
      <c r="G417" s="4" t="s">
        <v>2263</v>
      </c>
      <c r="H417" s="9" t="s">
        <v>2263</v>
      </c>
      <c r="I417" s="4" t="s">
        <v>2263</v>
      </c>
      <c r="J417" s="4" t="s">
        <v>2263</v>
      </c>
      <c r="K417" s="4" t="s">
        <v>2436</v>
      </c>
      <c r="L417" s="10">
        <v>1</v>
      </c>
      <c r="M417" s="5">
        <v>10404.861842105262</v>
      </c>
      <c r="N417" s="5">
        <v>10404.86184210526</v>
      </c>
    </row>
    <row r="418" spans="1:14" x14ac:dyDescent="0.25">
      <c r="A418" s="4" t="s">
        <v>3196</v>
      </c>
      <c r="B418" s="4" t="s">
        <v>3195</v>
      </c>
      <c r="C418" s="4" t="s">
        <v>2344</v>
      </c>
      <c r="D418" s="4" t="s">
        <v>237</v>
      </c>
      <c r="E418" s="4" t="s">
        <v>2438</v>
      </c>
      <c r="F418" s="4" t="s">
        <v>2437</v>
      </c>
      <c r="G418" s="4" t="s">
        <v>2263</v>
      </c>
      <c r="H418" s="9" t="s">
        <v>2263</v>
      </c>
      <c r="I418" s="4" t="s">
        <v>2263</v>
      </c>
      <c r="J418" s="4" t="s">
        <v>2263</v>
      </c>
      <c r="K418" s="4" t="s">
        <v>2436</v>
      </c>
      <c r="L418" s="10">
        <v>1</v>
      </c>
      <c r="M418" s="5">
        <v>10404.861842105262</v>
      </c>
      <c r="N418" s="5">
        <v>10404.86184210526</v>
      </c>
    </row>
    <row r="419" spans="1:14" x14ac:dyDescent="0.25">
      <c r="A419" s="4" t="s">
        <v>2384</v>
      </c>
      <c r="B419" s="4" t="s">
        <v>3187</v>
      </c>
      <c r="C419" s="4" t="s">
        <v>2344</v>
      </c>
      <c r="D419" s="4" t="s">
        <v>237</v>
      </c>
      <c r="E419" s="4" t="s">
        <v>2438</v>
      </c>
      <c r="F419" s="4" t="s">
        <v>2437</v>
      </c>
      <c r="G419" s="4" t="s">
        <v>2263</v>
      </c>
      <c r="H419" s="9" t="s">
        <v>2263</v>
      </c>
      <c r="I419" s="4" t="s">
        <v>2263</v>
      </c>
      <c r="J419" s="4" t="s">
        <v>2263</v>
      </c>
      <c r="K419" s="4" t="s">
        <v>2436</v>
      </c>
      <c r="L419" s="10">
        <v>1</v>
      </c>
      <c r="M419" s="5">
        <v>10404.861842105262</v>
      </c>
      <c r="N419" s="5">
        <v>10404.86184210526</v>
      </c>
    </row>
    <row r="420" spans="1:14" x14ac:dyDescent="0.25">
      <c r="A420" s="4" t="s">
        <v>3174</v>
      </c>
      <c r="B420" s="4" t="s">
        <v>3173</v>
      </c>
      <c r="C420" s="4" t="s">
        <v>2344</v>
      </c>
      <c r="D420" s="4" t="s">
        <v>237</v>
      </c>
      <c r="E420" s="4" t="s">
        <v>2438</v>
      </c>
      <c r="F420" s="4" t="s">
        <v>2437</v>
      </c>
      <c r="G420" s="4" t="s">
        <v>2263</v>
      </c>
      <c r="H420" s="9" t="s">
        <v>2263</v>
      </c>
      <c r="I420" s="4" t="s">
        <v>2263</v>
      </c>
      <c r="J420" s="4" t="s">
        <v>2263</v>
      </c>
      <c r="K420" s="4" t="s">
        <v>2436</v>
      </c>
      <c r="L420" s="10">
        <v>1</v>
      </c>
      <c r="M420" s="5">
        <v>10404.861842105262</v>
      </c>
      <c r="N420" s="5">
        <v>10404.86184210526</v>
      </c>
    </row>
    <row r="421" spans="1:14" x14ac:dyDescent="0.25">
      <c r="A421" s="4" t="s">
        <v>3157</v>
      </c>
      <c r="B421" s="4" t="s">
        <v>3156</v>
      </c>
      <c r="C421" s="4" t="s">
        <v>2344</v>
      </c>
      <c r="D421" s="4" t="s">
        <v>237</v>
      </c>
      <c r="E421" s="4" t="s">
        <v>2438</v>
      </c>
      <c r="F421" s="4" t="s">
        <v>2437</v>
      </c>
      <c r="G421" s="4" t="s">
        <v>2263</v>
      </c>
      <c r="H421" s="9" t="s">
        <v>2263</v>
      </c>
      <c r="I421" s="4" t="s">
        <v>2263</v>
      </c>
      <c r="J421" s="4" t="s">
        <v>2263</v>
      </c>
      <c r="K421" s="4" t="s">
        <v>2436</v>
      </c>
      <c r="L421" s="10">
        <v>1</v>
      </c>
      <c r="M421" s="5">
        <v>10404.861842105262</v>
      </c>
      <c r="N421" s="5">
        <v>10404.86184210526</v>
      </c>
    </row>
    <row r="422" spans="1:14" x14ac:dyDescent="0.25">
      <c r="A422" s="4" t="s">
        <v>3104</v>
      </c>
      <c r="B422" s="4" t="s">
        <v>3103</v>
      </c>
      <c r="C422" s="4" t="s">
        <v>2344</v>
      </c>
      <c r="D422" s="4" t="s">
        <v>237</v>
      </c>
      <c r="E422" s="4" t="s">
        <v>2438</v>
      </c>
      <c r="F422" s="4" t="s">
        <v>2437</v>
      </c>
      <c r="G422" s="4" t="s">
        <v>2263</v>
      </c>
      <c r="H422" s="9" t="s">
        <v>2263</v>
      </c>
      <c r="I422" s="4" t="s">
        <v>2263</v>
      </c>
      <c r="J422" s="4" t="s">
        <v>2263</v>
      </c>
      <c r="K422" s="4" t="s">
        <v>2436</v>
      </c>
      <c r="L422" s="10">
        <v>1</v>
      </c>
      <c r="M422" s="5">
        <v>10404.861842105262</v>
      </c>
      <c r="N422" s="5">
        <v>10404.86184210526</v>
      </c>
    </row>
    <row r="423" spans="1:14" x14ac:dyDescent="0.25">
      <c r="A423" s="4" t="s">
        <v>3063</v>
      </c>
      <c r="B423" s="4" t="s">
        <v>3062</v>
      </c>
      <c r="C423" s="4" t="s">
        <v>2344</v>
      </c>
      <c r="D423" s="4" t="s">
        <v>237</v>
      </c>
      <c r="E423" s="4" t="s">
        <v>2438</v>
      </c>
      <c r="F423" s="4" t="s">
        <v>2437</v>
      </c>
      <c r="G423" s="4" t="s">
        <v>2263</v>
      </c>
      <c r="H423" s="9" t="s">
        <v>2263</v>
      </c>
      <c r="I423" s="4" t="s">
        <v>2263</v>
      </c>
      <c r="J423" s="4" t="s">
        <v>2263</v>
      </c>
      <c r="K423" s="4" t="s">
        <v>2436</v>
      </c>
      <c r="L423" s="10">
        <v>1</v>
      </c>
      <c r="M423" s="5">
        <v>10404.861842105262</v>
      </c>
      <c r="N423" s="5">
        <v>10404.86184210526</v>
      </c>
    </row>
    <row r="424" spans="1:14" x14ac:dyDescent="0.25">
      <c r="A424" s="4" t="s">
        <v>2386</v>
      </c>
      <c r="B424" s="4" t="s">
        <v>2385</v>
      </c>
      <c r="C424" s="4" t="s">
        <v>2344</v>
      </c>
      <c r="D424" s="4" t="s">
        <v>237</v>
      </c>
      <c r="E424" s="4" t="s">
        <v>2438</v>
      </c>
      <c r="F424" s="4" t="s">
        <v>2437</v>
      </c>
      <c r="G424" s="4" t="s">
        <v>2263</v>
      </c>
      <c r="H424" s="9" t="s">
        <v>2263</v>
      </c>
      <c r="I424" s="4" t="s">
        <v>2263</v>
      </c>
      <c r="J424" s="4" t="s">
        <v>2263</v>
      </c>
      <c r="K424" s="4" t="s">
        <v>2436</v>
      </c>
      <c r="L424" s="10">
        <v>1</v>
      </c>
      <c r="M424" s="5">
        <v>10404.861842105262</v>
      </c>
      <c r="N424" s="5">
        <v>10404.86184210526</v>
      </c>
    </row>
    <row r="425" spans="1:14" x14ac:dyDescent="0.25">
      <c r="A425" s="4" t="s">
        <v>3801</v>
      </c>
      <c r="B425" s="4" t="s">
        <v>4965</v>
      </c>
      <c r="C425" s="4" t="s">
        <v>2344</v>
      </c>
      <c r="D425" s="4" t="s">
        <v>237</v>
      </c>
      <c r="E425" s="4" t="s">
        <v>3193</v>
      </c>
      <c r="F425" s="4" t="s">
        <v>2431</v>
      </c>
      <c r="G425" s="4" t="s">
        <v>2263</v>
      </c>
      <c r="H425" s="9" t="s">
        <v>2263</v>
      </c>
      <c r="I425" s="4" t="s">
        <v>2263</v>
      </c>
      <c r="J425" s="4" t="s">
        <v>2263</v>
      </c>
      <c r="K425" s="4" t="s">
        <v>2430</v>
      </c>
      <c r="L425" s="10">
        <v>1</v>
      </c>
      <c r="M425" s="5">
        <v>10942.6564</v>
      </c>
      <c r="N425" s="5">
        <v>10942.6564</v>
      </c>
    </row>
    <row r="426" spans="1:14" x14ac:dyDescent="0.25">
      <c r="A426" s="4" t="s">
        <v>2384</v>
      </c>
      <c r="B426" s="4" t="s">
        <v>3187</v>
      </c>
      <c r="C426" s="4" t="s">
        <v>2344</v>
      </c>
      <c r="D426" s="4" t="s">
        <v>237</v>
      </c>
      <c r="E426" s="4" t="s">
        <v>3193</v>
      </c>
      <c r="F426" s="4" t="s">
        <v>2431</v>
      </c>
      <c r="G426" s="4" t="s">
        <v>2263</v>
      </c>
      <c r="H426" s="9" t="s">
        <v>2263</v>
      </c>
      <c r="I426" s="4" t="s">
        <v>2263</v>
      </c>
      <c r="J426" s="4" t="s">
        <v>2263</v>
      </c>
      <c r="K426" s="4" t="s">
        <v>2430</v>
      </c>
      <c r="L426" s="10">
        <v>1</v>
      </c>
      <c r="M426" s="5">
        <v>10942.6564</v>
      </c>
      <c r="N426" s="5">
        <v>10942.6564</v>
      </c>
    </row>
    <row r="427" spans="1:14" x14ac:dyDescent="0.25">
      <c r="A427" s="4" t="s">
        <v>2344</v>
      </c>
      <c r="B427" s="4" t="s">
        <v>5154</v>
      </c>
      <c r="C427" s="4" t="s">
        <v>2320</v>
      </c>
      <c r="D427" s="4" t="s">
        <v>242</v>
      </c>
      <c r="E427" s="4" t="s">
        <v>3849</v>
      </c>
      <c r="F427" s="4" t="s">
        <v>3848</v>
      </c>
      <c r="G427" s="4" t="s">
        <v>2263</v>
      </c>
      <c r="H427" s="9" t="s">
        <v>2263</v>
      </c>
      <c r="I427" s="4" t="s">
        <v>2317</v>
      </c>
      <c r="J427" s="4" t="s">
        <v>2316</v>
      </c>
      <c r="K427" s="4" t="s">
        <v>2263</v>
      </c>
      <c r="L427" s="10">
        <v>1</v>
      </c>
      <c r="M427" s="5">
        <v>12677.174999999999</v>
      </c>
      <c r="N427" s="5">
        <v>12677.174999999999</v>
      </c>
    </row>
    <row r="428" spans="1:14" x14ac:dyDescent="0.25">
      <c r="A428" s="4" t="s">
        <v>2344</v>
      </c>
      <c r="B428" s="4" t="s">
        <v>5154</v>
      </c>
      <c r="C428" s="4" t="s">
        <v>2344</v>
      </c>
      <c r="D428" s="4" t="s">
        <v>237</v>
      </c>
      <c r="E428" s="4" t="s">
        <v>5336</v>
      </c>
      <c r="F428" s="4" t="s">
        <v>5335</v>
      </c>
      <c r="G428" s="4" t="s">
        <v>2263</v>
      </c>
      <c r="H428" s="9" t="s">
        <v>2263</v>
      </c>
      <c r="I428" s="4" t="s">
        <v>2263</v>
      </c>
      <c r="J428" s="4" t="s">
        <v>2263</v>
      </c>
      <c r="K428" s="4" t="s">
        <v>4855</v>
      </c>
      <c r="L428" s="10">
        <v>1</v>
      </c>
      <c r="M428" s="5">
        <v>12910</v>
      </c>
      <c r="N428" s="5">
        <v>12910</v>
      </c>
    </row>
    <row r="429" spans="1:14" x14ac:dyDescent="0.25">
      <c r="A429" s="4" t="s">
        <v>2344</v>
      </c>
      <c r="B429" s="4" t="s">
        <v>5154</v>
      </c>
      <c r="C429" s="4" t="s">
        <v>2267</v>
      </c>
      <c r="D429" s="4" t="s">
        <v>2266</v>
      </c>
      <c r="E429" s="4" t="s">
        <v>5182</v>
      </c>
      <c r="F429" s="4" t="s">
        <v>5181</v>
      </c>
      <c r="G429" s="4" t="s">
        <v>2263</v>
      </c>
      <c r="H429" s="9" t="s">
        <v>2263</v>
      </c>
      <c r="I429" s="4" t="s">
        <v>2263</v>
      </c>
      <c r="J429" s="4" t="s">
        <v>2263</v>
      </c>
      <c r="K429" s="4" t="s">
        <v>5180</v>
      </c>
      <c r="L429" s="10">
        <v>1</v>
      </c>
      <c r="M429" s="5">
        <v>13000.5</v>
      </c>
      <c r="N429" s="5">
        <v>13000.5</v>
      </c>
    </row>
    <row r="430" spans="1:14" x14ac:dyDescent="0.25">
      <c r="A430" s="4" t="s">
        <v>2320</v>
      </c>
      <c r="B430" s="4" t="s">
        <v>4967</v>
      </c>
      <c r="C430" s="4" t="s">
        <v>2344</v>
      </c>
      <c r="D430" s="4" t="s">
        <v>237</v>
      </c>
      <c r="E430" s="4" t="s">
        <v>4826</v>
      </c>
      <c r="F430" s="4" t="s">
        <v>4825</v>
      </c>
      <c r="G430" s="4" t="s">
        <v>2263</v>
      </c>
      <c r="H430" s="9" t="s">
        <v>2263</v>
      </c>
      <c r="I430" s="4" t="s">
        <v>2263</v>
      </c>
      <c r="J430" s="4" t="s">
        <v>2263</v>
      </c>
      <c r="K430" s="4" t="s">
        <v>2262</v>
      </c>
      <c r="L430" s="10">
        <v>1</v>
      </c>
      <c r="M430" s="5">
        <v>13085.133076923077</v>
      </c>
      <c r="N430" s="5">
        <v>13085.133076923081</v>
      </c>
    </row>
    <row r="431" spans="1:14" x14ac:dyDescent="0.25">
      <c r="A431" s="4" t="s">
        <v>3063</v>
      </c>
      <c r="B431" s="4" t="s">
        <v>3062</v>
      </c>
      <c r="C431" s="4" t="s">
        <v>2344</v>
      </c>
      <c r="D431" s="4" t="s">
        <v>237</v>
      </c>
      <c r="E431" s="4" t="s">
        <v>3069</v>
      </c>
      <c r="F431" s="4" t="s">
        <v>2466</v>
      </c>
      <c r="G431" s="4" t="s">
        <v>2263</v>
      </c>
      <c r="H431" s="9" t="s">
        <v>2263</v>
      </c>
      <c r="I431" s="4" t="s">
        <v>2263</v>
      </c>
      <c r="J431" s="4" t="s">
        <v>2263</v>
      </c>
      <c r="K431" s="4" t="s">
        <v>2465</v>
      </c>
      <c r="L431" s="10">
        <v>1</v>
      </c>
      <c r="M431" s="5">
        <v>13283</v>
      </c>
      <c r="N431" s="5">
        <v>13283</v>
      </c>
    </row>
    <row r="432" spans="1:14" x14ac:dyDescent="0.25">
      <c r="A432" s="4" t="s">
        <v>2344</v>
      </c>
      <c r="B432" s="4" t="s">
        <v>5154</v>
      </c>
      <c r="C432" s="4" t="s">
        <v>2320</v>
      </c>
      <c r="D432" s="4" t="s">
        <v>242</v>
      </c>
      <c r="E432" s="4" t="s">
        <v>4023</v>
      </c>
      <c r="F432" s="4" t="s">
        <v>4022</v>
      </c>
      <c r="G432" s="4" t="s">
        <v>2263</v>
      </c>
      <c r="H432" s="9" t="s">
        <v>2263</v>
      </c>
      <c r="I432" s="4" t="s">
        <v>2317</v>
      </c>
      <c r="J432" s="4" t="s">
        <v>2316</v>
      </c>
      <c r="K432" s="4" t="s">
        <v>2263</v>
      </c>
      <c r="L432" s="10">
        <v>1</v>
      </c>
      <c r="M432" s="5">
        <v>13300</v>
      </c>
      <c r="N432" s="5">
        <v>13300</v>
      </c>
    </row>
    <row r="433" spans="1:14" x14ac:dyDescent="0.25">
      <c r="A433" s="4" t="s">
        <v>2930</v>
      </c>
      <c r="B433" s="4" t="s">
        <v>2929</v>
      </c>
      <c r="C433" s="4" t="s">
        <v>2320</v>
      </c>
      <c r="D433" s="4" t="s">
        <v>242</v>
      </c>
      <c r="E433" s="4" t="s">
        <v>2954</v>
      </c>
      <c r="F433" s="4" t="s">
        <v>2953</v>
      </c>
      <c r="G433" s="4" t="s">
        <v>2263</v>
      </c>
      <c r="H433" s="9" t="s">
        <v>2263</v>
      </c>
      <c r="I433" s="4" t="s">
        <v>2317</v>
      </c>
      <c r="J433" s="4" t="s">
        <v>2316</v>
      </c>
      <c r="K433" s="4" t="s">
        <v>2263</v>
      </c>
      <c r="L433" s="10">
        <v>1</v>
      </c>
      <c r="M433" s="5">
        <v>13529.18</v>
      </c>
      <c r="N433" s="5">
        <v>13529.18</v>
      </c>
    </row>
    <row r="434" spans="1:14" x14ac:dyDescent="0.25">
      <c r="A434" s="4" t="s">
        <v>2320</v>
      </c>
      <c r="B434" s="4" t="s">
        <v>4967</v>
      </c>
      <c r="C434" s="4" t="s">
        <v>2344</v>
      </c>
      <c r="D434" s="4" t="s">
        <v>237</v>
      </c>
      <c r="E434" s="4" t="s">
        <v>4849</v>
      </c>
      <c r="F434" s="4" t="s">
        <v>2621</v>
      </c>
      <c r="G434" s="4" t="s">
        <v>2263</v>
      </c>
      <c r="H434" s="9" t="s">
        <v>2263</v>
      </c>
      <c r="I434" s="4" t="s">
        <v>2263</v>
      </c>
      <c r="J434" s="4" t="s">
        <v>2263</v>
      </c>
      <c r="K434" s="4" t="s">
        <v>2262</v>
      </c>
      <c r="L434" s="10">
        <v>1</v>
      </c>
      <c r="M434" s="5">
        <v>13613.761176470589</v>
      </c>
      <c r="N434" s="5">
        <v>13613.761176470591</v>
      </c>
    </row>
    <row r="435" spans="1:14" x14ac:dyDescent="0.25">
      <c r="A435" s="4" t="s">
        <v>3168</v>
      </c>
      <c r="B435" s="4" t="s">
        <v>3167</v>
      </c>
      <c r="C435" s="4" t="s">
        <v>2320</v>
      </c>
      <c r="D435" s="4" t="s">
        <v>242</v>
      </c>
      <c r="E435" s="4" t="s">
        <v>3172</v>
      </c>
      <c r="F435" s="4" t="s">
        <v>3171</v>
      </c>
      <c r="G435" s="4" t="s">
        <v>2263</v>
      </c>
      <c r="H435" s="9" t="s">
        <v>2263</v>
      </c>
      <c r="I435" s="4" t="s">
        <v>2317</v>
      </c>
      <c r="J435" s="4" t="s">
        <v>2316</v>
      </c>
      <c r="K435" s="4" t="s">
        <v>2263</v>
      </c>
      <c r="L435" s="10">
        <v>1</v>
      </c>
      <c r="M435" s="5">
        <v>14544.142857142857</v>
      </c>
      <c r="N435" s="5">
        <v>14544.142857142861</v>
      </c>
    </row>
    <row r="436" spans="1:14" x14ac:dyDescent="0.25">
      <c r="A436" s="4" t="s">
        <v>2279</v>
      </c>
      <c r="B436" s="4" t="s">
        <v>4963</v>
      </c>
      <c r="C436" s="4" t="s">
        <v>2320</v>
      </c>
      <c r="D436" s="4" t="s">
        <v>242</v>
      </c>
      <c r="E436" s="4" t="s">
        <v>2372</v>
      </c>
      <c r="F436" s="4" t="s">
        <v>2371</v>
      </c>
      <c r="G436" s="4" t="s">
        <v>2263</v>
      </c>
      <c r="H436" s="9" t="s">
        <v>2263</v>
      </c>
      <c r="I436" s="4" t="s">
        <v>2317</v>
      </c>
      <c r="J436" s="4" t="s">
        <v>2316</v>
      </c>
      <c r="K436" s="4" t="s">
        <v>2263</v>
      </c>
      <c r="L436" s="10">
        <v>1</v>
      </c>
      <c r="M436" s="5">
        <v>15064.306117424243</v>
      </c>
      <c r="N436" s="5">
        <v>15064.306117424239</v>
      </c>
    </row>
    <row r="437" spans="1:14" x14ac:dyDescent="0.25">
      <c r="A437" s="4" t="s">
        <v>2481</v>
      </c>
      <c r="B437" s="4" t="s">
        <v>3217</v>
      </c>
      <c r="C437" s="4" t="s">
        <v>2320</v>
      </c>
      <c r="D437" s="4" t="s">
        <v>242</v>
      </c>
      <c r="E437" s="4" t="s">
        <v>2372</v>
      </c>
      <c r="F437" s="4" t="s">
        <v>2371</v>
      </c>
      <c r="G437" s="4" t="s">
        <v>2263</v>
      </c>
      <c r="H437" s="9" t="s">
        <v>2263</v>
      </c>
      <c r="I437" s="4" t="s">
        <v>2317</v>
      </c>
      <c r="J437" s="4" t="s">
        <v>2316</v>
      </c>
      <c r="K437" s="4" t="s">
        <v>2263</v>
      </c>
      <c r="L437" s="10">
        <v>1</v>
      </c>
      <c r="M437" s="5">
        <v>15064.306117424243</v>
      </c>
      <c r="N437" s="5">
        <v>15064.306117424239</v>
      </c>
    </row>
    <row r="438" spans="1:14" x14ac:dyDescent="0.25">
      <c r="A438" s="4" t="s">
        <v>3174</v>
      </c>
      <c r="B438" s="4" t="s">
        <v>3173</v>
      </c>
      <c r="C438" s="4" t="s">
        <v>2320</v>
      </c>
      <c r="D438" s="4" t="s">
        <v>242</v>
      </c>
      <c r="E438" s="4" t="s">
        <v>2372</v>
      </c>
      <c r="F438" s="4" t="s">
        <v>2371</v>
      </c>
      <c r="G438" s="4" t="s">
        <v>2263</v>
      </c>
      <c r="H438" s="9" t="s">
        <v>2263</v>
      </c>
      <c r="I438" s="4" t="s">
        <v>2317</v>
      </c>
      <c r="J438" s="4" t="s">
        <v>2316</v>
      </c>
      <c r="K438" s="4" t="s">
        <v>2263</v>
      </c>
      <c r="L438" s="10">
        <v>1</v>
      </c>
      <c r="M438" s="5">
        <v>15064.306117424243</v>
      </c>
      <c r="N438" s="5">
        <v>15064.306117424239</v>
      </c>
    </row>
    <row r="439" spans="1:14" x14ac:dyDescent="0.25">
      <c r="A439" s="4" t="s">
        <v>3157</v>
      </c>
      <c r="B439" s="4" t="s">
        <v>3156</v>
      </c>
      <c r="C439" s="4" t="s">
        <v>2320</v>
      </c>
      <c r="D439" s="4" t="s">
        <v>242</v>
      </c>
      <c r="E439" s="4" t="s">
        <v>2372</v>
      </c>
      <c r="F439" s="4" t="s">
        <v>2371</v>
      </c>
      <c r="G439" s="4" t="s">
        <v>2263</v>
      </c>
      <c r="H439" s="9" t="s">
        <v>2263</v>
      </c>
      <c r="I439" s="4" t="s">
        <v>2317</v>
      </c>
      <c r="J439" s="4" t="s">
        <v>2316</v>
      </c>
      <c r="K439" s="4" t="s">
        <v>2263</v>
      </c>
      <c r="L439" s="10">
        <v>1</v>
      </c>
      <c r="M439" s="5">
        <v>15064.306117424243</v>
      </c>
      <c r="N439" s="5">
        <v>15064.306117424239</v>
      </c>
    </row>
    <row r="440" spans="1:14" x14ac:dyDescent="0.25">
      <c r="A440" s="4" t="s">
        <v>3104</v>
      </c>
      <c r="B440" s="4" t="s">
        <v>3103</v>
      </c>
      <c r="C440" s="4" t="s">
        <v>2320</v>
      </c>
      <c r="D440" s="4" t="s">
        <v>242</v>
      </c>
      <c r="E440" s="4" t="s">
        <v>2372</v>
      </c>
      <c r="F440" s="4" t="s">
        <v>2371</v>
      </c>
      <c r="G440" s="4" t="s">
        <v>2263</v>
      </c>
      <c r="H440" s="9" t="s">
        <v>2263</v>
      </c>
      <c r="I440" s="4" t="s">
        <v>2317</v>
      </c>
      <c r="J440" s="4" t="s">
        <v>2316</v>
      </c>
      <c r="K440" s="4" t="s">
        <v>2263</v>
      </c>
      <c r="L440" s="10">
        <v>1</v>
      </c>
      <c r="M440" s="5">
        <v>15064.306117424243</v>
      </c>
      <c r="N440" s="5">
        <v>15064.306117424239</v>
      </c>
    </row>
    <row r="441" spans="1:14" x14ac:dyDescent="0.25">
      <c r="A441" s="4" t="s">
        <v>3063</v>
      </c>
      <c r="B441" s="4" t="s">
        <v>3062</v>
      </c>
      <c r="C441" s="4" t="s">
        <v>2320</v>
      </c>
      <c r="D441" s="4" t="s">
        <v>242</v>
      </c>
      <c r="E441" s="4" t="s">
        <v>2372</v>
      </c>
      <c r="F441" s="4" t="s">
        <v>2371</v>
      </c>
      <c r="G441" s="4" t="s">
        <v>2263</v>
      </c>
      <c r="H441" s="9" t="s">
        <v>2263</v>
      </c>
      <c r="I441" s="4" t="s">
        <v>2317</v>
      </c>
      <c r="J441" s="4" t="s">
        <v>2316</v>
      </c>
      <c r="K441" s="4" t="s">
        <v>2263</v>
      </c>
      <c r="L441" s="10">
        <v>1</v>
      </c>
      <c r="M441" s="5">
        <v>15064.306117424243</v>
      </c>
      <c r="N441" s="5">
        <v>15064.306117424239</v>
      </c>
    </row>
    <row r="442" spans="1:14" x14ac:dyDescent="0.25">
      <c r="A442" s="4" t="s">
        <v>3051</v>
      </c>
      <c r="B442" s="4" t="s">
        <v>3050</v>
      </c>
      <c r="C442" s="4" t="s">
        <v>2320</v>
      </c>
      <c r="D442" s="4" t="s">
        <v>242</v>
      </c>
      <c r="E442" s="4" t="s">
        <v>2372</v>
      </c>
      <c r="F442" s="4" t="s">
        <v>2371</v>
      </c>
      <c r="G442" s="4" t="s">
        <v>2263</v>
      </c>
      <c r="H442" s="9" t="s">
        <v>2263</v>
      </c>
      <c r="I442" s="4" t="s">
        <v>2317</v>
      </c>
      <c r="J442" s="4" t="s">
        <v>2316</v>
      </c>
      <c r="K442" s="4" t="s">
        <v>2263</v>
      </c>
      <c r="L442" s="10">
        <v>1</v>
      </c>
      <c r="M442" s="5">
        <v>15064.306117424243</v>
      </c>
      <c r="N442" s="5">
        <v>15064.306117424239</v>
      </c>
    </row>
    <row r="443" spans="1:14" x14ac:dyDescent="0.25">
      <c r="A443" s="4" t="s">
        <v>3024</v>
      </c>
      <c r="B443" s="4" t="s">
        <v>3023</v>
      </c>
      <c r="C443" s="4" t="s">
        <v>2320</v>
      </c>
      <c r="D443" s="4" t="s">
        <v>242</v>
      </c>
      <c r="E443" s="4" t="s">
        <v>2372</v>
      </c>
      <c r="F443" s="4" t="s">
        <v>2371</v>
      </c>
      <c r="G443" s="4" t="s">
        <v>2263</v>
      </c>
      <c r="H443" s="9" t="s">
        <v>2263</v>
      </c>
      <c r="I443" s="4" t="s">
        <v>2317</v>
      </c>
      <c r="J443" s="4" t="s">
        <v>2316</v>
      </c>
      <c r="K443" s="4" t="s">
        <v>2263</v>
      </c>
      <c r="L443" s="10">
        <v>1</v>
      </c>
      <c r="M443" s="5">
        <v>15064.306117424243</v>
      </c>
      <c r="N443" s="5">
        <v>15064.306117424239</v>
      </c>
    </row>
    <row r="444" spans="1:14" x14ac:dyDescent="0.25">
      <c r="A444" s="4" t="s">
        <v>2673</v>
      </c>
      <c r="B444" s="4" t="s">
        <v>2672</v>
      </c>
      <c r="C444" s="4" t="s">
        <v>2320</v>
      </c>
      <c r="D444" s="4" t="s">
        <v>242</v>
      </c>
      <c r="E444" s="4" t="s">
        <v>2372</v>
      </c>
      <c r="F444" s="4" t="s">
        <v>2371</v>
      </c>
      <c r="G444" s="4" t="s">
        <v>2263</v>
      </c>
      <c r="H444" s="9" t="s">
        <v>2263</v>
      </c>
      <c r="I444" s="4" t="s">
        <v>2317</v>
      </c>
      <c r="J444" s="4" t="s">
        <v>2316</v>
      </c>
      <c r="K444" s="4" t="s">
        <v>2263</v>
      </c>
      <c r="L444" s="10">
        <v>1</v>
      </c>
      <c r="M444" s="5">
        <v>15064.306117424243</v>
      </c>
      <c r="N444" s="5">
        <v>15064.306117424239</v>
      </c>
    </row>
    <row r="445" spans="1:14" x14ac:dyDescent="0.25">
      <c r="A445" s="4" t="s">
        <v>2320</v>
      </c>
      <c r="B445" s="4" t="s">
        <v>4967</v>
      </c>
      <c r="C445" s="4" t="s">
        <v>2320</v>
      </c>
      <c r="D445" s="4" t="s">
        <v>242</v>
      </c>
      <c r="E445" s="4" t="s">
        <v>2336</v>
      </c>
      <c r="F445" s="4" t="s">
        <v>2335</v>
      </c>
      <c r="G445" s="4" t="s">
        <v>2263</v>
      </c>
      <c r="H445" s="9" t="s">
        <v>2263</v>
      </c>
      <c r="I445" s="4" t="s">
        <v>2317</v>
      </c>
      <c r="J445" s="4" t="s">
        <v>2316</v>
      </c>
      <c r="K445" s="4" t="s">
        <v>2263</v>
      </c>
      <c r="L445" s="10">
        <v>1</v>
      </c>
      <c r="M445" s="5">
        <v>15693</v>
      </c>
      <c r="N445" s="5">
        <v>15693</v>
      </c>
    </row>
    <row r="446" spans="1:14" x14ac:dyDescent="0.25">
      <c r="A446" s="4" t="s">
        <v>2269</v>
      </c>
      <c r="B446" s="4" t="s">
        <v>2268</v>
      </c>
      <c r="C446" s="4" t="s">
        <v>2320</v>
      </c>
      <c r="D446" s="4" t="s">
        <v>242</v>
      </c>
      <c r="E446" s="4" t="s">
        <v>2336</v>
      </c>
      <c r="F446" s="4" t="s">
        <v>2335</v>
      </c>
      <c r="G446" s="4" t="s">
        <v>2263</v>
      </c>
      <c r="H446" s="9" t="s">
        <v>2263</v>
      </c>
      <c r="I446" s="4" t="s">
        <v>2317</v>
      </c>
      <c r="J446" s="4" t="s">
        <v>2316</v>
      </c>
      <c r="K446" s="4" t="s">
        <v>2263</v>
      </c>
      <c r="L446" s="10">
        <v>1</v>
      </c>
      <c r="M446" s="5">
        <v>15693</v>
      </c>
      <c r="N446" s="5">
        <v>15693</v>
      </c>
    </row>
    <row r="447" spans="1:14" x14ac:dyDescent="0.25">
      <c r="A447" s="4" t="s">
        <v>2930</v>
      </c>
      <c r="B447" s="4" t="s">
        <v>2929</v>
      </c>
      <c r="C447" s="4" t="s">
        <v>2320</v>
      </c>
      <c r="D447" s="4" t="s">
        <v>242</v>
      </c>
      <c r="E447" s="4" t="s">
        <v>2936</v>
      </c>
      <c r="F447" s="4" t="s">
        <v>2935</v>
      </c>
      <c r="G447" s="4" t="s">
        <v>2263</v>
      </c>
      <c r="H447" s="9" t="s">
        <v>2263</v>
      </c>
      <c r="I447" s="4" t="s">
        <v>2317</v>
      </c>
      <c r="J447" s="4" t="s">
        <v>2316</v>
      </c>
      <c r="K447" s="4" t="s">
        <v>2263</v>
      </c>
      <c r="L447" s="10">
        <v>1</v>
      </c>
      <c r="M447" s="5">
        <v>15864.732647058823</v>
      </c>
      <c r="N447" s="5">
        <v>15864.73264705882</v>
      </c>
    </row>
    <row r="448" spans="1:14" x14ac:dyDescent="0.25">
      <c r="A448" s="4" t="s">
        <v>2344</v>
      </c>
      <c r="B448" s="4" t="s">
        <v>5154</v>
      </c>
      <c r="C448" s="4" t="s">
        <v>2320</v>
      </c>
      <c r="D448" s="4" t="s">
        <v>242</v>
      </c>
      <c r="E448" s="4" t="s">
        <v>2404</v>
      </c>
      <c r="F448" s="4" t="s">
        <v>2403</v>
      </c>
      <c r="G448" s="4" t="s">
        <v>2263</v>
      </c>
      <c r="H448" s="9" t="s">
        <v>2263</v>
      </c>
      <c r="I448" s="4" t="s">
        <v>2317</v>
      </c>
      <c r="J448" s="4" t="s">
        <v>2316</v>
      </c>
      <c r="K448" s="4" t="s">
        <v>2263</v>
      </c>
      <c r="L448" s="10">
        <v>1</v>
      </c>
      <c r="M448" s="5">
        <v>16281.163333333334</v>
      </c>
      <c r="N448" s="5">
        <v>16281.16333333333</v>
      </c>
    </row>
    <row r="449" spans="1:14" x14ac:dyDescent="0.25">
      <c r="A449" s="4" t="s">
        <v>3801</v>
      </c>
      <c r="B449" s="4" t="s">
        <v>4965</v>
      </c>
      <c r="C449" s="4" t="s">
        <v>2320</v>
      </c>
      <c r="D449" s="4" t="s">
        <v>242</v>
      </c>
      <c r="E449" s="4" t="s">
        <v>2404</v>
      </c>
      <c r="F449" s="4" t="s">
        <v>2403</v>
      </c>
      <c r="G449" s="4" t="s">
        <v>2263</v>
      </c>
      <c r="H449" s="9" t="s">
        <v>2263</v>
      </c>
      <c r="I449" s="4" t="s">
        <v>2317</v>
      </c>
      <c r="J449" s="4" t="s">
        <v>2316</v>
      </c>
      <c r="K449" s="4" t="s">
        <v>2263</v>
      </c>
      <c r="L449" s="10">
        <v>1</v>
      </c>
      <c r="M449" s="5">
        <v>16281.163333333334</v>
      </c>
      <c r="N449" s="5">
        <v>16281.16333333333</v>
      </c>
    </row>
    <row r="450" spans="1:14" x14ac:dyDescent="0.25">
      <c r="A450" s="4" t="s">
        <v>2279</v>
      </c>
      <c r="B450" s="4" t="s">
        <v>4963</v>
      </c>
      <c r="C450" s="4" t="s">
        <v>2320</v>
      </c>
      <c r="D450" s="4" t="s">
        <v>242</v>
      </c>
      <c r="E450" s="4" t="s">
        <v>2404</v>
      </c>
      <c r="F450" s="4" t="s">
        <v>2403</v>
      </c>
      <c r="G450" s="4" t="s">
        <v>2263</v>
      </c>
      <c r="H450" s="9" t="s">
        <v>2263</v>
      </c>
      <c r="I450" s="4" t="s">
        <v>2317</v>
      </c>
      <c r="J450" s="4" t="s">
        <v>2316</v>
      </c>
      <c r="K450" s="4" t="s">
        <v>2263</v>
      </c>
      <c r="L450" s="10">
        <v>1</v>
      </c>
      <c r="M450" s="5">
        <v>16281.163333333334</v>
      </c>
      <c r="N450" s="5">
        <v>16281.16333333333</v>
      </c>
    </row>
    <row r="451" spans="1:14" x14ac:dyDescent="0.25">
      <c r="A451" s="4" t="s">
        <v>2481</v>
      </c>
      <c r="B451" s="4" t="s">
        <v>3217</v>
      </c>
      <c r="C451" s="4" t="s">
        <v>2320</v>
      </c>
      <c r="D451" s="4" t="s">
        <v>242</v>
      </c>
      <c r="E451" s="4" t="s">
        <v>2404</v>
      </c>
      <c r="F451" s="4" t="s">
        <v>2403</v>
      </c>
      <c r="G451" s="4" t="s">
        <v>2263</v>
      </c>
      <c r="H451" s="9" t="s">
        <v>2263</v>
      </c>
      <c r="I451" s="4" t="s">
        <v>2317</v>
      </c>
      <c r="J451" s="4" t="s">
        <v>2316</v>
      </c>
      <c r="K451" s="4" t="s">
        <v>2263</v>
      </c>
      <c r="L451" s="10">
        <v>1</v>
      </c>
      <c r="M451" s="5">
        <v>16281.163333333334</v>
      </c>
      <c r="N451" s="5">
        <v>16281.16333333333</v>
      </c>
    </row>
    <row r="452" spans="1:14" x14ac:dyDescent="0.25">
      <c r="A452" s="4" t="s">
        <v>3070</v>
      </c>
      <c r="B452" s="4" t="s">
        <v>3216</v>
      </c>
      <c r="C452" s="4" t="s">
        <v>2320</v>
      </c>
      <c r="D452" s="4" t="s">
        <v>242</v>
      </c>
      <c r="E452" s="4" t="s">
        <v>2404</v>
      </c>
      <c r="F452" s="4" t="s">
        <v>2403</v>
      </c>
      <c r="G452" s="4" t="s">
        <v>2263</v>
      </c>
      <c r="H452" s="9" t="s">
        <v>2263</v>
      </c>
      <c r="I452" s="4" t="s">
        <v>2317</v>
      </c>
      <c r="J452" s="4" t="s">
        <v>2316</v>
      </c>
      <c r="K452" s="4" t="s">
        <v>2263</v>
      </c>
      <c r="L452" s="10">
        <v>1</v>
      </c>
      <c r="M452" s="5">
        <v>16281.163333333334</v>
      </c>
      <c r="N452" s="5">
        <v>16281.16333333333</v>
      </c>
    </row>
    <row r="453" spans="1:14" x14ac:dyDescent="0.25">
      <c r="A453" s="4" t="s">
        <v>3196</v>
      </c>
      <c r="B453" s="4" t="s">
        <v>3195</v>
      </c>
      <c r="C453" s="4" t="s">
        <v>2320</v>
      </c>
      <c r="D453" s="4" t="s">
        <v>242</v>
      </c>
      <c r="E453" s="4" t="s">
        <v>2404</v>
      </c>
      <c r="F453" s="4" t="s">
        <v>2403</v>
      </c>
      <c r="G453" s="4" t="s">
        <v>2263</v>
      </c>
      <c r="H453" s="9" t="s">
        <v>2263</v>
      </c>
      <c r="I453" s="4" t="s">
        <v>2317</v>
      </c>
      <c r="J453" s="4" t="s">
        <v>2316</v>
      </c>
      <c r="K453" s="4" t="s">
        <v>2263</v>
      </c>
      <c r="L453" s="10">
        <v>1</v>
      </c>
      <c r="M453" s="5">
        <v>16281.163333333334</v>
      </c>
      <c r="N453" s="5">
        <v>16281.16333333333</v>
      </c>
    </row>
    <row r="454" spans="1:14" x14ac:dyDescent="0.25">
      <c r="A454" s="4" t="s">
        <v>2384</v>
      </c>
      <c r="B454" s="4" t="s">
        <v>3187</v>
      </c>
      <c r="C454" s="4" t="s">
        <v>2320</v>
      </c>
      <c r="D454" s="4" t="s">
        <v>242</v>
      </c>
      <c r="E454" s="4" t="s">
        <v>2404</v>
      </c>
      <c r="F454" s="4" t="s">
        <v>2403</v>
      </c>
      <c r="G454" s="4" t="s">
        <v>2263</v>
      </c>
      <c r="H454" s="9" t="s">
        <v>2263</v>
      </c>
      <c r="I454" s="4" t="s">
        <v>2317</v>
      </c>
      <c r="J454" s="4" t="s">
        <v>2316</v>
      </c>
      <c r="K454" s="4" t="s">
        <v>2263</v>
      </c>
      <c r="L454" s="10">
        <v>1</v>
      </c>
      <c r="M454" s="5">
        <v>16281.163333333334</v>
      </c>
      <c r="N454" s="5">
        <v>16281.16333333333</v>
      </c>
    </row>
    <row r="455" spans="1:14" x14ac:dyDescent="0.25">
      <c r="A455" s="4" t="s">
        <v>3174</v>
      </c>
      <c r="B455" s="4" t="s">
        <v>3173</v>
      </c>
      <c r="C455" s="4" t="s">
        <v>2320</v>
      </c>
      <c r="D455" s="4" t="s">
        <v>242</v>
      </c>
      <c r="E455" s="4" t="s">
        <v>2404</v>
      </c>
      <c r="F455" s="4" t="s">
        <v>2403</v>
      </c>
      <c r="G455" s="4" t="s">
        <v>2263</v>
      </c>
      <c r="H455" s="9" t="s">
        <v>2263</v>
      </c>
      <c r="I455" s="4" t="s">
        <v>2317</v>
      </c>
      <c r="J455" s="4" t="s">
        <v>2316</v>
      </c>
      <c r="K455" s="4" t="s">
        <v>2263</v>
      </c>
      <c r="L455" s="10">
        <v>1</v>
      </c>
      <c r="M455" s="5">
        <v>16281.163333333334</v>
      </c>
      <c r="N455" s="5">
        <v>16281.16333333333</v>
      </c>
    </row>
    <row r="456" spans="1:14" x14ac:dyDescent="0.25">
      <c r="A456" s="4" t="s">
        <v>3168</v>
      </c>
      <c r="B456" s="4" t="s">
        <v>3167</v>
      </c>
      <c r="C456" s="4" t="s">
        <v>2320</v>
      </c>
      <c r="D456" s="4" t="s">
        <v>242</v>
      </c>
      <c r="E456" s="4" t="s">
        <v>2404</v>
      </c>
      <c r="F456" s="4" t="s">
        <v>2403</v>
      </c>
      <c r="G456" s="4" t="s">
        <v>2263</v>
      </c>
      <c r="H456" s="9" t="s">
        <v>2263</v>
      </c>
      <c r="I456" s="4" t="s">
        <v>2317</v>
      </c>
      <c r="J456" s="4" t="s">
        <v>2316</v>
      </c>
      <c r="K456" s="4" t="s">
        <v>2263</v>
      </c>
      <c r="L456" s="10">
        <v>1</v>
      </c>
      <c r="M456" s="5">
        <v>16281.163333333334</v>
      </c>
      <c r="N456" s="5">
        <v>16281.16333333333</v>
      </c>
    </row>
    <row r="457" spans="1:14" x14ac:dyDescent="0.25">
      <c r="A457" s="4" t="s">
        <v>3145</v>
      </c>
      <c r="B457" s="4" t="s">
        <v>3144</v>
      </c>
      <c r="C457" s="4" t="s">
        <v>2320</v>
      </c>
      <c r="D457" s="4" t="s">
        <v>242</v>
      </c>
      <c r="E457" s="4" t="s">
        <v>2404</v>
      </c>
      <c r="F457" s="4" t="s">
        <v>2403</v>
      </c>
      <c r="G457" s="4" t="s">
        <v>2263</v>
      </c>
      <c r="H457" s="9" t="s">
        <v>2263</v>
      </c>
      <c r="I457" s="4" t="s">
        <v>2317</v>
      </c>
      <c r="J457" s="4" t="s">
        <v>2316</v>
      </c>
      <c r="K457" s="4" t="s">
        <v>2263</v>
      </c>
      <c r="L457" s="10">
        <v>1</v>
      </c>
      <c r="M457" s="5">
        <v>16281.163333333334</v>
      </c>
      <c r="N457" s="5">
        <v>16281.16333333333</v>
      </c>
    </row>
    <row r="458" spans="1:14" x14ac:dyDescent="0.25">
      <c r="A458" s="4" t="s">
        <v>3104</v>
      </c>
      <c r="B458" s="4" t="s">
        <v>3103</v>
      </c>
      <c r="C458" s="4" t="s">
        <v>2320</v>
      </c>
      <c r="D458" s="4" t="s">
        <v>242</v>
      </c>
      <c r="E458" s="4" t="s">
        <v>2404</v>
      </c>
      <c r="F458" s="4" t="s">
        <v>2403</v>
      </c>
      <c r="G458" s="4" t="s">
        <v>2263</v>
      </c>
      <c r="H458" s="9" t="s">
        <v>2263</v>
      </c>
      <c r="I458" s="4" t="s">
        <v>2317</v>
      </c>
      <c r="J458" s="4" t="s">
        <v>2316</v>
      </c>
      <c r="K458" s="4" t="s">
        <v>2263</v>
      </c>
      <c r="L458" s="10">
        <v>1</v>
      </c>
      <c r="M458" s="5">
        <v>16281.163333333334</v>
      </c>
      <c r="N458" s="5">
        <v>16281.16333333333</v>
      </c>
    </row>
    <row r="459" spans="1:14" x14ac:dyDescent="0.25">
      <c r="A459" s="4" t="s">
        <v>3063</v>
      </c>
      <c r="B459" s="4" t="s">
        <v>3062</v>
      </c>
      <c r="C459" s="4" t="s">
        <v>2320</v>
      </c>
      <c r="D459" s="4" t="s">
        <v>242</v>
      </c>
      <c r="E459" s="4" t="s">
        <v>2404</v>
      </c>
      <c r="F459" s="4" t="s">
        <v>2403</v>
      </c>
      <c r="G459" s="4" t="s">
        <v>2263</v>
      </c>
      <c r="H459" s="9" t="s">
        <v>2263</v>
      </c>
      <c r="I459" s="4" t="s">
        <v>2317</v>
      </c>
      <c r="J459" s="4" t="s">
        <v>2316</v>
      </c>
      <c r="K459" s="4" t="s">
        <v>2263</v>
      </c>
      <c r="L459" s="10">
        <v>1</v>
      </c>
      <c r="M459" s="5">
        <v>16281.163333333334</v>
      </c>
      <c r="N459" s="5">
        <v>16281.16333333333</v>
      </c>
    </row>
    <row r="460" spans="1:14" x14ac:dyDescent="0.25">
      <c r="A460" s="4" t="s">
        <v>3051</v>
      </c>
      <c r="B460" s="4" t="s">
        <v>3050</v>
      </c>
      <c r="C460" s="4" t="s">
        <v>2320</v>
      </c>
      <c r="D460" s="4" t="s">
        <v>242</v>
      </c>
      <c r="E460" s="4" t="s">
        <v>2404</v>
      </c>
      <c r="F460" s="4" t="s">
        <v>2403</v>
      </c>
      <c r="G460" s="4" t="s">
        <v>2263</v>
      </c>
      <c r="H460" s="9" t="s">
        <v>2263</v>
      </c>
      <c r="I460" s="4" t="s">
        <v>2317</v>
      </c>
      <c r="J460" s="4" t="s">
        <v>2316</v>
      </c>
      <c r="K460" s="4" t="s">
        <v>2263</v>
      </c>
      <c r="L460" s="10">
        <v>1</v>
      </c>
      <c r="M460" s="5">
        <v>16281.163333333334</v>
      </c>
      <c r="N460" s="5">
        <v>16281.16333333333</v>
      </c>
    </row>
    <row r="461" spans="1:14" x14ac:dyDescent="0.25">
      <c r="A461" s="4" t="s">
        <v>3024</v>
      </c>
      <c r="B461" s="4" t="s">
        <v>3023</v>
      </c>
      <c r="C461" s="4" t="s">
        <v>2320</v>
      </c>
      <c r="D461" s="4" t="s">
        <v>242</v>
      </c>
      <c r="E461" s="4" t="s">
        <v>2404</v>
      </c>
      <c r="F461" s="4" t="s">
        <v>2403</v>
      </c>
      <c r="G461" s="4" t="s">
        <v>2263</v>
      </c>
      <c r="H461" s="9" t="s">
        <v>2263</v>
      </c>
      <c r="I461" s="4" t="s">
        <v>2317</v>
      </c>
      <c r="J461" s="4" t="s">
        <v>2316</v>
      </c>
      <c r="K461" s="4" t="s">
        <v>2263</v>
      </c>
      <c r="L461" s="10">
        <v>1</v>
      </c>
      <c r="M461" s="5">
        <v>16281.163333333334</v>
      </c>
      <c r="N461" s="5">
        <v>16281.16333333333</v>
      </c>
    </row>
    <row r="462" spans="1:14" x14ac:dyDescent="0.25">
      <c r="A462" s="4" t="s">
        <v>2386</v>
      </c>
      <c r="B462" s="4" t="s">
        <v>2385</v>
      </c>
      <c r="C462" s="4" t="s">
        <v>2320</v>
      </c>
      <c r="D462" s="4" t="s">
        <v>242</v>
      </c>
      <c r="E462" s="4" t="s">
        <v>2404</v>
      </c>
      <c r="F462" s="4" t="s">
        <v>2403</v>
      </c>
      <c r="G462" s="4" t="s">
        <v>2263</v>
      </c>
      <c r="H462" s="9" t="s">
        <v>2263</v>
      </c>
      <c r="I462" s="4" t="s">
        <v>2317</v>
      </c>
      <c r="J462" s="4" t="s">
        <v>2316</v>
      </c>
      <c r="K462" s="4" t="s">
        <v>2263</v>
      </c>
      <c r="L462" s="10">
        <v>1</v>
      </c>
      <c r="M462" s="5">
        <v>16281.163333333334</v>
      </c>
      <c r="N462" s="5">
        <v>16281.16333333333</v>
      </c>
    </row>
    <row r="463" spans="1:14" x14ac:dyDescent="0.25">
      <c r="A463" s="4" t="s">
        <v>2320</v>
      </c>
      <c r="B463" s="4" t="s">
        <v>4967</v>
      </c>
      <c r="C463" s="4" t="s">
        <v>2320</v>
      </c>
      <c r="D463" s="4" t="s">
        <v>242</v>
      </c>
      <c r="E463" s="4" t="s">
        <v>2950</v>
      </c>
      <c r="F463" s="4" t="s">
        <v>2949</v>
      </c>
      <c r="G463" s="4" t="s">
        <v>2263</v>
      </c>
      <c r="H463" s="9" t="s">
        <v>2263</v>
      </c>
      <c r="I463" s="4" t="s">
        <v>2317</v>
      </c>
      <c r="J463" s="4" t="s">
        <v>2316</v>
      </c>
      <c r="K463" s="4" t="s">
        <v>2263</v>
      </c>
      <c r="L463" s="10">
        <v>1</v>
      </c>
      <c r="M463" s="5">
        <v>16326</v>
      </c>
      <c r="N463" s="5">
        <v>16326</v>
      </c>
    </row>
    <row r="464" spans="1:14" x14ac:dyDescent="0.25">
      <c r="A464" s="4" t="s">
        <v>2673</v>
      </c>
      <c r="B464" s="4" t="s">
        <v>2672</v>
      </c>
      <c r="C464" s="4" t="s">
        <v>2344</v>
      </c>
      <c r="D464" s="4" t="s">
        <v>237</v>
      </c>
      <c r="E464" s="4" t="s">
        <v>2475</v>
      </c>
      <c r="F464" s="4" t="s">
        <v>2474</v>
      </c>
      <c r="G464" s="4" t="s">
        <v>2263</v>
      </c>
      <c r="H464" s="9" t="s">
        <v>2263</v>
      </c>
      <c r="I464" s="4" t="s">
        <v>2263</v>
      </c>
      <c r="J464" s="4" t="s">
        <v>2263</v>
      </c>
      <c r="K464" s="4" t="s">
        <v>2473</v>
      </c>
      <c r="L464" s="10">
        <v>1</v>
      </c>
      <c r="M464" s="5">
        <v>17745.580869565216</v>
      </c>
      <c r="N464" s="5">
        <v>17745.580869565219</v>
      </c>
    </row>
    <row r="465" spans="1:14" x14ac:dyDescent="0.25">
      <c r="A465" s="4" t="s">
        <v>2320</v>
      </c>
      <c r="B465" s="4" t="s">
        <v>4967</v>
      </c>
      <c r="C465" s="4" t="s">
        <v>2344</v>
      </c>
      <c r="D465" s="4" t="s">
        <v>237</v>
      </c>
      <c r="E465" s="4" t="s">
        <v>2429</v>
      </c>
      <c r="F465" s="4" t="s">
        <v>2428</v>
      </c>
      <c r="G465" s="4" t="s">
        <v>2263</v>
      </c>
      <c r="H465" s="9" t="s">
        <v>2263</v>
      </c>
      <c r="I465" s="4" t="s">
        <v>2263</v>
      </c>
      <c r="J465" s="4" t="s">
        <v>2263</v>
      </c>
      <c r="K465" s="4" t="s">
        <v>2427</v>
      </c>
      <c r="L465" s="10">
        <v>1</v>
      </c>
      <c r="M465" s="5">
        <v>17751.05</v>
      </c>
      <c r="N465" s="5">
        <v>17751.05</v>
      </c>
    </row>
    <row r="466" spans="1:14" x14ac:dyDescent="0.25">
      <c r="A466" s="4" t="s">
        <v>2673</v>
      </c>
      <c r="B466" s="4" t="s">
        <v>2672</v>
      </c>
      <c r="C466" s="4" t="s">
        <v>2344</v>
      </c>
      <c r="D466" s="4" t="s">
        <v>237</v>
      </c>
      <c r="E466" s="4" t="s">
        <v>2429</v>
      </c>
      <c r="F466" s="4" t="s">
        <v>2428</v>
      </c>
      <c r="G466" s="4" t="s">
        <v>2263</v>
      </c>
      <c r="H466" s="9" t="s">
        <v>2263</v>
      </c>
      <c r="I466" s="4" t="s">
        <v>2263</v>
      </c>
      <c r="J466" s="4" t="s">
        <v>2263</v>
      </c>
      <c r="K466" s="4" t="s">
        <v>2427</v>
      </c>
      <c r="L466" s="10">
        <v>1</v>
      </c>
      <c r="M466" s="5">
        <v>17751.05</v>
      </c>
      <c r="N466" s="5">
        <v>17751.05</v>
      </c>
    </row>
    <row r="467" spans="1:14" x14ac:dyDescent="0.25">
      <c r="A467" s="4" t="s">
        <v>3801</v>
      </c>
      <c r="B467" s="4" t="s">
        <v>4965</v>
      </c>
      <c r="C467" s="4" t="s">
        <v>2344</v>
      </c>
      <c r="D467" s="4" t="s">
        <v>237</v>
      </c>
      <c r="E467" s="4" t="s">
        <v>2456</v>
      </c>
      <c r="F467" s="4" t="s">
        <v>2455</v>
      </c>
      <c r="G467" s="4" t="s">
        <v>2263</v>
      </c>
      <c r="H467" s="9" t="s">
        <v>2263</v>
      </c>
      <c r="I467" s="4" t="s">
        <v>2263</v>
      </c>
      <c r="J467" s="4" t="s">
        <v>2263</v>
      </c>
      <c r="K467" s="4" t="s">
        <v>2454</v>
      </c>
      <c r="L467" s="10">
        <v>1</v>
      </c>
      <c r="M467" s="5">
        <v>18361.839391304347</v>
      </c>
      <c r="N467" s="5">
        <v>18361.839391304351</v>
      </c>
    </row>
    <row r="468" spans="1:14" x14ac:dyDescent="0.25">
      <c r="A468" s="4" t="s">
        <v>2279</v>
      </c>
      <c r="B468" s="4" t="s">
        <v>4963</v>
      </c>
      <c r="C468" s="4" t="s">
        <v>2344</v>
      </c>
      <c r="D468" s="4" t="s">
        <v>237</v>
      </c>
      <c r="E468" s="4" t="s">
        <v>2456</v>
      </c>
      <c r="F468" s="4" t="s">
        <v>2455</v>
      </c>
      <c r="G468" s="4" t="s">
        <v>2263</v>
      </c>
      <c r="H468" s="9" t="s">
        <v>2263</v>
      </c>
      <c r="I468" s="4" t="s">
        <v>2263</v>
      </c>
      <c r="J468" s="4" t="s">
        <v>2263</v>
      </c>
      <c r="K468" s="4" t="s">
        <v>2454</v>
      </c>
      <c r="L468" s="10">
        <v>1</v>
      </c>
      <c r="M468" s="5">
        <v>18361.839391304347</v>
      </c>
      <c r="N468" s="5">
        <v>18361.839391304351</v>
      </c>
    </row>
    <row r="469" spans="1:14" x14ac:dyDescent="0.25">
      <c r="A469" s="4" t="s">
        <v>2481</v>
      </c>
      <c r="B469" s="4" t="s">
        <v>3217</v>
      </c>
      <c r="C469" s="4" t="s">
        <v>2344</v>
      </c>
      <c r="D469" s="4" t="s">
        <v>237</v>
      </c>
      <c r="E469" s="4" t="s">
        <v>2456</v>
      </c>
      <c r="F469" s="4" t="s">
        <v>2455</v>
      </c>
      <c r="G469" s="4" t="s">
        <v>2263</v>
      </c>
      <c r="H469" s="9" t="s">
        <v>2263</v>
      </c>
      <c r="I469" s="4" t="s">
        <v>2263</v>
      </c>
      <c r="J469" s="4" t="s">
        <v>2263</v>
      </c>
      <c r="K469" s="4" t="s">
        <v>2454</v>
      </c>
      <c r="L469" s="10">
        <v>1</v>
      </c>
      <c r="M469" s="5">
        <v>18361.839391304347</v>
      </c>
      <c r="N469" s="5">
        <v>18361.839391304351</v>
      </c>
    </row>
    <row r="470" spans="1:14" x14ac:dyDescent="0.25">
      <c r="A470" s="4" t="s">
        <v>3196</v>
      </c>
      <c r="B470" s="4" t="s">
        <v>3195</v>
      </c>
      <c r="C470" s="4" t="s">
        <v>2344</v>
      </c>
      <c r="D470" s="4" t="s">
        <v>237</v>
      </c>
      <c r="E470" s="4" t="s">
        <v>2456</v>
      </c>
      <c r="F470" s="4" t="s">
        <v>2455</v>
      </c>
      <c r="G470" s="4" t="s">
        <v>2263</v>
      </c>
      <c r="H470" s="9" t="s">
        <v>2263</v>
      </c>
      <c r="I470" s="4" t="s">
        <v>2263</v>
      </c>
      <c r="J470" s="4" t="s">
        <v>2263</v>
      </c>
      <c r="K470" s="4" t="s">
        <v>2454</v>
      </c>
      <c r="L470" s="10">
        <v>1</v>
      </c>
      <c r="M470" s="5">
        <v>18361.839391304347</v>
      </c>
      <c r="N470" s="5">
        <v>18361.839391304351</v>
      </c>
    </row>
    <row r="471" spans="1:14" x14ac:dyDescent="0.25">
      <c r="A471" s="4" t="s">
        <v>2384</v>
      </c>
      <c r="B471" s="4" t="s">
        <v>3187</v>
      </c>
      <c r="C471" s="4" t="s">
        <v>2344</v>
      </c>
      <c r="D471" s="4" t="s">
        <v>237</v>
      </c>
      <c r="E471" s="4" t="s">
        <v>2456</v>
      </c>
      <c r="F471" s="4" t="s">
        <v>2455</v>
      </c>
      <c r="G471" s="4" t="s">
        <v>2263</v>
      </c>
      <c r="H471" s="9" t="s">
        <v>2263</v>
      </c>
      <c r="I471" s="4" t="s">
        <v>2263</v>
      </c>
      <c r="J471" s="4" t="s">
        <v>2263</v>
      </c>
      <c r="K471" s="4" t="s">
        <v>2454</v>
      </c>
      <c r="L471" s="10">
        <v>1</v>
      </c>
      <c r="M471" s="5">
        <v>18361.839391304347</v>
      </c>
      <c r="N471" s="5">
        <v>18361.839391304351</v>
      </c>
    </row>
    <row r="472" spans="1:14" x14ac:dyDescent="0.25">
      <c r="A472" s="4" t="s">
        <v>3174</v>
      </c>
      <c r="B472" s="4" t="s">
        <v>3173</v>
      </c>
      <c r="C472" s="4" t="s">
        <v>2344</v>
      </c>
      <c r="D472" s="4" t="s">
        <v>237</v>
      </c>
      <c r="E472" s="4" t="s">
        <v>2456</v>
      </c>
      <c r="F472" s="4" t="s">
        <v>2455</v>
      </c>
      <c r="G472" s="4" t="s">
        <v>2263</v>
      </c>
      <c r="H472" s="9" t="s">
        <v>2263</v>
      </c>
      <c r="I472" s="4" t="s">
        <v>2263</v>
      </c>
      <c r="J472" s="4" t="s">
        <v>2263</v>
      </c>
      <c r="K472" s="4" t="s">
        <v>2454</v>
      </c>
      <c r="L472" s="10">
        <v>1</v>
      </c>
      <c r="M472" s="5">
        <v>18361.839391304347</v>
      </c>
      <c r="N472" s="5">
        <v>18361.839391304351</v>
      </c>
    </row>
    <row r="473" spans="1:14" x14ac:dyDescent="0.25">
      <c r="A473" s="4" t="s">
        <v>3104</v>
      </c>
      <c r="B473" s="4" t="s">
        <v>3103</v>
      </c>
      <c r="C473" s="4" t="s">
        <v>2344</v>
      </c>
      <c r="D473" s="4" t="s">
        <v>237</v>
      </c>
      <c r="E473" s="4" t="s">
        <v>2456</v>
      </c>
      <c r="F473" s="4" t="s">
        <v>2455</v>
      </c>
      <c r="G473" s="4" t="s">
        <v>2263</v>
      </c>
      <c r="H473" s="9" t="s">
        <v>2263</v>
      </c>
      <c r="I473" s="4" t="s">
        <v>2263</v>
      </c>
      <c r="J473" s="4" t="s">
        <v>2263</v>
      </c>
      <c r="K473" s="4" t="s">
        <v>2454</v>
      </c>
      <c r="L473" s="10">
        <v>1</v>
      </c>
      <c r="M473" s="5">
        <v>18361.839391304347</v>
      </c>
      <c r="N473" s="5">
        <v>18361.839391304351</v>
      </c>
    </row>
    <row r="474" spans="1:14" x14ac:dyDescent="0.25">
      <c r="A474" s="4" t="s">
        <v>3063</v>
      </c>
      <c r="B474" s="4" t="s">
        <v>3062</v>
      </c>
      <c r="C474" s="4" t="s">
        <v>2344</v>
      </c>
      <c r="D474" s="4" t="s">
        <v>237</v>
      </c>
      <c r="E474" s="4" t="s">
        <v>2456</v>
      </c>
      <c r="F474" s="4" t="s">
        <v>2455</v>
      </c>
      <c r="G474" s="4" t="s">
        <v>2263</v>
      </c>
      <c r="H474" s="9" t="s">
        <v>2263</v>
      </c>
      <c r="I474" s="4" t="s">
        <v>2263</v>
      </c>
      <c r="J474" s="4" t="s">
        <v>2263</v>
      </c>
      <c r="K474" s="4" t="s">
        <v>2454</v>
      </c>
      <c r="L474" s="10">
        <v>1</v>
      </c>
      <c r="M474" s="5">
        <v>18361.839391304347</v>
      </c>
      <c r="N474" s="5">
        <v>18361.839391304351</v>
      </c>
    </row>
    <row r="475" spans="1:14" x14ac:dyDescent="0.25">
      <c r="A475" s="4" t="s">
        <v>3051</v>
      </c>
      <c r="B475" s="4" t="s">
        <v>3050</v>
      </c>
      <c r="C475" s="4" t="s">
        <v>2344</v>
      </c>
      <c r="D475" s="4" t="s">
        <v>237</v>
      </c>
      <c r="E475" s="4" t="s">
        <v>2456</v>
      </c>
      <c r="F475" s="4" t="s">
        <v>2455</v>
      </c>
      <c r="G475" s="4" t="s">
        <v>2263</v>
      </c>
      <c r="H475" s="9" t="s">
        <v>2263</v>
      </c>
      <c r="I475" s="4" t="s">
        <v>2263</v>
      </c>
      <c r="J475" s="4" t="s">
        <v>2263</v>
      </c>
      <c r="K475" s="4" t="s">
        <v>2454</v>
      </c>
      <c r="L475" s="10">
        <v>1</v>
      </c>
      <c r="M475" s="5">
        <v>18361.839391304347</v>
      </c>
      <c r="N475" s="5">
        <v>18361.839391304351</v>
      </c>
    </row>
    <row r="476" spans="1:14" x14ac:dyDescent="0.25">
      <c r="A476" s="4" t="s">
        <v>3024</v>
      </c>
      <c r="B476" s="4" t="s">
        <v>3023</v>
      </c>
      <c r="C476" s="4" t="s">
        <v>2344</v>
      </c>
      <c r="D476" s="4" t="s">
        <v>237</v>
      </c>
      <c r="E476" s="4" t="s">
        <v>2456</v>
      </c>
      <c r="F476" s="4" t="s">
        <v>2455</v>
      </c>
      <c r="G476" s="4" t="s">
        <v>2263</v>
      </c>
      <c r="H476" s="9" t="s">
        <v>2263</v>
      </c>
      <c r="I476" s="4" t="s">
        <v>2263</v>
      </c>
      <c r="J476" s="4" t="s">
        <v>2263</v>
      </c>
      <c r="K476" s="4" t="s">
        <v>2454</v>
      </c>
      <c r="L476" s="10">
        <v>1</v>
      </c>
      <c r="M476" s="5">
        <v>18361.839391304347</v>
      </c>
      <c r="N476" s="5">
        <v>18361.839391304351</v>
      </c>
    </row>
    <row r="477" spans="1:14" x14ac:dyDescent="0.25">
      <c r="A477" s="4" t="s">
        <v>2673</v>
      </c>
      <c r="B477" s="4" t="s">
        <v>2672</v>
      </c>
      <c r="C477" s="4" t="s">
        <v>2344</v>
      </c>
      <c r="D477" s="4" t="s">
        <v>237</v>
      </c>
      <c r="E477" s="4" t="s">
        <v>2456</v>
      </c>
      <c r="F477" s="4" t="s">
        <v>2455</v>
      </c>
      <c r="G477" s="4" t="s">
        <v>2263</v>
      </c>
      <c r="H477" s="9" t="s">
        <v>2263</v>
      </c>
      <c r="I477" s="4" t="s">
        <v>2263</v>
      </c>
      <c r="J477" s="4" t="s">
        <v>2263</v>
      </c>
      <c r="K477" s="4" t="s">
        <v>2454</v>
      </c>
      <c r="L477" s="10">
        <v>1</v>
      </c>
      <c r="M477" s="5">
        <v>18361.839391304347</v>
      </c>
      <c r="N477" s="5">
        <v>18361.839391304351</v>
      </c>
    </row>
    <row r="478" spans="1:14" x14ac:dyDescent="0.25">
      <c r="A478" s="4" t="s">
        <v>2386</v>
      </c>
      <c r="B478" s="4" t="s">
        <v>2385</v>
      </c>
      <c r="C478" s="4" t="s">
        <v>2344</v>
      </c>
      <c r="D478" s="4" t="s">
        <v>237</v>
      </c>
      <c r="E478" s="4" t="s">
        <v>2456</v>
      </c>
      <c r="F478" s="4" t="s">
        <v>2455</v>
      </c>
      <c r="G478" s="4" t="s">
        <v>2263</v>
      </c>
      <c r="H478" s="9" t="s">
        <v>2263</v>
      </c>
      <c r="I478" s="4" t="s">
        <v>2263</v>
      </c>
      <c r="J478" s="4" t="s">
        <v>2263</v>
      </c>
      <c r="K478" s="4" t="s">
        <v>2454</v>
      </c>
      <c r="L478" s="10">
        <v>1</v>
      </c>
      <c r="M478" s="5">
        <v>18361.839391304347</v>
      </c>
      <c r="N478" s="5">
        <v>18361.839391304351</v>
      </c>
    </row>
    <row r="479" spans="1:14" x14ac:dyDescent="0.25">
      <c r="A479" s="4" t="s">
        <v>2344</v>
      </c>
      <c r="B479" s="4" t="s">
        <v>5154</v>
      </c>
      <c r="C479" s="4" t="s">
        <v>2344</v>
      </c>
      <c r="D479" s="4" t="s">
        <v>237</v>
      </c>
      <c r="E479" s="4" t="s">
        <v>5138</v>
      </c>
      <c r="F479" s="4" t="s">
        <v>4873</v>
      </c>
      <c r="G479" s="4" t="s">
        <v>2263</v>
      </c>
      <c r="H479" s="9" t="s">
        <v>2263</v>
      </c>
      <c r="I479" s="4" t="s">
        <v>2263</v>
      </c>
      <c r="J479" s="4" t="s">
        <v>2263</v>
      </c>
      <c r="K479" s="4" t="s">
        <v>4872</v>
      </c>
      <c r="L479" s="10">
        <v>1</v>
      </c>
      <c r="M479" s="5">
        <v>18650</v>
      </c>
      <c r="N479" s="5">
        <v>18650</v>
      </c>
    </row>
    <row r="480" spans="1:14" x14ac:dyDescent="0.25">
      <c r="A480" s="4" t="s">
        <v>2320</v>
      </c>
      <c r="B480" s="4" t="s">
        <v>4967</v>
      </c>
      <c r="C480" s="4" t="s">
        <v>2344</v>
      </c>
      <c r="D480" s="4" t="s">
        <v>237</v>
      </c>
      <c r="E480" s="4" t="s">
        <v>5138</v>
      </c>
      <c r="F480" s="4" t="s">
        <v>4873</v>
      </c>
      <c r="G480" s="4" t="s">
        <v>2263</v>
      </c>
      <c r="H480" s="9" t="s">
        <v>2263</v>
      </c>
      <c r="I480" s="4" t="s">
        <v>2263</v>
      </c>
      <c r="J480" s="4" t="s">
        <v>2263</v>
      </c>
      <c r="K480" s="4" t="s">
        <v>4872</v>
      </c>
      <c r="L480" s="10">
        <v>1</v>
      </c>
      <c r="M480" s="5">
        <v>18650</v>
      </c>
      <c r="N480" s="5">
        <v>18650</v>
      </c>
    </row>
    <row r="481" spans="1:14" x14ac:dyDescent="0.25">
      <c r="A481" s="4" t="s">
        <v>2279</v>
      </c>
      <c r="B481" s="4" t="s">
        <v>4963</v>
      </c>
      <c r="C481" s="4" t="s">
        <v>2344</v>
      </c>
      <c r="D481" s="4" t="s">
        <v>237</v>
      </c>
      <c r="E481" s="4" t="s">
        <v>3040</v>
      </c>
      <c r="F481" s="4" t="s">
        <v>2440</v>
      </c>
      <c r="G481" s="4" t="s">
        <v>2263</v>
      </c>
      <c r="H481" s="9" t="s">
        <v>2263</v>
      </c>
      <c r="I481" s="4" t="s">
        <v>2263</v>
      </c>
      <c r="J481" s="4" t="s">
        <v>2263</v>
      </c>
      <c r="K481" s="4" t="s">
        <v>2439</v>
      </c>
      <c r="L481" s="10">
        <v>1</v>
      </c>
      <c r="M481" s="5">
        <v>18750</v>
      </c>
      <c r="N481" s="5">
        <v>18750</v>
      </c>
    </row>
    <row r="482" spans="1:14" x14ac:dyDescent="0.25">
      <c r="A482" s="4" t="s">
        <v>2481</v>
      </c>
      <c r="B482" s="4" t="s">
        <v>3217</v>
      </c>
      <c r="C482" s="4" t="s">
        <v>2344</v>
      </c>
      <c r="D482" s="4" t="s">
        <v>237</v>
      </c>
      <c r="E482" s="4" t="s">
        <v>3040</v>
      </c>
      <c r="F482" s="4" t="s">
        <v>2440</v>
      </c>
      <c r="G482" s="4" t="s">
        <v>2263</v>
      </c>
      <c r="H482" s="9" t="s">
        <v>2263</v>
      </c>
      <c r="I482" s="4" t="s">
        <v>2263</v>
      </c>
      <c r="J482" s="4" t="s">
        <v>2263</v>
      </c>
      <c r="K482" s="4" t="s">
        <v>2439</v>
      </c>
      <c r="L482" s="10">
        <v>1</v>
      </c>
      <c r="M482" s="5">
        <v>18750</v>
      </c>
      <c r="N482" s="5">
        <v>18750</v>
      </c>
    </row>
    <row r="483" spans="1:14" x14ac:dyDescent="0.25">
      <c r="A483" s="4" t="s">
        <v>3174</v>
      </c>
      <c r="B483" s="4" t="s">
        <v>3173</v>
      </c>
      <c r="C483" s="4" t="s">
        <v>2344</v>
      </c>
      <c r="D483" s="4" t="s">
        <v>237</v>
      </c>
      <c r="E483" s="4" t="s">
        <v>3040</v>
      </c>
      <c r="F483" s="4" t="s">
        <v>2440</v>
      </c>
      <c r="G483" s="4" t="s">
        <v>2263</v>
      </c>
      <c r="H483" s="9" t="s">
        <v>2263</v>
      </c>
      <c r="I483" s="4" t="s">
        <v>2263</v>
      </c>
      <c r="J483" s="4" t="s">
        <v>2263</v>
      </c>
      <c r="K483" s="4" t="s">
        <v>2439</v>
      </c>
      <c r="L483" s="10">
        <v>1</v>
      </c>
      <c r="M483" s="5">
        <v>18750</v>
      </c>
      <c r="N483" s="5">
        <v>18750</v>
      </c>
    </row>
    <row r="484" spans="1:14" x14ac:dyDescent="0.25">
      <c r="A484" s="4" t="s">
        <v>3157</v>
      </c>
      <c r="B484" s="4" t="s">
        <v>3156</v>
      </c>
      <c r="C484" s="4" t="s">
        <v>2344</v>
      </c>
      <c r="D484" s="4" t="s">
        <v>237</v>
      </c>
      <c r="E484" s="4" t="s">
        <v>3040</v>
      </c>
      <c r="F484" s="4" t="s">
        <v>2440</v>
      </c>
      <c r="G484" s="4" t="s">
        <v>2263</v>
      </c>
      <c r="H484" s="9" t="s">
        <v>2263</v>
      </c>
      <c r="I484" s="4" t="s">
        <v>2263</v>
      </c>
      <c r="J484" s="4" t="s">
        <v>2263</v>
      </c>
      <c r="K484" s="4" t="s">
        <v>2439</v>
      </c>
      <c r="L484" s="10">
        <v>1</v>
      </c>
      <c r="M484" s="5">
        <v>18750</v>
      </c>
      <c r="N484" s="5">
        <v>18750</v>
      </c>
    </row>
    <row r="485" spans="1:14" x14ac:dyDescent="0.25">
      <c r="A485" s="4" t="s">
        <v>3063</v>
      </c>
      <c r="B485" s="4" t="s">
        <v>3062</v>
      </c>
      <c r="C485" s="4" t="s">
        <v>2344</v>
      </c>
      <c r="D485" s="4" t="s">
        <v>237</v>
      </c>
      <c r="E485" s="4" t="s">
        <v>3040</v>
      </c>
      <c r="F485" s="4" t="s">
        <v>2440</v>
      </c>
      <c r="G485" s="4" t="s">
        <v>2263</v>
      </c>
      <c r="H485" s="9" t="s">
        <v>2263</v>
      </c>
      <c r="I485" s="4" t="s">
        <v>2263</v>
      </c>
      <c r="J485" s="4" t="s">
        <v>2263</v>
      </c>
      <c r="K485" s="4" t="s">
        <v>2439</v>
      </c>
      <c r="L485" s="10">
        <v>1</v>
      </c>
      <c r="M485" s="5">
        <v>18750</v>
      </c>
      <c r="N485" s="5">
        <v>18750</v>
      </c>
    </row>
    <row r="486" spans="1:14" x14ac:dyDescent="0.25">
      <c r="A486" s="4" t="s">
        <v>3051</v>
      </c>
      <c r="B486" s="4" t="s">
        <v>3050</v>
      </c>
      <c r="C486" s="4" t="s">
        <v>2344</v>
      </c>
      <c r="D486" s="4" t="s">
        <v>237</v>
      </c>
      <c r="E486" s="4" t="s">
        <v>3040</v>
      </c>
      <c r="F486" s="4" t="s">
        <v>2440</v>
      </c>
      <c r="G486" s="4" t="s">
        <v>2263</v>
      </c>
      <c r="H486" s="9" t="s">
        <v>2263</v>
      </c>
      <c r="I486" s="4" t="s">
        <v>2263</v>
      </c>
      <c r="J486" s="4" t="s">
        <v>2263</v>
      </c>
      <c r="K486" s="4" t="s">
        <v>2439</v>
      </c>
      <c r="L486" s="10">
        <v>1</v>
      </c>
      <c r="M486" s="5">
        <v>18750</v>
      </c>
      <c r="N486" s="5">
        <v>18750</v>
      </c>
    </row>
    <row r="487" spans="1:14" x14ac:dyDescent="0.25">
      <c r="A487" s="4" t="s">
        <v>3024</v>
      </c>
      <c r="B487" s="4" t="s">
        <v>3023</v>
      </c>
      <c r="C487" s="4" t="s">
        <v>2344</v>
      </c>
      <c r="D487" s="4" t="s">
        <v>237</v>
      </c>
      <c r="E487" s="4" t="s">
        <v>3040</v>
      </c>
      <c r="F487" s="4" t="s">
        <v>2440</v>
      </c>
      <c r="G487" s="4" t="s">
        <v>2263</v>
      </c>
      <c r="H487" s="9" t="s">
        <v>2263</v>
      </c>
      <c r="I487" s="4" t="s">
        <v>2263</v>
      </c>
      <c r="J487" s="4" t="s">
        <v>2263</v>
      </c>
      <c r="K487" s="4" t="s">
        <v>2439</v>
      </c>
      <c r="L487" s="10">
        <v>1</v>
      </c>
      <c r="M487" s="5">
        <v>18750</v>
      </c>
      <c r="N487" s="5">
        <v>18750</v>
      </c>
    </row>
    <row r="488" spans="1:14" x14ac:dyDescent="0.25">
      <c r="A488" s="4" t="s">
        <v>2344</v>
      </c>
      <c r="B488" s="4" t="s">
        <v>5154</v>
      </c>
      <c r="C488" s="4" t="s">
        <v>2317</v>
      </c>
      <c r="D488" s="4" t="s">
        <v>2516</v>
      </c>
      <c r="E488" s="4" t="s">
        <v>5205</v>
      </c>
      <c r="F488" s="4" t="s">
        <v>2525</v>
      </c>
      <c r="G488" s="4" t="s">
        <v>2263</v>
      </c>
      <c r="H488" s="9" t="s">
        <v>2263</v>
      </c>
      <c r="I488" s="4" t="s">
        <v>2263</v>
      </c>
      <c r="J488" s="4" t="s">
        <v>2263</v>
      </c>
      <c r="K488" s="4" t="s">
        <v>2524</v>
      </c>
      <c r="L488" s="10">
        <v>1</v>
      </c>
      <c r="M488" s="5">
        <v>19248.02</v>
      </c>
      <c r="N488" s="5">
        <v>19248.02</v>
      </c>
    </row>
    <row r="489" spans="1:14" x14ac:dyDescent="0.25">
      <c r="A489" s="4" t="s">
        <v>2320</v>
      </c>
      <c r="B489" s="4" t="s">
        <v>4967</v>
      </c>
      <c r="C489" s="4" t="s">
        <v>2344</v>
      </c>
      <c r="D489" s="4" t="s">
        <v>237</v>
      </c>
      <c r="E489" s="4" t="s">
        <v>2441</v>
      </c>
      <c r="F489" s="4" t="s">
        <v>2440</v>
      </c>
      <c r="G489" s="4" t="s">
        <v>2263</v>
      </c>
      <c r="H489" s="9" t="s">
        <v>2263</v>
      </c>
      <c r="I489" s="4" t="s">
        <v>2263</v>
      </c>
      <c r="J489" s="4" t="s">
        <v>2263</v>
      </c>
      <c r="K489" s="4" t="s">
        <v>2439</v>
      </c>
      <c r="L489" s="10">
        <v>1</v>
      </c>
      <c r="M489" s="5">
        <v>19420.206499999997</v>
      </c>
      <c r="N489" s="5">
        <v>19420.2065</v>
      </c>
    </row>
    <row r="490" spans="1:14" x14ac:dyDescent="0.25">
      <c r="A490" s="4" t="s">
        <v>3801</v>
      </c>
      <c r="B490" s="4" t="s">
        <v>4965</v>
      </c>
      <c r="C490" s="4" t="s">
        <v>2344</v>
      </c>
      <c r="D490" s="4" t="s">
        <v>237</v>
      </c>
      <c r="E490" s="4" t="s">
        <v>2441</v>
      </c>
      <c r="F490" s="4" t="s">
        <v>2440</v>
      </c>
      <c r="G490" s="4" t="s">
        <v>2263</v>
      </c>
      <c r="H490" s="9" t="s">
        <v>2263</v>
      </c>
      <c r="I490" s="4" t="s">
        <v>2263</v>
      </c>
      <c r="J490" s="4" t="s">
        <v>2263</v>
      </c>
      <c r="K490" s="4" t="s">
        <v>2439</v>
      </c>
      <c r="L490" s="10">
        <v>1</v>
      </c>
      <c r="M490" s="5">
        <v>19420.206499999997</v>
      </c>
      <c r="N490" s="5">
        <v>19420.2065</v>
      </c>
    </row>
    <row r="491" spans="1:14" x14ac:dyDescent="0.25">
      <c r="A491" s="4" t="s">
        <v>2279</v>
      </c>
      <c r="B491" s="4" t="s">
        <v>4963</v>
      </c>
      <c r="C491" s="4" t="s">
        <v>2344</v>
      </c>
      <c r="D491" s="4" t="s">
        <v>237</v>
      </c>
      <c r="E491" s="4" t="s">
        <v>2441</v>
      </c>
      <c r="F491" s="4" t="s">
        <v>2440</v>
      </c>
      <c r="G491" s="4" t="s">
        <v>2263</v>
      </c>
      <c r="H491" s="9" t="s">
        <v>2263</v>
      </c>
      <c r="I491" s="4" t="s">
        <v>2263</v>
      </c>
      <c r="J491" s="4" t="s">
        <v>2263</v>
      </c>
      <c r="K491" s="4" t="s">
        <v>2439</v>
      </c>
      <c r="L491" s="10">
        <v>1</v>
      </c>
      <c r="M491" s="5">
        <v>19420.206499999997</v>
      </c>
      <c r="N491" s="5">
        <v>19420.2065</v>
      </c>
    </row>
    <row r="492" spans="1:14" x14ac:dyDescent="0.25">
      <c r="A492" s="4" t="s">
        <v>3196</v>
      </c>
      <c r="B492" s="4" t="s">
        <v>3195</v>
      </c>
      <c r="C492" s="4" t="s">
        <v>2344</v>
      </c>
      <c r="D492" s="4" t="s">
        <v>237</v>
      </c>
      <c r="E492" s="4" t="s">
        <v>2441</v>
      </c>
      <c r="F492" s="4" t="s">
        <v>2440</v>
      </c>
      <c r="G492" s="4" t="s">
        <v>2263</v>
      </c>
      <c r="H492" s="9" t="s">
        <v>2263</v>
      </c>
      <c r="I492" s="4" t="s">
        <v>2263</v>
      </c>
      <c r="J492" s="4" t="s">
        <v>2263</v>
      </c>
      <c r="K492" s="4" t="s">
        <v>2439</v>
      </c>
      <c r="L492" s="10">
        <v>1</v>
      </c>
      <c r="M492" s="5">
        <v>19420.206499999997</v>
      </c>
      <c r="N492" s="5">
        <v>19420.2065</v>
      </c>
    </row>
    <row r="493" spans="1:14" x14ac:dyDescent="0.25">
      <c r="A493" s="4" t="s">
        <v>2384</v>
      </c>
      <c r="B493" s="4" t="s">
        <v>3187</v>
      </c>
      <c r="C493" s="4" t="s">
        <v>2344</v>
      </c>
      <c r="D493" s="4" t="s">
        <v>237</v>
      </c>
      <c r="E493" s="4" t="s">
        <v>2441</v>
      </c>
      <c r="F493" s="4" t="s">
        <v>2440</v>
      </c>
      <c r="G493" s="4" t="s">
        <v>2263</v>
      </c>
      <c r="H493" s="9" t="s">
        <v>2263</v>
      </c>
      <c r="I493" s="4" t="s">
        <v>2263</v>
      </c>
      <c r="J493" s="4" t="s">
        <v>2263</v>
      </c>
      <c r="K493" s="4" t="s">
        <v>2439</v>
      </c>
      <c r="L493" s="10">
        <v>1</v>
      </c>
      <c r="M493" s="5">
        <v>19420.206499999997</v>
      </c>
      <c r="N493" s="5">
        <v>19420.2065</v>
      </c>
    </row>
    <row r="494" spans="1:14" x14ac:dyDescent="0.25">
      <c r="A494" s="4" t="s">
        <v>2386</v>
      </c>
      <c r="B494" s="4" t="s">
        <v>2385</v>
      </c>
      <c r="C494" s="4" t="s">
        <v>2344</v>
      </c>
      <c r="D494" s="4" t="s">
        <v>237</v>
      </c>
      <c r="E494" s="4" t="s">
        <v>2441</v>
      </c>
      <c r="F494" s="4" t="s">
        <v>2440</v>
      </c>
      <c r="G494" s="4" t="s">
        <v>2263</v>
      </c>
      <c r="H494" s="9" t="s">
        <v>2263</v>
      </c>
      <c r="I494" s="4" t="s">
        <v>2263</v>
      </c>
      <c r="J494" s="4" t="s">
        <v>2263</v>
      </c>
      <c r="K494" s="4" t="s">
        <v>2439</v>
      </c>
      <c r="L494" s="10">
        <v>1</v>
      </c>
      <c r="M494" s="5">
        <v>19420.206499999997</v>
      </c>
      <c r="N494" s="5">
        <v>19420.2065</v>
      </c>
    </row>
    <row r="495" spans="1:14" x14ac:dyDescent="0.25">
      <c r="A495" s="4" t="s">
        <v>3063</v>
      </c>
      <c r="B495" s="4" t="s">
        <v>3062</v>
      </c>
      <c r="C495" s="4" t="s">
        <v>2320</v>
      </c>
      <c r="D495" s="4" t="s">
        <v>242</v>
      </c>
      <c r="E495" s="4" t="s">
        <v>2723</v>
      </c>
      <c r="F495" s="4" t="s">
        <v>2722</v>
      </c>
      <c r="G495" s="4" t="s">
        <v>2263</v>
      </c>
      <c r="H495" s="9" t="s">
        <v>2263</v>
      </c>
      <c r="I495" s="4" t="s">
        <v>2317</v>
      </c>
      <c r="J495" s="4" t="s">
        <v>2316</v>
      </c>
      <c r="K495" s="4" t="s">
        <v>2263</v>
      </c>
      <c r="L495" s="10">
        <v>1</v>
      </c>
      <c r="M495" s="5">
        <v>20000</v>
      </c>
      <c r="N495" s="5">
        <v>20000</v>
      </c>
    </row>
    <row r="496" spans="1:14" x14ac:dyDescent="0.25">
      <c r="A496" s="4" t="s">
        <v>2673</v>
      </c>
      <c r="B496" s="4" t="s">
        <v>2672</v>
      </c>
      <c r="C496" s="4" t="s">
        <v>2320</v>
      </c>
      <c r="D496" s="4" t="s">
        <v>242</v>
      </c>
      <c r="E496" s="4" t="s">
        <v>2723</v>
      </c>
      <c r="F496" s="4" t="s">
        <v>2722</v>
      </c>
      <c r="G496" s="4" t="s">
        <v>2263</v>
      </c>
      <c r="H496" s="9" t="s">
        <v>2263</v>
      </c>
      <c r="I496" s="4" t="s">
        <v>2317</v>
      </c>
      <c r="J496" s="4" t="s">
        <v>2316</v>
      </c>
      <c r="K496" s="4" t="s">
        <v>2263</v>
      </c>
      <c r="L496" s="10">
        <v>1</v>
      </c>
      <c r="M496" s="5">
        <v>20000</v>
      </c>
      <c r="N496" s="5">
        <v>20000</v>
      </c>
    </row>
    <row r="497" spans="1:14" x14ac:dyDescent="0.25">
      <c r="A497" s="4" t="s">
        <v>3801</v>
      </c>
      <c r="B497" s="4" t="s">
        <v>4965</v>
      </c>
      <c r="C497" s="4" t="s">
        <v>2384</v>
      </c>
      <c r="D497" s="4" t="s">
        <v>262</v>
      </c>
      <c r="E497" s="4" t="s">
        <v>3020</v>
      </c>
      <c r="F497" s="4" t="s">
        <v>3019</v>
      </c>
      <c r="G497" s="4" t="s">
        <v>2263</v>
      </c>
      <c r="H497" s="9" t="s">
        <v>2263</v>
      </c>
      <c r="I497" s="4" t="s">
        <v>2317</v>
      </c>
      <c r="J497" s="4" t="s">
        <v>2316</v>
      </c>
      <c r="K497" s="4" t="s">
        <v>2263</v>
      </c>
      <c r="L497" s="10">
        <v>1</v>
      </c>
      <c r="M497" s="5">
        <v>20138.673076923078</v>
      </c>
      <c r="N497" s="5">
        <v>20138.673076923082</v>
      </c>
    </row>
    <row r="498" spans="1:14" x14ac:dyDescent="0.25">
      <c r="A498" s="4" t="s">
        <v>2481</v>
      </c>
      <c r="B498" s="4" t="s">
        <v>3217</v>
      </c>
      <c r="C498" s="4" t="s">
        <v>2384</v>
      </c>
      <c r="D498" s="4" t="s">
        <v>262</v>
      </c>
      <c r="E498" s="4" t="s">
        <v>3020</v>
      </c>
      <c r="F498" s="4" t="s">
        <v>3019</v>
      </c>
      <c r="G498" s="4" t="s">
        <v>2263</v>
      </c>
      <c r="H498" s="9" t="s">
        <v>2263</v>
      </c>
      <c r="I498" s="4" t="s">
        <v>2317</v>
      </c>
      <c r="J498" s="4" t="s">
        <v>2316</v>
      </c>
      <c r="K498" s="4" t="s">
        <v>2263</v>
      </c>
      <c r="L498" s="10">
        <v>1</v>
      </c>
      <c r="M498" s="5">
        <v>20138.673076923078</v>
      </c>
      <c r="N498" s="5">
        <v>20138.673076923082</v>
      </c>
    </row>
    <row r="499" spans="1:14" x14ac:dyDescent="0.25">
      <c r="A499" s="4" t="s">
        <v>2384</v>
      </c>
      <c r="B499" s="4" t="s">
        <v>3187</v>
      </c>
      <c r="C499" s="4" t="s">
        <v>2384</v>
      </c>
      <c r="D499" s="4" t="s">
        <v>262</v>
      </c>
      <c r="E499" s="4" t="s">
        <v>3020</v>
      </c>
      <c r="F499" s="4" t="s">
        <v>3019</v>
      </c>
      <c r="G499" s="4" t="s">
        <v>2263</v>
      </c>
      <c r="H499" s="9" t="s">
        <v>2263</v>
      </c>
      <c r="I499" s="4" t="s">
        <v>2317</v>
      </c>
      <c r="J499" s="4" t="s">
        <v>2316</v>
      </c>
      <c r="K499" s="4" t="s">
        <v>2263</v>
      </c>
      <c r="L499" s="10">
        <v>1</v>
      </c>
      <c r="M499" s="5">
        <v>20138.673076923078</v>
      </c>
      <c r="N499" s="5">
        <v>20138.673076923082</v>
      </c>
    </row>
    <row r="500" spans="1:14" x14ac:dyDescent="0.25">
      <c r="A500" s="4" t="s">
        <v>3104</v>
      </c>
      <c r="B500" s="4" t="s">
        <v>3103</v>
      </c>
      <c r="C500" s="4" t="s">
        <v>2384</v>
      </c>
      <c r="D500" s="4" t="s">
        <v>262</v>
      </c>
      <c r="E500" s="4" t="s">
        <v>3020</v>
      </c>
      <c r="F500" s="4" t="s">
        <v>3019</v>
      </c>
      <c r="G500" s="4" t="s">
        <v>2263</v>
      </c>
      <c r="H500" s="9" t="s">
        <v>2263</v>
      </c>
      <c r="I500" s="4" t="s">
        <v>2317</v>
      </c>
      <c r="J500" s="4" t="s">
        <v>2316</v>
      </c>
      <c r="K500" s="4" t="s">
        <v>2263</v>
      </c>
      <c r="L500" s="10">
        <v>1</v>
      </c>
      <c r="M500" s="5">
        <v>20138.673076923078</v>
      </c>
      <c r="N500" s="5">
        <v>20138.673076923082</v>
      </c>
    </row>
    <row r="501" spans="1:14" x14ac:dyDescent="0.25">
      <c r="A501" s="4" t="s">
        <v>3063</v>
      </c>
      <c r="B501" s="4" t="s">
        <v>3062</v>
      </c>
      <c r="C501" s="4" t="s">
        <v>2384</v>
      </c>
      <c r="D501" s="4" t="s">
        <v>262</v>
      </c>
      <c r="E501" s="4" t="s">
        <v>3020</v>
      </c>
      <c r="F501" s="4" t="s">
        <v>3019</v>
      </c>
      <c r="G501" s="4" t="s">
        <v>2263</v>
      </c>
      <c r="H501" s="9" t="s">
        <v>2263</v>
      </c>
      <c r="I501" s="4" t="s">
        <v>2317</v>
      </c>
      <c r="J501" s="4" t="s">
        <v>2316</v>
      </c>
      <c r="K501" s="4" t="s">
        <v>2263</v>
      </c>
      <c r="L501" s="10">
        <v>1</v>
      </c>
      <c r="M501" s="5">
        <v>20138.673076923078</v>
      </c>
      <c r="N501" s="5">
        <v>20138.673076923082</v>
      </c>
    </row>
    <row r="502" spans="1:14" x14ac:dyDescent="0.25">
      <c r="A502" s="4" t="s">
        <v>3022</v>
      </c>
      <c r="B502" s="4" t="s">
        <v>3021</v>
      </c>
      <c r="C502" s="4" t="s">
        <v>2384</v>
      </c>
      <c r="D502" s="4" t="s">
        <v>262</v>
      </c>
      <c r="E502" s="4" t="s">
        <v>3020</v>
      </c>
      <c r="F502" s="4" t="s">
        <v>3019</v>
      </c>
      <c r="G502" s="4" t="s">
        <v>2263</v>
      </c>
      <c r="H502" s="9" t="s">
        <v>2263</v>
      </c>
      <c r="I502" s="4" t="s">
        <v>2317</v>
      </c>
      <c r="J502" s="4" t="s">
        <v>2316</v>
      </c>
      <c r="K502" s="4" t="s">
        <v>2263</v>
      </c>
      <c r="L502" s="10">
        <v>1</v>
      </c>
      <c r="M502" s="5">
        <v>20138.673076923078</v>
      </c>
      <c r="N502" s="5">
        <v>20138.673076923082</v>
      </c>
    </row>
    <row r="503" spans="1:14" x14ac:dyDescent="0.25">
      <c r="A503" s="4" t="s">
        <v>2653</v>
      </c>
      <c r="B503" s="4" t="s">
        <v>3226</v>
      </c>
      <c r="C503" s="4" t="s">
        <v>2353</v>
      </c>
      <c r="D503" s="4" t="s">
        <v>258</v>
      </c>
      <c r="E503" s="4" t="s">
        <v>3252</v>
      </c>
      <c r="F503" s="4" t="s">
        <v>3251</v>
      </c>
      <c r="G503" s="4" t="s">
        <v>2263</v>
      </c>
      <c r="H503" s="9" t="s">
        <v>2263</v>
      </c>
      <c r="I503" s="4" t="s">
        <v>2317</v>
      </c>
      <c r="J503" s="4" t="s">
        <v>2316</v>
      </c>
      <c r="K503" s="4" t="s">
        <v>2263</v>
      </c>
      <c r="L503" s="10">
        <v>1</v>
      </c>
      <c r="M503" s="5">
        <v>21897.47</v>
      </c>
      <c r="N503" s="5">
        <v>21897.47</v>
      </c>
    </row>
    <row r="504" spans="1:14" x14ac:dyDescent="0.25">
      <c r="A504" s="4" t="s">
        <v>2344</v>
      </c>
      <c r="B504" s="4" t="s">
        <v>5154</v>
      </c>
      <c r="C504" s="4" t="s">
        <v>2320</v>
      </c>
      <c r="D504" s="4" t="s">
        <v>242</v>
      </c>
      <c r="E504" s="4" t="s">
        <v>4051</v>
      </c>
      <c r="F504" s="4" t="s">
        <v>4050</v>
      </c>
      <c r="G504" s="4" t="s">
        <v>2263</v>
      </c>
      <c r="H504" s="9" t="s">
        <v>2263</v>
      </c>
      <c r="I504" s="4" t="s">
        <v>2317</v>
      </c>
      <c r="J504" s="4" t="s">
        <v>2316</v>
      </c>
      <c r="K504" s="4" t="s">
        <v>2263</v>
      </c>
      <c r="L504" s="10">
        <v>1</v>
      </c>
      <c r="M504" s="5">
        <v>21998.666666666668</v>
      </c>
      <c r="N504" s="5">
        <v>21998.666666666672</v>
      </c>
    </row>
    <row r="505" spans="1:14" x14ac:dyDescent="0.25">
      <c r="A505" s="4" t="s">
        <v>3801</v>
      </c>
      <c r="B505" s="4" t="s">
        <v>4965</v>
      </c>
      <c r="C505" s="4" t="s">
        <v>2344</v>
      </c>
      <c r="D505" s="4" t="s">
        <v>237</v>
      </c>
      <c r="E505" s="4" t="s">
        <v>2746</v>
      </c>
      <c r="F505" s="4" t="s">
        <v>2745</v>
      </c>
      <c r="G505" s="4" t="s">
        <v>2263</v>
      </c>
      <c r="H505" s="9" t="s">
        <v>2263</v>
      </c>
      <c r="I505" s="4" t="s">
        <v>2263</v>
      </c>
      <c r="J505" s="4" t="s">
        <v>2263</v>
      </c>
      <c r="K505" s="4" t="s">
        <v>2744</v>
      </c>
      <c r="L505" s="10">
        <v>1</v>
      </c>
      <c r="M505" s="5">
        <v>22077.166666666668</v>
      </c>
      <c r="N505" s="5">
        <v>22077.166666666672</v>
      </c>
    </row>
    <row r="506" spans="1:14" x14ac:dyDescent="0.25">
      <c r="A506" s="4" t="s">
        <v>2481</v>
      </c>
      <c r="B506" s="4" t="s">
        <v>3217</v>
      </c>
      <c r="C506" s="4" t="s">
        <v>2344</v>
      </c>
      <c r="D506" s="4" t="s">
        <v>237</v>
      </c>
      <c r="E506" s="4" t="s">
        <v>2746</v>
      </c>
      <c r="F506" s="4" t="s">
        <v>2745</v>
      </c>
      <c r="G506" s="4" t="s">
        <v>2263</v>
      </c>
      <c r="H506" s="9" t="s">
        <v>2263</v>
      </c>
      <c r="I506" s="4" t="s">
        <v>2263</v>
      </c>
      <c r="J506" s="4" t="s">
        <v>2263</v>
      </c>
      <c r="K506" s="4" t="s">
        <v>2744</v>
      </c>
      <c r="L506" s="10">
        <v>1</v>
      </c>
      <c r="M506" s="5">
        <v>22077.166666666668</v>
      </c>
      <c r="N506" s="5">
        <v>22077.166666666672</v>
      </c>
    </row>
    <row r="507" spans="1:14" x14ac:dyDescent="0.25">
      <c r="A507" s="4" t="s">
        <v>3196</v>
      </c>
      <c r="B507" s="4" t="s">
        <v>3195</v>
      </c>
      <c r="C507" s="4" t="s">
        <v>2344</v>
      </c>
      <c r="D507" s="4" t="s">
        <v>237</v>
      </c>
      <c r="E507" s="4" t="s">
        <v>2746</v>
      </c>
      <c r="F507" s="4" t="s">
        <v>2745</v>
      </c>
      <c r="G507" s="4" t="s">
        <v>2263</v>
      </c>
      <c r="H507" s="9" t="s">
        <v>2263</v>
      </c>
      <c r="I507" s="4" t="s">
        <v>2263</v>
      </c>
      <c r="J507" s="4" t="s">
        <v>2263</v>
      </c>
      <c r="K507" s="4" t="s">
        <v>2744</v>
      </c>
      <c r="L507" s="10">
        <v>1</v>
      </c>
      <c r="M507" s="5">
        <v>22077.166666666668</v>
      </c>
      <c r="N507" s="5">
        <v>22077.166666666672</v>
      </c>
    </row>
    <row r="508" spans="1:14" x14ac:dyDescent="0.25">
      <c r="A508" s="4" t="s">
        <v>2384</v>
      </c>
      <c r="B508" s="4" t="s">
        <v>3187</v>
      </c>
      <c r="C508" s="4" t="s">
        <v>2344</v>
      </c>
      <c r="D508" s="4" t="s">
        <v>237</v>
      </c>
      <c r="E508" s="4" t="s">
        <v>2746</v>
      </c>
      <c r="F508" s="4" t="s">
        <v>2745</v>
      </c>
      <c r="G508" s="4" t="s">
        <v>2263</v>
      </c>
      <c r="H508" s="9" t="s">
        <v>2263</v>
      </c>
      <c r="I508" s="4" t="s">
        <v>2263</v>
      </c>
      <c r="J508" s="4" t="s">
        <v>2263</v>
      </c>
      <c r="K508" s="4" t="s">
        <v>2744</v>
      </c>
      <c r="L508" s="10">
        <v>1</v>
      </c>
      <c r="M508" s="5">
        <v>22077.166666666668</v>
      </c>
      <c r="N508" s="5">
        <v>22077.166666666672</v>
      </c>
    </row>
    <row r="509" spans="1:14" x14ac:dyDescent="0.25">
      <c r="A509" s="4" t="s">
        <v>3174</v>
      </c>
      <c r="B509" s="4" t="s">
        <v>3173</v>
      </c>
      <c r="C509" s="4" t="s">
        <v>2344</v>
      </c>
      <c r="D509" s="4" t="s">
        <v>237</v>
      </c>
      <c r="E509" s="4" t="s">
        <v>2746</v>
      </c>
      <c r="F509" s="4" t="s">
        <v>2745</v>
      </c>
      <c r="G509" s="4" t="s">
        <v>2263</v>
      </c>
      <c r="H509" s="9" t="s">
        <v>2263</v>
      </c>
      <c r="I509" s="4" t="s">
        <v>2263</v>
      </c>
      <c r="J509" s="4" t="s">
        <v>2263</v>
      </c>
      <c r="K509" s="4" t="s">
        <v>2744</v>
      </c>
      <c r="L509" s="10">
        <v>1</v>
      </c>
      <c r="M509" s="5">
        <v>22077.166666666668</v>
      </c>
      <c r="N509" s="5">
        <v>22077.166666666672</v>
      </c>
    </row>
    <row r="510" spans="1:14" x14ac:dyDescent="0.25">
      <c r="A510" s="4" t="s">
        <v>3157</v>
      </c>
      <c r="B510" s="4" t="s">
        <v>3156</v>
      </c>
      <c r="C510" s="4" t="s">
        <v>2344</v>
      </c>
      <c r="D510" s="4" t="s">
        <v>237</v>
      </c>
      <c r="E510" s="4" t="s">
        <v>2746</v>
      </c>
      <c r="F510" s="4" t="s">
        <v>2745</v>
      </c>
      <c r="G510" s="4" t="s">
        <v>2263</v>
      </c>
      <c r="H510" s="9" t="s">
        <v>2263</v>
      </c>
      <c r="I510" s="4" t="s">
        <v>2263</v>
      </c>
      <c r="J510" s="4" t="s">
        <v>2263</v>
      </c>
      <c r="K510" s="4" t="s">
        <v>2744</v>
      </c>
      <c r="L510" s="10">
        <v>1</v>
      </c>
      <c r="M510" s="5">
        <v>22077.166666666668</v>
      </c>
      <c r="N510" s="5">
        <v>22077.166666666672</v>
      </c>
    </row>
    <row r="511" spans="1:14" x14ac:dyDescent="0.25">
      <c r="A511" s="4" t="s">
        <v>3104</v>
      </c>
      <c r="B511" s="4" t="s">
        <v>3103</v>
      </c>
      <c r="C511" s="4" t="s">
        <v>2344</v>
      </c>
      <c r="D511" s="4" t="s">
        <v>237</v>
      </c>
      <c r="E511" s="4" t="s">
        <v>2746</v>
      </c>
      <c r="F511" s="4" t="s">
        <v>2745</v>
      </c>
      <c r="G511" s="4" t="s">
        <v>2263</v>
      </c>
      <c r="H511" s="9" t="s">
        <v>2263</v>
      </c>
      <c r="I511" s="4" t="s">
        <v>2263</v>
      </c>
      <c r="J511" s="4" t="s">
        <v>2263</v>
      </c>
      <c r="K511" s="4" t="s">
        <v>2744</v>
      </c>
      <c r="L511" s="10">
        <v>1</v>
      </c>
      <c r="M511" s="5">
        <v>22077.166666666668</v>
      </c>
      <c r="N511" s="5">
        <v>22077.166666666672</v>
      </c>
    </row>
    <row r="512" spans="1:14" x14ac:dyDescent="0.25">
      <c r="A512" s="4" t="s">
        <v>3063</v>
      </c>
      <c r="B512" s="4" t="s">
        <v>3062</v>
      </c>
      <c r="C512" s="4" t="s">
        <v>2344</v>
      </c>
      <c r="D512" s="4" t="s">
        <v>237</v>
      </c>
      <c r="E512" s="4" t="s">
        <v>2746</v>
      </c>
      <c r="F512" s="4" t="s">
        <v>2745</v>
      </c>
      <c r="G512" s="4" t="s">
        <v>2263</v>
      </c>
      <c r="H512" s="9" t="s">
        <v>2263</v>
      </c>
      <c r="I512" s="4" t="s">
        <v>2263</v>
      </c>
      <c r="J512" s="4" t="s">
        <v>2263</v>
      </c>
      <c r="K512" s="4" t="s">
        <v>2744</v>
      </c>
      <c r="L512" s="10">
        <v>1</v>
      </c>
      <c r="M512" s="5">
        <v>22077.166666666668</v>
      </c>
      <c r="N512" s="5">
        <v>22077.166666666672</v>
      </c>
    </row>
    <row r="513" spans="1:14" x14ac:dyDescent="0.25">
      <c r="A513" s="4" t="s">
        <v>3051</v>
      </c>
      <c r="B513" s="4" t="s">
        <v>3050</v>
      </c>
      <c r="C513" s="4" t="s">
        <v>2344</v>
      </c>
      <c r="D513" s="4" t="s">
        <v>237</v>
      </c>
      <c r="E513" s="4" t="s">
        <v>2746</v>
      </c>
      <c r="F513" s="4" t="s">
        <v>2745</v>
      </c>
      <c r="G513" s="4" t="s">
        <v>2263</v>
      </c>
      <c r="H513" s="9" t="s">
        <v>2263</v>
      </c>
      <c r="I513" s="4" t="s">
        <v>2263</v>
      </c>
      <c r="J513" s="4" t="s">
        <v>2263</v>
      </c>
      <c r="K513" s="4" t="s">
        <v>2744</v>
      </c>
      <c r="L513" s="10">
        <v>1</v>
      </c>
      <c r="M513" s="5">
        <v>22077.166666666668</v>
      </c>
      <c r="N513" s="5">
        <v>22077.166666666672</v>
      </c>
    </row>
    <row r="514" spans="1:14" x14ac:dyDescent="0.25">
      <c r="A514" s="4" t="s">
        <v>3024</v>
      </c>
      <c r="B514" s="4" t="s">
        <v>3023</v>
      </c>
      <c r="C514" s="4" t="s">
        <v>2344</v>
      </c>
      <c r="D514" s="4" t="s">
        <v>237</v>
      </c>
      <c r="E514" s="4" t="s">
        <v>2746</v>
      </c>
      <c r="F514" s="4" t="s">
        <v>2745</v>
      </c>
      <c r="G514" s="4" t="s">
        <v>2263</v>
      </c>
      <c r="H514" s="9" t="s">
        <v>2263</v>
      </c>
      <c r="I514" s="4" t="s">
        <v>2263</v>
      </c>
      <c r="J514" s="4" t="s">
        <v>2263</v>
      </c>
      <c r="K514" s="4" t="s">
        <v>2744</v>
      </c>
      <c r="L514" s="10">
        <v>1</v>
      </c>
      <c r="M514" s="5">
        <v>22077.166666666668</v>
      </c>
      <c r="N514" s="5">
        <v>22077.166666666672</v>
      </c>
    </row>
    <row r="515" spans="1:14" x14ac:dyDescent="0.25">
      <c r="A515" s="4" t="s">
        <v>2673</v>
      </c>
      <c r="B515" s="4" t="s">
        <v>2672</v>
      </c>
      <c r="C515" s="4" t="s">
        <v>2344</v>
      </c>
      <c r="D515" s="4" t="s">
        <v>237</v>
      </c>
      <c r="E515" s="4" t="s">
        <v>2746</v>
      </c>
      <c r="F515" s="4" t="s">
        <v>2745</v>
      </c>
      <c r="G515" s="4" t="s">
        <v>2263</v>
      </c>
      <c r="H515" s="9" t="s">
        <v>2263</v>
      </c>
      <c r="I515" s="4" t="s">
        <v>2263</v>
      </c>
      <c r="J515" s="4" t="s">
        <v>2263</v>
      </c>
      <c r="K515" s="4" t="s">
        <v>2744</v>
      </c>
      <c r="L515" s="10">
        <v>1</v>
      </c>
      <c r="M515" s="5">
        <v>22077.166666666668</v>
      </c>
      <c r="N515" s="5">
        <v>22077.166666666672</v>
      </c>
    </row>
    <row r="516" spans="1:14" x14ac:dyDescent="0.25">
      <c r="A516" s="4" t="s">
        <v>2915</v>
      </c>
      <c r="B516" s="4" t="s">
        <v>2914</v>
      </c>
      <c r="C516" s="4" t="s">
        <v>2344</v>
      </c>
      <c r="D516" s="4" t="s">
        <v>237</v>
      </c>
      <c r="E516" s="4" t="s">
        <v>2926</v>
      </c>
      <c r="F516" s="4" t="s">
        <v>2925</v>
      </c>
      <c r="G516" s="4" t="s">
        <v>2263</v>
      </c>
      <c r="H516" s="9" t="s">
        <v>2263</v>
      </c>
      <c r="I516" s="4" t="s">
        <v>2263</v>
      </c>
      <c r="J516" s="4" t="s">
        <v>2263</v>
      </c>
      <c r="K516" s="4" t="s">
        <v>2924</v>
      </c>
      <c r="L516" s="10">
        <v>1</v>
      </c>
      <c r="M516" s="5">
        <v>22303.329230769228</v>
      </c>
      <c r="N516" s="5">
        <v>22303.329230769232</v>
      </c>
    </row>
    <row r="517" spans="1:14" x14ac:dyDescent="0.25">
      <c r="A517" s="4" t="s">
        <v>2320</v>
      </c>
      <c r="B517" s="4" t="s">
        <v>4967</v>
      </c>
      <c r="C517" s="4" t="s">
        <v>2320</v>
      </c>
      <c r="D517" s="4" t="s">
        <v>242</v>
      </c>
      <c r="E517" s="4" t="s">
        <v>5047</v>
      </c>
      <c r="F517" s="4" t="s">
        <v>5046</v>
      </c>
      <c r="G517" s="4" t="s">
        <v>2263</v>
      </c>
      <c r="H517" s="9" t="s">
        <v>2263</v>
      </c>
      <c r="I517" s="4" t="s">
        <v>2317</v>
      </c>
      <c r="J517" s="4" t="s">
        <v>2316</v>
      </c>
      <c r="K517" s="4" t="s">
        <v>2263</v>
      </c>
      <c r="L517" s="10">
        <v>1</v>
      </c>
      <c r="M517" s="5">
        <v>22724.23</v>
      </c>
      <c r="N517" s="5">
        <v>22724.23</v>
      </c>
    </row>
    <row r="518" spans="1:14" x14ac:dyDescent="0.25">
      <c r="A518" s="4" t="s">
        <v>2915</v>
      </c>
      <c r="B518" s="4" t="s">
        <v>2914</v>
      </c>
      <c r="C518" s="4" t="s">
        <v>2344</v>
      </c>
      <c r="D518" s="4" t="s">
        <v>237</v>
      </c>
      <c r="E518" s="4" t="s">
        <v>2920</v>
      </c>
      <c r="F518" s="4" t="s">
        <v>2919</v>
      </c>
      <c r="G518" s="4" t="s">
        <v>2263</v>
      </c>
      <c r="H518" s="9" t="s">
        <v>2263</v>
      </c>
      <c r="I518" s="4" t="s">
        <v>2263</v>
      </c>
      <c r="J518" s="4" t="s">
        <v>2263</v>
      </c>
      <c r="K518" s="4" t="s">
        <v>2918</v>
      </c>
      <c r="L518" s="10">
        <v>1</v>
      </c>
      <c r="M518" s="5">
        <v>22789</v>
      </c>
      <c r="N518" s="5">
        <v>22789</v>
      </c>
    </row>
    <row r="519" spans="1:14" x14ac:dyDescent="0.25">
      <c r="A519" s="4" t="s">
        <v>2915</v>
      </c>
      <c r="B519" s="4" t="s">
        <v>2914</v>
      </c>
      <c r="C519" s="4" t="s">
        <v>2344</v>
      </c>
      <c r="D519" s="4" t="s">
        <v>237</v>
      </c>
      <c r="E519" s="4" t="s">
        <v>2923</v>
      </c>
      <c r="F519" s="4" t="s">
        <v>2922</v>
      </c>
      <c r="G519" s="4" t="s">
        <v>2263</v>
      </c>
      <c r="H519" s="9" t="s">
        <v>2263</v>
      </c>
      <c r="I519" s="4" t="s">
        <v>2263</v>
      </c>
      <c r="J519" s="4" t="s">
        <v>2263</v>
      </c>
      <c r="K519" s="4" t="s">
        <v>2921</v>
      </c>
      <c r="L519" s="10">
        <v>1</v>
      </c>
      <c r="M519" s="5">
        <v>22993.14</v>
      </c>
      <c r="N519" s="5">
        <v>22993.14</v>
      </c>
    </row>
    <row r="520" spans="1:14" x14ac:dyDescent="0.25">
      <c r="A520" s="4" t="s">
        <v>2320</v>
      </c>
      <c r="B520" s="4" t="s">
        <v>4967</v>
      </c>
      <c r="C520" s="4" t="s">
        <v>2320</v>
      </c>
      <c r="D520" s="4" t="s">
        <v>242</v>
      </c>
      <c r="E520" s="4" t="s">
        <v>2877</v>
      </c>
      <c r="F520" s="4" t="s">
        <v>2876</v>
      </c>
      <c r="G520" s="4" t="s">
        <v>2263</v>
      </c>
      <c r="H520" s="9" t="s">
        <v>2263</v>
      </c>
      <c r="I520" s="4" t="s">
        <v>2317</v>
      </c>
      <c r="J520" s="4" t="s">
        <v>2316</v>
      </c>
      <c r="K520" s="4" t="s">
        <v>2263</v>
      </c>
      <c r="L520" s="10">
        <v>1</v>
      </c>
      <c r="M520" s="5">
        <v>26231.993161764709</v>
      </c>
      <c r="N520" s="5">
        <v>26231.993161764709</v>
      </c>
    </row>
    <row r="521" spans="1:14" x14ac:dyDescent="0.25">
      <c r="A521" s="4" t="s">
        <v>2911</v>
      </c>
      <c r="B521" s="4" t="s">
        <v>2910</v>
      </c>
      <c r="C521" s="4" t="s">
        <v>2320</v>
      </c>
      <c r="D521" s="4" t="s">
        <v>242</v>
      </c>
      <c r="E521" s="4" t="s">
        <v>2877</v>
      </c>
      <c r="F521" s="4" t="s">
        <v>2876</v>
      </c>
      <c r="G521" s="4" t="s">
        <v>2263</v>
      </c>
      <c r="H521" s="9" t="s">
        <v>2263</v>
      </c>
      <c r="I521" s="4" t="s">
        <v>2317</v>
      </c>
      <c r="J521" s="4" t="s">
        <v>2316</v>
      </c>
      <c r="K521" s="4" t="s">
        <v>2263</v>
      </c>
      <c r="L521" s="10">
        <v>1</v>
      </c>
      <c r="M521" s="5">
        <v>26231.993161764709</v>
      </c>
      <c r="N521" s="5">
        <v>26231.993161764709</v>
      </c>
    </row>
    <row r="522" spans="1:14" x14ac:dyDescent="0.25">
      <c r="A522" s="4" t="s">
        <v>2930</v>
      </c>
      <c r="B522" s="4" t="s">
        <v>2929</v>
      </c>
      <c r="C522" s="4" t="s">
        <v>2320</v>
      </c>
      <c r="D522" s="4" t="s">
        <v>242</v>
      </c>
      <c r="E522" s="4" t="s">
        <v>2958</v>
      </c>
      <c r="F522" s="4" t="s">
        <v>2957</v>
      </c>
      <c r="G522" s="4" t="s">
        <v>2263</v>
      </c>
      <c r="H522" s="9" t="s">
        <v>2263</v>
      </c>
      <c r="I522" s="4" t="s">
        <v>2317</v>
      </c>
      <c r="J522" s="4" t="s">
        <v>2316</v>
      </c>
      <c r="K522" s="4" t="s">
        <v>2263</v>
      </c>
      <c r="L522" s="10">
        <v>1</v>
      </c>
      <c r="M522" s="5">
        <v>26450</v>
      </c>
      <c r="N522" s="5">
        <v>26450</v>
      </c>
    </row>
    <row r="523" spans="1:14" x14ac:dyDescent="0.25">
      <c r="A523" s="4" t="s">
        <v>2320</v>
      </c>
      <c r="B523" s="4" t="s">
        <v>4967</v>
      </c>
      <c r="C523" s="4" t="s">
        <v>2344</v>
      </c>
      <c r="D523" s="4" t="s">
        <v>237</v>
      </c>
      <c r="E523" s="4" t="s">
        <v>4638</v>
      </c>
      <c r="F523" s="4" t="s">
        <v>4517</v>
      </c>
      <c r="G523" s="4" t="s">
        <v>2263</v>
      </c>
      <c r="H523" s="9" t="s">
        <v>2263</v>
      </c>
      <c r="I523" s="4" t="s">
        <v>2263</v>
      </c>
      <c r="J523" s="4" t="s">
        <v>2263</v>
      </c>
      <c r="K523" s="4" t="s">
        <v>2465</v>
      </c>
      <c r="L523" s="10">
        <v>1</v>
      </c>
      <c r="M523" s="5">
        <v>26826.743333333332</v>
      </c>
      <c r="N523" s="5">
        <v>26826.743333333328</v>
      </c>
    </row>
    <row r="524" spans="1:14" x14ac:dyDescent="0.25">
      <c r="A524" s="4" t="s">
        <v>2317</v>
      </c>
      <c r="B524" s="4" t="s">
        <v>3839</v>
      </c>
      <c r="C524" s="4" t="s">
        <v>2320</v>
      </c>
      <c r="D524" s="4" t="s">
        <v>242</v>
      </c>
      <c r="E524" s="4" t="s">
        <v>4029</v>
      </c>
      <c r="F524" s="4" t="s">
        <v>4028</v>
      </c>
      <c r="G524" s="4" t="s">
        <v>2263</v>
      </c>
      <c r="H524" s="9" t="s">
        <v>2263</v>
      </c>
      <c r="I524" s="4" t="s">
        <v>2317</v>
      </c>
      <c r="J524" s="4" t="s">
        <v>2316</v>
      </c>
      <c r="K524" s="4" t="s">
        <v>2263</v>
      </c>
      <c r="L524" s="10">
        <v>1</v>
      </c>
      <c r="M524" s="5">
        <v>28000</v>
      </c>
      <c r="N524" s="5">
        <v>28000</v>
      </c>
    </row>
    <row r="525" spans="1:14" x14ac:dyDescent="0.25">
      <c r="A525" s="4" t="s">
        <v>2320</v>
      </c>
      <c r="B525" s="4" t="s">
        <v>4967</v>
      </c>
      <c r="C525" s="4" t="s">
        <v>2320</v>
      </c>
      <c r="D525" s="4" t="s">
        <v>242</v>
      </c>
      <c r="E525" s="4" t="s">
        <v>3893</v>
      </c>
      <c r="F525" s="4" t="s">
        <v>3892</v>
      </c>
      <c r="G525" s="4" t="s">
        <v>2263</v>
      </c>
      <c r="H525" s="9" t="s">
        <v>2263</v>
      </c>
      <c r="I525" s="4" t="s">
        <v>2317</v>
      </c>
      <c r="J525" s="4" t="s">
        <v>2316</v>
      </c>
      <c r="K525" s="4" t="s">
        <v>2263</v>
      </c>
      <c r="L525" s="10">
        <v>1</v>
      </c>
      <c r="M525" s="5">
        <v>28220.3</v>
      </c>
      <c r="N525" s="5">
        <v>28220.3</v>
      </c>
    </row>
    <row r="526" spans="1:14" x14ac:dyDescent="0.25">
      <c r="A526" s="4" t="s">
        <v>2930</v>
      </c>
      <c r="B526" s="4" t="s">
        <v>2929</v>
      </c>
      <c r="C526" s="4" t="s">
        <v>2320</v>
      </c>
      <c r="D526" s="4" t="s">
        <v>242</v>
      </c>
      <c r="E526" s="4" t="s">
        <v>3016</v>
      </c>
      <c r="F526" s="4" t="s">
        <v>3015</v>
      </c>
      <c r="G526" s="4" t="s">
        <v>2263</v>
      </c>
      <c r="H526" s="9" t="s">
        <v>2263</v>
      </c>
      <c r="I526" s="4" t="s">
        <v>2317</v>
      </c>
      <c r="J526" s="4" t="s">
        <v>2316</v>
      </c>
      <c r="K526" s="4" t="s">
        <v>2263</v>
      </c>
      <c r="L526" s="10">
        <v>1</v>
      </c>
      <c r="M526" s="5">
        <v>28816.730454545454</v>
      </c>
      <c r="N526" s="5">
        <v>28816.73045454545</v>
      </c>
    </row>
    <row r="527" spans="1:14" x14ac:dyDescent="0.25">
      <c r="A527" s="4" t="s">
        <v>2274</v>
      </c>
      <c r="B527" s="4" t="s">
        <v>4348</v>
      </c>
      <c r="C527" s="4" t="s">
        <v>2274</v>
      </c>
      <c r="D527" s="4" t="s">
        <v>2273</v>
      </c>
      <c r="E527" s="4" t="s">
        <v>4463</v>
      </c>
      <c r="F527" s="4" t="s">
        <v>4462</v>
      </c>
      <c r="G527" s="4" t="s">
        <v>2263</v>
      </c>
      <c r="H527" s="9" t="s">
        <v>2263</v>
      </c>
      <c r="I527" s="4" t="s">
        <v>2263</v>
      </c>
      <c r="J527" s="4" t="s">
        <v>2263</v>
      </c>
      <c r="K527" s="4" t="s">
        <v>4461</v>
      </c>
      <c r="L527" s="10">
        <v>1</v>
      </c>
      <c r="M527" s="5">
        <v>29002.833333333332</v>
      </c>
      <c r="N527" s="5">
        <v>29002.833333333328</v>
      </c>
    </row>
    <row r="528" spans="1:14" x14ac:dyDescent="0.25">
      <c r="A528" s="4" t="s">
        <v>2930</v>
      </c>
      <c r="B528" s="4" t="s">
        <v>2929</v>
      </c>
      <c r="C528" s="4" t="s">
        <v>2320</v>
      </c>
      <c r="D528" s="4" t="s">
        <v>242</v>
      </c>
      <c r="E528" s="4" t="s">
        <v>2938</v>
      </c>
      <c r="F528" s="4" t="s">
        <v>2937</v>
      </c>
      <c r="G528" s="4" t="s">
        <v>2263</v>
      </c>
      <c r="H528" s="9" t="s">
        <v>2263</v>
      </c>
      <c r="I528" s="4" t="s">
        <v>2317</v>
      </c>
      <c r="J528" s="4" t="s">
        <v>2316</v>
      </c>
      <c r="K528" s="4" t="s">
        <v>2263</v>
      </c>
      <c r="L528" s="10">
        <v>1</v>
      </c>
      <c r="M528" s="5">
        <v>29199.5</v>
      </c>
      <c r="N528" s="5">
        <v>29199.5</v>
      </c>
    </row>
    <row r="529" spans="1:14" x14ac:dyDescent="0.25">
      <c r="A529" s="4" t="s">
        <v>2344</v>
      </c>
      <c r="B529" s="4" t="s">
        <v>5154</v>
      </c>
      <c r="C529" s="4" t="s">
        <v>2320</v>
      </c>
      <c r="D529" s="4" t="s">
        <v>242</v>
      </c>
      <c r="E529" s="4" t="s">
        <v>4317</v>
      </c>
      <c r="F529" s="4" t="s">
        <v>4316</v>
      </c>
      <c r="G529" s="4" t="s">
        <v>2263</v>
      </c>
      <c r="H529" s="9" t="s">
        <v>2263</v>
      </c>
      <c r="I529" s="4" t="s">
        <v>2317</v>
      </c>
      <c r="J529" s="4" t="s">
        <v>2316</v>
      </c>
      <c r="K529" s="4" t="s">
        <v>2263</v>
      </c>
      <c r="L529" s="10">
        <v>1</v>
      </c>
      <c r="M529" s="5">
        <v>29465</v>
      </c>
      <c r="N529" s="5">
        <v>29465</v>
      </c>
    </row>
    <row r="530" spans="1:14" x14ac:dyDescent="0.25">
      <c r="A530" s="4" t="s">
        <v>2653</v>
      </c>
      <c r="B530" s="4" t="s">
        <v>3226</v>
      </c>
      <c r="C530" s="4" t="s">
        <v>3801</v>
      </c>
      <c r="D530" s="4" t="s">
        <v>3800</v>
      </c>
      <c r="E530" s="4" t="s">
        <v>3807</v>
      </c>
      <c r="F530" s="4" t="s">
        <v>3806</v>
      </c>
      <c r="G530" s="4" t="s">
        <v>2263</v>
      </c>
      <c r="H530" s="9" t="s">
        <v>2263</v>
      </c>
      <c r="I530" s="4" t="s">
        <v>2317</v>
      </c>
      <c r="J530" s="4" t="s">
        <v>2316</v>
      </c>
      <c r="K530" s="4" t="s">
        <v>2263</v>
      </c>
      <c r="L530" s="10">
        <v>1</v>
      </c>
      <c r="M530" s="5">
        <v>29750</v>
      </c>
      <c r="N530" s="5">
        <v>29750</v>
      </c>
    </row>
    <row r="531" spans="1:14" x14ac:dyDescent="0.25">
      <c r="A531" s="4" t="s">
        <v>2653</v>
      </c>
      <c r="B531" s="4" t="s">
        <v>3226</v>
      </c>
      <c r="C531" s="4" t="s">
        <v>3801</v>
      </c>
      <c r="D531" s="4" t="s">
        <v>3800</v>
      </c>
      <c r="E531" s="4" t="s">
        <v>3805</v>
      </c>
      <c r="F531" s="4" t="s">
        <v>3804</v>
      </c>
      <c r="G531" s="4" t="s">
        <v>2263</v>
      </c>
      <c r="H531" s="9" t="s">
        <v>2263</v>
      </c>
      <c r="I531" s="4" t="s">
        <v>2317</v>
      </c>
      <c r="J531" s="4" t="s">
        <v>2316</v>
      </c>
      <c r="K531" s="4" t="s">
        <v>2263</v>
      </c>
      <c r="L531" s="10">
        <v>1</v>
      </c>
      <c r="M531" s="5">
        <v>29750</v>
      </c>
      <c r="N531" s="5">
        <v>29750</v>
      </c>
    </row>
    <row r="532" spans="1:14" x14ac:dyDescent="0.25">
      <c r="A532" s="4" t="s">
        <v>2653</v>
      </c>
      <c r="B532" s="4" t="s">
        <v>3226</v>
      </c>
      <c r="C532" s="4" t="s">
        <v>3801</v>
      </c>
      <c r="D532" s="4" t="s">
        <v>3800</v>
      </c>
      <c r="E532" s="4" t="s">
        <v>3803</v>
      </c>
      <c r="F532" s="4" t="s">
        <v>3802</v>
      </c>
      <c r="G532" s="4" t="s">
        <v>2263</v>
      </c>
      <c r="H532" s="9" t="s">
        <v>2263</v>
      </c>
      <c r="I532" s="4" t="s">
        <v>2317</v>
      </c>
      <c r="J532" s="4" t="s">
        <v>2316</v>
      </c>
      <c r="K532" s="4" t="s">
        <v>2263</v>
      </c>
      <c r="L532" s="10">
        <v>1</v>
      </c>
      <c r="M532" s="5">
        <v>29750</v>
      </c>
      <c r="N532" s="5">
        <v>29750</v>
      </c>
    </row>
    <row r="533" spans="1:14" x14ac:dyDescent="0.25">
      <c r="A533" s="4" t="s">
        <v>2930</v>
      </c>
      <c r="B533" s="4" t="s">
        <v>2929</v>
      </c>
      <c r="C533" s="4" t="s">
        <v>2320</v>
      </c>
      <c r="D533" s="4" t="s">
        <v>242</v>
      </c>
      <c r="E533" s="4" t="s">
        <v>2934</v>
      </c>
      <c r="F533" s="4" t="s">
        <v>2933</v>
      </c>
      <c r="G533" s="4" t="s">
        <v>2263</v>
      </c>
      <c r="H533" s="9" t="s">
        <v>2263</v>
      </c>
      <c r="I533" s="4" t="s">
        <v>2317</v>
      </c>
      <c r="J533" s="4" t="s">
        <v>2316</v>
      </c>
      <c r="K533" s="4" t="s">
        <v>2263</v>
      </c>
      <c r="L533" s="10">
        <v>1</v>
      </c>
      <c r="M533" s="5">
        <v>30601.716744186044</v>
      </c>
      <c r="N533" s="5">
        <v>30601.716744186051</v>
      </c>
    </row>
    <row r="534" spans="1:14" x14ac:dyDescent="0.25">
      <c r="A534" s="4" t="s">
        <v>2930</v>
      </c>
      <c r="B534" s="4" t="s">
        <v>2929</v>
      </c>
      <c r="C534" s="4" t="s">
        <v>2320</v>
      </c>
      <c r="D534" s="4" t="s">
        <v>242</v>
      </c>
      <c r="E534" s="4" t="s">
        <v>2998</v>
      </c>
      <c r="F534" s="4" t="s">
        <v>2997</v>
      </c>
      <c r="G534" s="4" t="s">
        <v>2263</v>
      </c>
      <c r="H534" s="9" t="s">
        <v>2263</v>
      </c>
      <c r="I534" s="4" t="s">
        <v>2317</v>
      </c>
      <c r="J534" s="4" t="s">
        <v>2316</v>
      </c>
      <c r="K534" s="4" t="s">
        <v>2263</v>
      </c>
      <c r="L534" s="10">
        <v>1</v>
      </c>
      <c r="M534" s="5">
        <v>31856.218620689655</v>
      </c>
      <c r="N534" s="5">
        <v>31856.218620689659</v>
      </c>
    </row>
    <row r="535" spans="1:14" x14ac:dyDescent="0.25">
      <c r="A535" s="4" t="s">
        <v>2653</v>
      </c>
      <c r="B535" s="4" t="s">
        <v>3226</v>
      </c>
      <c r="C535" s="4" t="s">
        <v>3107</v>
      </c>
      <c r="D535" s="4" t="s">
        <v>1105</v>
      </c>
      <c r="E535" s="4" t="s">
        <v>3667</v>
      </c>
      <c r="F535" s="4" t="s">
        <v>3666</v>
      </c>
      <c r="G535" s="4" t="s">
        <v>2263</v>
      </c>
      <c r="H535" s="9" t="s">
        <v>2263</v>
      </c>
      <c r="I535" s="4" t="s">
        <v>2317</v>
      </c>
      <c r="J535" s="4" t="s">
        <v>2316</v>
      </c>
      <c r="K535" s="4" t="s">
        <v>2263</v>
      </c>
      <c r="L535" s="10">
        <v>1</v>
      </c>
      <c r="M535" s="5">
        <v>32500</v>
      </c>
      <c r="N535" s="5">
        <v>32500</v>
      </c>
    </row>
    <row r="536" spans="1:14" x14ac:dyDescent="0.25">
      <c r="A536" s="4" t="s">
        <v>2344</v>
      </c>
      <c r="B536" s="4" t="s">
        <v>5154</v>
      </c>
      <c r="C536" s="4" t="s">
        <v>2320</v>
      </c>
      <c r="D536" s="4" t="s">
        <v>242</v>
      </c>
      <c r="E536" s="4" t="s">
        <v>4031</v>
      </c>
      <c r="F536" s="4" t="s">
        <v>4030</v>
      </c>
      <c r="G536" s="4" t="s">
        <v>2263</v>
      </c>
      <c r="H536" s="9" t="s">
        <v>2263</v>
      </c>
      <c r="I536" s="4" t="s">
        <v>2317</v>
      </c>
      <c r="J536" s="4" t="s">
        <v>2316</v>
      </c>
      <c r="K536" s="4" t="s">
        <v>2263</v>
      </c>
      <c r="L536" s="10">
        <v>1</v>
      </c>
      <c r="M536" s="5">
        <v>33250</v>
      </c>
      <c r="N536" s="5">
        <v>33250</v>
      </c>
    </row>
    <row r="537" spans="1:14" x14ac:dyDescent="0.25">
      <c r="A537" s="4" t="s">
        <v>2344</v>
      </c>
      <c r="B537" s="4" t="s">
        <v>5154</v>
      </c>
      <c r="C537" s="4" t="s">
        <v>2320</v>
      </c>
      <c r="D537" s="4" t="s">
        <v>242</v>
      </c>
      <c r="E537" s="4" t="s">
        <v>4053</v>
      </c>
      <c r="F537" s="4" t="s">
        <v>4052</v>
      </c>
      <c r="G537" s="4" t="s">
        <v>2263</v>
      </c>
      <c r="H537" s="9" t="s">
        <v>2263</v>
      </c>
      <c r="I537" s="4" t="s">
        <v>2317</v>
      </c>
      <c r="J537" s="4" t="s">
        <v>2316</v>
      </c>
      <c r="K537" s="4" t="s">
        <v>2263</v>
      </c>
      <c r="L537" s="10">
        <v>1</v>
      </c>
      <c r="M537" s="5">
        <v>33443.181666666671</v>
      </c>
      <c r="N537" s="5">
        <v>33443.181666666671</v>
      </c>
    </row>
    <row r="538" spans="1:14" x14ac:dyDescent="0.25">
      <c r="A538" s="4" t="s">
        <v>3125</v>
      </c>
      <c r="B538" s="4" t="s">
        <v>3124</v>
      </c>
      <c r="C538" s="4" t="s">
        <v>2320</v>
      </c>
      <c r="D538" s="4" t="s">
        <v>242</v>
      </c>
      <c r="E538" s="4" t="s">
        <v>3123</v>
      </c>
      <c r="F538" s="4" t="s">
        <v>3122</v>
      </c>
      <c r="G538" s="4" t="s">
        <v>2263</v>
      </c>
      <c r="H538" s="9" t="s">
        <v>2263</v>
      </c>
      <c r="I538" s="4" t="s">
        <v>2317</v>
      </c>
      <c r="J538" s="4" t="s">
        <v>2316</v>
      </c>
      <c r="K538" s="4" t="s">
        <v>2263</v>
      </c>
      <c r="L538" s="10">
        <v>1</v>
      </c>
      <c r="M538" s="5">
        <v>33962</v>
      </c>
      <c r="N538" s="5">
        <v>33962</v>
      </c>
    </row>
    <row r="539" spans="1:14" x14ac:dyDescent="0.25">
      <c r="A539" s="4" t="s">
        <v>2384</v>
      </c>
      <c r="B539" s="4" t="s">
        <v>3187</v>
      </c>
      <c r="C539" s="4" t="s">
        <v>2344</v>
      </c>
      <c r="D539" s="4" t="s">
        <v>237</v>
      </c>
      <c r="E539" s="4" t="s">
        <v>3183</v>
      </c>
      <c r="F539" s="4" t="s">
        <v>3182</v>
      </c>
      <c r="G539" s="4" t="s">
        <v>2263</v>
      </c>
      <c r="H539" s="9" t="s">
        <v>2263</v>
      </c>
      <c r="I539" s="4" t="s">
        <v>2263</v>
      </c>
      <c r="J539" s="4" t="s">
        <v>2263</v>
      </c>
      <c r="K539" s="4" t="s">
        <v>3181</v>
      </c>
      <c r="L539" s="10">
        <v>1</v>
      </c>
      <c r="M539" s="5">
        <v>35252.121212121208</v>
      </c>
      <c r="N539" s="5">
        <v>35252.121212121208</v>
      </c>
    </row>
    <row r="540" spans="1:14" x14ac:dyDescent="0.25">
      <c r="A540" s="4" t="s">
        <v>3174</v>
      </c>
      <c r="B540" s="4" t="s">
        <v>3173</v>
      </c>
      <c r="C540" s="4" t="s">
        <v>2344</v>
      </c>
      <c r="D540" s="4" t="s">
        <v>237</v>
      </c>
      <c r="E540" s="4" t="s">
        <v>3183</v>
      </c>
      <c r="F540" s="4" t="s">
        <v>3182</v>
      </c>
      <c r="G540" s="4" t="s">
        <v>2263</v>
      </c>
      <c r="H540" s="9" t="s">
        <v>2263</v>
      </c>
      <c r="I540" s="4" t="s">
        <v>2263</v>
      </c>
      <c r="J540" s="4" t="s">
        <v>2263</v>
      </c>
      <c r="K540" s="4" t="s">
        <v>3181</v>
      </c>
      <c r="L540" s="10">
        <v>1</v>
      </c>
      <c r="M540" s="5">
        <v>35252.121212121208</v>
      </c>
      <c r="N540" s="5">
        <v>35252.121212121208</v>
      </c>
    </row>
    <row r="541" spans="1:14" x14ac:dyDescent="0.25">
      <c r="A541" s="4" t="s">
        <v>2653</v>
      </c>
      <c r="B541" s="4" t="s">
        <v>3226</v>
      </c>
      <c r="C541" s="4" t="s">
        <v>2353</v>
      </c>
      <c r="D541" s="4" t="s">
        <v>258</v>
      </c>
      <c r="E541" s="4" t="s">
        <v>3276</v>
      </c>
      <c r="F541" s="4" t="s">
        <v>3275</v>
      </c>
      <c r="G541" s="4" t="s">
        <v>2263</v>
      </c>
      <c r="H541" s="9" t="s">
        <v>2263</v>
      </c>
      <c r="I541" s="4" t="s">
        <v>2317</v>
      </c>
      <c r="J541" s="4" t="s">
        <v>2316</v>
      </c>
      <c r="K541" s="4" t="s">
        <v>2263</v>
      </c>
      <c r="L541" s="10">
        <v>1</v>
      </c>
      <c r="M541" s="5">
        <v>39417.769999999997</v>
      </c>
      <c r="N541" s="5">
        <v>39417.769999999997</v>
      </c>
    </row>
    <row r="542" spans="1:14" x14ac:dyDescent="0.25">
      <c r="A542" s="4" t="s">
        <v>2344</v>
      </c>
      <c r="B542" s="4" t="s">
        <v>5154</v>
      </c>
      <c r="C542" s="4" t="s">
        <v>2320</v>
      </c>
      <c r="D542" s="4" t="s">
        <v>242</v>
      </c>
      <c r="E542" s="4" t="s">
        <v>5310</v>
      </c>
      <c r="F542" s="4" t="s">
        <v>5309</v>
      </c>
      <c r="G542" s="4" t="s">
        <v>2263</v>
      </c>
      <c r="H542" s="9" t="s">
        <v>2263</v>
      </c>
      <c r="I542" s="4" t="s">
        <v>2317</v>
      </c>
      <c r="J542" s="4" t="s">
        <v>2316</v>
      </c>
      <c r="K542" s="4" t="s">
        <v>2263</v>
      </c>
      <c r="L542" s="10">
        <v>1</v>
      </c>
      <c r="M542" s="5">
        <v>40000</v>
      </c>
      <c r="N542" s="5">
        <v>40000</v>
      </c>
    </row>
    <row r="543" spans="1:14" x14ac:dyDescent="0.25">
      <c r="A543" s="4" t="s">
        <v>2317</v>
      </c>
      <c r="B543" s="4" t="s">
        <v>3839</v>
      </c>
      <c r="C543" s="4" t="s">
        <v>2320</v>
      </c>
      <c r="D543" s="4" t="s">
        <v>242</v>
      </c>
      <c r="E543" s="4" t="s">
        <v>4073</v>
      </c>
      <c r="F543" s="4" t="s">
        <v>4072</v>
      </c>
      <c r="G543" s="4" t="s">
        <v>2263</v>
      </c>
      <c r="H543" s="9" t="s">
        <v>2263</v>
      </c>
      <c r="I543" s="4" t="s">
        <v>2317</v>
      </c>
      <c r="J543" s="4" t="s">
        <v>2316</v>
      </c>
      <c r="K543" s="4" t="s">
        <v>2263</v>
      </c>
      <c r="L543" s="10">
        <v>1</v>
      </c>
      <c r="M543" s="5">
        <v>40000</v>
      </c>
      <c r="N543" s="5">
        <v>40000</v>
      </c>
    </row>
    <row r="544" spans="1:14" x14ac:dyDescent="0.25">
      <c r="A544" s="4" t="s">
        <v>2344</v>
      </c>
      <c r="B544" s="4" t="s">
        <v>5154</v>
      </c>
      <c r="C544" s="4" t="s">
        <v>2344</v>
      </c>
      <c r="D544" s="4" t="s">
        <v>237</v>
      </c>
      <c r="E544" s="4" t="s">
        <v>5478</v>
      </c>
      <c r="F544" s="4" t="s">
        <v>5477</v>
      </c>
      <c r="G544" s="4" t="s">
        <v>2263</v>
      </c>
      <c r="H544" s="9" t="s">
        <v>2263</v>
      </c>
      <c r="I544" s="4" t="s">
        <v>2263</v>
      </c>
      <c r="J544" s="4" t="s">
        <v>2263</v>
      </c>
      <c r="K544" s="4" t="s">
        <v>5476</v>
      </c>
      <c r="L544" s="10">
        <v>1</v>
      </c>
      <c r="M544" s="5">
        <v>40250</v>
      </c>
      <c r="N544" s="5">
        <v>40250</v>
      </c>
    </row>
    <row r="545" spans="1:14" x14ac:dyDescent="0.25">
      <c r="A545" s="4" t="s">
        <v>2930</v>
      </c>
      <c r="B545" s="4" t="s">
        <v>2929</v>
      </c>
      <c r="C545" s="4" t="s">
        <v>2320</v>
      </c>
      <c r="D545" s="4" t="s">
        <v>242</v>
      </c>
      <c r="E545" s="4" t="s">
        <v>2946</v>
      </c>
      <c r="F545" s="4" t="s">
        <v>2945</v>
      </c>
      <c r="G545" s="4" t="s">
        <v>2263</v>
      </c>
      <c r="H545" s="9" t="s">
        <v>2263</v>
      </c>
      <c r="I545" s="4" t="s">
        <v>2317</v>
      </c>
      <c r="J545" s="4" t="s">
        <v>2316</v>
      </c>
      <c r="K545" s="4" t="s">
        <v>2263</v>
      </c>
      <c r="L545" s="10">
        <v>1</v>
      </c>
      <c r="M545" s="5">
        <v>40421.470588235294</v>
      </c>
      <c r="N545" s="5">
        <v>40421.470588235286</v>
      </c>
    </row>
    <row r="546" spans="1:14" x14ac:dyDescent="0.25">
      <c r="A546" s="4" t="s">
        <v>2317</v>
      </c>
      <c r="B546" s="4" t="s">
        <v>3839</v>
      </c>
      <c r="C546" s="4" t="s">
        <v>2320</v>
      </c>
      <c r="D546" s="4" t="s">
        <v>242</v>
      </c>
      <c r="E546" s="4" t="s">
        <v>4049</v>
      </c>
      <c r="F546" s="4" t="s">
        <v>4048</v>
      </c>
      <c r="G546" s="4" t="s">
        <v>2263</v>
      </c>
      <c r="H546" s="9" t="s">
        <v>2263</v>
      </c>
      <c r="I546" s="4" t="s">
        <v>2317</v>
      </c>
      <c r="J546" s="4" t="s">
        <v>2316</v>
      </c>
      <c r="K546" s="4" t="s">
        <v>2263</v>
      </c>
      <c r="L546" s="10">
        <v>1</v>
      </c>
      <c r="M546" s="5">
        <v>40634.75</v>
      </c>
      <c r="N546" s="5">
        <v>40634.75</v>
      </c>
    </row>
    <row r="547" spans="1:14" x14ac:dyDescent="0.25">
      <c r="A547" s="4" t="s">
        <v>2317</v>
      </c>
      <c r="B547" s="4" t="s">
        <v>3839</v>
      </c>
      <c r="C547" s="4" t="s">
        <v>2320</v>
      </c>
      <c r="D547" s="4" t="s">
        <v>242</v>
      </c>
      <c r="E547" s="4" t="s">
        <v>4163</v>
      </c>
      <c r="F547" s="4" t="s">
        <v>4162</v>
      </c>
      <c r="G547" s="4" t="s">
        <v>2263</v>
      </c>
      <c r="H547" s="9" t="s">
        <v>2263</v>
      </c>
      <c r="I547" s="4" t="s">
        <v>2317</v>
      </c>
      <c r="J547" s="4" t="s">
        <v>2316</v>
      </c>
      <c r="K547" s="4" t="s">
        <v>2263</v>
      </c>
      <c r="L547" s="10">
        <v>1</v>
      </c>
      <c r="M547" s="5">
        <v>41618.666666666664</v>
      </c>
      <c r="N547" s="5">
        <v>41618.666666666672</v>
      </c>
    </row>
    <row r="548" spans="1:14" x14ac:dyDescent="0.25">
      <c r="A548" s="4" t="s">
        <v>2344</v>
      </c>
      <c r="B548" s="4" t="s">
        <v>5154</v>
      </c>
      <c r="C548" s="4" t="s">
        <v>2320</v>
      </c>
      <c r="D548" s="4" t="s">
        <v>242</v>
      </c>
      <c r="E548" s="4" t="s">
        <v>5308</v>
      </c>
      <c r="F548" s="4" t="s">
        <v>5307</v>
      </c>
      <c r="G548" s="4" t="s">
        <v>2263</v>
      </c>
      <c r="H548" s="9" t="s">
        <v>2263</v>
      </c>
      <c r="I548" s="4" t="s">
        <v>2317</v>
      </c>
      <c r="J548" s="4" t="s">
        <v>2316</v>
      </c>
      <c r="K548" s="4" t="s">
        <v>2263</v>
      </c>
      <c r="L548" s="10">
        <v>1</v>
      </c>
      <c r="M548" s="5">
        <v>43499.99</v>
      </c>
      <c r="N548" s="5">
        <v>43499.99</v>
      </c>
    </row>
    <row r="549" spans="1:14" x14ac:dyDescent="0.25">
      <c r="A549" s="4" t="s">
        <v>2320</v>
      </c>
      <c r="B549" s="4" t="s">
        <v>4967</v>
      </c>
      <c r="C549" s="4" t="s">
        <v>2320</v>
      </c>
      <c r="D549" s="4" t="s">
        <v>242</v>
      </c>
      <c r="E549" s="4" t="s">
        <v>2825</v>
      </c>
      <c r="F549" s="4" t="s">
        <v>2824</v>
      </c>
      <c r="G549" s="4" t="s">
        <v>2263</v>
      </c>
      <c r="H549" s="9" t="s">
        <v>2263</v>
      </c>
      <c r="I549" s="4" t="s">
        <v>2317</v>
      </c>
      <c r="J549" s="4" t="s">
        <v>2316</v>
      </c>
      <c r="K549" s="4" t="s">
        <v>2263</v>
      </c>
      <c r="L549" s="10">
        <v>1</v>
      </c>
      <c r="M549" s="5">
        <v>47361.481176470588</v>
      </c>
      <c r="N549" s="5">
        <v>47361.481176470588</v>
      </c>
    </row>
    <row r="550" spans="1:14" x14ac:dyDescent="0.25">
      <c r="A550" s="4" t="s">
        <v>2317</v>
      </c>
      <c r="B550" s="4" t="s">
        <v>3839</v>
      </c>
      <c r="C550" s="4" t="s">
        <v>2320</v>
      </c>
      <c r="D550" s="4" t="s">
        <v>242</v>
      </c>
      <c r="E550" s="4" t="s">
        <v>2956</v>
      </c>
      <c r="F550" s="4" t="s">
        <v>2955</v>
      </c>
      <c r="G550" s="4" t="s">
        <v>2263</v>
      </c>
      <c r="H550" s="9" t="s">
        <v>2263</v>
      </c>
      <c r="I550" s="4" t="s">
        <v>2317</v>
      </c>
      <c r="J550" s="4" t="s">
        <v>2316</v>
      </c>
      <c r="K550" s="4" t="s">
        <v>2263</v>
      </c>
      <c r="L550" s="10">
        <v>1</v>
      </c>
      <c r="M550" s="5">
        <v>47973.5</v>
      </c>
      <c r="N550" s="5">
        <v>47973.5</v>
      </c>
    </row>
    <row r="551" spans="1:14" x14ac:dyDescent="0.25">
      <c r="A551" s="4" t="s">
        <v>2930</v>
      </c>
      <c r="B551" s="4" t="s">
        <v>2929</v>
      </c>
      <c r="C551" s="4" t="s">
        <v>2320</v>
      </c>
      <c r="D551" s="4" t="s">
        <v>242</v>
      </c>
      <c r="E551" s="4" t="s">
        <v>2956</v>
      </c>
      <c r="F551" s="4" t="s">
        <v>2955</v>
      </c>
      <c r="G551" s="4" t="s">
        <v>2263</v>
      </c>
      <c r="H551" s="9" t="s">
        <v>2263</v>
      </c>
      <c r="I551" s="4" t="s">
        <v>2317</v>
      </c>
      <c r="J551" s="4" t="s">
        <v>2316</v>
      </c>
      <c r="K551" s="4" t="s">
        <v>2263</v>
      </c>
      <c r="L551" s="10">
        <v>1</v>
      </c>
      <c r="M551" s="5">
        <v>47973.5</v>
      </c>
      <c r="N551" s="5">
        <v>47973.5</v>
      </c>
    </row>
    <row r="552" spans="1:14" x14ac:dyDescent="0.25">
      <c r="A552" s="4" t="s">
        <v>2930</v>
      </c>
      <c r="B552" s="4" t="s">
        <v>2929</v>
      </c>
      <c r="C552" s="4" t="s">
        <v>2320</v>
      </c>
      <c r="D552" s="4" t="s">
        <v>242</v>
      </c>
      <c r="E552" s="4" t="s">
        <v>2944</v>
      </c>
      <c r="F552" s="4" t="s">
        <v>2943</v>
      </c>
      <c r="G552" s="4" t="s">
        <v>2263</v>
      </c>
      <c r="H552" s="9" t="s">
        <v>2263</v>
      </c>
      <c r="I552" s="4" t="s">
        <v>2317</v>
      </c>
      <c r="J552" s="4" t="s">
        <v>2316</v>
      </c>
      <c r="K552" s="4" t="s">
        <v>2263</v>
      </c>
      <c r="L552" s="10">
        <v>1</v>
      </c>
      <c r="M552" s="5">
        <v>49001.453750000001</v>
      </c>
      <c r="N552" s="5">
        <v>49001.453750000001</v>
      </c>
    </row>
    <row r="553" spans="1:14" x14ac:dyDescent="0.25">
      <c r="A553" s="4" t="s">
        <v>2279</v>
      </c>
      <c r="B553" s="4" t="s">
        <v>4963</v>
      </c>
      <c r="C553" s="4" t="s">
        <v>2344</v>
      </c>
      <c r="D553" s="4" t="s">
        <v>237</v>
      </c>
      <c r="E553" s="4" t="s">
        <v>4964</v>
      </c>
      <c r="F553" s="4" t="s">
        <v>2745</v>
      </c>
      <c r="G553" s="4" t="s">
        <v>2263</v>
      </c>
      <c r="H553" s="9" t="s">
        <v>2263</v>
      </c>
      <c r="I553" s="4" t="s">
        <v>2263</v>
      </c>
      <c r="J553" s="4" t="s">
        <v>2263</v>
      </c>
      <c r="K553" s="4" t="s">
        <v>2744</v>
      </c>
      <c r="L553" s="10">
        <v>1</v>
      </c>
      <c r="M553" s="5">
        <v>49479.839999999997</v>
      </c>
      <c r="N553" s="5">
        <v>49479.839999999997</v>
      </c>
    </row>
    <row r="554" spans="1:14" x14ac:dyDescent="0.25">
      <c r="A554" s="4" t="s">
        <v>2344</v>
      </c>
      <c r="B554" s="4" t="s">
        <v>5154</v>
      </c>
      <c r="C554" s="4" t="s">
        <v>2274</v>
      </c>
      <c r="D554" s="4" t="s">
        <v>2273</v>
      </c>
      <c r="E554" s="4" t="s">
        <v>5218</v>
      </c>
      <c r="F554" s="4" t="s">
        <v>5217</v>
      </c>
      <c r="G554" s="4" t="s">
        <v>2263</v>
      </c>
      <c r="H554" s="9" t="s">
        <v>2263</v>
      </c>
      <c r="I554" s="4" t="s">
        <v>2263</v>
      </c>
      <c r="J554" s="4" t="s">
        <v>2263</v>
      </c>
      <c r="K554" s="4" t="s">
        <v>2262</v>
      </c>
      <c r="L554" s="10">
        <v>1</v>
      </c>
      <c r="M554" s="5">
        <v>49643</v>
      </c>
      <c r="N554" s="5">
        <v>49643</v>
      </c>
    </row>
    <row r="555" spans="1:14" x14ac:dyDescent="0.25">
      <c r="A555" s="4" t="s">
        <v>2344</v>
      </c>
      <c r="B555" s="4" t="s">
        <v>5154</v>
      </c>
      <c r="C555" s="4" t="s">
        <v>2320</v>
      </c>
      <c r="D555" s="4" t="s">
        <v>242</v>
      </c>
      <c r="E555" s="4" t="s">
        <v>2362</v>
      </c>
      <c r="F555" s="4" t="s">
        <v>2361</v>
      </c>
      <c r="G555" s="4" t="s">
        <v>2263</v>
      </c>
      <c r="H555" s="9" t="s">
        <v>2263</v>
      </c>
      <c r="I555" s="4" t="s">
        <v>2317</v>
      </c>
      <c r="J555" s="4" t="s">
        <v>2316</v>
      </c>
      <c r="K555" s="4" t="s">
        <v>2263</v>
      </c>
      <c r="L555" s="10">
        <v>1</v>
      </c>
      <c r="M555" s="5">
        <v>50605.866129032256</v>
      </c>
      <c r="N555" s="5">
        <v>50605.866129032263</v>
      </c>
    </row>
    <row r="556" spans="1:14" x14ac:dyDescent="0.25">
      <c r="A556" s="4" t="s">
        <v>2344</v>
      </c>
      <c r="B556" s="4" t="s">
        <v>5154</v>
      </c>
      <c r="C556" s="4" t="s">
        <v>2320</v>
      </c>
      <c r="D556" s="4" t="s">
        <v>242</v>
      </c>
      <c r="E556" s="4" t="s">
        <v>2974</v>
      </c>
      <c r="F556" s="4" t="s">
        <v>2973</v>
      </c>
      <c r="G556" s="4" t="s">
        <v>2263</v>
      </c>
      <c r="H556" s="9" t="s">
        <v>2263</v>
      </c>
      <c r="I556" s="4" t="s">
        <v>2317</v>
      </c>
      <c r="J556" s="4" t="s">
        <v>2316</v>
      </c>
      <c r="K556" s="4" t="s">
        <v>2263</v>
      </c>
      <c r="L556" s="10">
        <v>1</v>
      </c>
      <c r="M556" s="5">
        <v>51799.040000000001</v>
      </c>
      <c r="N556" s="5">
        <v>51799.040000000001</v>
      </c>
    </row>
    <row r="557" spans="1:14" x14ac:dyDescent="0.25">
      <c r="A557" s="4" t="s">
        <v>2930</v>
      </c>
      <c r="B557" s="4" t="s">
        <v>2929</v>
      </c>
      <c r="C557" s="4" t="s">
        <v>2320</v>
      </c>
      <c r="D557" s="4" t="s">
        <v>242</v>
      </c>
      <c r="E557" s="4" t="s">
        <v>2974</v>
      </c>
      <c r="F557" s="4" t="s">
        <v>2973</v>
      </c>
      <c r="G557" s="4" t="s">
        <v>2263</v>
      </c>
      <c r="H557" s="9" t="s">
        <v>2263</v>
      </c>
      <c r="I557" s="4" t="s">
        <v>2317</v>
      </c>
      <c r="J557" s="4" t="s">
        <v>2316</v>
      </c>
      <c r="K557" s="4" t="s">
        <v>2263</v>
      </c>
      <c r="L557" s="10">
        <v>1</v>
      </c>
      <c r="M557" s="5">
        <v>51799.040000000001</v>
      </c>
      <c r="N557" s="5">
        <v>51799.040000000001</v>
      </c>
    </row>
    <row r="558" spans="1:14" x14ac:dyDescent="0.25">
      <c r="A558" s="4" t="s">
        <v>2930</v>
      </c>
      <c r="B558" s="4" t="s">
        <v>2929</v>
      </c>
      <c r="C558" s="4" t="s">
        <v>2320</v>
      </c>
      <c r="D558" s="4" t="s">
        <v>242</v>
      </c>
      <c r="E558" s="4" t="s">
        <v>3004</v>
      </c>
      <c r="F558" s="4" t="s">
        <v>3003</v>
      </c>
      <c r="G558" s="4" t="s">
        <v>2263</v>
      </c>
      <c r="H558" s="9" t="s">
        <v>2263</v>
      </c>
      <c r="I558" s="4" t="s">
        <v>2317</v>
      </c>
      <c r="J558" s="4" t="s">
        <v>2316</v>
      </c>
      <c r="K558" s="4" t="s">
        <v>2263</v>
      </c>
      <c r="L558" s="10">
        <v>1</v>
      </c>
      <c r="M558" s="5">
        <v>52195.93</v>
      </c>
      <c r="N558" s="5">
        <v>52195.93</v>
      </c>
    </row>
    <row r="559" spans="1:14" x14ac:dyDescent="0.25">
      <c r="A559" s="4" t="s">
        <v>2930</v>
      </c>
      <c r="B559" s="4" t="s">
        <v>2929</v>
      </c>
      <c r="C559" s="4" t="s">
        <v>2320</v>
      </c>
      <c r="D559" s="4" t="s">
        <v>242</v>
      </c>
      <c r="E559" s="4" t="s">
        <v>2996</v>
      </c>
      <c r="F559" s="4" t="s">
        <v>2995</v>
      </c>
      <c r="G559" s="4" t="s">
        <v>2263</v>
      </c>
      <c r="H559" s="9" t="s">
        <v>2263</v>
      </c>
      <c r="I559" s="4" t="s">
        <v>2317</v>
      </c>
      <c r="J559" s="4" t="s">
        <v>2316</v>
      </c>
      <c r="K559" s="4" t="s">
        <v>2263</v>
      </c>
      <c r="L559" s="10">
        <v>1</v>
      </c>
      <c r="M559" s="5">
        <v>53196.71</v>
      </c>
      <c r="N559" s="5">
        <v>53196.71</v>
      </c>
    </row>
    <row r="560" spans="1:14" x14ac:dyDescent="0.25">
      <c r="A560" s="4" t="s">
        <v>2653</v>
      </c>
      <c r="B560" s="4" t="s">
        <v>3226</v>
      </c>
      <c r="C560" s="4" t="s">
        <v>2384</v>
      </c>
      <c r="D560" s="4" t="s">
        <v>262</v>
      </c>
      <c r="E560" s="4" t="s">
        <v>3358</v>
      </c>
      <c r="F560" s="4" t="s">
        <v>3357</v>
      </c>
      <c r="G560" s="4" t="s">
        <v>2263</v>
      </c>
      <c r="H560" s="9" t="s">
        <v>2263</v>
      </c>
      <c r="I560" s="4" t="s">
        <v>2317</v>
      </c>
      <c r="J560" s="4" t="s">
        <v>2316</v>
      </c>
      <c r="K560" s="4" t="s">
        <v>2263</v>
      </c>
      <c r="L560" s="10">
        <v>1</v>
      </c>
      <c r="M560" s="5">
        <v>54000</v>
      </c>
      <c r="N560" s="5">
        <v>54000</v>
      </c>
    </row>
    <row r="561" spans="1:14" x14ac:dyDescent="0.25">
      <c r="A561" s="4" t="s">
        <v>2344</v>
      </c>
      <c r="B561" s="4" t="s">
        <v>5154</v>
      </c>
      <c r="C561" s="4" t="s">
        <v>2320</v>
      </c>
      <c r="D561" s="4" t="s">
        <v>242</v>
      </c>
      <c r="E561" s="4" t="s">
        <v>2940</v>
      </c>
      <c r="F561" s="4" t="s">
        <v>2939</v>
      </c>
      <c r="G561" s="4" t="s">
        <v>2263</v>
      </c>
      <c r="H561" s="9" t="s">
        <v>2263</v>
      </c>
      <c r="I561" s="4" t="s">
        <v>2317</v>
      </c>
      <c r="J561" s="4" t="s">
        <v>2316</v>
      </c>
      <c r="K561" s="4" t="s">
        <v>2263</v>
      </c>
      <c r="L561" s="10">
        <v>1</v>
      </c>
      <c r="M561" s="5">
        <v>54714</v>
      </c>
      <c r="N561" s="5">
        <v>54714</v>
      </c>
    </row>
    <row r="562" spans="1:14" x14ac:dyDescent="0.25">
      <c r="A562" s="4" t="s">
        <v>2930</v>
      </c>
      <c r="B562" s="4" t="s">
        <v>2929</v>
      </c>
      <c r="C562" s="4" t="s">
        <v>2320</v>
      </c>
      <c r="D562" s="4" t="s">
        <v>242</v>
      </c>
      <c r="E562" s="4" t="s">
        <v>2940</v>
      </c>
      <c r="F562" s="4" t="s">
        <v>2939</v>
      </c>
      <c r="G562" s="4" t="s">
        <v>2263</v>
      </c>
      <c r="H562" s="9" t="s">
        <v>2263</v>
      </c>
      <c r="I562" s="4" t="s">
        <v>2317</v>
      </c>
      <c r="J562" s="4" t="s">
        <v>2316</v>
      </c>
      <c r="K562" s="4" t="s">
        <v>2263</v>
      </c>
      <c r="L562" s="10">
        <v>1</v>
      </c>
      <c r="M562" s="5">
        <v>54714</v>
      </c>
      <c r="N562" s="5">
        <v>54714</v>
      </c>
    </row>
    <row r="563" spans="1:14" x14ac:dyDescent="0.25">
      <c r="A563" s="4" t="s">
        <v>2653</v>
      </c>
      <c r="B563" s="4" t="s">
        <v>3226</v>
      </c>
      <c r="C563" s="4" t="s">
        <v>3203</v>
      </c>
      <c r="D563" s="4" t="s">
        <v>256</v>
      </c>
      <c r="E563" s="4" t="s">
        <v>3624</v>
      </c>
      <c r="F563" s="4" t="s">
        <v>3623</v>
      </c>
      <c r="G563" s="4" t="s">
        <v>2263</v>
      </c>
      <c r="H563" s="9" t="s">
        <v>2263</v>
      </c>
      <c r="I563" s="4" t="s">
        <v>2317</v>
      </c>
      <c r="J563" s="4" t="s">
        <v>2316</v>
      </c>
      <c r="K563" s="4" t="s">
        <v>2263</v>
      </c>
      <c r="L563" s="10">
        <v>1</v>
      </c>
      <c r="M563" s="5">
        <v>54970</v>
      </c>
      <c r="N563" s="5">
        <v>54970</v>
      </c>
    </row>
    <row r="564" spans="1:14" x14ac:dyDescent="0.25">
      <c r="A564" s="4" t="s">
        <v>2344</v>
      </c>
      <c r="B564" s="4" t="s">
        <v>5154</v>
      </c>
      <c r="C564" s="4" t="s">
        <v>2320</v>
      </c>
      <c r="D564" s="4" t="s">
        <v>242</v>
      </c>
      <c r="E564" s="4" t="s">
        <v>4027</v>
      </c>
      <c r="F564" s="4" t="s">
        <v>4026</v>
      </c>
      <c r="G564" s="4" t="s">
        <v>2263</v>
      </c>
      <c r="H564" s="9" t="s">
        <v>2263</v>
      </c>
      <c r="I564" s="4" t="s">
        <v>2317</v>
      </c>
      <c r="J564" s="4" t="s">
        <v>2316</v>
      </c>
      <c r="K564" s="4" t="s">
        <v>2263</v>
      </c>
      <c r="L564" s="10">
        <v>1</v>
      </c>
      <c r="M564" s="5">
        <v>55000</v>
      </c>
      <c r="N564" s="5">
        <v>55000</v>
      </c>
    </row>
    <row r="565" spans="1:14" x14ac:dyDescent="0.25">
      <c r="A565" s="4" t="s">
        <v>2317</v>
      </c>
      <c r="B565" s="4" t="s">
        <v>3839</v>
      </c>
      <c r="C565" s="4" t="s">
        <v>2320</v>
      </c>
      <c r="D565" s="4" t="s">
        <v>242</v>
      </c>
      <c r="E565" s="4" t="s">
        <v>4027</v>
      </c>
      <c r="F565" s="4" t="s">
        <v>4026</v>
      </c>
      <c r="G565" s="4" t="s">
        <v>2263</v>
      </c>
      <c r="H565" s="9" t="s">
        <v>2263</v>
      </c>
      <c r="I565" s="4" t="s">
        <v>2317</v>
      </c>
      <c r="J565" s="4" t="s">
        <v>2316</v>
      </c>
      <c r="K565" s="4" t="s">
        <v>2263</v>
      </c>
      <c r="L565" s="10">
        <v>1</v>
      </c>
      <c r="M565" s="5">
        <v>55000</v>
      </c>
      <c r="N565" s="5">
        <v>55000</v>
      </c>
    </row>
    <row r="566" spans="1:14" x14ac:dyDescent="0.25">
      <c r="A566" s="4" t="s">
        <v>2320</v>
      </c>
      <c r="B566" s="4" t="s">
        <v>4967</v>
      </c>
      <c r="C566" s="4" t="s">
        <v>2274</v>
      </c>
      <c r="D566" s="4" t="s">
        <v>2273</v>
      </c>
      <c r="E566" s="4" t="s">
        <v>4978</v>
      </c>
      <c r="F566" s="4" t="s">
        <v>4977</v>
      </c>
      <c r="G566" s="4" t="s">
        <v>2263</v>
      </c>
      <c r="H566" s="9" t="s">
        <v>2263</v>
      </c>
      <c r="I566" s="4" t="s">
        <v>2263</v>
      </c>
      <c r="J566" s="4" t="s">
        <v>2263</v>
      </c>
      <c r="K566" s="4" t="s">
        <v>4976</v>
      </c>
      <c r="L566" s="10">
        <v>1</v>
      </c>
      <c r="M566" s="5">
        <v>61690.46</v>
      </c>
      <c r="N566" s="5">
        <v>61690.46</v>
      </c>
    </row>
    <row r="567" spans="1:14" x14ac:dyDescent="0.25">
      <c r="A567" s="4" t="s">
        <v>2317</v>
      </c>
      <c r="B567" s="4" t="s">
        <v>3839</v>
      </c>
      <c r="C567" s="4" t="s">
        <v>2320</v>
      </c>
      <c r="D567" s="4" t="s">
        <v>242</v>
      </c>
      <c r="E567" s="4" t="s">
        <v>2990</v>
      </c>
      <c r="F567" s="4" t="s">
        <v>2989</v>
      </c>
      <c r="G567" s="4" t="s">
        <v>2263</v>
      </c>
      <c r="H567" s="9" t="s">
        <v>2263</v>
      </c>
      <c r="I567" s="4" t="s">
        <v>2317</v>
      </c>
      <c r="J567" s="4" t="s">
        <v>2316</v>
      </c>
      <c r="K567" s="4" t="s">
        <v>2263</v>
      </c>
      <c r="L567" s="10">
        <v>1</v>
      </c>
      <c r="M567" s="5">
        <v>61816.666666666664</v>
      </c>
      <c r="N567" s="5">
        <v>61816.666666666672</v>
      </c>
    </row>
    <row r="568" spans="1:14" x14ac:dyDescent="0.25">
      <c r="A568" s="4" t="s">
        <v>2317</v>
      </c>
      <c r="B568" s="4" t="s">
        <v>3839</v>
      </c>
      <c r="C568" s="4" t="s">
        <v>2320</v>
      </c>
      <c r="D568" s="4" t="s">
        <v>242</v>
      </c>
      <c r="E568" s="4" t="s">
        <v>3965</v>
      </c>
      <c r="F568" s="4" t="s">
        <v>3964</v>
      </c>
      <c r="G568" s="4" t="s">
        <v>2263</v>
      </c>
      <c r="H568" s="9" t="s">
        <v>2263</v>
      </c>
      <c r="I568" s="4" t="s">
        <v>2317</v>
      </c>
      <c r="J568" s="4" t="s">
        <v>2316</v>
      </c>
      <c r="K568" s="4" t="s">
        <v>2263</v>
      </c>
      <c r="L568" s="10">
        <v>1</v>
      </c>
      <c r="M568" s="5">
        <v>62044.190476190473</v>
      </c>
      <c r="N568" s="5">
        <v>62044.190476190481</v>
      </c>
    </row>
    <row r="569" spans="1:14" x14ac:dyDescent="0.25">
      <c r="A569" s="4" t="s">
        <v>2653</v>
      </c>
      <c r="B569" s="4" t="s">
        <v>3226</v>
      </c>
      <c r="C569" s="4" t="s">
        <v>2384</v>
      </c>
      <c r="D569" s="4" t="s">
        <v>262</v>
      </c>
      <c r="E569" s="4" t="s">
        <v>3326</v>
      </c>
      <c r="F569" s="4" t="s">
        <v>3325</v>
      </c>
      <c r="G569" s="4" t="s">
        <v>2263</v>
      </c>
      <c r="H569" s="9" t="s">
        <v>2263</v>
      </c>
      <c r="I569" s="4" t="s">
        <v>2317</v>
      </c>
      <c r="J569" s="4" t="s">
        <v>2316</v>
      </c>
      <c r="K569" s="4" t="s">
        <v>2263</v>
      </c>
      <c r="L569" s="10">
        <v>1</v>
      </c>
      <c r="M569" s="5">
        <v>63000</v>
      </c>
      <c r="N569" s="5">
        <v>63000</v>
      </c>
    </row>
    <row r="570" spans="1:14" x14ac:dyDescent="0.25">
      <c r="A570" s="4" t="s">
        <v>2930</v>
      </c>
      <c r="B570" s="4" t="s">
        <v>2929</v>
      </c>
      <c r="C570" s="4" t="s">
        <v>2320</v>
      </c>
      <c r="D570" s="4" t="s">
        <v>242</v>
      </c>
      <c r="E570" s="4" t="s">
        <v>2942</v>
      </c>
      <c r="F570" s="4" t="s">
        <v>2941</v>
      </c>
      <c r="G570" s="4" t="s">
        <v>2263</v>
      </c>
      <c r="H570" s="9" t="s">
        <v>2263</v>
      </c>
      <c r="I570" s="4" t="s">
        <v>2317</v>
      </c>
      <c r="J570" s="4" t="s">
        <v>2316</v>
      </c>
      <c r="K570" s="4" t="s">
        <v>2263</v>
      </c>
      <c r="L570" s="10">
        <v>1</v>
      </c>
      <c r="M570" s="5">
        <v>64922.14875</v>
      </c>
      <c r="N570" s="5">
        <v>64922.14875</v>
      </c>
    </row>
    <row r="571" spans="1:14" x14ac:dyDescent="0.25">
      <c r="A571" s="4" t="s">
        <v>2653</v>
      </c>
      <c r="B571" s="4" t="s">
        <v>3226</v>
      </c>
      <c r="C571" s="4" t="s">
        <v>3107</v>
      </c>
      <c r="D571" s="4" t="s">
        <v>1105</v>
      </c>
      <c r="E571" s="4" t="s">
        <v>3759</v>
      </c>
      <c r="F571" s="4" t="s">
        <v>3758</v>
      </c>
      <c r="G571" s="4" t="s">
        <v>2263</v>
      </c>
      <c r="H571" s="9" t="s">
        <v>2263</v>
      </c>
      <c r="I571" s="4" t="s">
        <v>2317</v>
      </c>
      <c r="J571" s="4" t="s">
        <v>2316</v>
      </c>
      <c r="K571" s="4" t="s">
        <v>2263</v>
      </c>
      <c r="L571" s="10">
        <v>1</v>
      </c>
      <c r="M571" s="5">
        <v>67600</v>
      </c>
      <c r="N571" s="5">
        <v>67600</v>
      </c>
    </row>
    <row r="572" spans="1:14" x14ac:dyDescent="0.25">
      <c r="A572" s="4" t="s">
        <v>2320</v>
      </c>
      <c r="B572" s="4" t="s">
        <v>4967</v>
      </c>
      <c r="C572" s="4" t="s">
        <v>2320</v>
      </c>
      <c r="D572" s="4" t="s">
        <v>242</v>
      </c>
      <c r="E572" s="4" t="s">
        <v>5117</v>
      </c>
      <c r="F572" s="4" t="s">
        <v>5116</v>
      </c>
      <c r="G572" s="4" t="s">
        <v>2263</v>
      </c>
      <c r="H572" s="9" t="s">
        <v>2263</v>
      </c>
      <c r="I572" s="4" t="s">
        <v>2317</v>
      </c>
      <c r="J572" s="4" t="s">
        <v>2316</v>
      </c>
      <c r="K572" s="4" t="s">
        <v>2263</v>
      </c>
      <c r="L572" s="10">
        <v>1</v>
      </c>
      <c r="M572" s="5">
        <v>68058.47</v>
      </c>
      <c r="N572" s="5">
        <v>68058.47</v>
      </c>
    </row>
    <row r="573" spans="1:14" x14ac:dyDescent="0.25">
      <c r="A573" s="4" t="s">
        <v>2344</v>
      </c>
      <c r="B573" s="4" t="s">
        <v>5154</v>
      </c>
      <c r="C573" s="4" t="s">
        <v>2320</v>
      </c>
      <c r="D573" s="4" t="s">
        <v>242</v>
      </c>
      <c r="E573" s="4" t="s">
        <v>5312</v>
      </c>
      <c r="F573" s="4" t="s">
        <v>5311</v>
      </c>
      <c r="G573" s="4" t="s">
        <v>2263</v>
      </c>
      <c r="H573" s="9" t="s">
        <v>2263</v>
      </c>
      <c r="I573" s="4" t="s">
        <v>2317</v>
      </c>
      <c r="J573" s="4" t="s">
        <v>2316</v>
      </c>
      <c r="K573" s="4" t="s">
        <v>2263</v>
      </c>
      <c r="L573" s="10">
        <v>1</v>
      </c>
      <c r="M573" s="5">
        <v>75950</v>
      </c>
      <c r="N573" s="5">
        <v>75950</v>
      </c>
    </row>
    <row r="574" spans="1:14" x14ac:dyDescent="0.25">
      <c r="A574" s="4" t="s">
        <v>2279</v>
      </c>
      <c r="B574" s="4" t="s">
        <v>4963</v>
      </c>
      <c r="C574" s="4" t="s">
        <v>2384</v>
      </c>
      <c r="D574" s="4" t="s">
        <v>262</v>
      </c>
      <c r="E574" s="4" t="s">
        <v>2679</v>
      </c>
      <c r="F574" s="4" t="s">
        <v>2678</v>
      </c>
      <c r="G574" s="4" t="s">
        <v>2263</v>
      </c>
      <c r="H574" s="9" t="s">
        <v>2263</v>
      </c>
      <c r="I574" s="4" t="s">
        <v>2317</v>
      </c>
      <c r="J574" s="4" t="s">
        <v>2316</v>
      </c>
      <c r="K574" s="4" t="s">
        <v>2263</v>
      </c>
      <c r="L574" s="10">
        <v>1</v>
      </c>
      <c r="M574" s="5">
        <v>76942.326774193556</v>
      </c>
      <c r="N574" s="5">
        <v>76942.326774193556</v>
      </c>
    </row>
    <row r="575" spans="1:14" x14ac:dyDescent="0.25">
      <c r="A575" s="4" t="s">
        <v>3196</v>
      </c>
      <c r="B575" s="4" t="s">
        <v>3195</v>
      </c>
      <c r="C575" s="4" t="s">
        <v>2384</v>
      </c>
      <c r="D575" s="4" t="s">
        <v>262</v>
      </c>
      <c r="E575" s="4" t="s">
        <v>2679</v>
      </c>
      <c r="F575" s="4" t="s">
        <v>2678</v>
      </c>
      <c r="G575" s="4" t="s">
        <v>2263</v>
      </c>
      <c r="H575" s="9" t="s">
        <v>2263</v>
      </c>
      <c r="I575" s="4" t="s">
        <v>2317</v>
      </c>
      <c r="J575" s="4" t="s">
        <v>2316</v>
      </c>
      <c r="K575" s="4" t="s">
        <v>2263</v>
      </c>
      <c r="L575" s="10">
        <v>1</v>
      </c>
      <c r="M575" s="5">
        <v>76942.326774193556</v>
      </c>
      <c r="N575" s="5">
        <v>76942.326774193556</v>
      </c>
    </row>
    <row r="576" spans="1:14" x14ac:dyDescent="0.25">
      <c r="A576" s="4" t="s">
        <v>3104</v>
      </c>
      <c r="B576" s="4" t="s">
        <v>3103</v>
      </c>
      <c r="C576" s="4" t="s">
        <v>2384</v>
      </c>
      <c r="D576" s="4" t="s">
        <v>262</v>
      </c>
      <c r="E576" s="4" t="s">
        <v>2679</v>
      </c>
      <c r="F576" s="4" t="s">
        <v>2678</v>
      </c>
      <c r="G576" s="4" t="s">
        <v>2263</v>
      </c>
      <c r="H576" s="9" t="s">
        <v>2263</v>
      </c>
      <c r="I576" s="4" t="s">
        <v>2317</v>
      </c>
      <c r="J576" s="4" t="s">
        <v>2316</v>
      </c>
      <c r="K576" s="4" t="s">
        <v>2263</v>
      </c>
      <c r="L576" s="10">
        <v>1</v>
      </c>
      <c r="M576" s="5">
        <v>76942.326774193556</v>
      </c>
      <c r="N576" s="5">
        <v>76942.326774193556</v>
      </c>
    </row>
    <row r="577" spans="1:14" x14ac:dyDescent="0.25">
      <c r="A577" s="4" t="s">
        <v>3051</v>
      </c>
      <c r="B577" s="4" t="s">
        <v>3050</v>
      </c>
      <c r="C577" s="4" t="s">
        <v>2384</v>
      </c>
      <c r="D577" s="4" t="s">
        <v>262</v>
      </c>
      <c r="E577" s="4" t="s">
        <v>2679</v>
      </c>
      <c r="F577" s="4" t="s">
        <v>2678</v>
      </c>
      <c r="G577" s="4" t="s">
        <v>2263</v>
      </c>
      <c r="H577" s="9" t="s">
        <v>2263</v>
      </c>
      <c r="I577" s="4" t="s">
        <v>2317</v>
      </c>
      <c r="J577" s="4" t="s">
        <v>2316</v>
      </c>
      <c r="K577" s="4" t="s">
        <v>2263</v>
      </c>
      <c r="L577" s="10">
        <v>1</v>
      </c>
      <c r="M577" s="5">
        <v>76942.326774193556</v>
      </c>
      <c r="N577" s="5">
        <v>76942.326774193556</v>
      </c>
    </row>
    <row r="578" spans="1:14" x14ac:dyDescent="0.25">
      <c r="A578" s="4" t="s">
        <v>2673</v>
      </c>
      <c r="B578" s="4" t="s">
        <v>2672</v>
      </c>
      <c r="C578" s="4" t="s">
        <v>2384</v>
      </c>
      <c r="D578" s="4" t="s">
        <v>262</v>
      </c>
      <c r="E578" s="4" t="s">
        <v>2679</v>
      </c>
      <c r="F578" s="4" t="s">
        <v>2678</v>
      </c>
      <c r="G578" s="4" t="s">
        <v>2263</v>
      </c>
      <c r="H578" s="9" t="s">
        <v>2263</v>
      </c>
      <c r="I578" s="4" t="s">
        <v>2317</v>
      </c>
      <c r="J578" s="4" t="s">
        <v>2316</v>
      </c>
      <c r="K578" s="4" t="s">
        <v>2263</v>
      </c>
      <c r="L578" s="10">
        <v>1</v>
      </c>
      <c r="M578" s="5">
        <v>76942.326774193556</v>
      </c>
      <c r="N578" s="5">
        <v>76942.326774193556</v>
      </c>
    </row>
    <row r="579" spans="1:14" x14ac:dyDescent="0.25">
      <c r="A579" s="4" t="s">
        <v>2317</v>
      </c>
      <c r="B579" s="4" t="s">
        <v>3839</v>
      </c>
      <c r="C579" s="4" t="s">
        <v>2320</v>
      </c>
      <c r="D579" s="4" t="s">
        <v>242</v>
      </c>
      <c r="E579" s="4" t="s">
        <v>4121</v>
      </c>
      <c r="F579" s="4" t="s">
        <v>4120</v>
      </c>
      <c r="G579" s="4" t="s">
        <v>2263</v>
      </c>
      <c r="H579" s="9" t="s">
        <v>2263</v>
      </c>
      <c r="I579" s="4" t="s">
        <v>2317</v>
      </c>
      <c r="J579" s="4" t="s">
        <v>2316</v>
      </c>
      <c r="K579" s="4" t="s">
        <v>2263</v>
      </c>
      <c r="L579" s="10">
        <v>1</v>
      </c>
      <c r="M579" s="5">
        <v>76993.137647058829</v>
      </c>
      <c r="N579" s="5">
        <v>76993.137647058815</v>
      </c>
    </row>
    <row r="580" spans="1:14" x14ac:dyDescent="0.25">
      <c r="A580" s="4" t="s">
        <v>2320</v>
      </c>
      <c r="B580" s="4" t="s">
        <v>4967</v>
      </c>
      <c r="C580" s="4" t="s">
        <v>2320</v>
      </c>
      <c r="D580" s="4" t="s">
        <v>242</v>
      </c>
      <c r="E580" s="4" t="s">
        <v>4301</v>
      </c>
      <c r="F580" s="4" t="s">
        <v>4300</v>
      </c>
      <c r="G580" s="4" t="s">
        <v>2263</v>
      </c>
      <c r="H580" s="9" t="s">
        <v>2263</v>
      </c>
      <c r="I580" s="4" t="s">
        <v>2317</v>
      </c>
      <c r="J580" s="4" t="s">
        <v>2316</v>
      </c>
      <c r="K580" s="4" t="s">
        <v>2263</v>
      </c>
      <c r="L580" s="10">
        <v>1</v>
      </c>
      <c r="M580" s="5">
        <v>78712.004761904755</v>
      </c>
      <c r="N580" s="5">
        <v>78712.004761904755</v>
      </c>
    </row>
    <row r="581" spans="1:14" x14ac:dyDescent="0.25">
      <c r="A581" s="4" t="s">
        <v>2653</v>
      </c>
      <c r="B581" s="4" t="s">
        <v>3226</v>
      </c>
      <c r="C581" s="4" t="s">
        <v>2384</v>
      </c>
      <c r="D581" s="4" t="s">
        <v>262</v>
      </c>
      <c r="E581" s="4" t="s">
        <v>3412</v>
      </c>
      <c r="F581" s="4" t="s">
        <v>3411</v>
      </c>
      <c r="G581" s="4" t="s">
        <v>2263</v>
      </c>
      <c r="H581" s="9" t="s">
        <v>2263</v>
      </c>
      <c r="I581" s="4" t="s">
        <v>2317</v>
      </c>
      <c r="J581" s="4" t="s">
        <v>2316</v>
      </c>
      <c r="K581" s="4" t="s">
        <v>2263</v>
      </c>
      <c r="L581" s="10">
        <v>1</v>
      </c>
      <c r="M581" s="5">
        <v>80906.460000000006</v>
      </c>
      <c r="N581" s="5">
        <v>80906.460000000006</v>
      </c>
    </row>
    <row r="582" spans="1:14" x14ac:dyDescent="0.25">
      <c r="A582" s="4" t="s">
        <v>2317</v>
      </c>
      <c r="B582" s="4" t="s">
        <v>3839</v>
      </c>
      <c r="C582" s="4" t="s">
        <v>2320</v>
      </c>
      <c r="D582" s="4" t="s">
        <v>242</v>
      </c>
      <c r="E582" s="4" t="s">
        <v>3002</v>
      </c>
      <c r="F582" s="4" t="s">
        <v>3001</v>
      </c>
      <c r="G582" s="4" t="s">
        <v>2263</v>
      </c>
      <c r="H582" s="9" t="s">
        <v>2263</v>
      </c>
      <c r="I582" s="4" t="s">
        <v>2317</v>
      </c>
      <c r="J582" s="4" t="s">
        <v>2316</v>
      </c>
      <c r="K582" s="4" t="s">
        <v>2263</v>
      </c>
      <c r="L582" s="10">
        <v>1</v>
      </c>
      <c r="M582" s="5">
        <v>84561.285714285725</v>
      </c>
      <c r="N582" s="5">
        <v>84561.28571428571</v>
      </c>
    </row>
    <row r="583" spans="1:14" x14ac:dyDescent="0.25">
      <c r="A583" s="4" t="s">
        <v>2930</v>
      </c>
      <c r="B583" s="4" t="s">
        <v>2929</v>
      </c>
      <c r="C583" s="4" t="s">
        <v>2320</v>
      </c>
      <c r="D583" s="4" t="s">
        <v>242</v>
      </c>
      <c r="E583" s="4" t="s">
        <v>3002</v>
      </c>
      <c r="F583" s="4" t="s">
        <v>3001</v>
      </c>
      <c r="G583" s="4" t="s">
        <v>2263</v>
      </c>
      <c r="H583" s="9" t="s">
        <v>2263</v>
      </c>
      <c r="I583" s="4" t="s">
        <v>2317</v>
      </c>
      <c r="J583" s="4" t="s">
        <v>2316</v>
      </c>
      <c r="K583" s="4" t="s">
        <v>2263</v>
      </c>
      <c r="L583" s="10">
        <v>1</v>
      </c>
      <c r="M583" s="5">
        <v>84561.285714285725</v>
      </c>
      <c r="N583" s="5">
        <v>84561.28571428571</v>
      </c>
    </row>
    <row r="584" spans="1:14" x14ac:dyDescent="0.25">
      <c r="A584" s="4" t="s">
        <v>2344</v>
      </c>
      <c r="B584" s="4" t="s">
        <v>5154</v>
      </c>
      <c r="C584" s="4" t="s">
        <v>2320</v>
      </c>
      <c r="D584" s="4" t="s">
        <v>242</v>
      </c>
      <c r="E584" s="4" t="s">
        <v>4025</v>
      </c>
      <c r="F584" s="4" t="s">
        <v>4024</v>
      </c>
      <c r="G584" s="4" t="s">
        <v>2263</v>
      </c>
      <c r="H584" s="9" t="s">
        <v>2263</v>
      </c>
      <c r="I584" s="4" t="s">
        <v>2317</v>
      </c>
      <c r="J584" s="4" t="s">
        <v>2316</v>
      </c>
      <c r="K584" s="4" t="s">
        <v>2263</v>
      </c>
      <c r="L584" s="10">
        <v>1</v>
      </c>
      <c r="M584" s="5">
        <v>85000.09</v>
      </c>
      <c r="N584" s="5">
        <v>85000.09</v>
      </c>
    </row>
    <row r="585" spans="1:14" x14ac:dyDescent="0.25">
      <c r="A585" s="4" t="s">
        <v>2317</v>
      </c>
      <c r="B585" s="4" t="s">
        <v>3839</v>
      </c>
      <c r="C585" s="4" t="s">
        <v>2320</v>
      </c>
      <c r="D585" s="4" t="s">
        <v>242</v>
      </c>
      <c r="E585" s="4" t="s">
        <v>4025</v>
      </c>
      <c r="F585" s="4" t="s">
        <v>4024</v>
      </c>
      <c r="G585" s="4" t="s">
        <v>2263</v>
      </c>
      <c r="H585" s="9" t="s">
        <v>2263</v>
      </c>
      <c r="I585" s="4" t="s">
        <v>2317</v>
      </c>
      <c r="J585" s="4" t="s">
        <v>2316</v>
      </c>
      <c r="K585" s="4" t="s">
        <v>2263</v>
      </c>
      <c r="L585" s="10">
        <v>1</v>
      </c>
      <c r="M585" s="5">
        <v>85000.09</v>
      </c>
      <c r="N585" s="5">
        <v>85000.09</v>
      </c>
    </row>
    <row r="586" spans="1:14" x14ac:dyDescent="0.25">
      <c r="A586" s="4" t="s">
        <v>2344</v>
      </c>
      <c r="B586" s="4" t="s">
        <v>5154</v>
      </c>
      <c r="C586" s="4" t="s">
        <v>2320</v>
      </c>
      <c r="D586" s="4" t="s">
        <v>242</v>
      </c>
      <c r="E586" s="4" t="s">
        <v>4041</v>
      </c>
      <c r="F586" s="4" t="s">
        <v>4040</v>
      </c>
      <c r="G586" s="4" t="s">
        <v>2263</v>
      </c>
      <c r="H586" s="9" t="s">
        <v>2263</v>
      </c>
      <c r="I586" s="4" t="s">
        <v>2317</v>
      </c>
      <c r="J586" s="4" t="s">
        <v>2316</v>
      </c>
      <c r="K586" s="4" t="s">
        <v>2263</v>
      </c>
      <c r="L586" s="10">
        <v>1</v>
      </c>
      <c r="M586" s="5">
        <v>88039.510000000009</v>
      </c>
      <c r="N586" s="5">
        <v>88039.51</v>
      </c>
    </row>
    <row r="587" spans="1:14" x14ac:dyDescent="0.25">
      <c r="A587" s="4" t="s">
        <v>2386</v>
      </c>
      <c r="B587" s="4" t="s">
        <v>2385</v>
      </c>
      <c r="C587" s="4" t="s">
        <v>2344</v>
      </c>
      <c r="D587" s="4" t="s">
        <v>237</v>
      </c>
      <c r="E587" s="4" t="s">
        <v>2467</v>
      </c>
      <c r="F587" s="4" t="s">
        <v>2466</v>
      </c>
      <c r="G587" s="4" t="s">
        <v>2263</v>
      </c>
      <c r="H587" s="9" t="s">
        <v>2263</v>
      </c>
      <c r="I587" s="4" t="s">
        <v>2263</v>
      </c>
      <c r="J587" s="4" t="s">
        <v>2263</v>
      </c>
      <c r="K587" s="4" t="s">
        <v>2465</v>
      </c>
      <c r="L587" s="10">
        <v>1</v>
      </c>
      <c r="M587" s="5">
        <v>89770.6</v>
      </c>
      <c r="N587" s="5">
        <v>89770.6</v>
      </c>
    </row>
    <row r="588" spans="1:14" x14ac:dyDescent="0.25">
      <c r="A588" s="4" t="s">
        <v>2320</v>
      </c>
      <c r="B588" s="4" t="s">
        <v>4967</v>
      </c>
      <c r="C588" s="4" t="s">
        <v>2274</v>
      </c>
      <c r="D588" s="4" t="s">
        <v>2273</v>
      </c>
      <c r="E588" s="4" t="s">
        <v>2358</v>
      </c>
      <c r="F588" s="4" t="s">
        <v>2357</v>
      </c>
      <c r="G588" s="4" t="s">
        <v>2263</v>
      </c>
      <c r="H588" s="9" t="s">
        <v>2263</v>
      </c>
      <c r="I588" s="4" t="s">
        <v>2263</v>
      </c>
      <c r="J588" s="4" t="s">
        <v>2263</v>
      </c>
      <c r="K588" s="4" t="s">
        <v>2356</v>
      </c>
      <c r="L588" s="10">
        <v>1</v>
      </c>
      <c r="M588" s="5">
        <v>92812.845025641014</v>
      </c>
      <c r="N588" s="5">
        <v>92812.845025641043</v>
      </c>
    </row>
    <row r="589" spans="1:14" x14ac:dyDescent="0.25">
      <c r="A589" s="4" t="s">
        <v>2344</v>
      </c>
      <c r="B589" s="4" t="s">
        <v>5154</v>
      </c>
      <c r="C589" s="4" t="s">
        <v>2320</v>
      </c>
      <c r="D589" s="4" t="s">
        <v>242</v>
      </c>
      <c r="E589" s="4" t="s">
        <v>2773</v>
      </c>
      <c r="F589" s="4" t="s">
        <v>2772</v>
      </c>
      <c r="G589" s="4" t="s">
        <v>2263</v>
      </c>
      <c r="H589" s="9" t="s">
        <v>2263</v>
      </c>
      <c r="I589" s="4" t="s">
        <v>2317</v>
      </c>
      <c r="J589" s="4" t="s">
        <v>2316</v>
      </c>
      <c r="K589" s="4" t="s">
        <v>2263</v>
      </c>
      <c r="L589" s="10">
        <v>1</v>
      </c>
      <c r="M589" s="5">
        <v>93891.305714285714</v>
      </c>
      <c r="N589" s="5">
        <v>93891.305714285714</v>
      </c>
    </row>
    <row r="590" spans="1:14" x14ac:dyDescent="0.25">
      <c r="A590" s="4" t="s">
        <v>2279</v>
      </c>
      <c r="B590" s="4" t="s">
        <v>4963</v>
      </c>
      <c r="C590" s="4" t="s">
        <v>2320</v>
      </c>
      <c r="D590" s="4" t="s">
        <v>242</v>
      </c>
      <c r="E590" s="4" t="s">
        <v>2773</v>
      </c>
      <c r="F590" s="4" t="s">
        <v>2772</v>
      </c>
      <c r="G590" s="4" t="s">
        <v>2263</v>
      </c>
      <c r="H590" s="9" t="s">
        <v>2263</v>
      </c>
      <c r="I590" s="4" t="s">
        <v>2317</v>
      </c>
      <c r="J590" s="4" t="s">
        <v>2316</v>
      </c>
      <c r="K590" s="4" t="s">
        <v>2263</v>
      </c>
      <c r="L590" s="10">
        <v>1</v>
      </c>
      <c r="M590" s="5">
        <v>93891.305714285714</v>
      </c>
      <c r="N590" s="5">
        <v>93891.305714285714</v>
      </c>
    </row>
    <row r="591" spans="1:14" x14ac:dyDescent="0.25">
      <c r="A591" s="4" t="s">
        <v>2481</v>
      </c>
      <c r="B591" s="4" t="s">
        <v>3217</v>
      </c>
      <c r="C591" s="4" t="s">
        <v>2320</v>
      </c>
      <c r="D591" s="4" t="s">
        <v>242</v>
      </c>
      <c r="E591" s="4" t="s">
        <v>2773</v>
      </c>
      <c r="F591" s="4" t="s">
        <v>2772</v>
      </c>
      <c r="G591" s="4" t="s">
        <v>2263</v>
      </c>
      <c r="H591" s="9" t="s">
        <v>2263</v>
      </c>
      <c r="I591" s="4" t="s">
        <v>2317</v>
      </c>
      <c r="J591" s="4" t="s">
        <v>2316</v>
      </c>
      <c r="K591" s="4" t="s">
        <v>2263</v>
      </c>
      <c r="L591" s="10">
        <v>1</v>
      </c>
      <c r="M591" s="5">
        <v>93891.305714285714</v>
      </c>
      <c r="N591" s="5">
        <v>93891.305714285714</v>
      </c>
    </row>
    <row r="592" spans="1:14" x14ac:dyDescent="0.25">
      <c r="A592" s="4" t="s">
        <v>3157</v>
      </c>
      <c r="B592" s="4" t="s">
        <v>3156</v>
      </c>
      <c r="C592" s="4" t="s">
        <v>2320</v>
      </c>
      <c r="D592" s="4" t="s">
        <v>242</v>
      </c>
      <c r="E592" s="4" t="s">
        <v>2773</v>
      </c>
      <c r="F592" s="4" t="s">
        <v>2772</v>
      </c>
      <c r="G592" s="4" t="s">
        <v>2263</v>
      </c>
      <c r="H592" s="9" t="s">
        <v>2263</v>
      </c>
      <c r="I592" s="4" t="s">
        <v>2317</v>
      </c>
      <c r="J592" s="4" t="s">
        <v>2316</v>
      </c>
      <c r="K592" s="4" t="s">
        <v>2263</v>
      </c>
      <c r="L592" s="10">
        <v>1</v>
      </c>
      <c r="M592" s="5">
        <v>93891.305714285714</v>
      </c>
      <c r="N592" s="5">
        <v>93891.305714285714</v>
      </c>
    </row>
    <row r="593" spans="1:14" x14ac:dyDescent="0.25">
      <c r="A593" s="4" t="s">
        <v>3104</v>
      </c>
      <c r="B593" s="4" t="s">
        <v>3103</v>
      </c>
      <c r="C593" s="4" t="s">
        <v>2320</v>
      </c>
      <c r="D593" s="4" t="s">
        <v>242</v>
      </c>
      <c r="E593" s="4" t="s">
        <v>2773</v>
      </c>
      <c r="F593" s="4" t="s">
        <v>2772</v>
      </c>
      <c r="G593" s="4" t="s">
        <v>2263</v>
      </c>
      <c r="H593" s="9" t="s">
        <v>2263</v>
      </c>
      <c r="I593" s="4" t="s">
        <v>2317</v>
      </c>
      <c r="J593" s="4" t="s">
        <v>2316</v>
      </c>
      <c r="K593" s="4" t="s">
        <v>2263</v>
      </c>
      <c r="L593" s="10">
        <v>1</v>
      </c>
      <c r="M593" s="5">
        <v>93891.305714285714</v>
      </c>
      <c r="N593" s="5">
        <v>93891.305714285714</v>
      </c>
    </row>
    <row r="594" spans="1:14" x14ac:dyDescent="0.25">
      <c r="A594" s="4" t="s">
        <v>2344</v>
      </c>
      <c r="B594" s="4" t="s">
        <v>5154</v>
      </c>
      <c r="C594" s="4" t="s">
        <v>2320</v>
      </c>
      <c r="D594" s="4" t="s">
        <v>242</v>
      </c>
      <c r="E594" s="4" t="s">
        <v>4183</v>
      </c>
      <c r="F594" s="4" t="s">
        <v>4182</v>
      </c>
      <c r="G594" s="4" t="s">
        <v>2263</v>
      </c>
      <c r="H594" s="9" t="s">
        <v>2263</v>
      </c>
      <c r="I594" s="4" t="s">
        <v>2317</v>
      </c>
      <c r="J594" s="4" t="s">
        <v>2316</v>
      </c>
      <c r="K594" s="4" t="s">
        <v>2263</v>
      </c>
      <c r="L594" s="10">
        <v>1</v>
      </c>
      <c r="M594" s="5">
        <v>95000</v>
      </c>
      <c r="N594" s="5">
        <v>95000</v>
      </c>
    </row>
    <row r="595" spans="1:14" x14ac:dyDescent="0.25">
      <c r="A595" s="4" t="s">
        <v>3145</v>
      </c>
      <c r="B595" s="4" t="s">
        <v>3144</v>
      </c>
      <c r="C595" s="4" t="s">
        <v>2320</v>
      </c>
      <c r="D595" s="4" t="s">
        <v>242</v>
      </c>
      <c r="E595" s="4" t="s">
        <v>3147</v>
      </c>
      <c r="F595" s="4" t="s">
        <v>3146</v>
      </c>
      <c r="G595" s="4" t="s">
        <v>2263</v>
      </c>
      <c r="H595" s="9" t="s">
        <v>2263</v>
      </c>
      <c r="I595" s="4" t="s">
        <v>2317</v>
      </c>
      <c r="J595" s="4" t="s">
        <v>2316</v>
      </c>
      <c r="K595" s="4" t="s">
        <v>2263</v>
      </c>
      <c r="L595" s="10">
        <v>1</v>
      </c>
      <c r="M595" s="5">
        <v>100452.13374999999</v>
      </c>
      <c r="N595" s="5">
        <v>100452.13374999999</v>
      </c>
    </row>
    <row r="596" spans="1:14" x14ac:dyDescent="0.25">
      <c r="A596" s="4" t="s">
        <v>2653</v>
      </c>
      <c r="B596" s="4" t="s">
        <v>3226</v>
      </c>
      <c r="C596" s="4" t="s">
        <v>2384</v>
      </c>
      <c r="D596" s="4" t="s">
        <v>262</v>
      </c>
      <c r="E596" s="4" t="s">
        <v>3522</v>
      </c>
      <c r="F596" s="4" t="s">
        <v>3521</v>
      </c>
      <c r="G596" s="4" t="s">
        <v>2263</v>
      </c>
      <c r="H596" s="9" t="s">
        <v>2263</v>
      </c>
      <c r="I596" s="4" t="s">
        <v>2317</v>
      </c>
      <c r="J596" s="4" t="s">
        <v>2316</v>
      </c>
      <c r="K596" s="4" t="s">
        <v>2263</v>
      </c>
      <c r="L596" s="10">
        <v>1</v>
      </c>
      <c r="M596" s="5">
        <v>104843</v>
      </c>
      <c r="N596" s="5">
        <v>104843</v>
      </c>
    </row>
    <row r="597" spans="1:14" x14ac:dyDescent="0.25">
      <c r="A597" s="4" t="s">
        <v>2320</v>
      </c>
      <c r="B597" s="4" t="s">
        <v>4967</v>
      </c>
      <c r="C597" s="4" t="s">
        <v>2320</v>
      </c>
      <c r="D597" s="4" t="s">
        <v>242</v>
      </c>
      <c r="E597" s="4" t="s">
        <v>2986</v>
      </c>
      <c r="F597" s="4" t="s">
        <v>2985</v>
      </c>
      <c r="G597" s="4" t="s">
        <v>2263</v>
      </c>
      <c r="H597" s="9" t="s">
        <v>2263</v>
      </c>
      <c r="I597" s="4" t="s">
        <v>2317</v>
      </c>
      <c r="J597" s="4" t="s">
        <v>2316</v>
      </c>
      <c r="K597" s="4" t="s">
        <v>2263</v>
      </c>
      <c r="L597" s="10">
        <v>1</v>
      </c>
      <c r="M597" s="5">
        <v>110812.81733333333</v>
      </c>
      <c r="N597" s="5">
        <v>110812.81733333333</v>
      </c>
    </row>
    <row r="598" spans="1:14" x14ac:dyDescent="0.25">
      <c r="A598" s="4" t="s">
        <v>2267</v>
      </c>
      <c r="B598" s="4" t="s">
        <v>3838</v>
      </c>
      <c r="C598" s="4" t="s">
        <v>2320</v>
      </c>
      <c r="D598" s="4" t="s">
        <v>242</v>
      </c>
      <c r="E598" s="4" t="s">
        <v>2986</v>
      </c>
      <c r="F598" s="4" t="s">
        <v>2985</v>
      </c>
      <c r="G598" s="4" t="s">
        <v>2263</v>
      </c>
      <c r="H598" s="9" t="s">
        <v>2263</v>
      </c>
      <c r="I598" s="4" t="s">
        <v>2317</v>
      </c>
      <c r="J598" s="4" t="s">
        <v>2316</v>
      </c>
      <c r="K598" s="4" t="s">
        <v>2263</v>
      </c>
      <c r="L598" s="10">
        <v>1</v>
      </c>
      <c r="M598" s="5">
        <v>110812.81733333333</v>
      </c>
      <c r="N598" s="5">
        <v>110812.81733333333</v>
      </c>
    </row>
    <row r="599" spans="1:14" x14ac:dyDescent="0.25">
      <c r="A599" s="4" t="s">
        <v>2317</v>
      </c>
      <c r="B599" s="4" t="s">
        <v>3839</v>
      </c>
      <c r="C599" s="4" t="s">
        <v>2320</v>
      </c>
      <c r="D599" s="4" t="s">
        <v>242</v>
      </c>
      <c r="E599" s="4" t="s">
        <v>4245</v>
      </c>
      <c r="F599" s="4" t="s">
        <v>4244</v>
      </c>
      <c r="G599" s="4" t="s">
        <v>2263</v>
      </c>
      <c r="H599" s="9" t="s">
        <v>2263</v>
      </c>
      <c r="I599" s="4" t="s">
        <v>2317</v>
      </c>
      <c r="J599" s="4" t="s">
        <v>2316</v>
      </c>
      <c r="K599" s="4" t="s">
        <v>2263</v>
      </c>
      <c r="L599" s="10">
        <v>1</v>
      </c>
      <c r="M599" s="5">
        <v>113448.33333333333</v>
      </c>
      <c r="N599" s="5">
        <v>113448.33333333331</v>
      </c>
    </row>
    <row r="600" spans="1:14" x14ac:dyDescent="0.25">
      <c r="A600" s="4" t="s">
        <v>2320</v>
      </c>
      <c r="B600" s="4" t="s">
        <v>4967</v>
      </c>
      <c r="C600" s="4" t="s">
        <v>2320</v>
      </c>
      <c r="D600" s="4" t="s">
        <v>242</v>
      </c>
      <c r="E600" s="4" t="s">
        <v>5123</v>
      </c>
      <c r="F600" s="4" t="s">
        <v>5122</v>
      </c>
      <c r="G600" s="4" t="s">
        <v>2263</v>
      </c>
      <c r="H600" s="9" t="s">
        <v>2263</v>
      </c>
      <c r="I600" s="4" t="s">
        <v>2317</v>
      </c>
      <c r="J600" s="4" t="s">
        <v>2316</v>
      </c>
      <c r="K600" s="4" t="s">
        <v>2263</v>
      </c>
      <c r="L600" s="10">
        <v>1</v>
      </c>
      <c r="M600" s="5">
        <v>116186.63333333333</v>
      </c>
      <c r="N600" s="5">
        <v>116186.63333333332</v>
      </c>
    </row>
    <row r="601" spans="1:14" x14ac:dyDescent="0.25">
      <c r="A601" s="4" t="s">
        <v>3168</v>
      </c>
      <c r="B601" s="4" t="s">
        <v>3167</v>
      </c>
      <c r="C601" s="4" t="s">
        <v>2320</v>
      </c>
      <c r="D601" s="4" t="s">
        <v>242</v>
      </c>
      <c r="E601" s="4" t="s">
        <v>3170</v>
      </c>
      <c r="F601" s="4" t="s">
        <v>3169</v>
      </c>
      <c r="G601" s="4" t="s">
        <v>2263</v>
      </c>
      <c r="H601" s="9" t="s">
        <v>2263</v>
      </c>
      <c r="I601" s="4" t="s">
        <v>2317</v>
      </c>
      <c r="J601" s="4" t="s">
        <v>2316</v>
      </c>
      <c r="K601" s="4" t="s">
        <v>2263</v>
      </c>
      <c r="L601" s="10">
        <v>1</v>
      </c>
      <c r="M601" s="5">
        <v>119623.89538461539</v>
      </c>
      <c r="N601" s="5">
        <v>119623.89538461537</v>
      </c>
    </row>
    <row r="602" spans="1:14" x14ac:dyDescent="0.25">
      <c r="A602" s="4" t="s">
        <v>2761</v>
      </c>
      <c r="B602" s="4" t="s">
        <v>2760</v>
      </c>
      <c r="C602" s="4" t="s">
        <v>2384</v>
      </c>
      <c r="D602" s="4" t="s">
        <v>262</v>
      </c>
      <c r="E602" s="4" t="s">
        <v>2763</v>
      </c>
      <c r="F602" s="4" t="s">
        <v>2762</v>
      </c>
      <c r="G602" s="4" t="s">
        <v>2263</v>
      </c>
      <c r="H602" s="9" t="s">
        <v>2263</v>
      </c>
      <c r="I602" s="4" t="s">
        <v>2317</v>
      </c>
      <c r="J602" s="4" t="s">
        <v>2316</v>
      </c>
      <c r="K602" s="4" t="s">
        <v>2263</v>
      </c>
      <c r="L602" s="10">
        <v>1</v>
      </c>
      <c r="M602" s="5">
        <v>124355</v>
      </c>
      <c r="N602" s="5">
        <v>124355</v>
      </c>
    </row>
    <row r="603" spans="1:14" x14ac:dyDescent="0.25">
      <c r="A603" s="4" t="s">
        <v>2344</v>
      </c>
      <c r="B603" s="4" t="s">
        <v>5154</v>
      </c>
      <c r="C603" s="4" t="s">
        <v>2320</v>
      </c>
      <c r="D603" s="4" t="s">
        <v>242</v>
      </c>
      <c r="E603" s="4" t="s">
        <v>4015</v>
      </c>
      <c r="F603" s="4" t="s">
        <v>4014</v>
      </c>
      <c r="G603" s="4" t="s">
        <v>2263</v>
      </c>
      <c r="H603" s="9" t="s">
        <v>2263</v>
      </c>
      <c r="I603" s="4" t="s">
        <v>2317</v>
      </c>
      <c r="J603" s="4" t="s">
        <v>2316</v>
      </c>
      <c r="K603" s="4" t="s">
        <v>2263</v>
      </c>
      <c r="L603" s="10">
        <v>1</v>
      </c>
      <c r="M603" s="5">
        <v>125774.17</v>
      </c>
      <c r="N603" s="5">
        <v>125774.17</v>
      </c>
    </row>
    <row r="604" spans="1:14" x14ac:dyDescent="0.25">
      <c r="A604" s="4" t="s">
        <v>2317</v>
      </c>
      <c r="B604" s="4" t="s">
        <v>3839</v>
      </c>
      <c r="C604" s="4" t="s">
        <v>2320</v>
      </c>
      <c r="D604" s="4" t="s">
        <v>242</v>
      </c>
      <c r="E604" s="4" t="s">
        <v>4035</v>
      </c>
      <c r="F604" s="4" t="s">
        <v>4034</v>
      </c>
      <c r="G604" s="4" t="s">
        <v>2263</v>
      </c>
      <c r="H604" s="9" t="s">
        <v>2263</v>
      </c>
      <c r="I604" s="4" t="s">
        <v>2317</v>
      </c>
      <c r="J604" s="4" t="s">
        <v>2316</v>
      </c>
      <c r="K604" s="4" t="s">
        <v>2263</v>
      </c>
      <c r="L604" s="10">
        <v>1</v>
      </c>
      <c r="M604" s="5">
        <v>127557.78</v>
      </c>
      <c r="N604" s="5">
        <v>127557.78</v>
      </c>
    </row>
    <row r="605" spans="1:14" x14ac:dyDescent="0.25">
      <c r="A605" s="4" t="s">
        <v>3070</v>
      </c>
      <c r="B605" s="4" t="s">
        <v>3216</v>
      </c>
      <c r="C605" s="4" t="s">
        <v>2320</v>
      </c>
      <c r="D605" s="4" t="s">
        <v>242</v>
      </c>
      <c r="E605" s="4" t="s">
        <v>3215</v>
      </c>
      <c r="F605" s="4" t="s">
        <v>3214</v>
      </c>
      <c r="G605" s="4" t="s">
        <v>2263</v>
      </c>
      <c r="H605" s="9" t="s">
        <v>2263</v>
      </c>
      <c r="I605" s="4" t="s">
        <v>2317</v>
      </c>
      <c r="J605" s="4" t="s">
        <v>2316</v>
      </c>
      <c r="K605" s="4" t="s">
        <v>2263</v>
      </c>
      <c r="L605" s="10">
        <v>1</v>
      </c>
      <c r="M605" s="5">
        <v>133108.87142857144</v>
      </c>
      <c r="N605" s="5">
        <v>133108.87142857144</v>
      </c>
    </row>
    <row r="606" spans="1:14" x14ac:dyDescent="0.25">
      <c r="A606" s="4" t="s">
        <v>2320</v>
      </c>
      <c r="B606" s="4" t="s">
        <v>4967</v>
      </c>
      <c r="C606" s="4" t="s">
        <v>2344</v>
      </c>
      <c r="D606" s="4" t="s">
        <v>237</v>
      </c>
      <c r="E606" s="4" t="s">
        <v>2889</v>
      </c>
      <c r="F606" s="4" t="s">
        <v>2888</v>
      </c>
      <c r="G606" s="4" t="s">
        <v>2263</v>
      </c>
      <c r="H606" s="9" t="s">
        <v>2263</v>
      </c>
      <c r="I606" s="4" t="s">
        <v>2263</v>
      </c>
      <c r="J606" s="4" t="s">
        <v>2263</v>
      </c>
      <c r="K606" s="4" t="s">
        <v>2878</v>
      </c>
      <c r="L606" s="10">
        <v>1</v>
      </c>
      <c r="M606" s="5">
        <v>142511.84</v>
      </c>
      <c r="N606" s="5">
        <v>142511.84</v>
      </c>
    </row>
    <row r="607" spans="1:14" x14ac:dyDescent="0.25">
      <c r="A607" s="4" t="s">
        <v>2320</v>
      </c>
      <c r="B607" s="4" t="s">
        <v>4967</v>
      </c>
      <c r="C607" s="4" t="s">
        <v>2320</v>
      </c>
      <c r="D607" s="4" t="s">
        <v>242</v>
      </c>
      <c r="E607" s="4" t="s">
        <v>5069</v>
      </c>
      <c r="F607" s="4" t="s">
        <v>5068</v>
      </c>
      <c r="G607" s="4" t="s">
        <v>2263</v>
      </c>
      <c r="H607" s="9" t="s">
        <v>2263</v>
      </c>
      <c r="I607" s="4" t="s">
        <v>2317</v>
      </c>
      <c r="J607" s="4" t="s">
        <v>2316</v>
      </c>
      <c r="K607" s="4" t="s">
        <v>2263</v>
      </c>
      <c r="L607" s="10">
        <v>1</v>
      </c>
      <c r="M607" s="5">
        <v>143990</v>
      </c>
      <c r="N607" s="5">
        <v>143990</v>
      </c>
    </row>
    <row r="608" spans="1:14" x14ac:dyDescent="0.25">
      <c r="A608" s="4" t="s">
        <v>2344</v>
      </c>
      <c r="B608" s="4" t="s">
        <v>5154</v>
      </c>
      <c r="C608" s="4" t="s">
        <v>2320</v>
      </c>
      <c r="D608" s="4" t="s">
        <v>242</v>
      </c>
      <c r="E608" s="4" t="s">
        <v>4085</v>
      </c>
      <c r="F608" s="4" t="s">
        <v>4084</v>
      </c>
      <c r="G608" s="4" t="s">
        <v>2263</v>
      </c>
      <c r="H608" s="9" t="s">
        <v>2263</v>
      </c>
      <c r="I608" s="4" t="s">
        <v>2317</v>
      </c>
      <c r="J608" s="4" t="s">
        <v>2316</v>
      </c>
      <c r="K608" s="4" t="s">
        <v>2263</v>
      </c>
      <c r="L608" s="10">
        <v>1</v>
      </c>
      <c r="M608" s="5">
        <v>148750</v>
      </c>
      <c r="N608" s="5">
        <v>148750</v>
      </c>
    </row>
    <row r="609" spans="1:14" x14ac:dyDescent="0.25">
      <c r="A609" s="4" t="s">
        <v>2317</v>
      </c>
      <c r="B609" s="4" t="s">
        <v>3839</v>
      </c>
      <c r="C609" s="4" t="s">
        <v>2320</v>
      </c>
      <c r="D609" s="4" t="s">
        <v>242</v>
      </c>
      <c r="E609" s="4" t="s">
        <v>4085</v>
      </c>
      <c r="F609" s="4" t="s">
        <v>4084</v>
      </c>
      <c r="G609" s="4" t="s">
        <v>2263</v>
      </c>
      <c r="H609" s="9" t="s">
        <v>2263</v>
      </c>
      <c r="I609" s="4" t="s">
        <v>2317</v>
      </c>
      <c r="J609" s="4" t="s">
        <v>2316</v>
      </c>
      <c r="K609" s="4" t="s">
        <v>2263</v>
      </c>
      <c r="L609" s="10">
        <v>1</v>
      </c>
      <c r="M609" s="5">
        <v>148750</v>
      </c>
      <c r="N609" s="5">
        <v>148750</v>
      </c>
    </row>
    <row r="610" spans="1:14" x14ac:dyDescent="0.25">
      <c r="A610" s="4" t="s">
        <v>2653</v>
      </c>
      <c r="B610" s="4" t="s">
        <v>3226</v>
      </c>
      <c r="C610" s="4" t="s">
        <v>2384</v>
      </c>
      <c r="D610" s="4" t="s">
        <v>262</v>
      </c>
      <c r="E610" s="4" t="s">
        <v>3510</v>
      </c>
      <c r="F610" s="4" t="s">
        <v>3509</v>
      </c>
      <c r="G610" s="4" t="s">
        <v>2263</v>
      </c>
      <c r="H610" s="9" t="s">
        <v>2263</v>
      </c>
      <c r="I610" s="4" t="s">
        <v>2317</v>
      </c>
      <c r="J610" s="4" t="s">
        <v>2316</v>
      </c>
      <c r="K610" s="4" t="s">
        <v>2263</v>
      </c>
      <c r="L610" s="10">
        <v>1</v>
      </c>
      <c r="M610" s="5">
        <v>148750</v>
      </c>
      <c r="N610" s="5">
        <v>148750</v>
      </c>
    </row>
    <row r="611" spans="1:14" x14ac:dyDescent="0.25">
      <c r="A611" s="4" t="s">
        <v>2653</v>
      </c>
      <c r="B611" s="4" t="s">
        <v>3226</v>
      </c>
      <c r="C611" s="4" t="s">
        <v>3107</v>
      </c>
      <c r="D611" s="4" t="s">
        <v>1105</v>
      </c>
      <c r="E611" s="4" t="s">
        <v>3663</v>
      </c>
      <c r="F611" s="4" t="s">
        <v>3662</v>
      </c>
      <c r="G611" s="4" t="s">
        <v>2263</v>
      </c>
      <c r="H611" s="9" t="s">
        <v>2263</v>
      </c>
      <c r="I611" s="4" t="s">
        <v>2317</v>
      </c>
      <c r="J611" s="4" t="s">
        <v>2316</v>
      </c>
      <c r="K611" s="4" t="s">
        <v>2263</v>
      </c>
      <c r="L611" s="10">
        <v>1</v>
      </c>
      <c r="M611" s="5">
        <v>151213.35999999999</v>
      </c>
      <c r="N611" s="5">
        <v>151213.35999999999</v>
      </c>
    </row>
    <row r="612" spans="1:14" x14ac:dyDescent="0.25">
      <c r="A612" s="4" t="s">
        <v>2320</v>
      </c>
      <c r="B612" s="4" t="s">
        <v>4967</v>
      </c>
      <c r="C612" s="4" t="s">
        <v>2344</v>
      </c>
      <c r="D612" s="4" t="s">
        <v>237</v>
      </c>
      <c r="E612" s="4" t="s">
        <v>4920</v>
      </c>
      <c r="F612" s="4" t="s">
        <v>4919</v>
      </c>
      <c r="G612" s="4" t="s">
        <v>2263</v>
      </c>
      <c r="H612" s="9" t="s">
        <v>2263</v>
      </c>
      <c r="I612" s="4" t="s">
        <v>2263</v>
      </c>
      <c r="J612" s="4" t="s">
        <v>2263</v>
      </c>
      <c r="K612" s="4" t="s">
        <v>4918</v>
      </c>
      <c r="L612" s="10">
        <v>1</v>
      </c>
      <c r="M612" s="5">
        <v>151400</v>
      </c>
      <c r="N612" s="5">
        <v>151400</v>
      </c>
    </row>
    <row r="613" spans="1:14" x14ac:dyDescent="0.25">
      <c r="A613" s="4" t="s">
        <v>2320</v>
      </c>
      <c r="B613" s="4" t="s">
        <v>4967</v>
      </c>
      <c r="C613" s="4" t="s">
        <v>2320</v>
      </c>
      <c r="D613" s="4" t="s">
        <v>242</v>
      </c>
      <c r="E613" s="4" t="s">
        <v>4303</v>
      </c>
      <c r="F613" s="4" t="s">
        <v>4302</v>
      </c>
      <c r="G613" s="4" t="s">
        <v>2263</v>
      </c>
      <c r="H613" s="9" t="s">
        <v>2263</v>
      </c>
      <c r="I613" s="4" t="s">
        <v>2317</v>
      </c>
      <c r="J613" s="4" t="s">
        <v>2316</v>
      </c>
      <c r="K613" s="4" t="s">
        <v>2263</v>
      </c>
      <c r="L613" s="10">
        <v>1</v>
      </c>
      <c r="M613" s="5">
        <v>167434.28</v>
      </c>
      <c r="N613" s="5">
        <v>167434.28</v>
      </c>
    </row>
    <row r="614" spans="1:14" x14ac:dyDescent="0.25">
      <c r="A614" s="4" t="s">
        <v>2320</v>
      </c>
      <c r="B614" s="4" t="s">
        <v>4967</v>
      </c>
      <c r="C614" s="4" t="s">
        <v>2320</v>
      </c>
      <c r="D614" s="4" t="s">
        <v>242</v>
      </c>
      <c r="E614" s="4" t="s">
        <v>2791</v>
      </c>
      <c r="F614" s="4" t="s">
        <v>2790</v>
      </c>
      <c r="G614" s="4" t="s">
        <v>2263</v>
      </c>
      <c r="H614" s="9" t="s">
        <v>2263</v>
      </c>
      <c r="I614" s="4" t="s">
        <v>2317</v>
      </c>
      <c r="J614" s="4" t="s">
        <v>2316</v>
      </c>
      <c r="K614" s="4" t="s">
        <v>2263</v>
      </c>
      <c r="L614" s="10">
        <v>1</v>
      </c>
      <c r="M614" s="5">
        <v>168893.85</v>
      </c>
      <c r="N614" s="5">
        <v>168893.85</v>
      </c>
    </row>
    <row r="615" spans="1:14" x14ac:dyDescent="0.25">
      <c r="A615" s="4" t="s">
        <v>2344</v>
      </c>
      <c r="B615" s="4" t="s">
        <v>5154</v>
      </c>
      <c r="C615" s="4" t="s">
        <v>2274</v>
      </c>
      <c r="D615" s="4" t="s">
        <v>2273</v>
      </c>
      <c r="E615" s="4" t="s">
        <v>5232</v>
      </c>
      <c r="F615" s="4" t="s">
        <v>5231</v>
      </c>
      <c r="G615" s="4" t="s">
        <v>2263</v>
      </c>
      <c r="H615" s="9" t="s">
        <v>2263</v>
      </c>
      <c r="I615" s="4" t="s">
        <v>2263</v>
      </c>
      <c r="J615" s="4" t="s">
        <v>2263</v>
      </c>
      <c r="K615" s="4" t="s">
        <v>5230</v>
      </c>
      <c r="L615" s="10">
        <v>1</v>
      </c>
      <c r="M615" s="5">
        <v>170650</v>
      </c>
      <c r="N615" s="5">
        <v>170650</v>
      </c>
    </row>
    <row r="616" spans="1:14" x14ac:dyDescent="0.25">
      <c r="A616" s="4" t="s">
        <v>2320</v>
      </c>
      <c r="B616" s="4" t="s">
        <v>4967</v>
      </c>
      <c r="C616" s="4" t="s">
        <v>2320</v>
      </c>
      <c r="D616" s="4" t="s">
        <v>242</v>
      </c>
      <c r="E616" s="4" t="s">
        <v>5067</v>
      </c>
      <c r="F616" s="4" t="s">
        <v>5066</v>
      </c>
      <c r="G616" s="4" t="s">
        <v>2263</v>
      </c>
      <c r="H616" s="9" t="s">
        <v>2263</v>
      </c>
      <c r="I616" s="4" t="s">
        <v>2317</v>
      </c>
      <c r="J616" s="4" t="s">
        <v>2316</v>
      </c>
      <c r="K616" s="4" t="s">
        <v>2263</v>
      </c>
      <c r="L616" s="10">
        <v>1</v>
      </c>
      <c r="M616" s="5">
        <v>176120</v>
      </c>
      <c r="N616" s="5">
        <v>176120</v>
      </c>
    </row>
    <row r="617" spans="1:14" x14ac:dyDescent="0.25">
      <c r="A617" s="4" t="s">
        <v>2317</v>
      </c>
      <c r="B617" s="4" t="s">
        <v>3839</v>
      </c>
      <c r="C617" s="4" t="s">
        <v>2320</v>
      </c>
      <c r="D617" s="4" t="s">
        <v>242</v>
      </c>
      <c r="E617" s="4" t="s">
        <v>3115</v>
      </c>
      <c r="F617" s="4" t="s">
        <v>3114</v>
      </c>
      <c r="G617" s="4" t="s">
        <v>2263</v>
      </c>
      <c r="H617" s="9" t="s">
        <v>2263</v>
      </c>
      <c r="I617" s="4" t="s">
        <v>2317</v>
      </c>
      <c r="J617" s="4" t="s">
        <v>2316</v>
      </c>
      <c r="K617" s="4" t="s">
        <v>2263</v>
      </c>
      <c r="L617" s="10">
        <v>1</v>
      </c>
      <c r="M617" s="5">
        <v>176814.75</v>
      </c>
      <c r="N617" s="5">
        <v>176814.75</v>
      </c>
    </row>
    <row r="618" spans="1:14" x14ac:dyDescent="0.25">
      <c r="A618" s="4" t="s">
        <v>3104</v>
      </c>
      <c r="B618" s="4" t="s">
        <v>3103</v>
      </c>
      <c r="C618" s="4" t="s">
        <v>2320</v>
      </c>
      <c r="D618" s="4" t="s">
        <v>242</v>
      </c>
      <c r="E618" s="4" t="s">
        <v>3115</v>
      </c>
      <c r="F618" s="4" t="s">
        <v>3114</v>
      </c>
      <c r="G618" s="4" t="s">
        <v>2263</v>
      </c>
      <c r="H618" s="9" t="s">
        <v>2263</v>
      </c>
      <c r="I618" s="4" t="s">
        <v>2317</v>
      </c>
      <c r="J618" s="4" t="s">
        <v>2316</v>
      </c>
      <c r="K618" s="4" t="s">
        <v>2263</v>
      </c>
      <c r="L618" s="10">
        <v>1</v>
      </c>
      <c r="M618" s="5">
        <v>176814.75</v>
      </c>
      <c r="N618" s="5">
        <v>176814.75</v>
      </c>
    </row>
    <row r="619" spans="1:14" x14ac:dyDescent="0.25">
      <c r="A619" s="4" t="s">
        <v>2761</v>
      </c>
      <c r="B619" s="4" t="s">
        <v>2760</v>
      </c>
      <c r="C619" s="4" t="s">
        <v>2320</v>
      </c>
      <c r="D619" s="4" t="s">
        <v>242</v>
      </c>
      <c r="E619" s="4" t="s">
        <v>2801</v>
      </c>
      <c r="F619" s="4" t="s">
        <v>2800</v>
      </c>
      <c r="G619" s="4" t="s">
        <v>2263</v>
      </c>
      <c r="H619" s="9" t="s">
        <v>2263</v>
      </c>
      <c r="I619" s="4" t="s">
        <v>2317</v>
      </c>
      <c r="J619" s="4" t="s">
        <v>2316</v>
      </c>
      <c r="K619" s="4" t="s">
        <v>2263</v>
      </c>
      <c r="L619" s="10">
        <v>1</v>
      </c>
      <c r="M619" s="5">
        <v>179378.99000000002</v>
      </c>
      <c r="N619" s="5">
        <v>179378.99</v>
      </c>
    </row>
    <row r="620" spans="1:14" x14ac:dyDescent="0.25">
      <c r="A620" s="4" t="s">
        <v>2344</v>
      </c>
      <c r="B620" s="4" t="s">
        <v>5154</v>
      </c>
      <c r="C620" s="4" t="s">
        <v>2320</v>
      </c>
      <c r="D620" s="4" t="s">
        <v>242</v>
      </c>
      <c r="E620" s="4" t="s">
        <v>2787</v>
      </c>
      <c r="F620" s="4" t="s">
        <v>2786</v>
      </c>
      <c r="G620" s="4" t="s">
        <v>2263</v>
      </c>
      <c r="H620" s="9" t="s">
        <v>2263</v>
      </c>
      <c r="I620" s="4" t="s">
        <v>2317</v>
      </c>
      <c r="J620" s="4" t="s">
        <v>2316</v>
      </c>
      <c r="K620" s="4" t="s">
        <v>2263</v>
      </c>
      <c r="L620" s="10">
        <v>1</v>
      </c>
      <c r="M620" s="5">
        <v>182459.11333333334</v>
      </c>
      <c r="N620" s="5">
        <v>182459.11333333331</v>
      </c>
    </row>
    <row r="621" spans="1:14" x14ac:dyDescent="0.25">
      <c r="A621" s="4" t="s">
        <v>2320</v>
      </c>
      <c r="B621" s="4" t="s">
        <v>4967</v>
      </c>
      <c r="C621" s="4" t="s">
        <v>2320</v>
      </c>
      <c r="D621" s="4" t="s">
        <v>242</v>
      </c>
      <c r="E621" s="4" t="s">
        <v>5051</v>
      </c>
      <c r="F621" s="4" t="s">
        <v>5050</v>
      </c>
      <c r="G621" s="4" t="s">
        <v>2263</v>
      </c>
      <c r="H621" s="9" t="s">
        <v>2263</v>
      </c>
      <c r="I621" s="4" t="s">
        <v>2317</v>
      </c>
      <c r="J621" s="4" t="s">
        <v>2316</v>
      </c>
      <c r="K621" s="4" t="s">
        <v>2263</v>
      </c>
      <c r="L621" s="10">
        <v>1</v>
      </c>
      <c r="M621" s="5">
        <v>183335.4</v>
      </c>
      <c r="N621" s="5">
        <v>183335.4</v>
      </c>
    </row>
    <row r="622" spans="1:14" x14ac:dyDescent="0.25">
      <c r="A622" s="4" t="s">
        <v>2317</v>
      </c>
      <c r="B622" s="4" t="s">
        <v>3839</v>
      </c>
      <c r="C622" s="4" t="s">
        <v>2320</v>
      </c>
      <c r="D622" s="4" t="s">
        <v>242</v>
      </c>
      <c r="E622" s="4" t="s">
        <v>4089</v>
      </c>
      <c r="F622" s="4" t="s">
        <v>4088</v>
      </c>
      <c r="G622" s="4" t="s">
        <v>2263</v>
      </c>
      <c r="H622" s="9" t="s">
        <v>2263</v>
      </c>
      <c r="I622" s="4" t="s">
        <v>2317</v>
      </c>
      <c r="J622" s="4" t="s">
        <v>2316</v>
      </c>
      <c r="K622" s="4" t="s">
        <v>2263</v>
      </c>
      <c r="L622" s="10">
        <v>1</v>
      </c>
      <c r="M622" s="5">
        <v>189393.50000000003</v>
      </c>
      <c r="N622" s="5">
        <v>189393.5</v>
      </c>
    </row>
    <row r="623" spans="1:14" x14ac:dyDescent="0.25">
      <c r="A623" s="4" t="s">
        <v>2344</v>
      </c>
      <c r="B623" s="4" t="s">
        <v>5154</v>
      </c>
      <c r="C623" s="4" t="s">
        <v>2320</v>
      </c>
      <c r="D623" s="4" t="s">
        <v>242</v>
      </c>
      <c r="E623" s="4" t="s">
        <v>3032</v>
      </c>
      <c r="F623" s="4" t="s">
        <v>3031</v>
      </c>
      <c r="G623" s="4" t="s">
        <v>2263</v>
      </c>
      <c r="H623" s="9" t="s">
        <v>2263</v>
      </c>
      <c r="I623" s="4" t="s">
        <v>2317</v>
      </c>
      <c r="J623" s="4" t="s">
        <v>2316</v>
      </c>
      <c r="K623" s="4" t="s">
        <v>2263</v>
      </c>
      <c r="L623" s="10">
        <v>1</v>
      </c>
      <c r="M623" s="5">
        <v>197590.8</v>
      </c>
      <c r="N623" s="5">
        <v>197590.8</v>
      </c>
    </row>
    <row r="624" spans="1:14" x14ac:dyDescent="0.25">
      <c r="A624" s="4" t="s">
        <v>2481</v>
      </c>
      <c r="B624" s="4" t="s">
        <v>3217</v>
      </c>
      <c r="C624" s="4" t="s">
        <v>2320</v>
      </c>
      <c r="D624" s="4" t="s">
        <v>242</v>
      </c>
      <c r="E624" s="4" t="s">
        <v>3032</v>
      </c>
      <c r="F624" s="4" t="s">
        <v>3031</v>
      </c>
      <c r="G624" s="4" t="s">
        <v>2263</v>
      </c>
      <c r="H624" s="9" t="s">
        <v>2263</v>
      </c>
      <c r="I624" s="4" t="s">
        <v>2317</v>
      </c>
      <c r="J624" s="4" t="s">
        <v>2316</v>
      </c>
      <c r="K624" s="4" t="s">
        <v>2263</v>
      </c>
      <c r="L624" s="10">
        <v>1</v>
      </c>
      <c r="M624" s="5">
        <v>197590.8</v>
      </c>
      <c r="N624" s="5">
        <v>197590.8</v>
      </c>
    </row>
    <row r="625" spans="1:14" x14ac:dyDescent="0.25">
      <c r="A625" s="4" t="s">
        <v>3174</v>
      </c>
      <c r="B625" s="4" t="s">
        <v>3173</v>
      </c>
      <c r="C625" s="4" t="s">
        <v>2320</v>
      </c>
      <c r="D625" s="4" t="s">
        <v>242</v>
      </c>
      <c r="E625" s="4" t="s">
        <v>3032</v>
      </c>
      <c r="F625" s="4" t="s">
        <v>3031</v>
      </c>
      <c r="G625" s="4" t="s">
        <v>2263</v>
      </c>
      <c r="H625" s="9" t="s">
        <v>2263</v>
      </c>
      <c r="I625" s="4" t="s">
        <v>2317</v>
      </c>
      <c r="J625" s="4" t="s">
        <v>2316</v>
      </c>
      <c r="K625" s="4" t="s">
        <v>2263</v>
      </c>
      <c r="L625" s="10">
        <v>1</v>
      </c>
      <c r="M625" s="5">
        <v>197590.8</v>
      </c>
      <c r="N625" s="5">
        <v>197590.8</v>
      </c>
    </row>
    <row r="626" spans="1:14" x14ac:dyDescent="0.25">
      <c r="A626" s="4" t="s">
        <v>3157</v>
      </c>
      <c r="B626" s="4" t="s">
        <v>3156</v>
      </c>
      <c r="C626" s="4" t="s">
        <v>2320</v>
      </c>
      <c r="D626" s="4" t="s">
        <v>242</v>
      </c>
      <c r="E626" s="4" t="s">
        <v>3032</v>
      </c>
      <c r="F626" s="4" t="s">
        <v>3031</v>
      </c>
      <c r="G626" s="4" t="s">
        <v>2263</v>
      </c>
      <c r="H626" s="9" t="s">
        <v>2263</v>
      </c>
      <c r="I626" s="4" t="s">
        <v>2317</v>
      </c>
      <c r="J626" s="4" t="s">
        <v>2316</v>
      </c>
      <c r="K626" s="4" t="s">
        <v>2263</v>
      </c>
      <c r="L626" s="10">
        <v>1</v>
      </c>
      <c r="M626" s="5">
        <v>197590.8</v>
      </c>
      <c r="N626" s="5">
        <v>197590.8</v>
      </c>
    </row>
    <row r="627" spans="1:14" x14ac:dyDescent="0.25">
      <c r="A627" s="4" t="s">
        <v>3024</v>
      </c>
      <c r="B627" s="4" t="s">
        <v>3023</v>
      </c>
      <c r="C627" s="4" t="s">
        <v>2320</v>
      </c>
      <c r="D627" s="4" t="s">
        <v>242</v>
      </c>
      <c r="E627" s="4" t="s">
        <v>3032</v>
      </c>
      <c r="F627" s="4" t="s">
        <v>3031</v>
      </c>
      <c r="G627" s="4" t="s">
        <v>2263</v>
      </c>
      <c r="H627" s="9" t="s">
        <v>2263</v>
      </c>
      <c r="I627" s="4" t="s">
        <v>2317</v>
      </c>
      <c r="J627" s="4" t="s">
        <v>2316</v>
      </c>
      <c r="K627" s="4" t="s">
        <v>2263</v>
      </c>
      <c r="L627" s="10">
        <v>1</v>
      </c>
      <c r="M627" s="5">
        <v>197590.8</v>
      </c>
      <c r="N627" s="5">
        <v>197590.8</v>
      </c>
    </row>
    <row r="628" spans="1:14" x14ac:dyDescent="0.25">
      <c r="A628" s="4" t="s">
        <v>2320</v>
      </c>
      <c r="B628" s="4" t="s">
        <v>4967</v>
      </c>
      <c r="C628" s="4" t="s">
        <v>2320</v>
      </c>
      <c r="D628" s="4" t="s">
        <v>242</v>
      </c>
      <c r="E628" s="4" t="s">
        <v>3871</v>
      </c>
      <c r="F628" s="4" t="s">
        <v>3870</v>
      </c>
      <c r="G628" s="4" t="s">
        <v>2263</v>
      </c>
      <c r="H628" s="9" t="s">
        <v>2263</v>
      </c>
      <c r="I628" s="4" t="s">
        <v>2317</v>
      </c>
      <c r="J628" s="4" t="s">
        <v>2316</v>
      </c>
      <c r="K628" s="4" t="s">
        <v>2263</v>
      </c>
      <c r="L628" s="10">
        <v>1</v>
      </c>
      <c r="M628" s="5">
        <v>201306.78571428571</v>
      </c>
      <c r="N628" s="5">
        <v>201306.78571428571</v>
      </c>
    </row>
    <row r="629" spans="1:14" x14ac:dyDescent="0.25">
      <c r="A629" s="4" t="s">
        <v>2274</v>
      </c>
      <c r="B629" s="4" t="s">
        <v>4348</v>
      </c>
      <c r="C629" s="4" t="s">
        <v>2274</v>
      </c>
      <c r="D629" s="4" t="s">
        <v>2273</v>
      </c>
      <c r="E629" s="4" t="s">
        <v>4515</v>
      </c>
      <c r="F629" s="4" t="s">
        <v>4514</v>
      </c>
      <c r="G629" s="4" t="s">
        <v>2263</v>
      </c>
      <c r="H629" s="9" t="s">
        <v>2263</v>
      </c>
      <c r="I629" s="4" t="s">
        <v>2263</v>
      </c>
      <c r="J629" s="4" t="s">
        <v>2263</v>
      </c>
      <c r="K629" s="4" t="s">
        <v>4513</v>
      </c>
      <c r="L629" s="10">
        <v>1</v>
      </c>
      <c r="M629" s="5">
        <v>207500</v>
      </c>
      <c r="N629" s="5">
        <v>207500</v>
      </c>
    </row>
    <row r="630" spans="1:14" x14ac:dyDescent="0.25">
      <c r="A630" s="4" t="s">
        <v>3801</v>
      </c>
      <c r="B630" s="4" t="s">
        <v>4965</v>
      </c>
      <c r="C630" s="4" t="s">
        <v>2320</v>
      </c>
      <c r="D630" s="4" t="s">
        <v>242</v>
      </c>
      <c r="E630" s="4" t="s">
        <v>3164</v>
      </c>
      <c r="F630" s="4" t="s">
        <v>3163</v>
      </c>
      <c r="G630" s="4" t="s">
        <v>2263</v>
      </c>
      <c r="H630" s="9" t="s">
        <v>2263</v>
      </c>
      <c r="I630" s="4" t="s">
        <v>2317</v>
      </c>
      <c r="J630" s="4" t="s">
        <v>2316</v>
      </c>
      <c r="K630" s="4" t="s">
        <v>2263</v>
      </c>
      <c r="L630" s="10">
        <v>1</v>
      </c>
      <c r="M630" s="5">
        <v>214258.75</v>
      </c>
      <c r="N630" s="5">
        <v>214258.75</v>
      </c>
    </row>
    <row r="631" spans="1:14" x14ac:dyDescent="0.25">
      <c r="A631" s="4" t="s">
        <v>3157</v>
      </c>
      <c r="B631" s="4" t="s">
        <v>3156</v>
      </c>
      <c r="C631" s="4" t="s">
        <v>2320</v>
      </c>
      <c r="D631" s="4" t="s">
        <v>242</v>
      </c>
      <c r="E631" s="4" t="s">
        <v>3164</v>
      </c>
      <c r="F631" s="4" t="s">
        <v>3163</v>
      </c>
      <c r="G631" s="4" t="s">
        <v>2263</v>
      </c>
      <c r="H631" s="9" t="s">
        <v>2263</v>
      </c>
      <c r="I631" s="4" t="s">
        <v>2317</v>
      </c>
      <c r="J631" s="4" t="s">
        <v>2316</v>
      </c>
      <c r="K631" s="4" t="s">
        <v>2263</v>
      </c>
      <c r="L631" s="10">
        <v>1</v>
      </c>
      <c r="M631" s="5">
        <v>214258.75</v>
      </c>
      <c r="N631" s="5">
        <v>214258.75</v>
      </c>
    </row>
    <row r="632" spans="1:14" x14ac:dyDescent="0.25">
      <c r="A632" s="4" t="s">
        <v>2317</v>
      </c>
      <c r="B632" s="4" t="s">
        <v>3839</v>
      </c>
      <c r="C632" s="4" t="s">
        <v>2320</v>
      </c>
      <c r="D632" s="4" t="s">
        <v>242</v>
      </c>
      <c r="E632" s="4" t="s">
        <v>4307</v>
      </c>
      <c r="F632" s="4" t="s">
        <v>4306</v>
      </c>
      <c r="G632" s="4" t="s">
        <v>2263</v>
      </c>
      <c r="H632" s="9" t="s">
        <v>2263</v>
      </c>
      <c r="I632" s="4" t="s">
        <v>2317</v>
      </c>
      <c r="J632" s="4" t="s">
        <v>2316</v>
      </c>
      <c r="K632" s="4" t="s">
        <v>2263</v>
      </c>
      <c r="L632" s="10">
        <v>1</v>
      </c>
      <c r="M632" s="5">
        <v>222075</v>
      </c>
      <c r="N632" s="5">
        <v>222075</v>
      </c>
    </row>
    <row r="633" spans="1:14" x14ac:dyDescent="0.25">
      <c r="A633" s="4" t="s">
        <v>2837</v>
      </c>
      <c r="B633" s="4" t="s">
        <v>2836</v>
      </c>
      <c r="C633" s="4" t="s">
        <v>2320</v>
      </c>
      <c r="D633" s="4" t="s">
        <v>242</v>
      </c>
      <c r="E633" s="4" t="s">
        <v>2859</v>
      </c>
      <c r="F633" s="4" t="s">
        <v>2858</v>
      </c>
      <c r="G633" s="4" t="s">
        <v>2263</v>
      </c>
      <c r="H633" s="9" t="s">
        <v>2263</v>
      </c>
      <c r="I633" s="4" t="s">
        <v>2317</v>
      </c>
      <c r="J633" s="4" t="s">
        <v>2316</v>
      </c>
      <c r="K633" s="4" t="s">
        <v>2263</v>
      </c>
      <c r="L633" s="10">
        <v>1</v>
      </c>
      <c r="M633" s="5">
        <v>224000</v>
      </c>
      <c r="N633" s="5">
        <v>224000</v>
      </c>
    </row>
    <row r="634" spans="1:14" x14ac:dyDescent="0.25">
      <c r="A634" s="4" t="s">
        <v>3072</v>
      </c>
      <c r="B634" s="4" t="s">
        <v>3071</v>
      </c>
      <c r="C634" s="4" t="s">
        <v>3070</v>
      </c>
      <c r="D634" s="4" t="s">
        <v>248</v>
      </c>
      <c r="E634" s="4" t="s">
        <v>3096</v>
      </c>
      <c r="F634" s="4" t="s">
        <v>3095</v>
      </c>
      <c r="G634" s="4" t="s">
        <v>2263</v>
      </c>
      <c r="H634" s="9" t="s">
        <v>2263</v>
      </c>
      <c r="I634" s="4" t="s">
        <v>2317</v>
      </c>
      <c r="J634" s="4" t="s">
        <v>2316</v>
      </c>
      <c r="K634" s="4" t="s">
        <v>2263</v>
      </c>
      <c r="L634" s="10">
        <v>1</v>
      </c>
      <c r="M634" s="5">
        <v>229004</v>
      </c>
      <c r="N634" s="5">
        <v>229004</v>
      </c>
    </row>
    <row r="635" spans="1:14" x14ac:dyDescent="0.25">
      <c r="A635" s="4" t="s">
        <v>2384</v>
      </c>
      <c r="B635" s="4" t="s">
        <v>3187</v>
      </c>
      <c r="C635" s="4" t="s">
        <v>2384</v>
      </c>
      <c r="D635" s="4" t="s">
        <v>262</v>
      </c>
      <c r="E635" s="4" t="s">
        <v>2681</v>
      </c>
      <c r="F635" s="4" t="s">
        <v>2680</v>
      </c>
      <c r="G635" s="4" t="s">
        <v>2263</v>
      </c>
      <c r="H635" s="9" t="s">
        <v>2263</v>
      </c>
      <c r="I635" s="4" t="s">
        <v>2317</v>
      </c>
      <c r="J635" s="4" t="s">
        <v>2316</v>
      </c>
      <c r="K635" s="4" t="s">
        <v>2263</v>
      </c>
      <c r="L635" s="10">
        <v>1</v>
      </c>
      <c r="M635" s="5">
        <v>246265.91363636364</v>
      </c>
      <c r="N635" s="5">
        <v>246265.91363636364</v>
      </c>
    </row>
    <row r="636" spans="1:14" x14ac:dyDescent="0.25">
      <c r="A636" s="4" t="s">
        <v>3801</v>
      </c>
      <c r="B636" s="4" t="s">
        <v>4965</v>
      </c>
      <c r="C636" s="4" t="s">
        <v>2384</v>
      </c>
      <c r="D636" s="4" t="s">
        <v>262</v>
      </c>
      <c r="E636" s="4" t="s">
        <v>2683</v>
      </c>
      <c r="F636" s="4" t="s">
        <v>2682</v>
      </c>
      <c r="G636" s="4" t="s">
        <v>2263</v>
      </c>
      <c r="H636" s="9" t="s">
        <v>2263</v>
      </c>
      <c r="I636" s="4" t="s">
        <v>2317</v>
      </c>
      <c r="J636" s="4" t="s">
        <v>2316</v>
      </c>
      <c r="K636" s="4" t="s">
        <v>2263</v>
      </c>
      <c r="L636" s="10">
        <v>1</v>
      </c>
      <c r="M636" s="5">
        <v>248175.41076923074</v>
      </c>
      <c r="N636" s="5">
        <v>248175.41076923077</v>
      </c>
    </row>
    <row r="637" spans="1:14" x14ac:dyDescent="0.25">
      <c r="A637" s="4" t="s">
        <v>2279</v>
      </c>
      <c r="B637" s="4" t="s">
        <v>4963</v>
      </c>
      <c r="C637" s="4" t="s">
        <v>2384</v>
      </c>
      <c r="D637" s="4" t="s">
        <v>262</v>
      </c>
      <c r="E637" s="4" t="s">
        <v>2683</v>
      </c>
      <c r="F637" s="4" t="s">
        <v>2682</v>
      </c>
      <c r="G637" s="4" t="s">
        <v>2263</v>
      </c>
      <c r="H637" s="9" t="s">
        <v>2263</v>
      </c>
      <c r="I637" s="4" t="s">
        <v>2317</v>
      </c>
      <c r="J637" s="4" t="s">
        <v>2316</v>
      </c>
      <c r="K637" s="4" t="s">
        <v>2263</v>
      </c>
      <c r="L637" s="10">
        <v>1</v>
      </c>
      <c r="M637" s="5">
        <v>248175.41076923074</v>
      </c>
      <c r="N637" s="5">
        <v>248175.41076923077</v>
      </c>
    </row>
    <row r="638" spans="1:14" x14ac:dyDescent="0.25">
      <c r="A638" s="4" t="s">
        <v>2481</v>
      </c>
      <c r="B638" s="4" t="s">
        <v>3217</v>
      </c>
      <c r="C638" s="4" t="s">
        <v>2384</v>
      </c>
      <c r="D638" s="4" t="s">
        <v>262</v>
      </c>
      <c r="E638" s="4" t="s">
        <v>2683</v>
      </c>
      <c r="F638" s="4" t="s">
        <v>2682</v>
      </c>
      <c r="G638" s="4" t="s">
        <v>2263</v>
      </c>
      <c r="H638" s="9" t="s">
        <v>2263</v>
      </c>
      <c r="I638" s="4" t="s">
        <v>2317</v>
      </c>
      <c r="J638" s="4" t="s">
        <v>2316</v>
      </c>
      <c r="K638" s="4" t="s">
        <v>2263</v>
      </c>
      <c r="L638" s="10">
        <v>1</v>
      </c>
      <c r="M638" s="5">
        <v>248175.41076923074</v>
      </c>
      <c r="N638" s="5">
        <v>248175.41076923077</v>
      </c>
    </row>
    <row r="639" spans="1:14" x14ac:dyDescent="0.25">
      <c r="A639" s="4" t="s">
        <v>2384</v>
      </c>
      <c r="B639" s="4" t="s">
        <v>3187</v>
      </c>
      <c r="C639" s="4" t="s">
        <v>2384</v>
      </c>
      <c r="D639" s="4" t="s">
        <v>262</v>
      </c>
      <c r="E639" s="4" t="s">
        <v>2683</v>
      </c>
      <c r="F639" s="4" t="s">
        <v>2682</v>
      </c>
      <c r="G639" s="4" t="s">
        <v>2263</v>
      </c>
      <c r="H639" s="9" t="s">
        <v>2263</v>
      </c>
      <c r="I639" s="4" t="s">
        <v>2317</v>
      </c>
      <c r="J639" s="4" t="s">
        <v>2316</v>
      </c>
      <c r="K639" s="4" t="s">
        <v>2263</v>
      </c>
      <c r="L639" s="10">
        <v>1</v>
      </c>
      <c r="M639" s="5">
        <v>248175.41076923074</v>
      </c>
      <c r="N639" s="5">
        <v>248175.41076923077</v>
      </c>
    </row>
    <row r="640" spans="1:14" x14ac:dyDescent="0.25">
      <c r="A640" s="4" t="s">
        <v>3157</v>
      </c>
      <c r="B640" s="4" t="s">
        <v>3156</v>
      </c>
      <c r="C640" s="4" t="s">
        <v>2384</v>
      </c>
      <c r="D640" s="4" t="s">
        <v>262</v>
      </c>
      <c r="E640" s="4" t="s">
        <v>2683</v>
      </c>
      <c r="F640" s="4" t="s">
        <v>2682</v>
      </c>
      <c r="G640" s="4" t="s">
        <v>2263</v>
      </c>
      <c r="H640" s="9" t="s">
        <v>2263</v>
      </c>
      <c r="I640" s="4" t="s">
        <v>2317</v>
      </c>
      <c r="J640" s="4" t="s">
        <v>2316</v>
      </c>
      <c r="K640" s="4" t="s">
        <v>2263</v>
      </c>
      <c r="L640" s="10">
        <v>1</v>
      </c>
      <c r="M640" s="5">
        <v>248175.41076923074</v>
      </c>
      <c r="N640" s="5">
        <v>248175.41076923077</v>
      </c>
    </row>
    <row r="641" spans="1:14" x14ac:dyDescent="0.25">
      <c r="A641" s="4" t="s">
        <v>3104</v>
      </c>
      <c r="B641" s="4" t="s">
        <v>3103</v>
      </c>
      <c r="C641" s="4" t="s">
        <v>2384</v>
      </c>
      <c r="D641" s="4" t="s">
        <v>262</v>
      </c>
      <c r="E641" s="4" t="s">
        <v>2683</v>
      </c>
      <c r="F641" s="4" t="s">
        <v>2682</v>
      </c>
      <c r="G641" s="4" t="s">
        <v>2263</v>
      </c>
      <c r="H641" s="9" t="s">
        <v>2263</v>
      </c>
      <c r="I641" s="4" t="s">
        <v>2317</v>
      </c>
      <c r="J641" s="4" t="s">
        <v>2316</v>
      </c>
      <c r="K641" s="4" t="s">
        <v>2263</v>
      </c>
      <c r="L641" s="10">
        <v>1</v>
      </c>
      <c r="M641" s="5">
        <v>248175.41076923074</v>
      </c>
      <c r="N641" s="5">
        <v>248175.41076923077</v>
      </c>
    </row>
    <row r="642" spans="1:14" x14ac:dyDescent="0.25">
      <c r="A642" s="4" t="s">
        <v>3051</v>
      </c>
      <c r="B642" s="4" t="s">
        <v>3050</v>
      </c>
      <c r="C642" s="4" t="s">
        <v>2384</v>
      </c>
      <c r="D642" s="4" t="s">
        <v>262</v>
      </c>
      <c r="E642" s="4" t="s">
        <v>2683</v>
      </c>
      <c r="F642" s="4" t="s">
        <v>2682</v>
      </c>
      <c r="G642" s="4" t="s">
        <v>2263</v>
      </c>
      <c r="H642" s="9" t="s">
        <v>2263</v>
      </c>
      <c r="I642" s="4" t="s">
        <v>2317</v>
      </c>
      <c r="J642" s="4" t="s">
        <v>2316</v>
      </c>
      <c r="K642" s="4" t="s">
        <v>2263</v>
      </c>
      <c r="L642" s="10">
        <v>1</v>
      </c>
      <c r="M642" s="5">
        <v>248175.41076923074</v>
      </c>
      <c r="N642" s="5">
        <v>248175.41076923077</v>
      </c>
    </row>
    <row r="643" spans="1:14" x14ac:dyDescent="0.25">
      <c r="A643" s="4" t="s">
        <v>3024</v>
      </c>
      <c r="B643" s="4" t="s">
        <v>3023</v>
      </c>
      <c r="C643" s="4" t="s">
        <v>2384</v>
      </c>
      <c r="D643" s="4" t="s">
        <v>262</v>
      </c>
      <c r="E643" s="4" t="s">
        <v>2683</v>
      </c>
      <c r="F643" s="4" t="s">
        <v>2682</v>
      </c>
      <c r="G643" s="4" t="s">
        <v>2263</v>
      </c>
      <c r="H643" s="9" t="s">
        <v>2263</v>
      </c>
      <c r="I643" s="4" t="s">
        <v>2317</v>
      </c>
      <c r="J643" s="4" t="s">
        <v>2316</v>
      </c>
      <c r="K643" s="4" t="s">
        <v>2263</v>
      </c>
      <c r="L643" s="10">
        <v>1</v>
      </c>
      <c r="M643" s="5">
        <v>248175.41076923074</v>
      </c>
      <c r="N643" s="5">
        <v>248175.41076923077</v>
      </c>
    </row>
    <row r="644" spans="1:14" x14ac:dyDescent="0.25">
      <c r="A644" s="4" t="s">
        <v>2673</v>
      </c>
      <c r="B644" s="4" t="s">
        <v>2672</v>
      </c>
      <c r="C644" s="4" t="s">
        <v>2384</v>
      </c>
      <c r="D644" s="4" t="s">
        <v>262</v>
      </c>
      <c r="E644" s="4" t="s">
        <v>2683</v>
      </c>
      <c r="F644" s="4" t="s">
        <v>2682</v>
      </c>
      <c r="G644" s="4" t="s">
        <v>2263</v>
      </c>
      <c r="H644" s="9" t="s">
        <v>2263</v>
      </c>
      <c r="I644" s="4" t="s">
        <v>2317</v>
      </c>
      <c r="J644" s="4" t="s">
        <v>2316</v>
      </c>
      <c r="K644" s="4" t="s">
        <v>2263</v>
      </c>
      <c r="L644" s="10">
        <v>1</v>
      </c>
      <c r="M644" s="5">
        <v>248175.41076923074</v>
      </c>
      <c r="N644" s="5">
        <v>248175.41076923077</v>
      </c>
    </row>
    <row r="645" spans="1:14" x14ac:dyDescent="0.25">
      <c r="A645" s="4" t="s">
        <v>3072</v>
      </c>
      <c r="B645" s="4" t="s">
        <v>3071</v>
      </c>
      <c r="C645" s="4" t="s">
        <v>3070</v>
      </c>
      <c r="D645" s="4" t="s">
        <v>248</v>
      </c>
      <c r="E645" s="4" t="s">
        <v>3094</v>
      </c>
      <c r="F645" s="4" t="s">
        <v>3093</v>
      </c>
      <c r="G645" s="4" t="s">
        <v>2263</v>
      </c>
      <c r="H645" s="9" t="s">
        <v>2263</v>
      </c>
      <c r="I645" s="4" t="s">
        <v>2317</v>
      </c>
      <c r="J645" s="4" t="s">
        <v>2316</v>
      </c>
      <c r="K645" s="4" t="s">
        <v>2263</v>
      </c>
      <c r="L645" s="10">
        <v>1</v>
      </c>
      <c r="M645" s="5">
        <v>252930</v>
      </c>
      <c r="N645" s="5">
        <v>252930</v>
      </c>
    </row>
    <row r="646" spans="1:14" x14ac:dyDescent="0.25">
      <c r="A646" s="4" t="s">
        <v>3801</v>
      </c>
      <c r="B646" s="4" t="s">
        <v>4965</v>
      </c>
      <c r="C646" s="4" t="s">
        <v>2320</v>
      </c>
      <c r="D646" s="4" t="s">
        <v>242</v>
      </c>
      <c r="E646" s="4" t="s">
        <v>3191</v>
      </c>
      <c r="F646" s="4" t="s">
        <v>3190</v>
      </c>
      <c r="G646" s="4" t="s">
        <v>2263</v>
      </c>
      <c r="H646" s="9" t="s">
        <v>2263</v>
      </c>
      <c r="I646" s="4" t="s">
        <v>2317</v>
      </c>
      <c r="J646" s="4" t="s">
        <v>2316</v>
      </c>
      <c r="K646" s="4" t="s">
        <v>2263</v>
      </c>
      <c r="L646" s="10">
        <v>1</v>
      </c>
      <c r="M646" s="5">
        <v>262587.625</v>
      </c>
      <c r="N646" s="5">
        <v>262587.625</v>
      </c>
    </row>
    <row r="647" spans="1:14" x14ac:dyDescent="0.25">
      <c r="A647" s="4" t="s">
        <v>2279</v>
      </c>
      <c r="B647" s="4" t="s">
        <v>4963</v>
      </c>
      <c r="C647" s="4" t="s">
        <v>2320</v>
      </c>
      <c r="D647" s="4" t="s">
        <v>242</v>
      </c>
      <c r="E647" s="4" t="s">
        <v>3191</v>
      </c>
      <c r="F647" s="4" t="s">
        <v>3190</v>
      </c>
      <c r="G647" s="4" t="s">
        <v>2263</v>
      </c>
      <c r="H647" s="9" t="s">
        <v>2263</v>
      </c>
      <c r="I647" s="4" t="s">
        <v>2317</v>
      </c>
      <c r="J647" s="4" t="s">
        <v>2316</v>
      </c>
      <c r="K647" s="4" t="s">
        <v>2263</v>
      </c>
      <c r="L647" s="10">
        <v>1</v>
      </c>
      <c r="M647" s="5">
        <v>262587.625</v>
      </c>
      <c r="N647" s="5">
        <v>262587.625</v>
      </c>
    </row>
    <row r="648" spans="1:14" x14ac:dyDescent="0.25">
      <c r="A648" s="4" t="s">
        <v>2384</v>
      </c>
      <c r="B648" s="4" t="s">
        <v>3187</v>
      </c>
      <c r="C648" s="4" t="s">
        <v>2320</v>
      </c>
      <c r="D648" s="4" t="s">
        <v>242</v>
      </c>
      <c r="E648" s="4" t="s">
        <v>3191</v>
      </c>
      <c r="F648" s="4" t="s">
        <v>3190</v>
      </c>
      <c r="G648" s="4" t="s">
        <v>2263</v>
      </c>
      <c r="H648" s="9" t="s">
        <v>2263</v>
      </c>
      <c r="I648" s="4" t="s">
        <v>2317</v>
      </c>
      <c r="J648" s="4" t="s">
        <v>2316</v>
      </c>
      <c r="K648" s="4" t="s">
        <v>2263</v>
      </c>
      <c r="L648" s="10">
        <v>1</v>
      </c>
      <c r="M648" s="5">
        <v>262587.625</v>
      </c>
      <c r="N648" s="5">
        <v>262587.625</v>
      </c>
    </row>
    <row r="649" spans="1:14" x14ac:dyDescent="0.25">
      <c r="A649" s="4" t="s">
        <v>2320</v>
      </c>
      <c r="B649" s="4" t="s">
        <v>4967</v>
      </c>
      <c r="C649" s="4" t="s">
        <v>2320</v>
      </c>
      <c r="D649" s="4" t="s">
        <v>242</v>
      </c>
      <c r="E649" s="4" t="s">
        <v>5101</v>
      </c>
      <c r="F649" s="4" t="s">
        <v>5100</v>
      </c>
      <c r="G649" s="4" t="s">
        <v>2263</v>
      </c>
      <c r="H649" s="9" t="s">
        <v>2263</v>
      </c>
      <c r="I649" s="4" t="s">
        <v>2317</v>
      </c>
      <c r="J649" s="4" t="s">
        <v>2316</v>
      </c>
      <c r="K649" s="4" t="s">
        <v>2263</v>
      </c>
      <c r="L649" s="10">
        <v>1</v>
      </c>
      <c r="M649" s="5">
        <v>277833.51</v>
      </c>
      <c r="N649" s="5">
        <v>277833.51</v>
      </c>
    </row>
    <row r="650" spans="1:14" x14ac:dyDescent="0.25">
      <c r="A650" s="4" t="s">
        <v>2653</v>
      </c>
      <c r="B650" s="4" t="s">
        <v>3226</v>
      </c>
      <c r="C650" s="4" t="s">
        <v>2384</v>
      </c>
      <c r="D650" s="4" t="s">
        <v>262</v>
      </c>
      <c r="E650" s="4" t="s">
        <v>2383</v>
      </c>
      <c r="F650" s="4" t="s">
        <v>2382</v>
      </c>
      <c r="G650" s="4" t="s">
        <v>2263</v>
      </c>
      <c r="H650" s="9" t="s">
        <v>2263</v>
      </c>
      <c r="I650" s="4" t="s">
        <v>2317</v>
      </c>
      <c r="J650" s="4" t="s">
        <v>2316</v>
      </c>
      <c r="K650" s="4" t="s">
        <v>2263</v>
      </c>
      <c r="L650" s="10">
        <v>1</v>
      </c>
      <c r="M650" s="5">
        <v>282984.17235294118</v>
      </c>
      <c r="N650" s="5">
        <v>282984.17235294118</v>
      </c>
    </row>
    <row r="651" spans="1:14" x14ac:dyDescent="0.25">
      <c r="A651" s="4" t="s">
        <v>2386</v>
      </c>
      <c r="B651" s="4" t="s">
        <v>2385</v>
      </c>
      <c r="C651" s="4" t="s">
        <v>2384</v>
      </c>
      <c r="D651" s="4" t="s">
        <v>262</v>
      </c>
      <c r="E651" s="4" t="s">
        <v>2383</v>
      </c>
      <c r="F651" s="4" t="s">
        <v>2382</v>
      </c>
      <c r="G651" s="4" t="s">
        <v>2263</v>
      </c>
      <c r="H651" s="9" t="s">
        <v>2263</v>
      </c>
      <c r="I651" s="4" t="s">
        <v>2317</v>
      </c>
      <c r="J651" s="4" t="s">
        <v>2316</v>
      </c>
      <c r="K651" s="4" t="s">
        <v>2263</v>
      </c>
      <c r="L651" s="10">
        <v>1</v>
      </c>
      <c r="M651" s="5">
        <v>282984.17235294118</v>
      </c>
      <c r="N651" s="5">
        <v>282984.17235294118</v>
      </c>
    </row>
    <row r="652" spans="1:14" x14ac:dyDescent="0.25">
      <c r="A652" s="4" t="s">
        <v>2320</v>
      </c>
      <c r="B652" s="4" t="s">
        <v>4967</v>
      </c>
      <c r="C652" s="4" t="s">
        <v>2320</v>
      </c>
      <c r="D652" s="4" t="s">
        <v>242</v>
      </c>
      <c r="E652" s="4" t="s">
        <v>5053</v>
      </c>
      <c r="F652" s="4" t="s">
        <v>5052</v>
      </c>
      <c r="G652" s="4" t="s">
        <v>2263</v>
      </c>
      <c r="H652" s="9" t="s">
        <v>2263</v>
      </c>
      <c r="I652" s="4" t="s">
        <v>2317</v>
      </c>
      <c r="J652" s="4" t="s">
        <v>2316</v>
      </c>
      <c r="K652" s="4" t="s">
        <v>2263</v>
      </c>
      <c r="L652" s="10">
        <v>1</v>
      </c>
      <c r="M652" s="5">
        <v>303152.19</v>
      </c>
      <c r="N652" s="5">
        <v>303152.19</v>
      </c>
    </row>
    <row r="653" spans="1:14" x14ac:dyDescent="0.25">
      <c r="A653" s="4" t="s">
        <v>2317</v>
      </c>
      <c r="B653" s="4" t="s">
        <v>3839</v>
      </c>
      <c r="C653" s="4" t="s">
        <v>2320</v>
      </c>
      <c r="D653" s="4" t="s">
        <v>242</v>
      </c>
      <c r="E653" s="4" t="s">
        <v>2815</v>
      </c>
      <c r="F653" s="4" t="s">
        <v>2814</v>
      </c>
      <c r="G653" s="4" t="s">
        <v>2263</v>
      </c>
      <c r="H653" s="9" t="s">
        <v>2263</v>
      </c>
      <c r="I653" s="4" t="s">
        <v>2317</v>
      </c>
      <c r="J653" s="4" t="s">
        <v>2316</v>
      </c>
      <c r="K653" s="4" t="s">
        <v>2263</v>
      </c>
      <c r="L653" s="10">
        <v>1</v>
      </c>
      <c r="M653" s="5">
        <v>303183.3854545455</v>
      </c>
      <c r="N653" s="5">
        <v>303183.38545454544</v>
      </c>
    </row>
    <row r="654" spans="1:14" x14ac:dyDescent="0.25">
      <c r="A654" s="4" t="s">
        <v>2317</v>
      </c>
      <c r="B654" s="4" t="s">
        <v>3839</v>
      </c>
      <c r="C654" s="4" t="s">
        <v>2320</v>
      </c>
      <c r="D654" s="4" t="s">
        <v>242</v>
      </c>
      <c r="E654" s="4" t="s">
        <v>4153</v>
      </c>
      <c r="F654" s="4" t="s">
        <v>4152</v>
      </c>
      <c r="G654" s="4" t="s">
        <v>2263</v>
      </c>
      <c r="H654" s="9" t="s">
        <v>2263</v>
      </c>
      <c r="I654" s="4" t="s">
        <v>2317</v>
      </c>
      <c r="J654" s="4" t="s">
        <v>2316</v>
      </c>
      <c r="K654" s="4" t="s">
        <v>2263</v>
      </c>
      <c r="L654" s="10">
        <v>1</v>
      </c>
      <c r="M654" s="5">
        <v>303624</v>
      </c>
      <c r="N654" s="5">
        <v>303624</v>
      </c>
    </row>
    <row r="655" spans="1:14" x14ac:dyDescent="0.25">
      <c r="A655" s="4" t="s">
        <v>2837</v>
      </c>
      <c r="B655" s="4" t="s">
        <v>2836</v>
      </c>
      <c r="C655" s="4" t="s">
        <v>2320</v>
      </c>
      <c r="D655" s="4" t="s">
        <v>242</v>
      </c>
      <c r="E655" s="4" t="s">
        <v>2847</v>
      </c>
      <c r="F655" s="4" t="s">
        <v>2846</v>
      </c>
      <c r="G655" s="4" t="s">
        <v>2263</v>
      </c>
      <c r="H655" s="9" t="s">
        <v>2263</v>
      </c>
      <c r="I655" s="4" t="s">
        <v>2317</v>
      </c>
      <c r="J655" s="4" t="s">
        <v>2316</v>
      </c>
      <c r="K655" s="4" t="s">
        <v>2263</v>
      </c>
      <c r="L655" s="10">
        <v>1</v>
      </c>
      <c r="M655" s="5">
        <v>321054</v>
      </c>
      <c r="N655" s="5">
        <v>321054</v>
      </c>
    </row>
    <row r="656" spans="1:14" x14ac:dyDescent="0.25">
      <c r="A656" s="4" t="s">
        <v>3157</v>
      </c>
      <c r="B656" s="4" t="s">
        <v>3156</v>
      </c>
      <c r="C656" s="4" t="s">
        <v>2320</v>
      </c>
      <c r="D656" s="4" t="s">
        <v>242</v>
      </c>
      <c r="E656" s="4" t="s">
        <v>3166</v>
      </c>
      <c r="F656" s="4" t="s">
        <v>3165</v>
      </c>
      <c r="G656" s="4" t="s">
        <v>2263</v>
      </c>
      <c r="H656" s="9" t="s">
        <v>2263</v>
      </c>
      <c r="I656" s="4" t="s">
        <v>2317</v>
      </c>
      <c r="J656" s="4" t="s">
        <v>2316</v>
      </c>
      <c r="K656" s="4" t="s">
        <v>2263</v>
      </c>
      <c r="L656" s="10">
        <v>1</v>
      </c>
      <c r="M656" s="5">
        <v>334478.89999999997</v>
      </c>
      <c r="N656" s="5">
        <v>334478.90000000002</v>
      </c>
    </row>
    <row r="657" spans="1:14" x14ac:dyDescent="0.25">
      <c r="A657" s="4" t="s">
        <v>2317</v>
      </c>
      <c r="B657" s="4" t="s">
        <v>3839</v>
      </c>
      <c r="C657" s="4" t="s">
        <v>2320</v>
      </c>
      <c r="D657" s="4" t="s">
        <v>242</v>
      </c>
      <c r="E657" s="4" t="s">
        <v>4087</v>
      </c>
      <c r="F657" s="4" t="s">
        <v>4086</v>
      </c>
      <c r="G657" s="4" t="s">
        <v>2263</v>
      </c>
      <c r="H657" s="9" t="s">
        <v>2263</v>
      </c>
      <c r="I657" s="4" t="s">
        <v>2317</v>
      </c>
      <c r="J657" s="4" t="s">
        <v>2316</v>
      </c>
      <c r="K657" s="4" t="s">
        <v>2263</v>
      </c>
      <c r="L657" s="10">
        <v>1</v>
      </c>
      <c r="M657" s="5">
        <v>339150</v>
      </c>
      <c r="N657" s="5">
        <v>339150</v>
      </c>
    </row>
    <row r="658" spans="1:14" x14ac:dyDescent="0.25">
      <c r="A658" s="4" t="s">
        <v>2653</v>
      </c>
      <c r="B658" s="4" t="s">
        <v>3226</v>
      </c>
      <c r="C658" s="4" t="s">
        <v>3196</v>
      </c>
      <c r="D658" s="4" t="s">
        <v>254</v>
      </c>
      <c r="E658" s="4" t="s">
        <v>3548</v>
      </c>
      <c r="F658" s="4" t="s">
        <v>3547</v>
      </c>
      <c r="G658" s="4" t="s">
        <v>2263</v>
      </c>
      <c r="H658" s="9" t="s">
        <v>2263</v>
      </c>
      <c r="I658" s="4" t="s">
        <v>2317</v>
      </c>
      <c r="J658" s="4" t="s">
        <v>2316</v>
      </c>
      <c r="K658" s="4" t="s">
        <v>2263</v>
      </c>
      <c r="L658" s="10">
        <v>1</v>
      </c>
      <c r="M658" s="5">
        <v>356992.86000000004</v>
      </c>
      <c r="N658" s="5">
        <v>356992.86</v>
      </c>
    </row>
    <row r="659" spans="1:14" x14ac:dyDescent="0.25">
      <c r="A659" s="4" t="s">
        <v>2320</v>
      </c>
      <c r="B659" s="4" t="s">
        <v>4967</v>
      </c>
      <c r="C659" s="4" t="s">
        <v>2320</v>
      </c>
      <c r="D659" s="4" t="s">
        <v>242</v>
      </c>
      <c r="E659" s="4" t="s">
        <v>2328</v>
      </c>
      <c r="F659" s="4" t="s">
        <v>2327</v>
      </c>
      <c r="G659" s="4" t="s">
        <v>2263</v>
      </c>
      <c r="H659" s="9" t="s">
        <v>2263</v>
      </c>
      <c r="I659" s="4" t="s">
        <v>2317</v>
      </c>
      <c r="J659" s="4" t="s">
        <v>2316</v>
      </c>
      <c r="K659" s="4" t="s">
        <v>2263</v>
      </c>
      <c r="L659" s="10">
        <v>1</v>
      </c>
      <c r="M659" s="5">
        <v>359127.72</v>
      </c>
      <c r="N659" s="5">
        <v>359127.72</v>
      </c>
    </row>
    <row r="660" spans="1:14" x14ac:dyDescent="0.25">
      <c r="A660" s="4" t="s">
        <v>2653</v>
      </c>
      <c r="B660" s="4" t="s">
        <v>3226</v>
      </c>
      <c r="C660" s="4" t="s">
        <v>2384</v>
      </c>
      <c r="D660" s="4" t="s">
        <v>262</v>
      </c>
      <c r="E660" s="4" t="s">
        <v>3518</v>
      </c>
      <c r="F660" s="4" t="s">
        <v>3517</v>
      </c>
      <c r="G660" s="4" t="s">
        <v>2263</v>
      </c>
      <c r="H660" s="9" t="s">
        <v>2263</v>
      </c>
      <c r="I660" s="4" t="s">
        <v>2317</v>
      </c>
      <c r="J660" s="4" t="s">
        <v>2316</v>
      </c>
      <c r="K660" s="4" t="s">
        <v>2263</v>
      </c>
      <c r="L660" s="10">
        <v>1</v>
      </c>
      <c r="M660" s="5">
        <v>362032.99999999994</v>
      </c>
      <c r="N660" s="5">
        <v>362033</v>
      </c>
    </row>
    <row r="661" spans="1:14" x14ac:dyDescent="0.25">
      <c r="A661" s="4" t="s">
        <v>2344</v>
      </c>
      <c r="B661" s="4" t="s">
        <v>5154</v>
      </c>
      <c r="C661" s="4" t="s">
        <v>2320</v>
      </c>
      <c r="D661" s="4" t="s">
        <v>242</v>
      </c>
      <c r="E661" s="4" t="s">
        <v>3178</v>
      </c>
      <c r="F661" s="4" t="s">
        <v>3177</v>
      </c>
      <c r="G661" s="4" t="s">
        <v>2263</v>
      </c>
      <c r="H661" s="9" t="s">
        <v>2263</v>
      </c>
      <c r="I661" s="4" t="s">
        <v>2317</v>
      </c>
      <c r="J661" s="4" t="s">
        <v>2316</v>
      </c>
      <c r="K661" s="4" t="s">
        <v>2263</v>
      </c>
      <c r="L661" s="10">
        <v>1</v>
      </c>
      <c r="M661" s="5">
        <v>377892.75</v>
      </c>
      <c r="N661" s="5">
        <v>377892.75</v>
      </c>
    </row>
    <row r="662" spans="1:14" x14ac:dyDescent="0.25">
      <c r="A662" s="4" t="s">
        <v>3174</v>
      </c>
      <c r="B662" s="4" t="s">
        <v>3173</v>
      </c>
      <c r="C662" s="4" t="s">
        <v>2320</v>
      </c>
      <c r="D662" s="4" t="s">
        <v>242</v>
      </c>
      <c r="E662" s="4" t="s">
        <v>3178</v>
      </c>
      <c r="F662" s="4" t="s">
        <v>3177</v>
      </c>
      <c r="G662" s="4" t="s">
        <v>2263</v>
      </c>
      <c r="H662" s="9" t="s">
        <v>2263</v>
      </c>
      <c r="I662" s="4" t="s">
        <v>2317</v>
      </c>
      <c r="J662" s="4" t="s">
        <v>2316</v>
      </c>
      <c r="K662" s="4" t="s">
        <v>2263</v>
      </c>
      <c r="L662" s="10">
        <v>1</v>
      </c>
      <c r="M662" s="5">
        <v>377892.75</v>
      </c>
      <c r="N662" s="5">
        <v>377892.75</v>
      </c>
    </row>
    <row r="663" spans="1:14" x14ac:dyDescent="0.25">
      <c r="A663" s="4" t="s">
        <v>2320</v>
      </c>
      <c r="B663" s="4" t="s">
        <v>4967</v>
      </c>
      <c r="C663" s="4" t="s">
        <v>2320</v>
      </c>
      <c r="D663" s="4" t="s">
        <v>242</v>
      </c>
      <c r="E663" s="4" t="s">
        <v>4169</v>
      </c>
      <c r="F663" s="4" t="s">
        <v>4168</v>
      </c>
      <c r="G663" s="4" t="s">
        <v>2263</v>
      </c>
      <c r="H663" s="9" t="s">
        <v>2263</v>
      </c>
      <c r="I663" s="4" t="s">
        <v>2317</v>
      </c>
      <c r="J663" s="4" t="s">
        <v>2316</v>
      </c>
      <c r="K663" s="4" t="s">
        <v>2263</v>
      </c>
      <c r="L663" s="10">
        <v>1</v>
      </c>
      <c r="M663" s="5">
        <v>389199.25</v>
      </c>
      <c r="N663" s="5">
        <v>389199.25</v>
      </c>
    </row>
    <row r="664" spans="1:14" x14ac:dyDescent="0.25">
      <c r="A664" s="4" t="s">
        <v>2344</v>
      </c>
      <c r="B664" s="4" t="s">
        <v>5154</v>
      </c>
      <c r="C664" s="4" t="s">
        <v>2274</v>
      </c>
      <c r="D664" s="4" t="s">
        <v>2273</v>
      </c>
      <c r="E664" s="4" t="s">
        <v>5261</v>
      </c>
      <c r="F664" s="4" t="s">
        <v>5260</v>
      </c>
      <c r="G664" s="4" t="s">
        <v>2263</v>
      </c>
      <c r="H664" s="9" t="s">
        <v>2263</v>
      </c>
      <c r="I664" s="4" t="s">
        <v>2263</v>
      </c>
      <c r="J664" s="4" t="s">
        <v>2263</v>
      </c>
      <c r="K664" s="4" t="s">
        <v>5259</v>
      </c>
      <c r="L664" s="10">
        <v>1</v>
      </c>
      <c r="M664" s="5">
        <v>395838.99</v>
      </c>
      <c r="N664" s="5">
        <v>395838.99</v>
      </c>
    </row>
    <row r="665" spans="1:14" x14ac:dyDescent="0.25">
      <c r="A665" s="4" t="s">
        <v>2274</v>
      </c>
      <c r="B665" s="4" t="s">
        <v>4348</v>
      </c>
      <c r="C665" s="4" t="s">
        <v>2274</v>
      </c>
      <c r="D665" s="4" t="s">
        <v>2273</v>
      </c>
      <c r="E665" s="4" t="s">
        <v>4455</v>
      </c>
      <c r="F665" s="4" t="s">
        <v>4454</v>
      </c>
      <c r="G665" s="4" t="s">
        <v>2263</v>
      </c>
      <c r="H665" s="9" t="s">
        <v>2263</v>
      </c>
      <c r="I665" s="4" t="s">
        <v>2263</v>
      </c>
      <c r="J665" s="4" t="s">
        <v>2263</v>
      </c>
      <c r="K665" s="4" t="s">
        <v>4453</v>
      </c>
      <c r="L665" s="10">
        <v>1</v>
      </c>
      <c r="M665" s="5">
        <v>400000</v>
      </c>
      <c r="N665" s="5">
        <v>400000</v>
      </c>
    </row>
    <row r="666" spans="1:14" x14ac:dyDescent="0.25">
      <c r="A666" s="4" t="s">
        <v>2269</v>
      </c>
      <c r="B666" s="4" t="s">
        <v>2268</v>
      </c>
      <c r="C666" s="4" t="s">
        <v>2320</v>
      </c>
      <c r="D666" s="4" t="s">
        <v>242</v>
      </c>
      <c r="E666" s="4" t="s">
        <v>2319</v>
      </c>
      <c r="F666" s="4" t="s">
        <v>2318</v>
      </c>
      <c r="G666" s="4" t="s">
        <v>2263</v>
      </c>
      <c r="H666" s="9" t="s">
        <v>2263</v>
      </c>
      <c r="I666" s="4" t="s">
        <v>2317</v>
      </c>
      <c r="J666" s="4" t="s">
        <v>2316</v>
      </c>
      <c r="K666" s="4" t="s">
        <v>2263</v>
      </c>
      <c r="L666" s="10">
        <v>1</v>
      </c>
      <c r="M666" s="5">
        <v>406180.99999999994</v>
      </c>
      <c r="N666" s="5">
        <v>406181</v>
      </c>
    </row>
    <row r="667" spans="1:14" x14ac:dyDescent="0.25">
      <c r="A667" s="4" t="s">
        <v>3072</v>
      </c>
      <c r="B667" s="4" t="s">
        <v>3071</v>
      </c>
      <c r="C667" s="4" t="s">
        <v>3070</v>
      </c>
      <c r="D667" s="4" t="s">
        <v>248</v>
      </c>
      <c r="E667" s="4" t="s">
        <v>3088</v>
      </c>
      <c r="F667" s="4" t="s">
        <v>3087</v>
      </c>
      <c r="G667" s="4" t="s">
        <v>2263</v>
      </c>
      <c r="H667" s="9" t="s">
        <v>2263</v>
      </c>
      <c r="I667" s="4" t="s">
        <v>2317</v>
      </c>
      <c r="J667" s="4" t="s">
        <v>2316</v>
      </c>
      <c r="K667" s="4" t="s">
        <v>2263</v>
      </c>
      <c r="L667" s="10">
        <v>1</v>
      </c>
      <c r="M667" s="5">
        <v>438184</v>
      </c>
      <c r="N667" s="5">
        <v>438184</v>
      </c>
    </row>
    <row r="668" spans="1:14" x14ac:dyDescent="0.25">
      <c r="A668" s="4" t="s">
        <v>2317</v>
      </c>
      <c r="B668" s="4" t="s">
        <v>3839</v>
      </c>
      <c r="C668" s="4" t="s">
        <v>2320</v>
      </c>
      <c r="D668" s="4" t="s">
        <v>242</v>
      </c>
      <c r="E668" s="4" t="s">
        <v>4293</v>
      </c>
      <c r="F668" s="4" t="s">
        <v>4292</v>
      </c>
      <c r="G668" s="4" t="s">
        <v>2263</v>
      </c>
      <c r="H668" s="9" t="s">
        <v>2263</v>
      </c>
      <c r="I668" s="4" t="s">
        <v>2317</v>
      </c>
      <c r="J668" s="4" t="s">
        <v>2316</v>
      </c>
      <c r="K668" s="4" t="s">
        <v>2263</v>
      </c>
      <c r="L668" s="10">
        <v>1</v>
      </c>
      <c r="M668" s="5">
        <v>448296.56</v>
      </c>
      <c r="N668" s="5">
        <v>448296.56</v>
      </c>
    </row>
    <row r="669" spans="1:14" x14ac:dyDescent="0.25">
      <c r="A669" s="4" t="s">
        <v>2344</v>
      </c>
      <c r="B669" s="4" t="s">
        <v>5154</v>
      </c>
      <c r="C669" s="4" t="s">
        <v>2320</v>
      </c>
      <c r="D669" s="4" t="s">
        <v>242</v>
      </c>
      <c r="E669" s="4" t="s">
        <v>5306</v>
      </c>
      <c r="F669" s="4" t="s">
        <v>5305</v>
      </c>
      <c r="G669" s="4" t="s">
        <v>2263</v>
      </c>
      <c r="H669" s="9" t="s">
        <v>2263</v>
      </c>
      <c r="I669" s="4" t="s">
        <v>2317</v>
      </c>
      <c r="J669" s="4" t="s">
        <v>2316</v>
      </c>
      <c r="K669" s="4" t="s">
        <v>2263</v>
      </c>
      <c r="L669" s="10">
        <v>1</v>
      </c>
      <c r="M669" s="5">
        <v>457400.99999999994</v>
      </c>
      <c r="N669" s="5">
        <v>457401</v>
      </c>
    </row>
    <row r="670" spans="1:14" x14ac:dyDescent="0.25">
      <c r="A670" s="4" t="s">
        <v>2317</v>
      </c>
      <c r="B670" s="4" t="s">
        <v>3839</v>
      </c>
      <c r="C670" s="4" t="s">
        <v>2320</v>
      </c>
      <c r="D670" s="4" t="s">
        <v>242</v>
      </c>
      <c r="E670" s="4" t="s">
        <v>4299</v>
      </c>
      <c r="F670" s="4" t="s">
        <v>4298</v>
      </c>
      <c r="G670" s="4" t="s">
        <v>2263</v>
      </c>
      <c r="H670" s="9" t="s">
        <v>2263</v>
      </c>
      <c r="I670" s="4" t="s">
        <v>2317</v>
      </c>
      <c r="J670" s="4" t="s">
        <v>2316</v>
      </c>
      <c r="K670" s="4" t="s">
        <v>2263</v>
      </c>
      <c r="L670" s="10">
        <v>1</v>
      </c>
      <c r="M670" s="5">
        <v>480300</v>
      </c>
      <c r="N670" s="5">
        <v>480300</v>
      </c>
    </row>
    <row r="671" spans="1:14" x14ac:dyDescent="0.25">
      <c r="A671" s="4" t="s">
        <v>3072</v>
      </c>
      <c r="B671" s="4" t="s">
        <v>3071</v>
      </c>
      <c r="C671" s="4" t="s">
        <v>3070</v>
      </c>
      <c r="D671" s="4" t="s">
        <v>248</v>
      </c>
      <c r="E671" s="4" t="s">
        <v>3086</v>
      </c>
      <c r="F671" s="4" t="s">
        <v>3085</v>
      </c>
      <c r="G671" s="4" t="s">
        <v>2263</v>
      </c>
      <c r="H671" s="9" t="s">
        <v>2263</v>
      </c>
      <c r="I671" s="4" t="s">
        <v>2317</v>
      </c>
      <c r="J671" s="4" t="s">
        <v>2316</v>
      </c>
      <c r="K671" s="4" t="s">
        <v>2263</v>
      </c>
      <c r="L671" s="10">
        <v>1</v>
      </c>
      <c r="M671" s="5">
        <v>496972.99999999994</v>
      </c>
      <c r="N671" s="5">
        <v>496973</v>
      </c>
    </row>
    <row r="672" spans="1:14" x14ac:dyDescent="0.25">
      <c r="A672" s="4" t="s">
        <v>2317</v>
      </c>
      <c r="B672" s="4" t="s">
        <v>3839</v>
      </c>
      <c r="C672" s="4" t="s">
        <v>2320</v>
      </c>
      <c r="D672" s="4" t="s">
        <v>242</v>
      </c>
      <c r="E672" s="4" t="s">
        <v>4007</v>
      </c>
      <c r="F672" s="4" t="s">
        <v>4006</v>
      </c>
      <c r="G672" s="4" t="s">
        <v>2263</v>
      </c>
      <c r="H672" s="9" t="s">
        <v>2263</v>
      </c>
      <c r="I672" s="4" t="s">
        <v>2317</v>
      </c>
      <c r="J672" s="4" t="s">
        <v>2316</v>
      </c>
      <c r="K672" s="4" t="s">
        <v>2263</v>
      </c>
      <c r="L672" s="10">
        <v>1</v>
      </c>
      <c r="M672" s="5">
        <v>530455.96000000008</v>
      </c>
      <c r="N672" s="5">
        <v>530455.96</v>
      </c>
    </row>
    <row r="673" spans="1:14" x14ac:dyDescent="0.25">
      <c r="A673" s="4" t="s">
        <v>2653</v>
      </c>
      <c r="B673" s="4" t="s">
        <v>3226</v>
      </c>
      <c r="C673" s="4" t="s">
        <v>2384</v>
      </c>
      <c r="D673" s="4" t="s">
        <v>262</v>
      </c>
      <c r="E673" s="4" t="s">
        <v>3350</v>
      </c>
      <c r="F673" s="4" t="s">
        <v>3349</v>
      </c>
      <c r="G673" s="4" t="s">
        <v>2263</v>
      </c>
      <c r="H673" s="9" t="s">
        <v>2263</v>
      </c>
      <c r="I673" s="4" t="s">
        <v>2317</v>
      </c>
      <c r="J673" s="4" t="s">
        <v>2316</v>
      </c>
      <c r="K673" s="4" t="s">
        <v>2263</v>
      </c>
      <c r="L673" s="10">
        <v>1</v>
      </c>
      <c r="M673" s="5">
        <v>535500</v>
      </c>
      <c r="N673" s="5">
        <v>535500</v>
      </c>
    </row>
    <row r="674" spans="1:14" x14ac:dyDescent="0.25">
      <c r="A674" s="4" t="s">
        <v>2317</v>
      </c>
      <c r="B674" s="4" t="s">
        <v>3839</v>
      </c>
      <c r="C674" s="4" t="s">
        <v>2320</v>
      </c>
      <c r="D674" s="4" t="s">
        <v>242</v>
      </c>
      <c r="E674" s="4" t="s">
        <v>4181</v>
      </c>
      <c r="F674" s="4" t="s">
        <v>4180</v>
      </c>
      <c r="G674" s="4" t="s">
        <v>2263</v>
      </c>
      <c r="H674" s="9" t="s">
        <v>2263</v>
      </c>
      <c r="I674" s="4" t="s">
        <v>2317</v>
      </c>
      <c r="J674" s="4" t="s">
        <v>2316</v>
      </c>
      <c r="K674" s="4" t="s">
        <v>2263</v>
      </c>
      <c r="L674" s="10">
        <v>1</v>
      </c>
      <c r="M674" s="5">
        <v>552912.05000000005</v>
      </c>
      <c r="N674" s="5">
        <v>552912.05000000005</v>
      </c>
    </row>
    <row r="675" spans="1:14" x14ac:dyDescent="0.25">
      <c r="A675" s="4" t="s">
        <v>2761</v>
      </c>
      <c r="B675" s="4" t="s">
        <v>2760</v>
      </c>
      <c r="C675" s="4" t="s">
        <v>2320</v>
      </c>
      <c r="D675" s="4" t="s">
        <v>242</v>
      </c>
      <c r="E675" s="4" t="s">
        <v>2771</v>
      </c>
      <c r="F675" s="4" t="s">
        <v>2770</v>
      </c>
      <c r="G675" s="4" t="s">
        <v>2263</v>
      </c>
      <c r="H675" s="9" t="s">
        <v>2263</v>
      </c>
      <c r="I675" s="4" t="s">
        <v>2317</v>
      </c>
      <c r="J675" s="4" t="s">
        <v>2316</v>
      </c>
      <c r="K675" s="4" t="s">
        <v>2263</v>
      </c>
      <c r="L675" s="10">
        <v>1</v>
      </c>
      <c r="M675" s="5">
        <v>560247.19999999995</v>
      </c>
      <c r="N675" s="5">
        <v>560247.19999999995</v>
      </c>
    </row>
    <row r="676" spans="1:14" x14ac:dyDescent="0.25">
      <c r="A676" s="4" t="s">
        <v>2320</v>
      </c>
      <c r="B676" s="4" t="s">
        <v>4967</v>
      </c>
      <c r="C676" s="4" t="s">
        <v>2320</v>
      </c>
      <c r="D676" s="4" t="s">
        <v>242</v>
      </c>
      <c r="E676" s="4" t="s">
        <v>4159</v>
      </c>
      <c r="F676" s="4" t="s">
        <v>4158</v>
      </c>
      <c r="G676" s="4" t="s">
        <v>2263</v>
      </c>
      <c r="H676" s="9" t="s">
        <v>2263</v>
      </c>
      <c r="I676" s="4" t="s">
        <v>2317</v>
      </c>
      <c r="J676" s="4" t="s">
        <v>2316</v>
      </c>
      <c r="K676" s="4" t="s">
        <v>2263</v>
      </c>
      <c r="L676" s="10">
        <v>1</v>
      </c>
      <c r="M676" s="5">
        <v>572000</v>
      </c>
      <c r="N676" s="5">
        <v>572000</v>
      </c>
    </row>
    <row r="677" spans="1:14" x14ac:dyDescent="0.25">
      <c r="A677" s="4" t="s">
        <v>2317</v>
      </c>
      <c r="B677" s="4" t="s">
        <v>3839</v>
      </c>
      <c r="C677" s="4" t="s">
        <v>2320</v>
      </c>
      <c r="D677" s="4" t="s">
        <v>242</v>
      </c>
      <c r="E677" s="4" t="s">
        <v>4159</v>
      </c>
      <c r="F677" s="4" t="s">
        <v>4158</v>
      </c>
      <c r="G677" s="4" t="s">
        <v>2263</v>
      </c>
      <c r="H677" s="9" t="s">
        <v>2263</v>
      </c>
      <c r="I677" s="4" t="s">
        <v>2317</v>
      </c>
      <c r="J677" s="4" t="s">
        <v>2316</v>
      </c>
      <c r="K677" s="4" t="s">
        <v>2263</v>
      </c>
      <c r="L677" s="10">
        <v>1</v>
      </c>
      <c r="M677" s="5">
        <v>572000</v>
      </c>
      <c r="N677" s="5">
        <v>572000</v>
      </c>
    </row>
    <row r="678" spans="1:14" x14ac:dyDescent="0.25">
      <c r="A678" s="4" t="s">
        <v>2320</v>
      </c>
      <c r="B678" s="4" t="s">
        <v>4967</v>
      </c>
      <c r="C678" s="4" t="s">
        <v>2320</v>
      </c>
      <c r="D678" s="4" t="s">
        <v>242</v>
      </c>
      <c r="E678" s="4" t="s">
        <v>4271</v>
      </c>
      <c r="F678" s="4" t="s">
        <v>4270</v>
      </c>
      <c r="G678" s="4" t="s">
        <v>2263</v>
      </c>
      <c r="H678" s="9" t="s">
        <v>2263</v>
      </c>
      <c r="I678" s="4" t="s">
        <v>2317</v>
      </c>
      <c r="J678" s="4" t="s">
        <v>2316</v>
      </c>
      <c r="K678" s="4" t="s">
        <v>2263</v>
      </c>
      <c r="L678" s="10">
        <v>1</v>
      </c>
      <c r="M678" s="5">
        <v>600681.05999999994</v>
      </c>
      <c r="N678" s="5">
        <v>600681.06000000006</v>
      </c>
    </row>
    <row r="679" spans="1:14" x14ac:dyDescent="0.25">
      <c r="A679" s="4" t="s">
        <v>2269</v>
      </c>
      <c r="B679" s="4" t="s">
        <v>2268</v>
      </c>
      <c r="C679" s="4" t="s">
        <v>2320</v>
      </c>
      <c r="D679" s="4" t="s">
        <v>242</v>
      </c>
      <c r="E679" s="4" t="s">
        <v>2324</v>
      </c>
      <c r="F679" s="4" t="s">
        <v>2323</v>
      </c>
      <c r="G679" s="4" t="s">
        <v>2263</v>
      </c>
      <c r="H679" s="9" t="s">
        <v>2263</v>
      </c>
      <c r="I679" s="4" t="s">
        <v>2317</v>
      </c>
      <c r="J679" s="4" t="s">
        <v>2316</v>
      </c>
      <c r="K679" s="4" t="s">
        <v>2263</v>
      </c>
      <c r="L679" s="10">
        <v>1</v>
      </c>
      <c r="M679" s="5">
        <v>607068.11055555556</v>
      </c>
      <c r="N679" s="5">
        <v>607068.11055555556</v>
      </c>
    </row>
    <row r="680" spans="1:14" x14ac:dyDescent="0.25">
      <c r="A680" s="4" t="s">
        <v>2344</v>
      </c>
      <c r="B680" s="4" t="s">
        <v>5154</v>
      </c>
      <c r="C680" s="4" t="s">
        <v>2320</v>
      </c>
      <c r="D680" s="4" t="s">
        <v>242</v>
      </c>
      <c r="E680" s="4" t="s">
        <v>5314</v>
      </c>
      <c r="F680" s="4" t="s">
        <v>5313</v>
      </c>
      <c r="G680" s="4" t="s">
        <v>2263</v>
      </c>
      <c r="H680" s="9" t="s">
        <v>2263</v>
      </c>
      <c r="I680" s="4" t="s">
        <v>2317</v>
      </c>
      <c r="J680" s="4" t="s">
        <v>2316</v>
      </c>
      <c r="K680" s="4" t="s">
        <v>2263</v>
      </c>
      <c r="L680" s="10">
        <v>1</v>
      </c>
      <c r="M680" s="5">
        <v>624873.52</v>
      </c>
      <c r="N680" s="5">
        <v>624873.52</v>
      </c>
    </row>
    <row r="681" spans="1:14" x14ac:dyDescent="0.25">
      <c r="A681" s="4" t="s">
        <v>2320</v>
      </c>
      <c r="B681" s="4" t="s">
        <v>4967</v>
      </c>
      <c r="C681" s="4" t="s">
        <v>2320</v>
      </c>
      <c r="D681" s="4" t="s">
        <v>242</v>
      </c>
      <c r="E681" s="4" t="s">
        <v>4997</v>
      </c>
      <c r="F681" s="4" t="s">
        <v>4996</v>
      </c>
      <c r="G681" s="4" t="s">
        <v>2263</v>
      </c>
      <c r="H681" s="9" t="s">
        <v>2263</v>
      </c>
      <c r="I681" s="4" t="s">
        <v>2317</v>
      </c>
      <c r="J681" s="4" t="s">
        <v>2316</v>
      </c>
      <c r="K681" s="4" t="s">
        <v>2263</v>
      </c>
      <c r="L681" s="10">
        <v>1</v>
      </c>
      <c r="M681" s="5">
        <v>633311.70000000007</v>
      </c>
      <c r="N681" s="5">
        <v>633311.69999999995</v>
      </c>
    </row>
    <row r="682" spans="1:14" x14ac:dyDescent="0.25">
      <c r="A682" s="4" t="s">
        <v>2317</v>
      </c>
      <c r="B682" s="4" t="s">
        <v>3839</v>
      </c>
      <c r="C682" s="4" t="s">
        <v>2320</v>
      </c>
      <c r="D682" s="4" t="s">
        <v>242</v>
      </c>
      <c r="E682" s="4" t="s">
        <v>3999</v>
      </c>
      <c r="F682" s="4" t="s">
        <v>3998</v>
      </c>
      <c r="G682" s="4" t="s">
        <v>2263</v>
      </c>
      <c r="H682" s="9" t="s">
        <v>2263</v>
      </c>
      <c r="I682" s="4" t="s">
        <v>2317</v>
      </c>
      <c r="J682" s="4" t="s">
        <v>2316</v>
      </c>
      <c r="K682" s="4" t="s">
        <v>2263</v>
      </c>
      <c r="L682" s="10">
        <v>1</v>
      </c>
      <c r="M682" s="5">
        <v>638502.56000000006</v>
      </c>
      <c r="N682" s="5">
        <v>638502.56000000006</v>
      </c>
    </row>
    <row r="683" spans="1:14" x14ac:dyDescent="0.25">
      <c r="A683" s="4" t="s">
        <v>2317</v>
      </c>
      <c r="B683" s="4" t="s">
        <v>3839</v>
      </c>
      <c r="C683" s="4" t="s">
        <v>2320</v>
      </c>
      <c r="D683" s="4" t="s">
        <v>242</v>
      </c>
      <c r="E683" s="4" t="s">
        <v>4263</v>
      </c>
      <c r="F683" s="4" t="s">
        <v>4262</v>
      </c>
      <c r="G683" s="4" t="s">
        <v>2263</v>
      </c>
      <c r="H683" s="9" t="s">
        <v>2263</v>
      </c>
      <c r="I683" s="4" t="s">
        <v>2317</v>
      </c>
      <c r="J683" s="4" t="s">
        <v>2316</v>
      </c>
      <c r="K683" s="4" t="s">
        <v>2263</v>
      </c>
      <c r="L683" s="10">
        <v>1</v>
      </c>
      <c r="M683" s="5">
        <v>650223.76666666672</v>
      </c>
      <c r="N683" s="5">
        <v>650223.7666666666</v>
      </c>
    </row>
    <row r="684" spans="1:14" x14ac:dyDescent="0.25">
      <c r="A684" s="4" t="s">
        <v>2344</v>
      </c>
      <c r="B684" s="4" t="s">
        <v>5154</v>
      </c>
      <c r="C684" s="4" t="s">
        <v>2320</v>
      </c>
      <c r="D684" s="4" t="s">
        <v>242</v>
      </c>
      <c r="E684" s="4" t="s">
        <v>3111</v>
      </c>
      <c r="F684" s="4" t="s">
        <v>3110</v>
      </c>
      <c r="G684" s="4" t="s">
        <v>2263</v>
      </c>
      <c r="H684" s="9" t="s">
        <v>2263</v>
      </c>
      <c r="I684" s="4" t="s">
        <v>2317</v>
      </c>
      <c r="J684" s="4" t="s">
        <v>2316</v>
      </c>
      <c r="K684" s="4" t="s">
        <v>2263</v>
      </c>
      <c r="L684" s="10">
        <v>1</v>
      </c>
      <c r="M684" s="5">
        <v>681500</v>
      </c>
      <c r="N684" s="5">
        <v>681500</v>
      </c>
    </row>
    <row r="685" spans="1:14" x14ac:dyDescent="0.25">
      <c r="A685" s="4" t="s">
        <v>3104</v>
      </c>
      <c r="B685" s="4" t="s">
        <v>3103</v>
      </c>
      <c r="C685" s="4" t="s">
        <v>2320</v>
      </c>
      <c r="D685" s="4" t="s">
        <v>242</v>
      </c>
      <c r="E685" s="4" t="s">
        <v>3111</v>
      </c>
      <c r="F685" s="4" t="s">
        <v>3110</v>
      </c>
      <c r="G685" s="4" t="s">
        <v>2263</v>
      </c>
      <c r="H685" s="9" t="s">
        <v>2263</v>
      </c>
      <c r="I685" s="4" t="s">
        <v>2317</v>
      </c>
      <c r="J685" s="4" t="s">
        <v>2316</v>
      </c>
      <c r="K685" s="4" t="s">
        <v>2263</v>
      </c>
      <c r="L685" s="10">
        <v>1</v>
      </c>
      <c r="M685" s="5">
        <v>681500</v>
      </c>
      <c r="N685" s="5">
        <v>681500</v>
      </c>
    </row>
    <row r="686" spans="1:14" x14ac:dyDescent="0.25">
      <c r="A686" s="4" t="s">
        <v>2653</v>
      </c>
      <c r="B686" s="4" t="s">
        <v>3226</v>
      </c>
      <c r="C686" s="4" t="s">
        <v>2384</v>
      </c>
      <c r="D686" s="4" t="s">
        <v>262</v>
      </c>
      <c r="E686" s="4" t="s">
        <v>3364</v>
      </c>
      <c r="F686" s="4" t="s">
        <v>3363</v>
      </c>
      <c r="G686" s="4" t="s">
        <v>2263</v>
      </c>
      <c r="H686" s="9" t="s">
        <v>2263</v>
      </c>
      <c r="I686" s="4" t="s">
        <v>2317</v>
      </c>
      <c r="J686" s="4" t="s">
        <v>2316</v>
      </c>
      <c r="K686" s="4" t="s">
        <v>2263</v>
      </c>
      <c r="L686" s="10">
        <v>1</v>
      </c>
      <c r="M686" s="5">
        <v>709268.92</v>
      </c>
      <c r="N686" s="5">
        <v>709268.92</v>
      </c>
    </row>
    <row r="687" spans="1:14" x14ac:dyDescent="0.25">
      <c r="A687" s="4" t="s">
        <v>2320</v>
      </c>
      <c r="B687" s="4" t="s">
        <v>4967</v>
      </c>
      <c r="C687" s="4" t="s">
        <v>2320</v>
      </c>
      <c r="D687" s="4" t="s">
        <v>242</v>
      </c>
      <c r="E687" s="4" t="s">
        <v>5119</v>
      </c>
      <c r="F687" s="4" t="s">
        <v>5118</v>
      </c>
      <c r="G687" s="4" t="s">
        <v>2263</v>
      </c>
      <c r="H687" s="9" t="s">
        <v>2263</v>
      </c>
      <c r="I687" s="4" t="s">
        <v>2317</v>
      </c>
      <c r="J687" s="4" t="s">
        <v>2316</v>
      </c>
      <c r="K687" s="4" t="s">
        <v>2263</v>
      </c>
      <c r="L687" s="10">
        <v>1</v>
      </c>
      <c r="M687" s="5">
        <v>718283.8</v>
      </c>
      <c r="N687" s="5">
        <v>718283.8</v>
      </c>
    </row>
    <row r="688" spans="1:14" x14ac:dyDescent="0.25">
      <c r="A688" s="4" t="s">
        <v>2320</v>
      </c>
      <c r="B688" s="4" t="s">
        <v>4967</v>
      </c>
      <c r="C688" s="4" t="s">
        <v>2320</v>
      </c>
      <c r="D688" s="4" t="s">
        <v>242</v>
      </c>
      <c r="E688" s="4" t="s">
        <v>2829</v>
      </c>
      <c r="F688" s="4" t="s">
        <v>2828</v>
      </c>
      <c r="G688" s="4" t="s">
        <v>2263</v>
      </c>
      <c r="H688" s="9" t="s">
        <v>2263</v>
      </c>
      <c r="I688" s="4" t="s">
        <v>2317</v>
      </c>
      <c r="J688" s="4" t="s">
        <v>2316</v>
      </c>
      <c r="K688" s="4" t="s">
        <v>2263</v>
      </c>
      <c r="L688" s="10">
        <v>1</v>
      </c>
      <c r="M688" s="5">
        <v>721662.34</v>
      </c>
      <c r="N688" s="5">
        <v>721662.34</v>
      </c>
    </row>
    <row r="689" spans="1:14" x14ac:dyDescent="0.25">
      <c r="A689" s="4" t="s">
        <v>2320</v>
      </c>
      <c r="B689" s="4" t="s">
        <v>4967</v>
      </c>
      <c r="C689" s="4" t="s">
        <v>2320</v>
      </c>
      <c r="D689" s="4" t="s">
        <v>242</v>
      </c>
      <c r="E689" s="4" t="s">
        <v>4001</v>
      </c>
      <c r="F689" s="4" t="s">
        <v>4000</v>
      </c>
      <c r="G689" s="4" t="s">
        <v>2263</v>
      </c>
      <c r="H689" s="9" t="s">
        <v>2263</v>
      </c>
      <c r="I689" s="4" t="s">
        <v>2317</v>
      </c>
      <c r="J689" s="4" t="s">
        <v>2316</v>
      </c>
      <c r="K689" s="4" t="s">
        <v>2263</v>
      </c>
      <c r="L689" s="10">
        <v>1</v>
      </c>
      <c r="M689" s="5">
        <v>727616.76857142861</v>
      </c>
      <c r="N689" s="5">
        <v>727616.76857142861</v>
      </c>
    </row>
    <row r="690" spans="1:14" x14ac:dyDescent="0.25">
      <c r="A690" s="4" t="s">
        <v>2837</v>
      </c>
      <c r="B690" s="4" t="s">
        <v>2836</v>
      </c>
      <c r="C690" s="4" t="s">
        <v>2320</v>
      </c>
      <c r="D690" s="4" t="s">
        <v>242</v>
      </c>
      <c r="E690" s="4" t="s">
        <v>2863</v>
      </c>
      <c r="F690" s="4" t="s">
        <v>2862</v>
      </c>
      <c r="G690" s="4" t="s">
        <v>2263</v>
      </c>
      <c r="H690" s="9" t="s">
        <v>2263</v>
      </c>
      <c r="I690" s="4" t="s">
        <v>2317</v>
      </c>
      <c r="J690" s="4" t="s">
        <v>2316</v>
      </c>
      <c r="K690" s="4" t="s">
        <v>2263</v>
      </c>
      <c r="L690" s="10">
        <v>1</v>
      </c>
      <c r="M690" s="5">
        <v>734649.99999999988</v>
      </c>
      <c r="N690" s="5">
        <v>734650</v>
      </c>
    </row>
    <row r="691" spans="1:14" x14ac:dyDescent="0.25">
      <c r="A691" s="4" t="s">
        <v>2653</v>
      </c>
      <c r="B691" s="4" t="s">
        <v>3226</v>
      </c>
      <c r="C691" s="4" t="s">
        <v>2384</v>
      </c>
      <c r="D691" s="4" t="s">
        <v>262</v>
      </c>
      <c r="E691" s="4" t="s">
        <v>3310</v>
      </c>
      <c r="F691" s="4" t="s">
        <v>3309</v>
      </c>
      <c r="G691" s="4" t="s">
        <v>2263</v>
      </c>
      <c r="H691" s="9" t="s">
        <v>2263</v>
      </c>
      <c r="I691" s="4" t="s">
        <v>2317</v>
      </c>
      <c r="J691" s="4" t="s">
        <v>2316</v>
      </c>
      <c r="K691" s="4" t="s">
        <v>2263</v>
      </c>
      <c r="L691" s="10">
        <v>1</v>
      </c>
      <c r="M691" s="5">
        <v>741132</v>
      </c>
      <c r="N691" s="5">
        <v>741132</v>
      </c>
    </row>
    <row r="692" spans="1:14" x14ac:dyDescent="0.25">
      <c r="A692" s="4" t="s">
        <v>2269</v>
      </c>
      <c r="B692" s="4" t="s">
        <v>2268</v>
      </c>
      <c r="C692" s="4" t="s">
        <v>2320</v>
      </c>
      <c r="D692" s="4" t="s">
        <v>242</v>
      </c>
      <c r="E692" s="4" t="s">
        <v>2326</v>
      </c>
      <c r="F692" s="4" t="s">
        <v>2325</v>
      </c>
      <c r="G692" s="4" t="s">
        <v>2263</v>
      </c>
      <c r="H692" s="9" t="s">
        <v>2263</v>
      </c>
      <c r="I692" s="4" t="s">
        <v>2317</v>
      </c>
      <c r="J692" s="4" t="s">
        <v>2316</v>
      </c>
      <c r="K692" s="4" t="s">
        <v>2263</v>
      </c>
      <c r="L692" s="10">
        <v>1</v>
      </c>
      <c r="M692" s="5">
        <v>807360</v>
      </c>
      <c r="N692" s="5">
        <v>807360</v>
      </c>
    </row>
    <row r="693" spans="1:14" x14ac:dyDescent="0.25">
      <c r="A693" s="4" t="s">
        <v>2317</v>
      </c>
      <c r="B693" s="4" t="s">
        <v>3839</v>
      </c>
      <c r="C693" s="4" t="s">
        <v>2320</v>
      </c>
      <c r="D693" s="4" t="s">
        <v>242</v>
      </c>
      <c r="E693" s="4" t="s">
        <v>2809</v>
      </c>
      <c r="F693" s="4" t="s">
        <v>2808</v>
      </c>
      <c r="G693" s="4" t="s">
        <v>2263</v>
      </c>
      <c r="H693" s="9" t="s">
        <v>2263</v>
      </c>
      <c r="I693" s="4" t="s">
        <v>2317</v>
      </c>
      <c r="J693" s="4" t="s">
        <v>2316</v>
      </c>
      <c r="K693" s="4" t="s">
        <v>2263</v>
      </c>
      <c r="L693" s="10">
        <v>1</v>
      </c>
      <c r="M693" s="5">
        <v>813809.10399999993</v>
      </c>
      <c r="N693" s="5">
        <v>813809.10400000005</v>
      </c>
    </row>
    <row r="694" spans="1:14" x14ac:dyDescent="0.25">
      <c r="A694" s="4" t="s">
        <v>2269</v>
      </c>
      <c r="B694" s="4" t="s">
        <v>2268</v>
      </c>
      <c r="C694" s="4" t="s">
        <v>2320</v>
      </c>
      <c r="D694" s="4" t="s">
        <v>242</v>
      </c>
      <c r="E694" s="4" t="s">
        <v>2334</v>
      </c>
      <c r="F694" s="4" t="s">
        <v>2333</v>
      </c>
      <c r="G694" s="4" t="s">
        <v>2263</v>
      </c>
      <c r="H694" s="9" t="s">
        <v>2263</v>
      </c>
      <c r="I694" s="4" t="s">
        <v>2317</v>
      </c>
      <c r="J694" s="4" t="s">
        <v>2316</v>
      </c>
      <c r="K694" s="4" t="s">
        <v>2263</v>
      </c>
      <c r="L694" s="10">
        <v>1</v>
      </c>
      <c r="M694" s="5">
        <v>865436</v>
      </c>
      <c r="N694" s="5">
        <v>865436</v>
      </c>
    </row>
    <row r="695" spans="1:14" x14ac:dyDescent="0.25">
      <c r="A695" s="4" t="s">
        <v>2653</v>
      </c>
      <c r="B695" s="4" t="s">
        <v>3226</v>
      </c>
      <c r="C695" s="4" t="s">
        <v>3801</v>
      </c>
      <c r="D695" s="4" t="s">
        <v>3800</v>
      </c>
      <c r="E695" s="4" t="s">
        <v>3813</v>
      </c>
      <c r="F695" s="4" t="s">
        <v>3812</v>
      </c>
      <c r="G695" s="4" t="s">
        <v>2263</v>
      </c>
      <c r="H695" s="9" t="s">
        <v>2263</v>
      </c>
      <c r="I695" s="4" t="s">
        <v>2317</v>
      </c>
      <c r="J695" s="4" t="s">
        <v>2316</v>
      </c>
      <c r="K695" s="4" t="s">
        <v>2263</v>
      </c>
      <c r="L695" s="10">
        <v>1</v>
      </c>
      <c r="M695" s="5">
        <v>874649.7699999999</v>
      </c>
      <c r="N695" s="5">
        <v>874649.77</v>
      </c>
    </row>
    <row r="696" spans="1:14" x14ac:dyDescent="0.25">
      <c r="A696" s="4" t="s">
        <v>2320</v>
      </c>
      <c r="B696" s="4" t="s">
        <v>4967</v>
      </c>
      <c r="C696" s="4" t="s">
        <v>2320</v>
      </c>
      <c r="D696" s="4" t="s">
        <v>242</v>
      </c>
      <c r="E696" s="4" t="s">
        <v>4277</v>
      </c>
      <c r="F696" s="4" t="s">
        <v>4276</v>
      </c>
      <c r="G696" s="4" t="s">
        <v>2263</v>
      </c>
      <c r="H696" s="9" t="s">
        <v>2263</v>
      </c>
      <c r="I696" s="4" t="s">
        <v>2317</v>
      </c>
      <c r="J696" s="4" t="s">
        <v>2316</v>
      </c>
      <c r="K696" s="4" t="s">
        <v>2263</v>
      </c>
      <c r="L696" s="10">
        <v>1</v>
      </c>
      <c r="M696" s="5">
        <v>925633.66666666663</v>
      </c>
      <c r="N696" s="5">
        <v>925633.66666666674</v>
      </c>
    </row>
    <row r="697" spans="1:14" x14ac:dyDescent="0.25">
      <c r="A697" s="4" t="s">
        <v>2320</v>
      </c>
      <c r="B697" s="4" t="s">
        <v>4967</v>
      </c>
      <c r="C697" s="4" t="s">
        <v>2320</v>
      </c>
      <c r="D697" s="4" t="s">
        <v>242</v>
      </c>
      <c r="E697" s="4" t="s">
        <v>5037</v>
      </c>
      <c r="F697" s="4" t="s">
        <v>5036</v>
      </c>
      <c r="G697" s="4" t="s">
        <v>2263</v>
      </c>
      <c r="H697" s="9" t="s">
        <v>2263</v>
      </c>
      <c r="I697" s="4" t="s">
        <v>2317</v>
      </c>
      <c r="J697" s="4" t="s">
        <v>2316</v>
      </c>
      <c r="K697" s="4" t="s">
        <v>2263</v>
      </c>
      <c r="L697" s="10">
        <v>1</v>
      </c>
      <c r="M697" s="5">
        <v>987680.2699999999</v>
      </c>
      <c r="N697" s="5">
        <v>987680.27</v>
      </c>
    </row>
    <row r="698" spans="1:14" x14ac:dyDescent="0.25">
      <c r="A698" s="4" t="s">
        <v>2320</v>
      </c>
      <c r="B698" s="4" t="s">
        <v>4967</v>
      </c>
      <c r="C698" s="4" t="s">
        <v>2320</v>
      </c>
      <c r="D698" s="4" t="s">
        <v>242</v>
      </c>
      <c r="E698" s="4" t="s">
        <v>5089</v>
      </c>
      <c r="F698" s="4" t="s">
        <v>5088</v>
      </c>
      <c r="G698" s="4" t="s">
        <v>2263</v>
      </c>
      <c r="H698" s="9" t="s">
        <v>2263</v>
      </c>
      <c r="I698" s="4" t="s">
        <v>2317</v>
      </c>
      <c r="J698" s="4" t="s">
        <v>2316</v>
      </c>
      <c r="K698" s="4" t="s">
        <v>2263</v>
      </c>
      <c r="L698" s="10">
        <v>1</v>
      </c>
      <c r="M698" s="5">
        <v>1000329.9999999999</v>
      </c>
      <c r="N698" s="5">
        <v>1000330</v>
      </c>
    </row>
    <row r="699" spans="1:14" x14ac:dyDescent="0.25">
      <c r="A699" s="4" t="s">
        <v>2320</v>
      </c>
      <c r="B699" s="4" t="s">
        <v>4967</v>
      </c>
      <c r="C699" s="4" t="s">
        <v>2320</v>
      </c>
      <c r="D699" s="4" t="s">
        <v>242</v>
      </c>
      <c r="E699" s="4" t="s">
        <v>2831</v>
      </c>
      <c r="F699" s="4" t="s">
        <v>2830</v>
      </c>
      <c r="G699" s="4" t="s">
        <v>2263</v>
      </c>
      <c r="H699" s="9" t="s">
        <v>2263</v>
      </c>
      <c r="I699" s="4" t="s">
        <v>2317</v>
      </c>
      <c r="J699" s="4" t="s">
        <v>2316</v>
      </c>
      <c r="K699" s="4" t="s">
        <v>2263</v>
      </c>
      <c r="L699" s="10">
        <v>1</v>
      </c>
      <c r="M699" s="5">
        <v>1012589.215</v>
      </c>
      <c r="N699" s="5">
        <v>1012589.215</v>
      </c>
    </row>
    <row r="700" spans="1:14" x14ac:dyDescent="0.25">
      <c r="A700" s="4" t="s">
        <v>2819</v>
      </c>
      <c r="B700" s="4" t="s">
        <v>2818</v>
      </c>
      <c r="C700" s="4" t="s">
        <v>2320</v>
      </c>
      <c r="D700" s="4" t="s">
        <v>242</v>
      </c>
      <c r="E700" s="4" t="s">
        <v>2831</v>
      </c>
      <c r="F700" s="4" t="s">
        <v>2830</v>
      </c>
      <c r="G700" s="4" t="s">
        <v>2263</v>
      </c>
      <c r="H700" s="9" t="s">
        <v>2263</v>
      </c>
      <c r="I700" s="4" t="s">
        <v>2317</v>
      </c>
      <c r="J700" s="4" t="s">
        <v>2316</v>
      </c>
      <c r="K700" s="4" t="s">
        <v>2263</v>
      </c>
      <c r="L700" s="10">
        <v>1</v>
      </c>
      <c r="M700" s="5">
        <v>1012589.215</v>
      </c>
      <c r="N700" s="5">
        <v>1012589.215</v>
      </c>
    </row>
    <row r="701" spans="1:14" x14ac:dyDescent="0.25">
      <c r="A701" s="4" t="s">
        <v>3072</v>
      </c>
      <c r="B701" s="4" t="s">
        <v>3071</v>
      </c>
      <c r="C701" s="4" t="s">
        <v>3070</v>
      </c>
      <c r="D701" s="4" t="s">
        <v>248</v>
      </c>
      <c r="E701" s="4" t="s">
        <v>3084</v>
      </c>
      <c r="F701" s="4" t="s">
        <v>3083</v>
      </c>
      <c r="G701" s="4" t="s">
        <v>2263</v>
      </c>
      <c r="H701" s="9" t="s">
        <v>2263</v>
      </c>
      <c r="I701" s="4" t="s">
        <v>2317</v>
      </c>
      <c r="J701" s="4" t="s">
        <v>2316</v>
      </c>
      <c r="K701" s="4" t="s">
        <v>2263</v>
      </c>
      <c r="L701" s="10">
        <v>1</v>
      </c>
      <c r="M701" s="5">
        <v>1017871</v>
      </c>
      <c r="N701" s="5">
        <v>1017871</v>
      </c>
    </row>
    <row r="702" spans="1:14" x14ac:dyDescent="0.25">
      <c r="A702" s="4" t="s">
        <v>3072</v>
      </c>
      <c r="B702" s="4" t="s">
        <v>3071</v>
      </c>
      <c r="C702" s="4" t="s">
        <v>3070</v>
      </c>
      <c r="D702" s="4" t="s">
        <v>248</v>
      </c>
      <c r="E702" s="4" t="s">
        <v>3082</v>
      </c>
      <c r="F702" s="4" t="s">
        <v>3081</v>
      </c>
      <c r="G702" s="4" t="s">
        <v>2263</v>
      </c>
      <c r="H702" s="9" t="s">
        <v>2263</v>
      </c>
      <c r="I702" s="4" t="s">
        <v>2317</v>
      </c>
      <c r="J702" s="4" t="s">
        <v>2316</v>
      </c>
      <c r="K702" s="4" t="s">
        <v>2263</v>
      </c>
      <c r="L702" s="10">
        <v>1</v>
      </c>
      <c r="M702" s="5">
        <v>1024023</v>
      </c>
      <c r="N702" s="5">
        <v>1024023</v>
      </c>
    </row>
    <row r="703" spans="1:14" x14ac:dyDescent="0.25">
      <c r="A703" s="4" t="s">
        <v>2320</v>
      </c>
      <c r="B703" s="4" t="s">
        <v>4967</v>
      </c>
      <c r="C703" s="4" t="s">
        <v>2320</v>
      </c>
      <c r="D703" s="4" t="s">
        <v>242</v>
      </c>
      <c r="E703" s="4" t="s">
        <v>2330</v>
      </c>
      <c r="F703" s="4" t="s">
        <v>2329</v>
      </c>
      <c r="G703" s="4" t="s">
        <v>2263</v>
      </c>
      <c r="H703" s="9" t="s">
        <v>2263</v>
      </c>
      <c r="I703" s="4" t="s">
        <v>2317</v>
      </c>
      <c r="J703" s="4" t="s">
        <v>2316</v>
      </c>
      <c r="K703" s="4" t="s">
        <v>2263</v>
      </c>
      <c r="L703" s="10">
        <v>1</v>
      </c>
      <c r="M703" s="5">
        <v>1032997.5</v>
      </c>
      <c r="N703" s="5">
        <v>1032997.5</v>
      </c>
    </row>
    <row r="704" spans="1:14" x14ac:dyDescent="0.25">
      <c r="A704" s="4" t="s">
        <v>2269</v>
      </c>
      <c r="B704" s="4" t="s">
        <v>2268</v>
      </c>
      <c r="C704" s="4" t="s">
        <v>2320</v>
      </c>
      <c r="D704" s="4" t="s">
        <v>242</v>
      </c>
      <c r="E704" s="4" t="s">
        <v>2330</v>
      </c>
      <c r="F704" s="4" t="s">
        <v>2329</v>
      </c>
      <c r="G704" s="4" t="s">
        <v>2263</v>
      </c>
      <c r="H704" s="9" t="s">
        <v>2263</v>
      </c>
      <c r="I704" s="4" t="s">
        <v>2317</v>
      </c>
      <c r="J704" s="4" t="s">
        <v>2316</v>
      </c>
      <c r="K704" s="4" t="s">
        <v>2263</v>
      </c>
      <c r="L704" s="10">
        <v>1</v>
      </c>
      <c r="M704" s="5">
        <v>1032997.5</v>
      </c>
      <c r="N704" s="5">
        <v>1032997.5</v>
      </c>
    </row>
    <row r="705" spans="1:14" x14ac:dyDescent="0.25">
      <c r="A705" s="4" t="s">
        <v>3104</v>
      </c>
      <c r="B705" s="4" t="s">
        <v>3103</v>
      </c>
      <c r="C705" s="4" t="s">
        <v>2320</v>
      </c>
      <c r="D705" s="4" t="s">
        <v>242</v>
      </c>
      <c r="E705" s="4" t="s">
        <v>3113</v>
      </c>
      <c r="F705" s="4" t="s">
        <v>3112</v>
      </c>
      <c r="G705" s="4" t="s">
        <v>2263</v>
      </c>
      <c r="H705" s="9" t="s">
        <v>2263</v>
      </c>
      <c r="I705" s="4" t="s">
        <v>2317</v>
      </c>
      <c r="J705" s="4" t="s">
        <v>2316</v>
      </c>
      <c r="K705" s="4" t="s">
        <v>2263</v>
      </c>
      <c r="L705" s="10">
        <v>1</v>
      </c>
      <c r="M705" s="5">
        <v>1034151.75</v>
      </c>
      <c r="N705" s="5">
        <v>1034151.75</v>
      </c>
    </row>
    <row r="706" spans="1:14" x14ac:dyDescent="0.25">
      <c r="A706" s="4" t="s">
        <v>2653</v>
      </c>
      <c r="B706" s="4" t="s">
        <v>3226</v>
      </c>
      <c r="C706" s="4" t="s">
        <v>2384</v>
      </c>
      <c r="D706" s="4" t="s">
        <v>262</v>
      </c>
      <c r="E706" s="4" t="s">
        <v>3372</v>
      </c>
      <c r="F706" s="4" t="s">
        <v>3371</v>
      </c>
      <c r="G706" s="4" t="s">
        <v>2263</v>
      </c>
      <c r="H706" s="9" t="s">
        <v>2263</v>
      </c>
      <c r="I706" s="4" t="s">
        <v>2317</v>
      </c>
      <c r="J706" s="4" t="s">
        <v>2316</v>
      </c>
      <c r="K706" s="4" t="s">
        <v>2263</v>
      </c>
      <c r="L706" s="10">
        <v>1</v>
      </c>
      <c r="M706" s="5">
        <v>1072190</v>
      </c>
      <c r="N706" s="5">
        <v>1072190</v>
      </c>
    </row>
    <row r="707" spans="1:14" x14ac:dyDescent="0.25">
      <c r="A707" s="4" t="s">
        <v>2653</v>
      </c>
      <c r="B707" s="4" t="s">
        <v>3226</v>
      </c>
      <c r="C707" s="4" t="s">
        <v>2384</v>
      </c>
      <c r="D707" s="4" t="s">
        <v>262</v>
      </c>
      <c r="E707" s="4" t="s">
        <v>3318</v>
      </c>
      <c r="F707" s="4" t="s">
        <v>3317</v>
      </c>
      <c r="G707" s="4" t="s">
        <v>2263</v>
      </c>
      <c r="H707" s="9" t="s">
        <v>2263</v>
      </c>
      <c r="I707" s="4" t="s">
        <v>2317</v>
      </c>
      <c r="J707" s="4" t="s">
        <v>2316</v>
      </c>
      <c r="K707" s="4" t="s">
        <v>2263</v>
      </c>
      <c r="L707" s="10">
        <v>1</v>
      </c>
      <c r="M707" s="5">
        <v>1082900</v>
      </c>
      <c r="N707" s="5">
        <v>1082900</v>
      </c>
    </row>
    <row r="708" spans="1:14" x14ac:dyDescent="0.25">
      <c r="A708" s="4" t="s">
        <v>2344</v>
      </c>
      <c r="B708" s="4" t="s">
        <v>5154</v>
      </c>
      <c r="C708" s="4" t="s">
        <v>2320</v>
      </c>
      <c r="D708" s="4" t="s">
        <v>242</v>
      </c>
      <c r="E708" s="4" t="s">
        <v>5125</v>
      </c>
      <c r="F708" s="4" t="s">
        <v>5124</v>
      </c>
      <c r="G708" s="4" t="s">
        <v>2263</v>
      </c>
      <c r="H708" s="9" t="s">
        <v>2263</v>
      </c>
      <c r="I708" s="4" t="s">
        <v>2317</v>
      </c>
      <c r="J708" s="4" t="s">
        <v>2316</v>
      </c>
      <c r="K708" s="4" t="s">
        <v>2263</v>
      </c>
      <c r="L708" s="10">
        <v>1</v>
      </c>
      <c r="M708" s="5">
        <v>1095300</v>
      </c>
      <c r="N708" s="5">
        <v>1095300</v>
      </c>
    </row>
    <row r="709" spans="1:14" x14ac:dyDescent="0.25">
      <c r="A709" s="4" t="s">
        <v>2320</v>
      </c>
      <c r="B709" s="4" t="s">
        <v>4967</v>
      </c>
      <c r="C709" s="4" t="s">
        <v>2320</v>
      </c>
      <c r="D709" s="4" t="s">
        <v>242</v>
      </c>
      <c r="E709" s="4" t="s">
        <v>5075</v>
      </c>
      <c r="F709" s="4" t="s">
        <v>5074</v>
      </c>
      <c r="G709" s="4" t="s">
        <v>2263</v>
      </c>
      <c r="H709" s="9" t="s">
        <v>2263</v>
      </c>
      <c r="I709" s="4" t="s">
        <v>2317</v>
      </c>
      <c r="J709" s="4" t="s">
        <v>2316</v>
      </c>
      <c r="K709" s="4" t="s">
        <v>2263</v>
      </c>
      <c r="L709" s="10">
        <v>1</v>
      </c>
      <c r="M709" s="5">
        <v>1168000</v>
      </c>
      <c r="N709" s="5">
        <v>1168000</v>
      </c>
    </row>
    <row r="710" spans="1:14" x14ac:dyDescent="0.25">
      <c r="A710" s="4" t="s">
        <v>2317</v>
      </c>
      <c r="B710" s="4" t="s">
        <v>3839</v>
      </c>
      <c r="C710" s="4" t="s">
        <v>2320</v>
      </c>
      <c r="D710" s="4" t="s">
        <v>242</v>
      </c>
      <c r="E710" s="4" t="s">
        <v>2805</v>
      </c>
      <c r="F710" s="4" t="s">
        <v>2804</v>
      </c>
      <c r="G710" s="4" t="s">
        <v>2263</v>
      </c>
      <c r="H710" s="9" t="s">
        <v>2263</v>
      </c>
      <c r="I710" s="4" t="s">
        <v>2317</v>
      </c>
      <c r="J710" s="4" t="s">
        <v>2316</v>
      </c>
      <c r="K710" s="4" t="s">
        <v>2263</v>
      </c>
      <c r="L710" s="10">
        <v>1</v>
      </c>
      <c r="M710" s="5">
        <v>1190616.0428571429</v>
      </c>
      <c r="N710" s="5">
        <v>1190616.0428571429</v>
      </c>
    </row>
    <row r="711" spans="1:14" x14ac:dyDescent="0.25">
      <c r="A711" s="4" t="s">
        <v>2320</v>
      </c>
      <c r="B711" s="4" t="s">
        <v>4967</v>
      </c>
      <c r="C711" s="4" t="s">
        <v>2320</v>
      </c>
      <c r="D711" s="4" t="s">
        <v>242</v>
      </c>
      <c r="E711" s="4" t="s">
        <v>5079</v>
      </c>
      <c r="F711" s="4" t="s">
        <v>5078</v>
      </c>
      <c r="G711" s="4" t="s">
        <v>2263</v>
      </c>
      <c r="H711" s="9" t="s">
        <v>2263</v>
      </c>
      <c r="I711" s="4" t="s">
        <v>2317</v>
      </c>
      <c r="J711" s="4" t="s">
        <v>2316</v>
      </c>
      <c r="K711" s="4" t="s">
        <v>2263</v>
      </c>
      <c r="L711" s="10">
        <v>1</v>
      </c>
      <c r="M711" s="5">
        <v>1241000</v>
      </c>
      <c r="N711" s="5">
        <v>1241000</v>
      </c>
    </row>
    <row r="712" spans="1:14" x14ac:dyDescent="0.25">
      <c r="A712" s="4" t="s">
        <v>2320</v>
      </c>
      <c r="B712" s="4" t="s">
        <v>4967</v>
      </c>
      <c r="C712" s="4" t="s">
        <v>2320</v>
      </c>
      <c r="D712" s="4" t="s">
        <v>242</v>
      </c>
      <c r="E712" s="4" t="s">
        <v>4269</v>
      </c>
      <c r="F712" s="4" t="s">
        <v>4268</v>
      </c>
      <c r="G712" s="4" t="s">
        <v>2263</v>
      </c>
      <c r="H712" s="9" t="s">
        <v>2263</v>
      </c>
      <c r="I712" s="4" t="s">
        <v>2317</v>
      </c>
      <c r="J712" s="4" t="s">
        <v>2316</v>
      </c>
      <c r="K712" s="4" t="s">
        <v>2263</v>
      </c>
      <c r="L712" s="10">
        <v>1</v>
      </c>
      <c r="M712" s="5">
        <v>1403029.4550000001</v>
      </c>
      <c r="N712" s="5">
        <v>1403029.4550000001</v>
      </c>
    </row>
    <row r="713" spans="1:14" x14ac:dyDescent="0.25">
      <c r="A713" s="4" t="s">
        <v>2317</v>
      </c>
      <c r="B713" s="4" t="s">
        <v>3839</v>
      </c>
      <c r="C713" s="4" t="s">
        <v>2320</v>
      </c>
      <c r="D713" s="4" t="s">
        <v>242</v>
      </c>
      <c r="E713" s="4" t="s">
        <v>4269</v>
      </c>
      <c r="F713" s="4" t="s">
        <v>4268</v>
      </c>
      <c r="G713" s="4" t="s">
        <v>2263</v>
      </c>
      <c r="H713" s="9" t="s">
        <v>2263</v>
      </c>
      <c r="I713" s="4" t="s">
        <v>2317</v>
      </c>
      <c r="J713" s="4" t="s">
        <v>2316</v>
      </c>
      <c r="K713" s="4" t="s">
        <v>2263</v>
      </c>
      <c r="L713" s="10">
        <v>1</v>
      </c>
      <c r="M713" s="5">
        <v>1403029.4550000001</v>
      </c>
      <c r="N713" s="5">
        <v>1403029.4550000001</v>
      </c>
    </row>
    <row r="714" spans="1:14" x14ac:dyDescent="0.25">
      <c r="A714" s="4" t="s">
        <v>2320</v>
      </c>
      <c r="B714" s="4" t="s">
        <v>4967</v>
      </c>
      <c r="C714" s="4" t="s">
        <v>2320</v>
      </c>
      <c r="D714" s="4" t="s">
        <v>242</v>
      </c>
      <c r="E714" s="4" t="s">
        <v>5011</v>
      </c>
      <c r="F714" s="4" t="s">
        <v>5010</v>
      </c>
      <c r="G714" s="4" t="s">
        <v>2263</v>
      </c>
      <c r="H714" s="9" t="s">
        <v>2263</v>
      </c>
      <c r="I714" s="4" t="s">
        <v>2317</v>
      </c>
      <c r="J714" s="4" t="s">
        <v>2316</v>
      </c>
      <c r="K714" s="4" t="s">
        <v>2263</v>
      </c>
      <c r="L714" s="10">
        <v>1</v>
      </c>
      <c r="M714" s="5">
        <v>1408541</v>
      </c>
      <c r="N714" s="5">
        <v>1408541</v>
      </c>
    </row>
    <row r="715" spans="1:14" x14ac:dyDescent="0.25">
      <c r="A715" s="4" t="s">
        <v>2317</v>
      </c>
      <c r="B715" s="4" t="s">
        <v>3839</v>
      </c>
      <c r="C715" s="4" t="s">
        <v>2320</v>
      </c>
      <c r="D715" s="4" t="s">
        <v>242</v>
      </c>
      <c r="E715" s="4" t="s">
        <v>4329</v>
      </c>
      <c r="F715" s="4" t="s">
        <v>4328</v>
      </c>
      <c r="G715" s="4" t="s">
        <v>2263</v>
      </c>
      <c r="H715" s="9" t="s">
        <v>2263</v>
      </c>
      <c r="I715" s="4" t="s">
        <v>2317</v>
      </c>
      <c r="J715" s="4" t="s">
        <v>2316</v>
      </c>
      <c r="K715" s="4" t="s">
        <v>2263</v>
      </c>
      <c r="L715" s="10">
        <v>1</v>
      </c>
      <c r="M715" s="5">
        <v>1469385</v>
      </c>
      <c r="N715" s="5">
        <v>1469385</v>
      </c>
    </row>
    <row r="716" spans="1:14" x14ac:dyDescent="0.25">
      <c r="A716" s="4" t="s">
        <v>2320</v>
      </c>
      <c r="B716" s="4" t="s">
        <v>4967</v>
      </c>
      <c r="C716" s="4" t="s">
        <v>2320</v>
      </c>
      <c r="D716" s="4" t="s">
        <v>242</v>
      </c>
      <c r="E716" s="4" t="s">
        <v>5077</v>
      </c>
      <c r="F716" s="4" t="s">
        <v>5076</v>
      </c>
      <c r="G716" s="4" t="s">
        <v>2263</v>
      </c>
      <c r="H716" s="9" t="s">
        <v>2263</v>
      </c>
      <c r="I716" s="4" t="s">
        <v>2317</v>
      </c>
      <c r="J716" s="4" t="s">
        <v>2316</v>
      </c>
      <c r="K716" s="4" t="s">
        <v>2263</v>
      </c>
      <c r="L716" s="10">
        <v>1</v>
      </c>
      <c r="M716" s="5">
        <v>1482000</v>
      </c>
      <c r="N716" s="5">
        <v>1482000</v>
      </c>
    </row>
    <row r="717" spans="1:14" x14ac:dyDescent="0.25">
      <c r="A717" s="4" t="s">
        <v>2320</v>
      </c>
      <c r="B717" s="4" t="s">
        <v>4967</v>
      </c>
      <c r="C717" s="4" t="s">
        <v>2320</v>
      </c>
      <c r="D717" s="4" t="s">
        <v>242</v>
      </c>
      <c r="E717" s="4" t="s">
        <v>2799</v>
      </c>
      <c r="F717" s="4" t="s">
        <v>2798</v>
      </c>
      <c r="G717" s="4" t="s">
        <v>2263</v>
      </c>
      <c r="H717" s="9" t="s">
        <v>2263</v>
      </c>
      <c r="I717" s="4" t="s">
        <v>2317</v>
      </c>
      <c r="J717" s="4" t="s">
        <v>2316</v>
      </c>
      <c r="K717" s="4" t="s">
        <v>2263</v>
      </c>
      <c r="L717" s="10">
        <v>1</v>
      </c>
      <c r="M717" s="5">
        <v>1585595.6525000001</v>
      </c>
      <c r="N717" s="5">
        <v>1585595.6525000001</v>
      </c>
    </row>
    <row r="718" spans="1:14" x14ac:dyDescent="0.25">
      <c r="A718" s="4" t="s">
        <v>2320</v>
      </c>
      <c r="B718" s="4" t="s">
        <v>4967</v>
      </c>
      <c r="C718" s="4" t="s">
        <v>2320</v>
      </c>
      <c r="D718" s="4" t="s">
        <v>242</v>
      </c>
      <c r="E718" s="4" t="s">
        <v>2803</v>
      </c>
      <c r="F718" s="4" t="s">
        <v>2802</v>
      </c>
      <c r="G718" s="4" t="s">
        <v>2263</v>
      </c>
      <c r="H718" s="9" t="s">
        <v>2263</v>
      </c>
      <c r="I718" s="4" t="s">
        <v>2317</v>
      </c>
      <c r="J718" s="4" t="s">
        <v>2316</v>
      </c>
      <c r="K718" s="4" t="s">
        <v>2263</v>
      </c>
      <c r="L718" s="10">
        <v>1</v>
      </c>
      <c r="M718" s="5">
        <v>1592274.287142857</v>
      </c>
      <c r="N718" s="5">
        <v>1592274.2871428572</v>
      </c>
    </row>
    <row r="719" spans="1:14" x14ac:dyDescent="0.25">
      <c r="A719" s="4" t="s">
        <v>2320</v>
      </c>
      <c r="B719" s="4" t="s">
        <v>4967</v>
      </c>
      <c r="C719" s="4" t="s">
        <v>2320</v>
      </c>
      <c r="D719" s="4" t="s">
        <v>242</v>
      </c>
      <c r="E719" s="4" t="s">
        <v>3901</v>
      </c>
      <c r="F719" s="4" t="s">
        <v>3900</v>
      </c>
      <c r="G719" s="4" t="s">
        <v>2263</v>
      </c>
      <c r="H719" s="9" t="s">
        <v>2263</v>
      </c>
      <c r="I719" s="4" t="s">
        <v>2317</v>
      </c>
      <c r="J719" s="4" t="s">
        <v>2316</v>
      </c>
      <c r="K719" s="4" t="s">
        <v>2263</v>
      </c>
      <c r="L719" s="10">
        <v>1</v>
      </c>
      <c r="M719" s="5">
        <v>1617810.8399999999</v>
      </c>
      <c r="N719" s="5">
        <v>1617810.84</v>
      </c>
    </row>
    <row r="720" spans="1:14" x14ac:dyDescent="0.25">
      <c r="A720" s="4" t="s">
        <v>2317</v>
      </c>
      <c r="B720" s="4" t="s">
        <v>3839</v>
      </c>
      <c r="C720" s="4" t="s">
        <v>2320</v>
      </c>
      <c r="D720" s="4" t="s">
        <v>242</v>
      </c>
      <c r="E720" s="4" t="s">
        <v>3901</v>
      </c>
      <c r="F720" s="4" t="s">
        <v>3900</v>
      </c>
      <c r="G720" s="4" t="s">
        <v>2263</v>
      </c>
      <c r="H720" s="9" t="s">
        <v>2263</v>
      </c>
      <c r="I720" s="4" t="s">
        <v>2317</v>
      </c>
      <c r="J720" s="4" t="s">
        <v>2316</v>
      </c>
      <c r="K720" s="4" t="s">
        <v>2263</v>
      </c>
      <c r="L720" s="10">
        <v>1</v>
      </c>
      <c r="M720" s="5">
        <v>1617810.8399999999</v>
      </c>
      <c r="N720" s="5">
        <v>1617810.84</v>
      </c>
    </row>
    <row r="721" spans="1:14" x14ac:dyDescent="0.25">
      <c r="A721" s="4" t="s">
        <v>2317</v>
      </c>
      <c r="B721" s="4" t="s">
        <v>3839</v>
      </c>
      <c r="C721" s="4" t="s">
        <v>2320</v>
      </c>
      <c r="D721" s="4" t="s">
        <v>242</v>
      </c>
      <c r="E721" s="4" t="s">
        <v>3985</v>
      </c>
      <c r="F721" s="4" t="s">
        <v>3984</v>
      </c>
      <c r="G721" s="4" t="s">
        <v>2263</v>
      </c>
      <c r="H721" s="9" t="s">
        <v>2263</v>
      </c>
      <c r="I721" s="4" t="s">
        <v>2317</v>
      </c>
      <c r="J721" s="4" t="s">
        <v>2316</v>
      </c>
      <c r="K721" s="4" t="s">
        <v>2263</v>
      </c>
      <c r="L721" s="10">
        <v>1</v>
      </c>
      <c r="M721" s="5">
        <v>1636594.17</v>
      </c>
      <c r="N721" s="5">
        <v>1636594.17</v>
      </c>
    </row>
    <row r="722" spans="1:14" x14ac:dyDescent="0.25">
      <c r="A722" s="4" t="s">
        <v>2320</v>
      </c>
      <c r="B722" s="4" t="s">
        <v>4967</v>
      </c>
      <c r="C722" s="4" t="s">
        <v>2320</v>
      </c>
      <c r="D722" s="4" t="s">
        <v>242</v>
      </c>
      <c r="E722" s="4" t="s">
        <v>4261</v>
      </c>
      <c r="F722" s="4" t="s">
        <v>4260</v>
      </c>
      <c r="G722" s="4" t="s">
        <v>2263</v>
      </c>
      <c r="H722" s="9" t="s">
        <v>2263</v>
      </c>
      <c r="I722" s="4" t="s">
        <v>2317</v>
      </c>
      <c r="J722" s="4" t="s">
        <v>2316</v>
      </c>
      <c r="K722" s="4" t="s">
        <v>2263</v>
      </c>
      <c r="L722" s="10">
        <v>1</v>
      </c>
      <c r="M722" s="5">
        <v>1659934.91</v>
      </c>
      <c r="N722" s="5">
        <v>1659934.91</v>
      </c>
    </row>
    <row r="723" spans="1:14" x14ac:dyDescent="0.25">
      <c r="A723" s="4" t="s">
        <v>2317</v>
      </c>
      <c r="B723" s="4" t="s">
        <v>3839</v>
      </c>
      <c r="C723" s="4" t="s">
        <v>2320</v>
      </c>
      <c r="D723" s="4" t="s">
        <v>242</v>
      </c>
      <c r="E723" s="4" t="s">
        <v>4261</v>
      </c>
      <c r="F723" s="4" t="s">
        <v>4260</v>
      </c>
      <c r="G723" s="4" t="s">
        <v>2263</v>
      </c>
      <c r="H723" s="9" t="s">
        <v>2263</v>
      </c>
      <c r="I723" s="4" t="s">
        <v>2317</v>
      </c>
      <c r="J723" s="4" t="s">
        <v>2316</v>
      </c>
      <c r="K723" s="4" t="s">
        <v>2263</v>
      </c>
      <c r="L723" s="10">
        <v>1</v>
      </c>
      <c r="M723" s="5">
        <v>1659934.91</v>
      </c>
      <c r="N723" s="5">
        <v>1659934.91</v>
      </c>
    </row>
    <row r="724" spans="1:14" x14ac:dyDescent="0.25">
      <c r="A724" s="4" t="s">
        <v>2320</v>
      </c>
      <c r="B724" s="4" t="s">
        <v>4967</v>
      </c>
      <c r="C724" s="4" t="s">
        <v>2320</v>
      </c>
      <c r="D724" s="4" t="s">
        <v>242</v>
      </c>
      <c r="E724" s="4" t="s">
        <v>3897</v>
      </c>
      <c r="F724" s="4" t="s">
        <v>3896</v>
      </c>
      <c r="G724" s="4" t="s">
        <v>2263</v>
      </c>
      <c r="H724" s="9" t="s">
        <v>2263</v>
      </c>
      <c r="I724" s="4" t="s">
        <v>2317</v>
      </c>
      <c r="J724" s="4" t="s">
        <v>2316</v>
      </c>
      <c r="K724" s="4" t="s">
        <v>2263</v>
      </c>
      <c r="L724" s="10">
        <v>1</v>
      </c>
      <c r="M724" s="5">
        <v>1695762.422</v>
      </c>
      <c r="N724" s="5">
        <v>1695762.422</v>
      </c>
    </row>
    <row r="725" spans="1:14" x14ac:dyDescent="0.25">
      <c r="A725" s="4" t="s">
        <v>2317</v>
      </c>
      <c r="B725" s="4" t="s">
        <v>3839</v>
      </c>
      <c r="C725" s="4" t="s">
        <v>2320</v>
      </c>
      <c r="D725" s="4" t="s">
        <v>242</v>
      </c>
      <c r="E725" s="4" t="s">
        <v>4287</v>
      </c>
      <c r="F725" s="4" t="s">
        <v>4286</v>
      </c>
      <c r="G725" s="4" t="s">
        <v>2263</v>
      </c>
      <c r="H725" s="9" t="s">
        <v>2263</v>
      </c>
      <c r="I725" s="4" t="s">
        <v>2317</v>
      </c>
      <c r="J725" s="4" t="s">
        <v>2316</v>
      </c>
      <c r="K725" s="4" t="s">
        <v>2263</v>
      </c>
      <c r="L725" s="10">
        <v>1</v>
      </c>
      <c r="M725" s="5">
        <v>1750000</v>
      </c>
      <c r="N725" s="5">
        <v>1750000</v>
      </c>
    </row>
    <row r="726" spans="1:14" x14ac:dyDescent="0.25">
      <c r="A726" s="4" t="s">
        <v>2320</v>
      </c>
      <c r="B726" s="4" t="s">
        <v>4967</v>
      </c>
      <c r="C726" s="4" t="s">
        <v>2320</v>
      </c>
      <c r="D726" s="4" t="s">
        <v>242</v>
      </c>
      <c r="E726" s="4" t="s">
        <v>4003</v>
      </c>
      <c r="F726" s="4" t="s">
        <v>4002</v>
      </c>
      <c r="G726" s="4" t="s">
        <v>2263</v>
      </c>
      <c r="H726" s="9" t="s">
        <v>2263</v>
      </c>
      <c r="I726" s="4" t="s">
        <v>2317</v>
      </c>
      <c r="J726" s="4" t="s">
        <v>2316</v>
      </c>
      <c r="K726" s="4" t="s">
        <v>2263</v>
      </c>
      <c r="L726" s="10">
        <v>1</v>
      </c>
      <c r="M726" s="5">
        <v>1776461.3</v>
      </c>
      <c r="N726" s="5">
        <v>1776461.3</v>
      </c>
    </row>
    <row r="727" spans="1:14" x14ac:dyDescent="0.25">
      <c r="A727" s="4" t="s">
        <v>3072</v>
      </c>
      <c r="B727" s="4" t="s">
        <v>3071</v>
      </c>
      <c r="C727" s="4" t="s">
        <v>3070</v>
      </c>
      <c r="D727" s="4" t="s">
        <v>248</v>
      </c>
      <c r="E727" s="4" t="s">
        <v>3078</v>
      </c>
      <c r="F727" s="4" t="s">
        <v>3077</v>
      </c>
      <c r="G727" s="4" t="s">
        <v>2263</v>
      </c>
      <c r="H727" s="9" t="s">
        <v>2263</v>
      </c>
      <c r="I727" s="4" t="s">
        <v>2317</v>
      </c>
      <c r="J727" s="4" t="s">
        <v>2316</v>
      </c>
      <c r="K727" s="4" t="s">
        <v>2263</v>
      </c>
      <c r="L727" s="10">
        <v>1</v>
      </c>
      <c r="M727" s="5">
        <v>1884632</v>
      </c>
      <c r="N727" s="5">
        <v>1884632</v>
      </c>
    </row>
    <row r="728" spans="1:14" x14ac:dyDescent="0.25">
      <c r="A728" s="4" t="s">
        <v>3072</v>
      </c>
      <c r="B728" s="4" t="s">
        <v>3071</v>
      </c>
      <c r="C728" s="4" t="s">
        <v>3070</v>
      </c>
      <c r="D728" s="4" t="s">
        <v>248</v>
      </c>
      <c r="E728" s="4" t="s">
        <v>3076</v>
      </c>
      <c r="F728" s="4" t="s">
        <v>3075</v>
      </c>
      <c r="G728" s="4" t="s">
        <v>2263</v>
      </c>
      <c r="H728" s="9" t="s">
        <v>2263</v>
      </c>
      <c r="I728" s="4" t="s">
        <v>2317</v>
      </c>
      <c r="J728" s="4" t="s">
        <v>2316</v>
      </c>
      <c r="K728" s="4" t="s">
        <v>2263</v>
      </c>
      <c r="L728" s="10">
        <v>1</v>
      </c>
      <c r="M728" s="5">
        <v>1884632</v>
      </c>
      <c r="N728" s="5">
        <v>1884632</v>
      </c>
    </row>
    <row r="729" spans="1:14" x14ac:dyDescent="0.25">
      <c r="A729" s="4" t="s">
        <v>3072</v>
      </c>
      <c r="B729" s="4" t="s">
        <v>3071</v>
      </c>
      <c r="C729" s="4" t="s">
        <v>3070</v>
      </c>
      <c r="D729" s="4" t="s">
        <v>248</v>
      </c>
      <c r="E729" s="4" t="s">
        <v>3100</v>
      </c>
      <c r="F729" s="4" t="s">
        <v>3099</v>
      </c>
      <c r="G729" s="4" t="s">
        <v>2263</v>
      </c>
      <c r="H729" s="9" t="s">
        <v>2263</v>
      </c>
      <c r="I729" s="4" t="s">
        <v>2317</v>
      </c>
      <c r="J729" s="4" t="s">
        <v>2316</v>
      </c>
      <c r="K729" s="4" t="s">
        <v>2263</v>
      </c>
      <c r="L729" s="10">
        <v>1</v>
      </c>
      <c r="M729" s="5">
        <v>2067000</v>
      </c>
      <c r="N729" s="5">
        <v>2067000</v>
      </c>
    </row>
    <row r="730" spans="1:14" x14ac:dyDescent="0.25">
      <c r="A730" s="4" t="s">
        <v>2320</v>
      </c>
      <c r="B730" s="4" t="s">
        <v>4967</v>
      </c>
      <c r="C730" s="4" t="s">
        <v>2320</v>
      </c>
      <c r="D730" s="4" t="s">
        <v>242</v>
      </c>
      <c r="E730" s="4" t="s">
        <v>5083</v>
      </c>
      <c r="F730" s="4" t="s">
        <v>5082</v>
      </c>
      <c r="G730" s="4" t="s">
        <v>2263</v>
      </c>
      <c r="H730" s="9" t="s">
        <v>2263</v>
      </c>
      <c r="I730" s="4" t="s">
        <v>2317</v>
      </c>
      <c r="J730" s="4" t="s">
        <v>2316</v>
      </c>
      <c r="K730" s="4" t="s">
        <v>2263</v>
      </c>
      <c r="L730" s="10">
        <v>1</v>
      </c>
      <c r="M730" s="5">
        <v>2248000</v>
      </c>
      <c r="N730" s="5">
        <v>2248000</v>
      </c>
    </row>
    <row r="731" spans="1:14" x14ac:dyDescent="0.25">
      <c r="A731" s="4" t="s">
        <v>3072</v>
      </c>
      <c r="B731" s="4" t="s">
        <v>3071</v>
      </c>
      <c r="C731" s="4" t="s">
        <v>3070</v>
      </c>
      <c r="D731" s="4" t="s">
        <v>248</v>
      </c>
      <c r="E731" s="4" t="s">
        <v>3080</v>
      </c>
      <c r="F731" s="4" t="s">
        <v>3079</v>
      </c>
      <c r="G731" s="4" t="s">
        <v>2263</v>
      </c>
      <c r="H731" s="9" t="s">
        <v>2263</v>
      </c>
      <c r="I731" s="4" t="s">
        <v>2317</v>
      </c>
      <c r="J731" s="4" t="s">
        <v>2316</v>
      </c>
      <c r="K731" s="4" t="s">
        <v>2263</v>
      </c>
      <c r="L731" s="10">
        <v>1</v>
      </c>
      <c r="M731" s="5">
        <v>2384101</v>
      </c>
      <c r="N731" s="5">
        <v>2384101</v>
      </c>
    </row>
    <row r="732" spans="1:14" x14ac:dyDescent="0.25">
      <c r="A732" s="4" t="s">
        <v>2320</v>
      </c>
      <c r="B732" s="4" t="s">
        <v>4967</v>
      </c>
      <c r="C732" s="4" t="s">
        <v>2320</v>
      </c>
      <c r="D732" s="4" t="s">
        <v>242</v>
      </c>
      <c r="E732" s="4" t="s">
        <v>5087</v>
      </c>
      <c r="F732" s="4" t="s">
        <v>5086</v>
      </c>
      <c r="G732" s="4" t="s">
        <v>2263</v>
      </c>
      <c r="H732" s="9" t="s">
        <v>2263</v>
      </c>
      <c r="I732" s="4" t="s">
        <v>2317</v>
      </c>
      <c r="J732" s="4" t="s">
        <v>2316</v>
      </c>
      <c r="K732" s="4" t="s">
        <v>2263</v>
      </c>
      <c r="L732" s="10">
        <v>1</v>
      </c>
      <c r="M732" s="5">
        <v>2584000</v>
      </c>
      <c r="N732" s="5">
        <v>2584000</v>
      </c>
    </row>
    <row r="733" spans="1:14" x14ac:dyDescent="0.25">
      <c r="A733" s="4" t="s">
        <v>2320</v>
      </c>
      <c r="B733" s="4" t="s">
        <v>4967</v>
      </c>
      <c r="C733" s="4" t="s">
        <v>2320</v>
      </c>
      <c r="D733" s="4" t="s">
        <v>242</v>
      </c>
      <c r="E733" s="4" t="s">
        <v>5081</v>
      </c>
      <c r="F733" s="4" t="s">
        <v>5080</v>
      </c>
      <c r="G733" s="4" t="s">
        <v>2263</v>
      </c>
      <c r="H733" s="9" t="s">
        <v>2263</v>
      </c>
      <c r="I733" s="4" t="s">
        <v>2317</v>
      </c>
      <c r="J733" s="4" t="s">
        <v>2316</v>
      </c>
      <c r="K733" s="4" t="s">
        <v>2263</v>
      </c>
      <c r="L733" s="10">
        <v>1</v>
      </c>
      <c r="M733" s="5">
        <v>2784999.9999999995</v>
      </c>
      <c r="N733" s="5">
        <v>2785000</v>
      </c>
    </row>
    <row r="734" spans="1:14" x14ac:dyDescent="0.25">
      <c r="A734" s="4" t="s">
        <v>2320</v>
      </c>
      <c r="B734" s="4" t="s">
        <v>4967</v>
      </c>
      <c r="C734" s="4" t="s">
        <v>2320</v>
      </c>
      <c r="D734" s="4" t="s">
        <v>242</v>
      </c>
      <c r="E734" s="4" t="s">
        <v>5039</v>
      </c>
      <c r="F734" s="4" t="s">
        <v>5038</v>
      </c>
      <c r="G734" s="4" t="s">
        <v>2263</v>
      </c>
      <c r="H734" s="9" t="s">
        <v>2263</v>
      </c>
      <c r="I734" s="4" t="s">
        <v>2317</v>
      </c>
      <c r="J734" s="4" t="s">
        <v>2316</v>
      </c>
      <c r="K734" s="4" t="s">
        <v>2263</v>
      </c>
      <c r="L734" s="10">
        <v>1</v>
      </c>
      <c r="M734" s="5">
        <v>2965552.54</v>
      </c>
      <c r="N734" s="5">
        <v>2965552.54</v>
      </c>
    </row>
    <row r="735" spans="1:14" x14ac:dyDescent="0.25">
      <c r="A735" s="4" t="s">
        <v>2274</v>
      </c>
      <c r="B735" s="4" t="s">
        <v>4348</v>
      </c>
      <c r="C735" s="4" t="s">
        <v>2274</v>
      </c>
      <c r="D735" s="4" t="s">
        <v>2273</v>
      </c>
      <c r="E735" s="4" t="s">
        <v>4502</v>
      </c>
      <c r="F735" s="4" t="s">
        <v>4501</v>
      </c>
      <c r="G735" s="4" t="s">
        <v>2263</v>
      </c>
      <c r="H735" s="9" t="s">
        <v>2263</v>
      </c>
      <c r="I735" s="4" t="s">
        <v>2263</v>
      </c>
      <c r="J735" s="4" t="s">
        <v>2263</v>
      </c>
      <c r="K735" s="4" t="s">
        <v>4500</v>
      </c>
      <c r="L735" s="10">
        <v>1</v>
      </c>
      <c r="M735" s="5">
        <v>3009538.5566666666</v>
      </c>
      <c r="N735" s="5">
        <v>3009538.5566666671</v>
      </c>
    </row>
    <row r="736" spans="1:14" x14ac:dyDescent="0.25">
      <c r="A736" s="4" t="s">
        <v>2653</v>
      </c>
      <c r="B736" s="4" t="s">
        <v>3226</v>
      </c>
      <c r="C736" s="4" t="s">
        <v>2384</v>
      </c>
      <c r="D736" s="4" t="s">
        <v>262</v>
      </c>
      <c r="E736" s="4" t="s">
        <v>3334</v>
      </c>
      <c r="F736" s="4" t="s">
        <v>3333</v>
      </c>
      <c r="G736" s="4" t="s">
        <v>2263</v>
      </c>
      <c r="H736" s="9" t="s">
        <v>2263</v>
      </c>
      <c r="I736" s="4" t="s">
        <v>2317</v>
      </c>
      <c r="J736" s="4" t="s">
        <v>2316</v>
      </c>
      <c r="K736" s="4" t="s">
        <v>2263</v>
      </c>
      <c r="L736" s="10">
        <v>1</v>
      </c>
      <c r="M736" s="5">
        <v>3218950</v>
      </c>
      <c r="N736" s="5">
        <v>3218950</v>
      </c>
    </row>
    <row r="737" spans="1:14" x14ac:dyDescent="0.25">
      <c r="A737" s="4" t="s">
        <v>2320</v>
      </c>
      <c r="B737" s="4" t="s">
        <v>4967</v>
      </c>
      <c r="C737" s="4" t="s">
        <v>2320</v>
      </c>
      <c r="D737" s="4" t="s">
        <v>242</v>
      </c>
      <c r="E737" s="4" t="s">
        <v>5103</v>
      </c>
      <c r="F737" s="4" t="s">
        <v>5102</v>
      </c>
      <c r="G737" s="4" t="s">
        <v>2263</v>
      </c>
      <c r="H737" s="9" t="s">
        <v>2263</v>
      </c>
      <c r="I737" s="4" t="s">
        <v>2317</v>
      </c>
      <c r="J737" s="4" t="s">
        <v>2316</v>
      </c>
      <c r="K737" s="4" t="s">
        <v>2263</v>
      </c>
      <c r="L737" s="10">
        <v>1</v>
      </c>
      <c r="M737" s="5">
        <v>3860000</v>
      </c>
      <c r="N737" s="5">
        <v>3860000</v>
      </c>
    </row>
    <row r="738" spans="1:14" x14ac:dyDescent="0.25">
      <c r="A738" s="4" t="s">
        <v>2320</v>
      </c>
      <c r="B738" s="4" t="s">
        <v>4967</v>
      </c>
      <c r="C738" s="4" t="s">
        <v>2320</v>
      </c>
      <c r="D738" s="4" t="s">
        <v>242</v>
      </c>
      <c r="E738" s="4" t="s">
        <v>5085</v>
      </c>
      <c r="F738" s="4" t="s">
        <v>5084</v>
      </c>
      <c r="G738" s="4" t="s">
        <v>2263</v>
      </c>
      <c r="H738" s="9" t="s">
        <v>2263</v>
      </c>
      <c r="I738" s="4" t="s">
        <v>2317</v>
      </c>
      <c r="J738" s="4" t="s">
        <v>2316</v>
      </c>
      <c r="K738" s="4" t="s">
        <v>2263</v>
      </c>
      <c r="L738" s="10">
        <v>1</v>
      </c>
      <c r="M738" s="5">
        <v>3860000</v>
      </c>
      <c r="N738" s="5">
        <v>3860000</v>
      </c>
    </row>
    <row r="739" spans="1:14" x14ac:dyDescent="0.25">
      <c r="A739" s="4" t="s">
        <v>2317</v>
      </c>
      <c r="B739" s="4" t="s">
        <v>3839</v>
      </c>
      <c r="C739" s="4" t="s">
        <v>2320</v>
      </c>
      <c r="D739" s="4" t="s">
        <v>242</v>
      </c>
      <c r="E739" s="4" t="s">
        <v>4345</v>
      </c>
      <c r="F739" s="4" t="s">
        <v>4344</v>
      </c>
      <c r="G739" s="4" t="s">
        <v>2263</v>
      </c>
      <c r="H739" s="9" t="s">
        <v>2263</v>
      </c>
      <c r="I739" s="4" t="s">
        <v>2317</v>
      </c>
      <c r="J739" s="4" t="s">
        <v>2316</v>
      </c>
      <c r="K739" s="4" t="s">
        <v>2263</v>
      </c>
      <c r="L739" s="10">
        <v>1</v>
      </c>
      <c r="M739" s="5">
        <v>4119500</v>
      </c>
      <c r="N739" s="5">
        <v>4119500</v>
      </c>
    </row>
    <row r="740" spans="1:14" x14ac:dyDescent="0.25">
      <c r="A740" s="4" t="s">
        <v>2317</v>
      </c>
      <c r="B740" s="4" t="s">
        <v>3839</v>
      </c>
      <c r="C740" s="4" t="s">
        <v>2320</v>
      </c>
      <c r="D740" s="4" t="s">
        <v>242</v>
      </c>
      <c r="E740" s="4" t="s">
        <v>4343</v>
      </c>
      <c r="F740" s="4" t="s">
        <v>4342</v>
      </c>
      <c r="G740" s="4" t="s">
        <v>2263</v>
      </c>
      <c r="H740" s="9" t="s">
        <v>2263</v>
      </c>
      <c r="I740" s="4" t="s">
        <v>2317</v>
      </c>
      <c r="J740" s="4" t="s">
        <v>2316</v>
      </c>
      <c r="K740" s="4" t="s">
        <v>2263</v>
      </c>
      <c r="L740" s="10">
        <v>1</v>
      </c>
      <c r="M740" s="5">
        <v>4119500</v>
      </c>
      <c r="N740" s="5">
        <v>4119500</v>
      </c>
    </row>
    <row r="741" spans="1:14" x14ac:dyDescent="0.25">
      <c r="A741" s="4" t="s">
        <v>2761</v>
      </c>
      <c r="B741" s="4" t="s">
        <v>2760</v>
      </c>
      <c r="C741" s="4" t="s">
        <v>2320</v>
      </c>
      <c r="D741" s="4" t="s">
        <v>242</v>
      </c>
      <c r="E741" s="4" t="s">
        <v>2797</v>
      </c>
      <c r="F741" s="4" t="s">
        <v>2796</v>
      </c>
      <c r="G741" s="4" t="s">
        <v>2263</v>
      </c>
      <c r="H741" s="9" t="s">
        <v>2263</v>
      </c>
      <c r="I741" s="4" t="s">
        <v>2317</v>
      </c>
      <c r="J741" s="4" t="s">
        <v>2316</v>
      </c>
      <c r="K741" s="4" t="s">
        <v>2263</v>
      </c>
      <c r="L741" s="10">
        <v>1</v>
      </c>
      <c r="M741" s="5">
        <v>4369872.16</v>
      </c>
      <c r="N741" s="5">
        <v>4369872.16</v>
      </c>
    </row>
    <row r="742" spans="1:14" x14ac:dyDescent="0.25">
      <c r="A742" s="4" t="s">
        <v>2837</v>
      </c>
      <c r="B742" s="4" t="s">
        <v>2836</v>
      </c>
      <c r="C742" s="4" t="s">
        <v>2320</v>
      </c>
      <c r="D742" s="4" t="s">
        <v>242</v>
      </c>
      <c r="E742" s="4" t="s">
        <v>2855</v>
      </c>
      <c r="F742" s="4" t="s">
        <v>2854</v>
      </c>
      <c r="G742" s="4" t="s">
        <v>2263</v>
      </c>
      <c r="H742" s="9" t="s">
        <v>2263</v>
      </c>
      <c r="I742" s="4" t="s">
        <v>2317</v>
      </c>
      <c r="J742" s="4" t="s">
        <v>2316</v>
      </c>
      <c r="K742" s="4" t="s">
        <v>2263</v>
      </c>
      <c r="L742" s="10">
        <v>1</v>
      </c>
      <c r="M742" s="5">
        <v>4855000</v>
      </c>
      <c r="N742" s="5">
        <v>4855000</v>
      </c>
    </row>
    <row r="743" spans="1:14" x14ac:dyDescent="0.25">
      <c r="A743" s="4" t="s">
        <v>2320</v>
      </c>
      <c r="B743" s="4" t="s">
        <v>4967</v>
      </c>
      <c r="C743" s="4" t="s">
        <v>2320</v>
      </c>
      <c r="D743" s="4" t="s">
        <v>242</v>
      </c>
      <c r="E743" s="4" t="s">
        <v>5107</v>
      </c>
      <c r="F743" s="4" t="s">
        <v>5106</v>
      </c>
      <c r="G743" s="4" t="s">
        <v>2263</v>
      </c>
      <c r="H743" s="9" t="s">
        <v>2263</v>
      </c>
      <c r="I743" s="4" t="s">
        <v>2317</v>
      </c>
      <c r="J743" s="4" t="s">
        <v>2316</v>
      </c>
      <c r="K743" s="4" t="s">
        <v>2263</v>
      </c>
      <c r="L743" s="10">
        <v>1</v>
      </c>
      <c r="M743" s="5">
        <v>5741777</v>
      </c>
      <c r="N743" s="5">
        <v>5741777</v>
      </c>
    </row>
    <row r="744" spans="1:14" x14ac:dyDescent="0.25">
      <c r="A744" s="4" t="s">
        <v>2837</v>
      </c>
      <c r="B744" s="4" t="s">
        <v>2836</v>
      </c>
      <c r="C744" s="4" t="s">
        <v>2320</v>
      </c>
      <c r="D744" s="4" t="s">
        <v>242</v>
      </c>
      <c r="E744" s="4" t="s">
        <v>2851</v>
      </c>
      <c r="F744" s="4" t="s">
        <v>2850</v>
      </c>
      <c r="G744" s="4" t="s">
        <v>2263</v>
      </c>
      <c r="H744" s="9" t="s">
        <v>2263</v>
      </c>
      <c r="I744" s="4" t="s">
        <v>2317</v>
      </c>
      <c r="J744" s="4" t="s">
        <v>2316</v>
      </c>
      <c r="K744" s="4" t="s">
        <v>2263</v>
      </c>
      <c r="L744" s="10">
        <v>1</v>
      </c>
      <c r="M744" s="5">
        <v>6783000</v>
      </c>
      <c r="N744" s="5">
        <v>6783000</v>
      </c>
    </row>
    <row r="745" spans="1:14" x14ac:dyDescent="0.25">
      <c r="A745" s="4" t="s">
        <v>2653</v>
      </c>
      <c r="B745" s="4" t="s">
        <v>3226</v>
      </c>
      <c r="C745" s="4" t="s">
        <v>2353</v>
      </c>
      <c r="D745" s="4" t="s">
        <v>258</v>
      </c>
      <c r="E745" s="4" t="s">
        <v>3240</v>
      </c>
      <c r="F745" s="4" t="s">
        <v>3239</v>
      </c>
      <c r="G745" s="4" t="s">
        <v>2263</v>
      </c>
      <c r="H745" s="9" t="s">
        <v>2263</v>
      </c>
      <c r="I745" s="4" t="s">
        <v>2317</v>
      </c>
      <c r="J745" s="4" t="s">
        <v>2316</v>
      </c>
      <c r="K745" s="4" t="s">
        <v>2263</v>
      </c>
      <c r="L745" s="10">
        <v>2</v>
      </c>
      <c r="M745" s="5">
        <v>-68866.184999999998</v>
      </c>
      <c r="N745" s="5">
        <v>-137732.37</v>
      </c>
    </row>
    <row r="746" spans="1:14" x14ac:dyDescent="0.25">
      <c r="A746" s="4" t="s">
        <v>3801</v>
      </c>
      <c r="B746" s="4" t="s">
        <v>4965</v>
      </c>
      <c r="C746" s="4" t="s">
        <v>2320</v>
      </c>
      <c r="D746" s="4" t="s">
        <v>242</v>
      </c>
      <c r="E746" s="4" t="s">
        <v>2408</v>
      </c>
      <c r="F746" s="4" t="s">
        <v>2407</v>
      </c>
      <c r="G746" s="4" t="s">
        <v>2263</v>
      </c>
      <c r="H746" s="9" t="s">
        <v>2263</v>
      </c>
      <c r="I746" s="4" t="s">
        <v>2317</v>
      </c>
      <c r="J746" s="4" t="s">
        <v>2316</v>
      </c>
      <c r="K746" s="4" t="s">
        <v>2263</v>
      </c>
      <c r="L746" s="10">
        <v>2</v>
      </c>
      <c r="M746" s="5">
        <v>-58082.704199999993</v>
      </c>
      <c r="N746" s="5">
        <v>-116165.4084</v>
      </c>
    </row>
    <row r="747" spans="1:14" x14ac:dyDescent="0.25">
      <c r="A747" s="4" t="s">
        <v>2279</v>
      </c>
      <c r="B747" s="4" t="s">
        <v>4963</v>
      </c>
      <c r="C747" s="4" t="s">
        <v>2320</v>
      </c>
      <c r="D747" s="4" t="s">
        <v>242</v>
      </c>
      <c r="E747" s="4" t="s">
        <v>2408</v>
      </c>
      <c r="F747" s="4" t="s">
        <v>2407</v>
      </c>
      <c r="G747" s="4" t="s">
        <v>2263</v>
      </c>
      <c r="H747" s="9" t="s">
        <v>2263</v>
      </c>
      <c r="I747" s="4" t="s">
        <v>2317</v>
      </c>
      <c r="J747" s="4" t="s">
        <v>2316</v>
      </c>
      <c r="K747" s="4" t="s">
        <v>2263</v>
      </c>
      <c r="L747" s="10">
        <v>2</v>
      </c>
      <c r="M747" s="5">
        <v>-58082.704199999993</v>
      </c>
      <c r="N747" s="5">
        <v>-116165.4084</v>
      </c>
    </row>
    <row r="748" spans="1:14" x14ac:dyDescent="0.25">
      <c r="A748" s="4" t="s">
        <v>2481</v>
      </c>
      <c r="B748" s="4" t="s">
        <v>3217</v>
      </c>
      <c r="C748" s="4" t="s">
        <v>2320</v>
      </c>
      <c r="D748" s="4" t="s">
        <v>242</v>
      </c>
      <c r="E748" s="4" t="s">
        <v>2408</v>
      </c>
      <c r="F748" s="4" t="s">
        <v>2407</v>
      </c>
      <c r="G748" s="4" t="s">
        <v>2263</v>
      </c>
      <c r="H748" s="9" t="s">
        <v>2263</v>
      </c>
      <c r="I748" s="4" t="s">
        <v>2317</v>
      </c>
      <c r="J748" s="4" t="s">
        <v>2316</v>
      </c>
      <c r="K748" s="4" t="s">
        <v>2263</v>
      </c>
      <c r="L748" s="10">
        <v>2</v>
      </c>
      <c r="M748" s="5">
        <v>-58082.704199999993</v>
      </c>
      <c r="N748" s="5">
        <v>-116165.4084</v>
      </c>
    </row>
    <row r="749" spans="1:14" x14ac:dyDescent="0.25">
      <c r="A749" s="4" t="s">
        <v>3196</v>
      </c>
      <c r="B749" s="4" t="s">
        <v>3195</v>
      </c>
      <c r="C749" s="4" t="s">
        <v>2320</v>
      </c>
      <c r="D749" s="4" t="s">
        <v>242</v>
      </c>
      <c r="E749" s="4" t="s">
        <v>2408</v>
      </c>
      <c r="F749" s="4" t="s">
        <v>2407</v>
      </c>
      <c r="G749" s="4" t="s">
        <v>2263</v>
      </c>
      <c r="H749" s="9" t="s">
        <v>2263</v>
      </c>
      <c r="I749" s="4" t="s">
        <v>2317</v>
      </c>
      <c r="J749" s="4" t="s">
        <v>2316</v>
      </c>
      <c r="K749" s="4" t="s">
        <v>2263</v>
      </c>
      <c r="L749" s="10">
        <v>2</v>
      </c>
      <c r="M749" s="5">
        <v>-58082.704199999993</v>
      </c>
      <c r="N749" s="5">
        <v>-116165.4084</v>
      </c>
    </row>
    <row r="750" spans="1:14" x14ac:dyDescent="0.25">
      <c r="A750" s="4" t="s">
        <v>2384</v>
      </c>
      <c r="B750" s="4" t="s">
        <v>3187</v>
      </c>
      <c r="C750" s="4" t="s">
        <v>2320</v>
      </c>
      <c r="D750" s="4" t="s">
        <v>242</v>
      </c>
      <c r="E750" s="4" t="s">
        <v>2408</v>
      </c>
      <c r="F750" s="4" t="s">
        <v>2407</v>
      </c>
      <c r="G750" s="4" t="s">
        <v>2263</v>
      </c>
      <c r="H750" s="9" t="s">
        <v>2263</v>
      </c>
      <c r="I750" s="4" t="s">
        <v>2317</v>
      </c>
      <c r="J750" s="4" t="s">
        <v>2316</v>
      </c>
      <c r="K750" s="4" t="s">
        <v>2263</v>
      </c>
      <c r="L750" s="10">
        <v>2</v>
      </c>
      <c r="M750" s="5">
        <v>-58082.704199999993</v>
      </c>
      <c r="N750" s="5">
        <v>-116165.4084</v>
      </c>
    </row>
    <row r="751" spans="1:14" x14ac:dyDescent="0.25">
      <c r="A751" s="4" t="s">
        <v>3174</v>
      </c>
      <c r="B751" s="4" t="s">
        <v>3173</v>
      </c>
      <c r="C751" s="4" t="s">
        <v>2320</v>
      </c>
      <c r="D751" s="4" t="s">
        <v>242</v>
      </c>
      <c r="E751" s="4" t="s">
        <v>2408</v>
      </c>
      <c r="F751" s="4" t="s">
        <v>2407</v>
      </c>
      <c r="G751" s="4" t="s">
        <v>2263</v>
      </c>
      <c r="H751" s="9" t="s">
        <v>2263</v>
      </c>
      <c r="I751" s="4" t="s">
        <v>2317</v>
      </c>
      <c r="J751" s="4" t="s">
        <v>2316</v>
      </c>
      <c r="K751" s="4" t="s">
        <v>2263</v>
      </c>
      <c r="L751" s="10">
        <v>2</v>
      </c>
      <c r="M751" s="5">
        <v>-58082.704199999993</v>
      </c>
      <c r="N751" s="5">
        <v>-116165.4084</v>
      </c>
    </row>
    <row r="752" spans="1:14" x14ac:dyDescent="0.25">
      <c r="A752" s="4" t="s">
        <v>3104</v>
      </c>
      <c r="B752" s="4" t="s">
        <v>3103</v>
      </c>
      <c r="C752" s="4" t="s">
        <v>2320</v>
      </c>
      <c r="D752" s="4" t="s">
        <v>242</v>
      </c>
      <c r="E752" s="4" t="s">
        <v>2408</v>
      </c>
      <c r="F752" s="4" t="s">
        <v>2407</v>
      </c>
      <c r="G752" s="4" t="s">
        <v>2263</v>
      </c>
      <c r="H752" s="9" t="s">
        <v>2263</v>
      </c>
      <c r="I752" s="4" t="s">
        <v>2317</v>
      </c>
      <c r="J752" s="4" t="s">
        <v>2316</v>
      </c>
      <c r="K752" s="4" t="s">
        <v>2263</v>
      </c>
      <c r="L752" s="10">
        <v>2</v>
      </c>
      <c r="M752" s="5">
        <v>-58082.704199999993</v>
      </c>
      <c r="N752" s="5">
        <v>-116165.4084</v>
      </c>
    </row>
    <row r="753" spans="1:14" x14ac:dyDescent="0.25">
      <c r="A753" s="4" t="s">
        <v>3063</v>
      </c>
      <c r="B753" s="4" t="s">
        <v>3062</v>
      </c>
      <c r="C753" s="4" t="s">
        <v>2320</v>
      </c>
      <c r="D753" s="4" t="s">
        <v>242</v>
      </c>
      <c r="E753" s="4" t="s">
        <v>2408</v>
      </c>
      <c r="F753" s="4" t="s">
        <v>2407</v>
      </c>
      <c r="G753" s="4" t="s">
        <v>2263</v>
      </c>
      <c r="H753" s="9" t="s">
        <v>2263</v>
      </c>
      <c r="I753" s="4" t="s">
        <v>2317</v>
      </c>
      <c r="J753" s="4" t="s">
        <v>2316</v>
      </c>
      <c r="K753" s="4" t="s">
        <v>2263</v>
      </c>
      <c r="L753" s="10">
        <v>2</v>
      </c>
      <c r="M753" s="5">
        <v>-58082.704199999993</v>
      </c>
      <c r="N753" s="5">
        <v>-116165.4084</v>
      </c>
    </row>
    <row r="754" spans="1:14" x14ac:dyDescent="0.25">
      <c r="A754" s="4" t="s">
        <v>3051</v>
      </c>
      <c r="B754" s="4" t="s">
        <v>3050</v>
      </c>
      <c r="C754" s="4" t="s">
        <v>2320</v>
      </c>
      <c r="D754" s="4" t="s">
        <v>242</v>
      </c>
      <c r="E754" s="4" t="s">
        <v>2408</v>
      </c>
      <c r="F754" s="4" t="s">
        <v>2407</v>
      </c>
      <c r="G754" s="4" t="s">
        <v>2263</v>
      </c>
      <c r="H754" s="9" t="s">
        <v>2263</v>
      </c>
      <c r="I754" s="4" t="s">
        <v>2317</v>
      </c>
      <c r="J754" s="4" t="s">
        <v>2316</v>
      </c>
      <c r="K754" s="4" t="s">
        <v>2263</v>
      </c>
      <c r="L754" s="10">
        <v>2</v>
      </c>
      <c r="M754" s="5">
        <v>-58082.704199999993</v>
      </c>
      <c r="N754" s="5">
        <v>-116165.4084</v>
      </c>
    </row>
    <row r="755" spans="1:14" x14ac:dyDescent="0.25">
      <c r="A755" s="4" t="s">
        <v>3024</v>
      </c>
      <c r="B755" s="4" t="s">
        <v>3023</v>
      </c>
      <c r="C755" s="4" t="s">
        <v>2320</v>
      </c>
      <c r="D755" s="4" t="s">
        <v>242</v>
      </c>
      <c r="E755" s="4" t="s">
        <v>2408</v>
      </c>
      <c r="F755" s="4" t="s">
        <v>2407</v>
      </c>
      <c r="G755" s="4" t="s">
        <v>2263</v>
      </c>
      <c r="H755" s="9" t="s">
        <v>2263</v>
      </c>
      <c r="I755" s="4" t="s">
        <v>2317</v>
      </c>
      <c r="J755" s="4" t="s">
        <v>2316</v>
      </c>
      <c r="K755" s="4" t="s">
        <v>2263</v>
      </c>
      <c r="L755" s="10">
        <v>2</v>
      </c>
      <c r="M755" s="5">
        <v>-58082.704199999993</v>
      </c>
      <c r="N755" s="5">
        <v>-116165.4084</v>
      </c>
    </row>
    <row r="756" spans="1:14" x14ac:dyDescent="0.25">
      <c r="A756" s="4" t="s">
        <v>2386</v>
      </c>
      <c r="B756" s="4" t="s">
        <v>2385</v>
      </c>
      <c r="C756" s="4" t="s">
        <v>2320</v>
      </c>
      <c r="D756" s="4" t="s">
        <v>242</v>
      </c>
      <c r="E756" s="4" t="s">
        <v>2408</v>
      </c>
      <c r="F756" s="4" t="s">
        <v>2407</v>
      </c>
      <c r="G756" s="4" t="s">
        <v>2263</v>
      </c>
      <c r="H756" s="9" t="s">
        <v>2263</v>
      </c>
      <c r="I756" s="4" t="s">
        <v>2317</v>
      </c>
      <c r="J756" s="4" t="s">
        <v>2316</v>
      </c>
      <c r="K756" s="4" t="s">
        <v>2263</v>
      </c>
      <c r="L756" s="10">
        <v>2</v>
      </c>
      <c r="M756" s="5">
        <v>-58082.704199999993</v>
      </c>
      <c r="N756" s="5">
        <v>-116165.4084</v>
      </c>
    </row>
    <row r="757" spans="1:14" x14ac:dyDescent="0.25">
      <c r="A757" s="4" t="s">
        <v>2911</v>
      </c>
      <c r="B757" s="4" t="s">
        <v>2910</v>
      </c>
      <c r="C757" s="4" t="s">
        <v>2317</v>
      </c>
      <c r="D757" s="4" t="s">
        <v>2516</v>
      </c>
      <c r="E757" s="4" t="s">
        <v>2909</v>
      </c>
      <c r="F757" s="4" t="s">
        <v>2869</v>
      </c>
      <c r="G757" s="4" t="s">
        <v>2263</v>
      </c>
      <c r="H757" s="9" t="s">
        <v>2263</v>
      </c>
      <c r="I757" s="4" t="s">
        <v>2263</v>
      </c>
      <c r="J757" s="4" t="s">
        <v>2263</v>
      </c>
      <c r="K757" s="4" t="s">
        <v>2868</v>
      </c>
      <c r="L757" s="10">
        <v>2</v>
      </c>
      <c r="M757" s="5">
        <v>-40111</v>
      </c>
      <c r="N757" s="5">
        <v>-80222</v>
      </c>
    </row>
    <row r="758" spans="1:14" x14ac:dyDescent="0.25">
      <c r="A758" s="4" t="s">
        <v>3801</v>
      </c>
      <c r="B758" s="4" t="s">
        <v>4965</v>
      </c>
      <c r="C758" s="4" t="s">
        <v>2320</v>
      </c>
      <c r="D758" s="4" t="s">
        <v>242</v>
      </c>
      <c r="E758" s="4" t="s">
        <v>2707</v>
      </c>
      <c r="F758" s="4" t="s">
        <v>2706</v>
      </c>
      <c r="G758" s="4" t="s">
        <v>2263</v>
      </c>
      <c r="H758" s="9" t="s">
        <v>2263</v>
      </c>
      <c r="I758" s="4" t="s">
        <v>2317</v>
      </c>
      <c r="J758" s="4" t="s">
        <v>2316</v>
      </c>
      <c r="K758" s="4" t="s">
        <v>2263</v>
      </c>
      <c r="L758" s="10">
        <v>2</v>
      </c>
      <c r="M758" s="5">
        <v>-18687.463351548267</v>
      </c>
      <c r="N758" s="5">
        <v>-37374.926703096542</v>
      </c>
    </row>
    <row r="759" spans="1:14" x14ac:dyDescent="0.25">
      <c r="A759" s="4" t="s">
        <v>2279</v>
      </c>
      <c r="B759" s="4" t="s">
        <v>4963</v>
      </c>
      <c r="C759" s="4" t="s">
        <v>2320</v>
      </c>
      <c r="D759" s="4" t="s">
        <v>242</v>
      </c>
      <c r="E759" s="4" t="s">
        <v>2707</v>
      </c>
      <c r="F759" s="4" t="s">
        <v>2706</v>
      </c>
      <c r="G759" s="4" t="s">
        <v>2263</v>
      </c>
      <c r="H759" s="9" t="s">
        <v>2263</v>
      </c>
      <c r="I759" s="4" t="s">
        <v>2317</v>
      </c>
      <c r="J759" s="4" t="s">
        <v>2316</v>
      </c>
      <c r="K759" s="4" t="s">
        <v>2263</v>
      </c>
      <c r="L759" s="10">
        <v>2</v>
      </c>
      <c r="M759" s="5">
        <v>-18687.463351548267</v>
      </c>
      <c r="N759" s="5">
        <v>-37374.926703096542</v>
      </c>
    </row>
    <row r="760" spans="1:14" x14ac:dyDescent="0.25">
      <c r="A760" s="4" t="s">
        <v>2481</v>
      </c>
      <c r="B760" s="4" t="s">
        <v>3217</v>
      </c>
      <c r="C760" s="4" t="s">
        <v>2320</v>
      </c>
      <c r="D760" s="4" t="s">
        <v>242</v>
      </c>
      <c r="E760" s="4" t="s">
        <v>2707</v>
      </c>
      <c r="F760" s="4" t="s">
        <v>2706</v>
      </c>
      <c r="G760" s="4" t="s">
        <v>2263</v>
      </c>
      <c r="H760" s="9" t="s">
        <v>2263</v>
      </c>
      <c r="I760" s="4" t="s">
        <v>2317</v>
      </c>
      <c r="J760" s="4" t="s">
        <v>2316</v>
      </c>
      <c r="K760" s="4" t="s">
        <v>2263</v>
      </c>
      <c r="L760" s="10">
        <v>2</v>
      </c>
      <c r="M760" s="5">
        <v>-18687.463351548267</v>
      </c>
      <c r="N760" s="5">
        <v>-37374.926703096542</v>
      </c>
    </row>
    <row r="761" spans="1:14" x14ac:dyDescent="0.25">
      <c r="A761" s="4" t="s">
        <v>3196</v>
      </c>
      <c r="B761" s="4" t="s">
        <v>3195</v>
      </c>
      <c r="C761" s="4" t="s">
        <v>2320</v>
      </c>
      <c r="D761" s="4" t="s">
        <v>242</v>
      </c>
      <c r="E761" s="4" t="s">
        <v>2707</v>
      </c>
      <c r="F761" s="4" t="s">
        <v>2706</v>
      </c>
      <c r="G761" s="4" t="s">
        <v>2263</v>
      </c>
      <c r="H761" s="9" t="s">
        <v>2263</v>
      </c>
      <c r="I761" s="4" t="s">
        <v>2317</v>
      </c>
      <c r="J761" s="4" t="s">
        <v>2316</v>
      </c>
      <c r="K761" s="4" t="s">
        <v>2263</v>
      </c>
      <c r="L761" s="10">
        <v>2</v>
      </c>
      <c r="M761" s="5">
        <v>-18687.463351548267</v>
      </c>
      <c r="N761" s="5">
        <v>-37374.926703096542</v>
      </c>
    </row>
    <row r="762" spans="1:14" x14ac:dyDescent="0.25">
      <c r="A762" s="4" t="s">
        <v>2384</v>
      </c>
      <c r="B762" s="4" t="s">
        <v>3187</v>
      </c>
      <c r="C762" s="4" t="s">
        <v>2320</v>
      </c>
      <c r="D762" s="4" t="s">
        <v>242</v>
      </c>
      <c r="E762" s="4" t="s">
        <v>2707</v>
      </c>
      <c r="F762" s="4" t="s">
        <v>2706</v>
      </c>
      <c r="G762" s="4" t="s">
        <v>2263</v>
      </c>
      <c r="H762" s="9" t="s">
        <v>2263</v>
      </c>
      <c r="I762" s="4" t="s">
        <v>2317</v>
      </c>
      <c r="J762" s="4" t="s">
        <v>2316</v>
      </c>
      <c r="K762" s="4" t="s">
        <v>2263</v>
      </c>
      <c r="L762" s="10">
        <v>2</v>
      </c>
      <c r="M762" s="5">
        <v>-18687.463351548267</v>
      </c>
      <c r="N762" s="5">
        <v>-37374.926703096542</v>
      </c>
    </row>
    <row r="763" spans="1:14" x14ac:dyDescent="0.25">
      <c r="A763" s="4" t="s">
        <v>3174</v>
      </c>
      <c r="B763" s="4" t="s">
        <v>3173</v>
      </c>
      <c r="C763" s="4" t="s">
        <v>2320</v>
      </c>
      <c r="D763" s="4" t="s">
        <v>242</v>
      </c>
      <c r="E763" s="4" t="s">
        <v>2707</v>
      </c>
      <c r="F763" s="4" t="s">
        <v>2706</v>
      </c>
      <c r="G763" s="4" t="s">
        <v>2263</v>
      </c>
      <c r="H763" s="9" t="s">
        <v>2263</v>
      </c>
      <c r="I763" s="4" t="s">
        <v>2317</v>
      </c>
      <c r="J763" s="4" t="s">
        <v>2316</v>
      </c>
      <c r="K763" s="4" t="s">
        <v>2263</v>
      </c>
      <c r="L763" s="10">
        <v>2</v>
      </c>
      <c r="M763" s="5">
        <v>-18687.463351548267</v>
      </c>
      <c r="N763" s="5">
        <v>-37374.926703096542</v>
      </c>
    </row>
    <row r="764" spans="1:14" x14ac:dyDescent="0.25">
      <c r="A764" s="4" t="s">
        <v>3157</v>
      </c>
      <c r="B764" s="4" t="s">
        <v>3156</v>
      </c>
      <c r="C764" s="4" t="s">
        <v>2320</v>
      </c>
      <c r="D764" s="4" t="s">
        <v>242</v>
      </c>
      <c r="E764" s="4" t="s">
        <v>2707</v>
      </c>
      <c r="F764" s="4" t="s">
        <v>2706</v>
      </c>
      <c r="G764" s="4" t="s">
        <v>2263</v>
      </c>
      <c r="H764" s="9" t="s">
        <v>2263</v>
      </c>
      <c r="I764" s="4" t="s">
        <v>2317</v>
      </c>
      <c r="J764" s="4" t="s">
        <v>2316</v>
      </c>
      <c r="K764" s="4" t="s">
        <v>2263</v>
      </c>
      <c r="L764" s="10">
        <v>2</v>
      </c>
      <c r="M764" s="5">
        <v>-18687.463351548267</v>
      </c>
      <c r="N764" s="5">
        <v>-37374.926703096542</v>
      </c>
    </row>
    <row r="765" spans="1:14" x14ac:dyDescent="0.25">
      <c r="A765" s="4" t="s">
        <v>3063</v>
      </c>
      <c r="B765" s="4" t="s">
        <v>3062</v>
      </c>
      <c r="C765" s="4" t="s">
        <v>2320</v>
      </c>
      <c r="D765" s="4" t="s">
        <v>242</v>
      </c>
      <c r="E765" s="4" t="s">
        <v>2707</v>
      </c>
      <c r="F765" s="4" t="s">
        <v>2706</v>
      </c>
      <c r="G765" s="4" t="s">
        <v>2263</v>
      </c>
      <c r="H765" s="9" t="s">
        <v>2263</v>
      </c>
      <c r="I765" s="4" t="s">
        <v>2317</v>
      </c>
      <c r="J765" s="4" t="s">
        <v>2316</v>
      </c>
      <c r="K765" s="4" t="s">
        <v>2263</v>
      </c>
      <c r="L765" s="10">
        <v>2</v>
      </c>
      <c r="M765" s="5">
        <v>-18687.463351548267</v>
      </c>
      <c r="N765" s="5">
        <v>-37374.926703096542</v>
      </c>
    </row>
    <row r="766" spans="1:14" x14ac:dyDescent="0.25">
      <c r="A766" s="4" t="s">
        <v>3051</v>
      </c>
      <c r="B766" s="4" t="s">
        <v>3050</v>
      </c>
      <c r="C766" s="4" t="s">
        <v>2320</v>
      </c>
      <c r="D766" s="4" t="s">
        <v>242</v>
      </c>
      <c r="E766" s="4" t="s">
        <v>2707</v>
      </c>
      <c r="F766" s="4" t="s">
        <v>2706</v>
      </c>
      <c r="G766" s="4" t="s">
        <v>2263</v>
      </c>
      <c r="H766" s="9" t="s">
        <v>2263</v>
      </c>
      <c r="I766" s="4" t="s">
        <v>2317</v>
      </c>
      <c r="J766" s="4" t="s">
        <v>2316</v>
      </c>
      <c r="K766" s="4" t="s">
        <v>2263</v>
      </c>
      <c r="L766" s="10">
        <v>2</v>
      </c>
      <c r="M766" s="5">
        <v>-18687.463351548267</v>
      </c>
      <c r="N766" s="5">
        <v>-37374.926703096542</v>
      </c>
    </row>
    <row r="767" spans="1:14" x14ac:dyDescent="0.25">
      <c r="A767" s="4" t="s">
        <v>3024</v>
      </c>
      <c r="B767" s="4" t="s">
        <v>3023</v>
      </c>
      <c r="C767" s="4" t="s">
        <v>2320</v>
      </c>
      <c r="D767" s="4" t="s">
        <v>242</v>
      </c>
      <c r="E767" s="4" t="s">
        <v>2707</v>
      </c>
      <c r="F767" s="4" t="s">
        <v>2706</v>
      </c>
      <c r="G767" s="4" t="s">
        <v>2263</v>
      </c>
      <c r="H767" s="9" t="s">
        <v>2263</v>
      </c>
      <c r="I767" s="4" t="s">
        <v>2317</v>
      </c>
      <c r="J767" s="4" t="s">
        <v>2316</v>
      </c>
      <c r="K767" s="4" t="s">
        <v>2263</v>
      </c>
      <c r="L767" s="10">
        <v>2</v>
      </c>
      <c r="M767" s="5">
        <v>-18687.463351548267</v>
      </c>
      <c r="N767" s="5">
        <v>-37374.926703096542</v>
      </c>
    </row>
    <row r="768" spans="1:14" x14ac:dyDescent="0.25">
      <c r="A768" s="4" t="s">
        <v>2673</v>
      </c>
      <c r="B768" s="4" t="s">
        <v>2672</v>
      </c>
      <c r="C768" s="4" t="s">
        <v>2320</v>
      </c>
      <c r="D768" s="4" t="s">
        <v>242</v>
      </c>
      <c r="E768" s="4" t="s">
        <v>2707</v>
      </c>
      <c r="F768" s="4" t="s">
        <v>2706</v>
      </c>
      <c r="G768" s="4" t="s">
        <v>2263</v>
      </c>
      <c r="H768" s="9" t="s">
        <v>2263</v>
      </c>
      <c r="I768" s="4" t="s">
        <v>2317</v>
      </c>
      <c r="J768" s="4" t="s">
        <v>2316</v>
      </c>
      <c r="K768" s="4" t="s">
        <v>2263</v>
      </c>
      <c r="L768" s="10">
        <v>2</v>
      </c>
      <c r="M768" s="5">
        <v>-18687.463351548267</v>
      </c>
      <c r="N768" s="5">
        <v>-37374.926703096542</v>
      </c>
    </row>
    <row r="769" spans="1:14" x14ac:dyDescent="0.25">
      <c r="A769" s="4" t="s">
        <v>2320</v>
      </c>
      <c r="B769" s="4" t="s">
        <v>4967</v>
      </c>
      <c r="C769" s="4" t="s">
        <v>2320</v>
      </c>
      <c r="D769" s="4" t="s">
        <v>242</v>
      </c>
      <c r="E769" s="4" t="s">
        <v>4297</v>
      </c>
      <c r="F769" s="4" t="s">
        <v>4296</v>
      </c>
      <c r="G769" s="4" t="s">
        <v>2263</v>
      </c>
      <c r="H769" s="9" t="s">
        <v>2263</v>
      </c>
      <c r="I769" s="4" t="s">
        <v>2317</v>
      </c>
      <c r="J769" s="4" t="s">
        <v>2316</v>
      </c>
      <c r="K769" s="4" t="s">
        <v>2263</v>
      </c>
      <c r="L769" s="10">
        <v>2</v>
      </c>
      <c r="M769" s="5">
        <v>-12641.71</v>
      </c>
      <c r="N769" s="5">
        <v>-25283.42</v>
      </c>
    </row>
    <row r="770" spans="1:14" x14ac:dyDescent="0.25">
      <c r="A770" s="4" t="s">
        <v>2317</v>
      </c>
      <c r="B770" s="4" t="s">
        <v>3839</v>
      </c>
      <c r="C770" s="4" t="s">
        <v>2320</v>
      </c>
      <c r="D770" s="4" t="s">
        <v>242</v>
      </c>
      <c r="E770" s="4" t="s">
        <v>4297</v>
      </c>
      <c r="F770" s="4" t="s">
        <v>4296</v>
      </c>
      <c r="G770" s="4" t="s">
        <v>2263</v>
      </c>
      <c r="H770" s="9" t="s">
        <v>2263</v>
      </c>
      <c r="I770" s="4" t="s">
        <v>2317</v>
      </c>
      <c r="J770" s="4" t="s">
        <v>2316</v>
      </c>
      <c r="K770" s="4" t="s">
        <v>2263</v>
      </c>
      <c r="L770" s="10">
        <v>2</v>
      </c>
      <c r="M770" s="5">
        <v>-12641.71</v>
      </c>
      <c r="N770" s="5">
        <v>-25283.42</v>
      </c>
    </row>
    <row r="771" spans="1:14" x14ac:dyDescent="0.25">
      <c r="A771" s="4" t="s">
        <v>2481</v>
      </c>
      <c r="B771" s="4" t="s">
        <v>3217</v>
      </c>
      <c r="C771" s="4" t="s">
        <v>2344</v>
      </c>
      <c r="D771" s="4" t="s">
        <v>237</v>
      </c>
      <c r="E771" s="4" t="s">
        <v>3118</v>
      </c>
      <c r="F771" s="4" t="s">
        <v>3117</v>
      </c>
      <c r="G771" s="4" t="s">
        <v>2263</v>
      </c>
      <c r="H771" s="9" t="s">
        <v>2263</v>
      </c>
      <c r="I771" s="4" t="s">
        <v>2263</v>
      </c>
      <c r="J771" s="4" t="s">
        <v>2263</v>
      </c>
      <c r="K771" s="4" t="s">
        <v>3116</v>
      </c>
      <c r="L771" s="10">
        <v>2</v>
      </c>
      <c r="M771" s="5">
        <v>-9389.8194444444453</v>
      </c>
      <c r="N771" s="5">
        <v>-18779.638888888891</v>
      </c>
    </row>
    <row r="772" spans="1:14" x14ac:dyDescent="0.25">
      <c r="A772" s="4" t="s">
        <v>2653</v>
      </c>
      <c r="B772" s="4" t="s">
        <v>3226</v>
      </c>
      <c r="C772" s="4" t="s">
        <v>3801</v>
      </c>
      <c r="D772" s="4" t="s">
        <v>3800</v>
      </c>
      <c r="E772" s="4" t="s">
        <v>3819</v>
      </c>
      <c r="F772" s="4" t="s">
        <v>3818</v>
      </c>
      <c r="G772" s="4" t="s">
        <v>2263</v>
      </c>
      <c r="H772" s="9" t="s">
        <v>2263</v>
      </c>
      <c r="I772" s="4" t="s">
        <v>2317</v>
      </c>
      <c r="J772" s="4" t="s">
        <v>2316</v>
      </c>
      <c r="K772" s="4" t="s">
        <v>2263</v>
      </c>
      <c r="L772" s="10">
        <v>2</v>
      </c>
      <c r="M772" s="5">
        <v>-8000.2</v>
      </c>
      <c r="N772" s="5">
        <v>-16000.4</v>
      </c>
    </row>
    <row r="773" spans="1:14" x14ac:dyDescent="0.25">
      <c r="A773" s="4" t="s">
        <v>3168</v>
      </c>
      <c r="B773" s="4" t="s">
        <v>3167</v>
      </c>
      <c r="C773" s="4" t="s">
        <v>2320</v>
      </c>
      <c r="D773" s="4" t="s">
        <v>242</v>
      </c>
      <c r="E773" s="4" t="s">
        <v>3151</v>
      </c>
      <c r="F773" s="4" t="s">
        <v>3150</v>
      </c>
      <c r="G773" s="4" t="s">
        <v>2263</v>
      </c>
      <c r="H773" s="9" t="s">
        <v>2263</v>
      </c>
      <c r="I773" s="4" t="s">
        <v>2317</v>
      </c>
      <c r="J773" s="4" t="s">
        <v>2316</v>
      </c>
      <c r="K773" s="4" t="s">
        <v>2263</v>
      </c>
      <c r="L773" s="10">
        <v>2</v>
      </c>
      <c r="M773" s="5">
        <v>-7674.6067999999996</v>
      </c>
      <c r="N773" s="5">
        <v>-15349.213599999999</v>
      </c>
    </row>
    <row r="774" spans="1:14" x14ac:dyDescent="0.25">
      <c r="A774" s="4" t="s">
        <v>2481</v>
      </c>
      <c r="B774" s="4" t="s">
        <v>3217</v>
      </c>
      <c r="C774" s="4" t="s">
        <v>2320</v>
      </c>
      <c r="D774" s="4" t="s">
        <v>242</v>
      </c>
      <c r="E774" s="4" t="s">
        <v>2420</v>
      </c>
      <c r="F774" s="4" t="s">
        <v>2419</v>
      </c>
      <c r="G774" s="4" t="s">
        <v>2263</v>
      </c>
      <c r="H774" s="9" t="s">
        <v>2263</v>
      </c>
      <c r="I774" s="4" t="s">
        <v>2317</v>
      </c>
      <c r="J774" s="4" t="s">
        <v>2316</v>
      </c>
      <c r="K774" s="4" t="s">
        <v>2263</v>
      </c>
      <c r="L774" s="10">
        <v>2</v>
      </c>
      <c r="M774" s="5">
        <v>-1276.1739304812834</v>
      </c>
      <c r="N774" s="5">
        <v>-2552.3478609625699</v>
      </c>
    </row>
    <row r="775" spans="1:14" x14ac:dyDescent="0.25">
      <c r="A775" s="4" t="s">
        <v>3063</v>
      </c>
      <c r="B775" s="4" t="s">
        <v>3062</v>
      </c>
      <c r="C775" s="4" t="s">
        <v>2320</v>
      </c>
      <c r="D775" s="4" t="s">
        <v>242</v>
      </c>
      <c r="E775" s="4" t="s">
        <v>2420</v>
      </c>
      <c r="F775" s="4" t="s">
        <v>2419</v>
      </c>
      <c r="G775" s="4" t="s">
        <v>2263</v>
      </c>
      <c r="H775" s="9" t="s">
        <v>2263</v>
      </c>
      <c r="I775" s="4" t="s">
        <v>2317</v>
      </c>
      <c r="J775" s="4" t="s">
        <v>2316</v>
      </c>
      <c r="K775" s="4" t="s">
        <v>2263</v>
      </c>
      <c r="L775" s="10">
        <v>2</v>
      </c>
      <c r="M775" s="5">
        <v>-1276.1739304812834</v>
      </c>
      <c r="N775" s="5">
        <v>-2552.3478609625699</v>
      </c>
    </row>
    <row r="776" spans="1:14" x14ac:dyDescent="0.25">
      <c r="A776" s="4" t="s">
        <v>2673</v>
      </c>
      <c r="B776" s="4" t="s">
        <v>2672</v>
      </c>
      <c r="C776" s="4" t="s">
        <v>2320</v>
      </c>
      <c r="D776" s="4" t="s">
        <v>242</v>
      </c>
      <c r="E776" s="4" t="s">
        <v>2420</v>
      </c>
      <c r="F776" s="4" t="s">
        <v>2419</v>
      </c>
      <c r="G776" s="4" t="s">
        <v>2263</v>
      </c>
      <c r="H776" s="9" t="s">
        <v>2263</v>
      </c>
      <c r="I776" s="4" t="s">
        <v>2317</v>
      </c>
      <c r="J776" s="4" t="s">
        <v>2316</v>
      </c>
      <c r="K776" s="4" t="s">
        <v>2263</v>
      </c>
      <c r="L776" s="10">
        <v>2</v>
      </c>
      <c r="M776" s="5">
        <v>-1276.1739304812834</v>
      </c>
      <c r="N776" s="5">
        <v>-2552.3478609625699</v>
      </c>
    </row>
    <row r="777" spans="1:14" x14ac:dyDescent="0.25">
      <c r="A777" s="4" t="s">
        <v>3157</v>
      </c>
      <c r="B777" s="4" t="s">
        <v>3156</v>
      </c>
      <c r="C777" s="4" t="s">
        <v>2320</v>
      </c>
      <c r="D777" s="4" t="s">
        <v>242</v>
      </c>
      <c r="E777" s="4" t="s">
        <v>3162</v>
      </c>
      <c r="F777" s="4" t="s">
        <v>3161</v>
      </c>
      <c r="G777" s="4" t="s">
        <v>2263</v>
      </c>
      <c r="H777" s="9" t="s">
        <v>2263</v>
      </c>
      <c r="I777" s="4" t="s">
        <v>2317</v>
      </c>
      <c r="J777" s="4" t="s">
        <v>2316</v>
      </c>
      <c r="K777" s="4" t="s">
        <v>2263</v>
      </c>
      <c r="L777" s="10">
        <v>2</v>
      </c>
      <c r="M777" s="5">
        <v>70.974907834101387</v>
      </c>
      <c r="N777" s="5">
        <v>141.94981566819999</v>
      </c>
    </row>
    <row r="778" spans="1:14" x14ac:dyDescent="0.25">
      <c r="A778" s="4" t="s">
        <v>2320</v>
      </c>
      <c r="B778" s="4" t="s">
        <v>4967</v>
      </c>
      <c r="C778" s="4" t="s">
        <v>2320</v>
      </c>
      <c r="D778" s="4" t="s">
        <v>242</v>
      </c>
      <c r="E778" s="4" t="s">
        <v>5065</v>
      </c>
      <c r="F778" s="4" t="s">
        <v>5064</v>
      </c>
      <c r="G778" s="4" t="s">
        <v>2263</v>
      </c>
      <c r="H778" s="9" t="s">
        <v>2263</v>
      </c>
      <c r="I778" s="4" t="s">
        <v>2317</v>
      </c>
      <c r="J778" s="4" t="s">
        <v>2316</v>
      </c>
      <c r="K778" s="4" t="s">
        <v>2263</v>
      </c>
      <c r="L778" s="10">
        <v>2</v>
      </c>
      <c r="M778" s="5">
        <v>102.53125</v>
      </c>
      <c r="N778" s="5">
        <v>205.0625</v>
      </c>
    </row>
    <row r="779" spans="1:14" x14ac:dyDescent="0.25">
      <c r="A779" s="4" t="s">
        <v>3024</v>
      </c>
      <c r="B779" s="4" t="s">
        <v>3023</v>
      </c>
      <c r="C779" s="4" t="s">
        <v>2320</v>
      </c>
      <c r="D779" s="4" t="s">
        <v>242</v>
      </c>
      <c r="E779" s="4" t="s">
        <v>3030</v>
      </c>
      <c r="F779" s="4" t="s">
        <v>3029</v>
      </c>
      <c r="G779" s="4" t="s">
        <v>2263</v>
      </c>
      <c r="H779" s="9" t="s">
        <v>2263</v>
      </c>
      <c r="I779" s="4" t="s">
        <v>2317</v>
      </c>
      <c r="J779" s="4" t="s">
        <v>2316</v>
      </c>
      <c r="K779" s="4" t="s">
        <v>2263</v>
      </c>
      <c r="L779" s="10">
        <v>2</v>
      </c>
      <c r="M779" s="5">
        <v>127.0005303030303</v>
      </c>
      <c r="N779" s="5">
        <v>254.00106060606001</v>
      </c>
    </row>
    <row r="780" spans="1:14" x14ac:dyDescent="0.25">
      <c r="A780" s="4" t="s">
        <v>2481</v>
      </c>
      <c r="B780" s="4" t="s">
        <v>3217</v>
      </c>
      <c r="C780" s="4" t="s">
        <v>2320</v>
      </c>
      <c r="D780" s="4" t="s">
        <v>242</v>
      </c>
      <c r="E780" s="4" t="s">
        <v>3028</v>
      </c>
      <c r="F780" s="4" t="s">
        <v>3027</v>
      </c>
      <c r="G780" s="4" t="s">
        <v>2263</v>
      </c>
      <c r="H780" s="9" t="s">
        <v>2263</v>
      </c>
      <c r="I780" s="4" t="s">
        <v>2317</v>
      </c>
      <c r="J780" s="4" t="s">
        <v>2316</v>
      </c>
      <c r="K780" s="4" t="s">
        <v>2263</v>
      </c>
      <c r="L780" s="10">
        <v>2</v>
      </c>
      <c r="M780" s="5">
        <v>169.99619047619046</v>
      </c>
      <c r="N780" s="5">
        <v>339.99238095238002</v>
      </c>
    </row>
    <row r="781" spans="1:14" x14ac:dyDescent="0.25">
      <c r="A781" s="4" t="s">
        <v>3174</v>
      </c>
      <c r="B781" s="4" t="s">
        <v>3173</v>
      </c>
      <c r="C781" s="4" t="s">
        <v>2320</v>
      </c>
      <c r="D781" s="4" t="s">
        <v>242</v>
      </c>
      <c r="E781" s="4" t="s">
        <v>3028</v>
      </c>
      <c r="F781" s="4" t="s">
        <v>3027</v>
      </c>
      <c r="G781" s="4" t="s">
        <v>2263</v>
      </c>
      <c r="H781" s="9" t="s">
        <v>2263</v>
      </c>
      <c r="I781" s="4" t="s">
        <v>2317</v>
      </c>
      <c r="J781" s="4" t="s">
        <v>2316</v>
      </c>
      <c r="K781" s="4" t="s">
        <v>2263</v>
      </c>
      <c r="L781" s="10">
        <v>2</v>
      </c>
      <c r="M781" s="5">
        <v>169.99619047619046</v>
      </c>
      <c r="N781" s="5">
        <v>339.99238095238002</v>
      </c>
    </row>
    <row r="782" spans="1:14" x14ac:dyDescent="0.25">
      <c r="A782" s="4" t="s">
        <v>3104</v>
      </c>
      <c r="B782" s="4" t="s">
        <v>3103</v>
      </c>
      <c r="C782" s="4" t="s">
        <v>2320</v>
      </c>
      <c r="D782" s="4" t="s">
        <v>242</v>
      </c>
      <c r="E782" s="4" t="s">
        <v>3028</v>
      </c>
      <c r="F782" s="4" t="s">
        <v>3027</v>
      </c>
      <c r="G782" s="4" t="s">
        <v>2263</v>
      </c>
      <c r="H782" s="9" t="s">
        <v>2263</v>
      </c>
      <c r="I782" s="4" t="s">
        <v>2317</v>
      </c>
      <c r="J782" s="4" t="s">
        <v>2316</v>
      </c>
      <c r="K782" s="4" t="s">
        <v>2263</v>
      </c>
      <c r="L782" s="10">
        <v>2</v>
      </c>
      <c r="M782" s="5">
        <v>169.99619047619046</v>
      </c>
      <c r="N782" s="5">
        <v>339.99238095238002</v>
      </c>
    </row>
    <row r="783" spans="1:14" x14ac:dyDescent="0.25">
      <c r="A783" s="4" t="s">
        <v>3063</v>
      </c>
      <c r="B783" s="4" t="s">
        <v>3062</v>
      </c>
      <c r="C783" s="4" t="s">
        <v>2320</v>
      </c>
      <c r="D783" s="4" t="s">
        <v>242</v>
      </c>
      <c r="E783" s="4" t="s">
        <v>3028</v>
      </c>
      <c r="F783" s="4" t="s">
        <v>3027</v>
      </c>
      <c r="G783" s="4" t="s">
        <v>2263</v>
      </c>
      <c r="H783" s="9" t="s">
        <v>2263</v>
      </c>
      <c r="I783" s="4" t="s">
        <v>2317</v>
      </c>
      <c r="J783" s="4" t="s">
        <v>2316</v>
      </c>
      <c r="K783" s="4" t="s">
        <v>2263</v>
      </c>
      <c r="L783" s="10">
        <v>2</v>
      </c>
      <c r="M783" s="5">
        <v>169.99619047619046</v>
      </c>
      <c r="N783" s="5">
        <v>339.99238095238002</v>
      </c>
    </row>
    <row r="784" spans="1:14" x14ac:dyDescent="0.25">
      <c r="A784" s="4" t="s">
        <v>3024</v>
      </c>
      <c r="B784" s="4" t="s">
        <v>3023</v>
      </c>
      <c r="C784" s="4" t="s">
        <v>2320</v>
      </c>
      <c r="D784" s="4" t="s">
        <v>242</v>
      </c>
      <c r="E784" s="4" t="s">
        <v>3028</v>
      </c>
      <c r="F784" s="4" t="s">
        <v>3027</v>
      </c>
      <c r="G784" s="4" t="s">
        <v>2263</v>
      </c>
      <c r="H784" s="9" t="s">
        <v>2263</v>
      </c>
      <c r="I784" s="4" t="s">
        <v>2317</v>
      </c>
      <c r="J784" s="4" t="s">
        <v>2316</v>
      </c>
      <c r="K784" s="4" t="s">
        <v>2263</v>
      </c>
      <c r="L784" s="10">
        <v>2</v>
      </c>
      <c r="M784" s="5">
        <v>169.99619047619046</v>
      </c>
      <c r="N784" s="5">
        <v>339.99238095238002</v>
      </c>
    </row>
    <row r="785" spans="1:14" x14ac:dyDescent="0.25">
      <c r="A785" s="4" t="s">
        <v>3157</v>
      </c>
      <c r="B785" s="4" t="s">
        <v>3156</v>
      </c>
      <c r="C785" s="4" t="s">
        <v>2320</v>
      </c>
      <c r="D785" s="4" t="s">
        <v>242</v>
      </c>
      <c r="E785" s="4" t="s">
        <v>3055</v>
      </c>
      <c r="F785" s="4" t="s">
        <v>3054</v>
      </c>
      <c r="G785" s="4" t="s">
        <v>2263</v>
      </c>
      <c r="H785" s="9" t="s">
        <v>2263</v>
      </c>
      <c r="I785" s="4" t="s">
        <v>2317</v>
      </c>
      <c r="J785" s="4" t="s">
        <v>2316</v>
      </c>
      <c r="K785" s="4" t="s">
        <v>2263</v>
      </c>
      <c r="L785" s="10">
        <v>2</v>
      </c>
      <c r="M785" s="5">
        <v>229.47137931034484</v>
      </c>
      <c r="N785" s="5">
        <v>458.94275862068997</v>
      </c>
    </row>
    <row r="786" spans="1:14" x14ac:dyDescent="0.25">
      <c r="A786" s="4" t="s">
        <v>3104</v>
      </c>
      <c r="B786" s="4" t="s">
        <v>3103</v>
      </c>
      <c r="C786" s="4" t="s">
        <v>2320</v>
      </c>
      <c r="D786" s="4" t="s">
        <v>242</v>
      </c>
      <c r="E786" s="4" t="s">
        <v>3055</v>
      </c>
      <c r="F786" s="4" t="s">
        <v>3054</v>
      </c>
      <c r="G786" s="4" t="s">
        <v>2263</v>
      </c>
      <c r="H786" s="9" t="s">
        <v>2263</v>
      </c>
      <c r="I786" s="4" t="s">
        <v>2317</v>
      </c>
      <c r="J786" s="4" t="s">
        <v>2316</v>
      </c>
      <c r="K786" s="4" t="s">
        <v>2263</v>
      </c>
      <c r="L786" s="10">
        <v>2</v>
      </c>
      <c r="M786" s="5">
        <v>229.47137931034484</v>
      </c>
      <c r="N786" s="5">
        <v>458.94275862068997</v>
      </c>
    </row>
    <row r="787" spans="1:14" x14ac:dyDescent="0.25">
      <c r="A787" s="4" t="s">
        <v>3070</v>
      </c>
      <c r="B787" s="4" t="s">
        <v>3216</v>
      </c>
      <c r="C787" s="4" t="s">
        <v>2320</v>
      </c>
      <c r="D787" s="4" t="s">
        <v>242</v>
      </c>
      <c r="E787" s="4" t="s">
        <v>2360</v>
      </c>
      <c r="F787" s="4" t="s">
        <v>2359</v>
      </c>
      <c r="G787" s="4" t="s">
        <v>2263</v>
      </c>
      <c r="H787" s="9" t="s">
        <v>2263</v>
      </c>
      <c r="I787" s="4" t="s">
        <v>2317</v>
      </c>
      <c r="J787" s="4" t="s">
        <v>2316</v>
      </c>
      <c r="K787" s="4" t="s">
        <v>2263</v>
      </c>
      <c r="L787" s="10">
        <v>2</v>
      </c>
      <c r="M787" s="5">
        <v>261.77091875138365</v>
      </c>
      <c r="N787" s="5">
        <v>523.54183750277002</v>
      </c>
    </row>
    <row r="788" spans="1:14" x14ac:dyDescent="0.25">
      <c r="A788" s="4" t="s">
        <v>3157</v>
      </c>
      <c r="B788" s="4" t="s">
        <v>3156</v>
      </c>
      <c r="C788" s="4" t="s">
        <v>2320</v>
      </c>
      <c r="D788" s="4" t="s">
        <v>242</v>
      </c>
      <c r="E788" s="4" t="s">
        <v>2715</v>
      </c>
      <c r="F788" s="4" t="s">
        <v>2714</v>
      </c>
      <c r="G788" s="4" t="s">
        <v>2263</v>
      </c>
      <c r="H788" s="9" t="s">
        <v>2263</v>
      </c>
      <c r="I788" s="4" t="s">
        <v>2317</v>
      </c>
      <c r="J788" s="4" t="s">
        <v>2316</v>
      </c>
      <c r="K788" s="4" t="s">
        <v>2263</v>
      </c>
      <c r="L788" s="10">
        <v>2</v>
      </c>
      <c r="M788" s="5">
        <v>285.17608450704222</v>
      </c>
      <c r="N788" s="5">
        <v>570.35216901408</v>
      </c>
    </row>
    <row r="789" spans="1:14" x14ac:dyDescent="0.25">
      <c r="A789" s="4" t="s">
        <v>2673</v>
      </c>
      <c r="B789" s="4" t="s">
        <v>2672</v>
      </c>
      <c r="C789" s="4" t="s">
        <v>2320</v>
      </c>
      <c r="D789" s="4" t="s">
        <v>242</v>
      </c>
      <c r="E789" s="4" t="s">
        <v>2715</v>
      </c>
      <c r="F789" s="4" t="s">
        <v>2714</v>
      </c>
      <c r="G789" s="4" t="s">
        <v>2263</v>
      </c>
      <c r="H789" s="9" t="s">
        <v>2263</v>
      </c>
      <c r="I789" s="4" t="s">
        <v>2317</v>
      </c>
      <c r="J789" s="4" t="s">
        <v>2316</v>
      </c>
      <c r="K789" s="4" t="s">
        <v>2263</v>
      </c>
      <c r="L789" s="10">
        <v>2</v>
      </c>
      <c r="M789" s="5">
        <v>285.17608450704222</v>
      </c>
      <c r="N789" s="5">
        <v>570.35216901408</v>
      </c>
    </row>
    <row r="790" spans="1:14" x14ac:dyDescent="0.25">
      <c r="A790" s="4" t="s">
        <v>2320</v>
      </c>
      <c r="B790" s="4" t="s">
        <v>4967</v>
      </c>
      <c r="C790" s="4" t="s">
        <v>2320</v>
      </c>
      <c r="D790" s="4" t="s">
        <v>242</v>
      </c>
      <c r="E790" s="4" t="s">
        <v>4203</v>
      </c>
      <c r="F790" s="4" t="s">
        <v>4202</v>
      </c>
      <c r="G790" s="4" t="s">
        <v>2263</v>
      </c>
      <c r="H790" s="9" t="s">
        <v>2263</v>
      </c>
      <c r="I790" s="4" t="s">
        <v>2317</v>
      </c>
      <c r="J790" s="4" t="s">
        <v>2316</v>
      </c>
      <c r="K790" s="4" t="s">
        <v>2263</v>
      </c>
      <c r="L790" s="10">
        <v>2</v>
      </c>
      <c r="M790" s="5">
        <v>426.17857142857144</v>
      </c>
      <c r="N790" s="5">
        <v>852.35714285714005</v>
      </c>
    </row>
    <row r="791" spans="1:14" x14ac:dyDescent="0.25">
      <c r="A791" s="4" t="s">
        <v>3203</v>
      </c>
      <c r="B791" s="4" t="s">
        <v>3202</v>
      </c>
      <c r="C791" s="4" t="s">
        <v>2320</v>
      </c>
      <c r="D791" s="4" t="s">
        <v>242</v>
      </c>
      <c r="E791" s="4" t="s">
        <v>3213</v>
      </c>
      <c r="F791" s="4" t="s">
        <v>3212</v>
      </c>
      <c r="G791" s="4" t="s">
        <v>2263</v>
      </c>
      <c r="H791" s="9" t="s">
        <v>2263</v>
      </c>
      <c r="I791" s="4" t="s">
        <v>2317</v>
      </c>
      <c r="J791" s="4" t="s">
        <v>2316</v>
      </c>
      <c r="K791" s="4" t="s">
        <v>2263</v>
      </c>
      <c r="L791" s="10">
        <v>2</v>
      </c>
      <c r="M791" s="5">
        <v>446.59574468085106</v>
      </c>
      <c r="N791" s="5">
        <v>893.19148936169995</v>
      </c>
    </row>
    <row r="792" spans="1:14" x14ac:dyDescent="0.25">
      <c r="A792" s="4" t="s">
        <v>2344</v>
      </c>
      <c r="B792" s="4" t="s">
        <v>5154</v>
      </c>
      <c r="C792" s="4" t="s">
        <v>2344</v>
      </c>
      <c r="D792" s="4" t="s">
        <v>237</v>
      </c>
      <c r="E792" s="4" t="s">
        <v>5357</v>
      </c>
      <c r="F792" s="4" t="s">
        <v>4518</v>
      </c>
      <c r="G792" s="4" t="s">
        <v>2263</v>
      </c>
      <c r="H792" s="9" t="s">
        <v>2263</v>
      </c>
      <c r="I792" s="4" t="s">
        <v>2263</v>
      </c>
      <c r="J792" s="4" t="s">
        <v>2263</v>
      </c>
      <c r="K792" s="4" t="s">
        <v>2552</v>
      </c>
      <c r="L792" s="10">
        <v>2</v>
      </c>
      <c r="M792" s="5">
        <v>539.45000000000005</v>
      </c>
      <c r="N792" s="5">
        <v>1078.9000000000001</v>
      </c>
    </row>
    <row r="793" spans="1:14" x14ac:dyDescent="0.25">
      <c r="A793" s="4" t="s">
        <v>2384</v>
      </c>
      <c r="B793" s="4" t="s">
        <v>3187</v>
      </c>
      <c r="C793" s="4" t="s">
        <v>2344</v>
      </c>
      <c r="D793" s="4" t="s">
        <v>237</v>
      </c>
      <c r="E793" s="4" t="s">
        <v>3192</v>
      </c>
      <c r="F793" s="4" t="s">
        <v>2471</v>
      </c>
      <c r="G793" s="4" t="s">
        <v>2263</v>
      </c>
      <c r="H793" s="9" t="s">
        <v>2263</v>
      </c>
      <c r="I793" s="4" t="s">
        <v>2263</v>
      </c>
      <c r="J793" s="4" t="s">
        <v>2263</v>
      </c>
      <c r="K793" s="4" t="s">
        <v>2470</v>
      </c>
      <c r="L793" s="10">
        <v>2</v>
      </c>
      <c r="M793" s="5">
        <v>756.09078431372541</v>
      </c>
      <c r="N793" s="5">
        <v>1512.1815686274499</v>
      </c>
    </row>
    <row r="794" spans="1:14" x14ac:dyDescent="0.25">
      <c r="A794" s="4" t="s">
        <v>3801</v>
      </c>
      <c r="B794" s="4" t="s">
        <v>4965</v>
      </c>
      <c r="C794" s="4" t="s">
        <v>2320</v>
      </c>
      <c r="D794" s="4" t="s">
        <v>242</v>
      </c>
      <c r="E794" s="4" t="s">
        <v>2368</v>
      </c>
      <c r="F794" s="4" t="s">
        <v>2367</v>
      </c>
      <c r="G794" s="4" t="s">
        <v>2263</v>
      </c>
      <c r="H794" s="9" t="s">
        <v>2263</v>
      </c>
      <c r="I794" s="4" t="s">
        <v>2317</v>
      </c>
      <c r="J794" s="4" t="s">
        <v>2316</v>
      </c>
      <c r="K794" s="4" t="s">
        <v>2263</v>
      </c>
      <c r="L794" s="10">
        <v>2</v>
      </c>
      <c r="M794" s="5">
        <v>789.38775295663606</v>
      </c>
      <c r="N794" s="5">
        <v>1578.7755059132701</v>
      </c>
    </row>
    <row r="795" spans="1:14" x14ac:dyDescent="0.25">
      <c r="A795" s="4" t="s">
        <v>2279</v>
      </c>
      <c r="B795" s="4" t="s">
        <v>4963</v>
      </c>
      <c r="C795" s="4" t="s">
        <v>2320</v>
      </c>
      <c r="D795" s="4" t="s">
        <v>242</v>
      </c>
      <c r="E795" s="4" t="s">
        <v>2368</v>
      </c>
      <c r="F795" s="4" t="s">
        <v>2367</v>
      </c>
      <c r="G795" s="4" t="s">
        <v>2263</v>
      </c>
      <c r="H795" s="9" t="s">
        <v>2263</v>
      </c>
      <c r="I795" s="4" t="s">
        <v>2317</v>
      </c>
      <c r="J795" s="4" t="s">
        <v>2316</v>
      </c>
      <c r="K795" s="4" t="s">
        <v>2263</v>
      </c>
      <c r="L795" s="10">
        <v>2</v>
      </c>
      <c r="M795" s="5">
        <v>789.38775295663606</v>
      </c>
      <c r="N795" s="5">
        <v>1578.7755059132701</v>
      </c>
    </row>
    <row r="796" spans="1:14" x14ac:dyDescent="0.25">
      <c r="A796" s="4" t="s">
        <v>2481</v>
      </c>
      <c r="B796" s="4" t="s">
        <v>3217</v>
      </c>
      <c r="C796" s="4" t="s">
        <v>2320</v>
      </c>
      <c r="D796" s="4" t="s">
        <v>242</v>
      </c>
      <c r="E796" s="4" t="s">
        <v>2368</v>
      </c>
      <c r="F796" s="4" t="s">
        <v>2367</v>
      </c>
      <c r="G796" s="4" t="s">
        <v>2263</v>
      </c>
      <c r="H796" s="9" t="s">
        <v>2263</v>
      </c>
      <c r="I796" s="4" t="s">
        <v>2317</v>
      </c>
      <c r="J796" s="4" t="s">
        <v>2316</v>
      </c>
      <c r="K796" s="4" t="s">
        <v>2263</v>
      </c>
      <c r="L796" s="10">
        <v>2</v>
      </c>
      <c r="M796" s="5">
        <v>789.38775295663606</v>
      </c>
      <c r="N796" s="5">
        <v>1578.7755059132701</v>
      </c>
    </row>
    <row r="797" spans="1:14" x14ac:dyDescent="0.25">
      <c r="A797" s="4" t="s">
        <v>3196</v>
      </c>
      <c r="B797" s="4" t="s">
        <v>3195</v>
      </c>
      <c r="C797" s="4" t="s">
        <v>2320</v>
      </c>
      <c r="D797" s="4" t="s">
        <v>242</v>
      </c>
      <c r="E797" s="4" t="s">
        <v>2368</v>
      </c>
      <c r="F797" s="4" t="s">
        <v>2367</v>
      </c>
      <c r="G797" s="4" t="s">
        <v>2263</v>
      </c>
      <c r="H797" s="9" t="s">
        <v>2263</v>
      </c>
      <c r="I797" s="4" t="s">
        <v>2317</v>
      </c>
      <c r="J797" s="4" t="s">
        <v>2316</v>
      </c>
      <c r="K797" s="4" t="s">
        <v>2263</v>
      </c>
      <c r="L797" s="10">
        <v>2</v>
      </c>
      <c r="M797" s="5">
        <v>789.38775295663606</v>
      </c>
      <c r="N797" s="5">
        <v>1578.7755059132701</v>
      </c>
    </row>
    <row r="798" spans="1:14" x14ac:dyDescent="0.25">
      <c r="A798" s="4" t="s">
        <v>2384</v>
      </c>
      <c r="B798" s="4" t="s">
        <v>3187</v>
      </c>
      <c r="C798" s="4" t="s">
        <v>2320</v>
      </c>
      <c r="D798" s="4" t="s">
        <v>242</v>
      </c>
      <c r="E798" s="4" t="s">
        <v>2368</v>
      </c>
      <c r="F798" s="4" t="s">
        <v>2367</v>
      </c>
      <c r="G798" s="4" t="s">
        <v>2263</v>
      </c>
      <c r="H798" s="9" t="s">
        <v>2263</v>
      </c>
      <c r="I798" s="4" t="s">
        <v>2317</v>
      </c>
      <c r="J798" s="4" t="s">
        <v>2316</v>
      </c>
      <c r="K798" s="4" t="s">
        <v>2263</v>
      </c>
      <c r="L798" s="10">
        <v>2</v>
      </c>
      <c r="M798" s="5">
        <v>789.38775295663606</v>
      </c>
      <c r="N798" s="5">
        <v>1578.7755059132701</v>
      </c>
    </row>
    <row r="799" spans="1:14" x14ac:dyDescent="0.25">
      <c r="A799" s="4" t="s">
        <v>3174</v>
      </c>
      <c r="B799" s="4" t="s">
        <v>3173</v>
      </c>
      <c r="C799" s="4" t="s">
        <v>2320</v>
      </c>
      <c r="D799" s="4" t="s">
        <v>242</v>
      </c>
      <c r="E799" s="4" t="s">
        <v>2368</v>
      </c>
      <c r="F799" s="4" t="s">
        <v>2367</v>
      </c>
      <c r="G799" s="4" t="s">
        <v>2263</v>
      </c>
      <c r="H799" s="9" t="s">
        <v>2263</v>
      </c>
      <c r="I799" s="4" t="s">
        <v>2317</v>
      </c>
      <c r="J799" s="4" t="s">
        <v>2316</v>
      </c>
      <c r="K799" s="4" t="s">
        <v>2263</v>
      </c>
      <c r="L799" s="10">
        <v>2</v>
      </c>
      <c r="M799" s="5">
        <v>789.38775295663606</v>
      </c>
      <c r="N799" s="5">
        <v>1578.7755059132701</v>
      </c>
    </row>
    <row r="800" spans="1:14" x14ac:dyDescent="0.25">
      <c r="A800" s="4" t="s">
        <v>3157</v>
      </c>
      <c r="B800" s="4" t="s">
        <v>3156</v>
      </c>
      <c r="C800" s="4" t="s">
        <v>2320</v>
      </c>
      <c r="D800" s="4" t="s">
        <v>242</v>
      </c>
      <c r="E800" s="4" t="s">
        <v>2368</v>
      </c>
      <c r="F800" s="4" t="s">
        <v>2367</v>
      </c>
      <c r="G800" s="4" t="s">
        <v>2263</v>
      </c>
      <c r="H800" s="9" t="s">
        <v>2263</v>
      </c>
      <c r="I800" s="4" t="s">
        <v>2317</v>
      </c>
      <c r="J800" s="4" t="s">
        <v>2316</v>
      </c>
      <c r="K800" s="4" t="s">
        <v>2263</v>
      </c>
      <c r="L800" s="10">
        <v>2</v>
      </c>
      <c r="M800" s="5">
        <v>789.38775295663606</v>
      </c>
      <c r="N800" s="5">
        <v>1578.7755059132701</v>
      </c>
    </row>
    <row r="801" spans="1:14" x14ac:dyDescent="0.25">
      <c r="A801" s="4" t="s">
        <v>3104</v>
      </c>
      <c r="B801" s="4" t="s">
        <v>3103</v>
      </c>
      <c r="C801" s="4" t="s">
        <v>2320</v>
      </c>
      <c r="D801" s="4" t="s">
        <v>242</v>
      </c>
      <c r="E801" s="4" t="s">
        <v>2368</v>
      </c>
      <c r="F801" s="4" t="s">
        <v>2367</v>
      </c>
      <c r="G801" s="4" t="s">
        <v>2263</v>
      </c>
      <c r="H801" s="9" t="s">
        <v>2263</v>
      </c>
      <c r="I801" s="4" t="s">
        <v>2317</v>
      </c>
      <c r="J801" s="4" t="s">
        <v>2316</v>
      </c>
      <c r="K801" s="4" t="s">
        <v>2263</v>
      </c>
      <c r="L801" s="10">
        <v>2</v>
      </c>
      <c r="M801" s="5">
        <v>789.38775295663606</v>
      </c>
      <c r="N801" s="5">
        <v>1578.7755059132701</v>
      </c>
    </row>
    <row r="802" spans="1:14" x14ac:dyDescent="0.25">
      <c r="A802" s="4" t="s">
        <v>3063</v>
      </c>
      <c r="B802" s="4" t="s">
        <v>3062</v>
      </c>
      <c r="C802" s="4" t="s">
        <v>2320</v>
      </c>
      <c r="D802" s="4" t="s">
        <v>242</v>
      </c>
      <c r="E802" s="4" t="s">
        <v>2368</v>
      </c>
      <c r="F802" s="4" t="s">
        <v>2367</v>
      </c>
      <c r="G802" s="4" t="s">
        <v>2263</v>
      </c>
      <c r="H802" s="9" t="s">
        <v>2263</v>
      </c>
      <c r="I802" s="4" t="s">
        <v>2317</v>
      </c>
      <c r="J802" s="4" t="s">
        <v>2316</v>
      </c>
      <c r="K802" s="4" t="s">
        <v>2263</v>
      </c>
      <c r="L802" s="10">
        <v>2</v>
      </c>
      <c r="M802" s="5">
        <v>789.38775295663606</v>
      </c>
      <c r="N802" s="5">
        <v>1578.7755059132701</v>
      </c>
    </row>
    <row r="803" spans="1:14" x14ac:dyDescent="0.25">
      <c r="A803" s="4" t="s">
        <v>3051</v>
      </c>
      <c r="B803" s="4" t="s">
        <v>3050</v>
      </c>
      <c r="C803" s="4" t="s">
        <v>2320</v>
      </c>
      <c r="D803" s="4" t="s">
        <v>242</v>
      </c>
      <c r="E803" s="4" t="s">
        <v>2368</v>
      </c>
      <c r="F803" s="4" t="s">
        <v>2367</v>
      </c>
      <c r="G803" s="4" t="s">
        <v>2263</v>
      </c>
      <c r="H803" s="9" t="s">
        <v>2263</v>
      </c>
      <c r="I803" s="4" t="s">
        <v>2317</v>
      </c>
      <c r="J803" s="4" t="s">
        <v>2316</v>
      </c>
      <c r="K803" s="4" t="s">
        <v>2263</v>
      </c>
      <c r="L803" s="10">
        <v>2</v>
      </c>
      <c r="M803" s="5">
        <v>789.38775295663606</v>
      </c>
      <c r="N803" s="5">
        <v>1578.7755059132701</v>
      </c>
    </row>
    <row r="804" spans="1:14" x14ac:dyDescent="0.25">
      <c r="A804" s="4" t="s">
        <v>3024</v>
      </c>
      <c r="B804" s="4" t="s">
        <v>3023</v>
      </c>
      <c r="C804" s="4" t="s">
        <v>2320</v>
      </c>
      <c r="D804" s="4" t="s">
        <v>242</v>
      </c>
      <c r="E804" s="4" t="s">
        <v>2368</v>
      </c>
      <c r="F804" s="4" t="s">
        <v>2367</v>
      </c>
      <c r="G804" s="4" t="s">
        <v>2263</v>
      </c>
      <c r="H804" s="9" t="s">
        <v>2263</v>
      </c>
      <c r="I804" s="4" t="s">
        <v>2317</v>
      </c>
      <c r="J804" s="4" t="s">
        <v>2316</v>
      </c>
      <c r="K804" s="4" t="s">
        <v>2263</v>
      </c>
      <c r="L804" s="10">
        <v>2</v>
      </c>
      <c r="M804" s="5">
        <v>789.38775295663606</v>
      </c>
      <c r="N804" s="5">
        <v>1578.7755059132701</v>
      </c>
    </row>
    <row r="805" spans="1:14" x14ac:dyDescent="0.25">
      <c r="A805" s="4" t="s">
        <v>2673</v>
      </c>
      <c r="B805" s="4" t="s">
        <v>2672</v>
      </c>
      <c r="C805" s="4" t="s">
        <v>2320</v>
      </c>
      <c r="D805" s="4" t="s">
        <v>242</v>
      </c>
      <c r="E805" s="4" t="s">
        <v>2368</v>
      </c>
      <c r="F805" s="4" t="s">
        <v>2367</v>
      </c>
      <c r="G805" s="4" t="s">
        <v>2263</v>
      </c>
      <c r="H805" s="9" t="s">
        <v>2263</v>
      </c>
      <c r="I805" s="4" t="s">
        <v>2317</v>
      </c>
      <c r="J805" s="4" t="s">
        <v>2316</v>
      </c>
      <c r="K805" s="4" t="s">
        <v>2263</v>
      </c>
      <c r="L805" s="10">
        <v>2</v>
      </c>
      <c r="M805" s="5">
        <v>789.38775295663606</v>
      </c>
      <c r="N805" s="5">
        <v>1578.7755059132701</v>
      </c>
    </row>
    <row r="806" spans="1:14" x14ac:dyDescent="0.25">
      <c r="A806" s="4" t="s">
        <v>3801</v>
      </c>
      <c r="B806" s="4" t="s">
        <v>4965</v>
      </c>
      <c r="C806" s="4" t="s">
        <v>2344</v>
      </c>
      <c r="D806" s="4" t="s">
        <v>237</v>
      </c>
      <c r="E806" s="4" t="s">
        <v>4966</v>
      </c>
      <c r="F806" s="4" t="s">
        <v>2471</v>
      </c>
      <c r="G806" s="4" t="s">
        <v>2263</v>
      </c>
      <c r="H806" s="9" t="s">
        <v>2263</v>
      </c>
      <c r="I806" s="4" t="s">
        <v>2263</v>
      </c>
      <c r="J806" s="4" t="s">
        <v>2263</v>
      </c>
      <c r="K806" s="4" t="s">
        <v>2470</v>
      </c>
      <c r="L806" s="10">
        <v>2</v>
      </c>
      <c r="M806" s="5">
        <v>824.47363636363639</v>
      </c>
      <c r="N806" s="5">
        <v>1648.94727272727</v>
      </c>
    </row>
    <row r="807" spans="1:14" x14ac:dyDescent="0.25">
      <c r="A807" s="4" t="s">
        <v>3174</v>
      </c>
      <c r="B807" s="4" t="s">
        <v>3173</v>
      </c>
      <c r="C807" s="4" t="s">
        <v>2320</v>
      </c>
      <c r="D807" s="4" t="s">
        <v>242</v>
      </c>
      <c r="E807" s="4" t="s">
        <v>2416</v>
      </c>
      <c r="F807" s="4" t="s">
        <v>2415</v>
      </c>
      <c r="G807" s="4" t="s">
        <v>2263</v>
      </c>
      <c r="H807" s="9" t="s">
        <v>2263</v>
      </c>
      <c r="I807" s="4" t="s">
        <v>2317</v>
      </c>
      <c r="J807" s="4" t="s">
        <v>2316</v>
      </c>
      <c r="K807" s="4" t="s">
        <v>2263</v>
      </c>
      <c r="L807" s="10">
        <v>2</v>
      </c>
      <c r="M807" s="5">
        <v>841.07974358974366</v>
      </c>
      <c r="N807" s="5">
        <v>1682.15948717949</v>
      </c>
    </row>
    <row r="808" spans="1:14" x14ac:dyDescent="0.25">
      <c r="A808" s="4" t="s">
        <v>2269</v>
      </c>
      <c r="B808" s="4" t="s">
        <v>2268</v>
      </c>
      <c r="C808" s="4" t="s">
        <v>2279</v>
      </c>
      <c r="D808" s="4" t="s">
        <v>2278</v>
      </c>
      <c r="E808" s="4" t="s">
        <v>2288</v>
      </c>
      <c r="F808" s="4" t="s">
        <v>2287</v>
      </c>
      <c r="G808" s="4" t="s">
        <v>2263</v>
      </c>
      <c r="H808" s="9" t="s">
        <v>2263</v>
      </c>
      <c r="I808" s="4" t="s">
        <v>2263</v>
      </c>
      <c r="J808" s="4" t="s">
        <v>2263</v>
      </c>
      <c r="K808" s="4" t="s">
        <v>2286</v>
      </c>
      <c r="L808" s="10">
        <v>2</v>
      </c>
      <c r="M808" s="5">
        <v>843</v>
      </c>
      <c r="N808" s="5">
        <v>1686</v>
      </c>
    </row>
    <row r="809" spans="1:14" x14ac:dyDescent="0.25">
      <c r="A809" s="4" t="s">
        <v>3157</v>
      </c>
      <c r="B809" s="4" t="s">
        <v>3156</v>
      </c>
      <c r="C809" s="4" t="s">
        <v>2344</v>
      </c>
      <c r="D809" s="4" t="s">
        <v>237</v>
      </c>
      <c r="E809" s="4" t="s">
        <v>3049</v>
      </c>
      <c r="F809" s="4" t="s">
        <v>3048</v>
      </c>
      <c r="G809" s="4" t="s">
        <v>2263</v>
      </c>
      <c r="H809" s="9" t="s">
        <v>2263</v>
      </c>
      <c r="I809" s="4" t="s">
        <v>2263</v>
      </c>
      <c r="J809" s="4" t="s">
        <v>2263</v>
      </c>
      <c r="K809" s="4" t="s">
        <v>3047</v>
      </c>
      <c r="L809" s="10">
        <v>2</v>
      </c>
      <c r="M809" s="5">
        <v>854</v>
      </c>
      <c r="N809" s="5">
        <v>1708</v>
      </c>
    </row>
    <row r="810" spans="1:14" x14ac:dyDescent="0.25">
      <c r="A810" s="4" t="s">
        <v>3024</v>
      </c>
      <c r="B810" s="4" t="s">
        <v>3023</v>
      </c>
      <c r="C810" s="4" t="s">
        <v>2344</v>
      </c>
      <c r="D810" s="4" t="s">
        <v>237</v>
      </c>
      <c r="E810" s="4" t="s">
        <v>3049</v>
      </c>
      <c r="F810" s="4" t="s">
        <v>3048</v>
      </c>
      <c r="G810" s="4" t="s">
        <v>2263</v>
      </c>
      <c r="H810" s="9" t="s">
        <v>2263</v>
      </c>
      <c r="I810" s="4" t="s">
        <v>2263</v>
      </c>
      <c r="J810" s="4" t="s">
        <v>2263</v>
      </c>
      <c r="K810" s="4" t="s">
        <v>3047</v>
      </c>
      <c r="L810" s="10">
        <v>2</v>
      </c>
      <c r="M810" s="5">
        <v>854</v>
      </c>
      <c r="N810" s="5">
        <v>1708</v>
      </c>
    </row>
    <row r="811" spans="1:14" x14ac:dyDescent="0.25">
      <c r="A811" s="4" t="s">
        <v>3801</v>
      </c>
      <c r="B811" s="4" t="s">
        <v>4965</v>
      </c>
      <c r="C811" s="4" t="s">
        <v>2320</v>
      </c>
      <c r="D811" s="4" t="s">
        <v>242</v>
      </c>
      <c r="E811" s="4" t="s">
        <v>2719</v>
      </c>
      <c r="F811" s="4" t="s">
        <v>2718</v>
      </c>
      <c r="G811" s="4" t="s">
        <v>2263</v>
      </c>
      <c r="H811" s="9" t="s">
        <v>2263</v>
      </c>
      <c r="I811" s="4" t="s">
        <v>2317</v>
      </c>
      <c r="J811" s="4" t="s">
        <v>2316</v>
      </c>
      <c r="K811" s="4" t="s">
        <v>2263</v>
      </c>
      <c r="L811" s="10">
        <v>2</v>
      </c>
      <c r="M811" s="5">
        <v>863.47163555555562</v>
      </c>
      <c r="N811" s="5">
        <v>1726.9432711111101</v>
      </c>
    </row>
    <row r="812" spans="1:14" x14ac:dyDescent="0.25">
      <c r="A812" s="4" t="s">
        <v>2279</v>
      </c>
      <c r="B812" s="4" t="s">
        <v>4963</v>
      </c>
      <c r="C812" s="4" t="s">
        <v>2320</v>
      </c>
      <c r="D812" s="4" t="s">
        <v>242</v>
      </c>
      <c r="E812" s="4" t="s">
        <v>2719</v>
      </c>
      <c r="F812" s="4" t="s">
        <v>2718</v>
      </c>
      <c r="G812" s="4" t="s">
        <v>2263</v>
      </c>
      <c r="H812" s="9" t="s">
        <v>2263</v>
      </c>
      <c r="I812" s="4" t="s">
        <v>2317</v>
      </c>
      <c r="J812" s="4" t="s">
        <v>2316</v>
      </c>
      <c r="K812" s="4" t="s">
        <v>2263</v>
      </c>
      <c r="L812" s="10">
        <v>2</v>
      </c>
      <c r="M812" s="5">
        <v>863.47163555555562</v>
      </c>
      <c r="N812" s="5">
        <v>1726.9432711111101</v>
      </c>
    </row>
    <row r="813" spans="1:14" x14ac:dyDescent="0.25">
      <c r="A813" s="4" t="s">
        <v>3196</v>
      </c>
      <c r="B813" s="4" t="s">
        <v>3195</v>
      </c>
      <c r="C813" s="4" t="s">
        <v>2320</v>
      </c>
      <c r="D813" s="4" t="s">
        <v>242</v>
      </c>
      <c r="E813" s="4" t="s">
        <v>2719</v>
      </c>
      <c r="F813" s="4" t="s">
        <v>2718</v>
      </c>
      <c r="G813" s="4" t="s">
        <v>2263</v>
      </c>
      <c r="H813" s="9" t="s">
        <v>2263</v>
      </c>
      <c r="I813" s="4" t="s">
        <v>2317</v>
      </c>
      <c r="J813" s="4" t="s">
        <v>2316</v>
      </c>
      <c r="K813" s="4" t="s">
        <v>2263</v>
      </c>
      <c r="L813" s="10">
        <v>2</v>
      </c>
      <c r="M813" s="5">
        <v>863.47163555555562</v>
      </c>
      <c r="N813" s="5">
        <v>1726.9432711111101</v>
      </c>
    </row>
    <row r="814" spans="1:14" x14ac:dyDescent="0.25">
      <c r="A814" s="4" t="s">
        <v>2384</v>
      </c>
      <c r="B814" s="4" t="s">
        <v>3187</v>
      </c>
      <c r="C814" s="4" t="s">
        <v>2320</v>
      </c>
      <c r="D814" s="4" t="s">
        <v>242</v>
      </c>
      <c r="E814" s="4" t="s">
        <v>2719</v>
      </c>
      <c r="F814" s="4" t="s">
        <v>2718</v>
      </c>
      <c r="G814" s="4" t="s">
        <v>2263</v>
      </c>
      <c r="H814" s="9" t="s">
        <v>2263</v>
      </c>
      <c r="I814" s="4" t="s">
        <v>2317</v>
      </c>
      <c r="J814" s="4" t="s">
        <v>2316</v>
      </c>
      <c r="K814" s="4" t="s">
        <v>2263</v>
      </c>
      <c r="L814" s="10">
        <v>2</v>
      </c>
      <c r="M814" s="5">
        <v>863.47163555555562</v>
      </c>
      <c r="N814" s="5">
        <v>1726.9432711111101</v>
      </c>
    </row>
    <row r="815" spans="1:14" x14ac:dyDescent="0.25">
      <c r="A815" s="4" t="s">
        <v>3174</v>
      </c>
      <c r="B815" s="4" t="s">
        <v>3173</v>
      </c>
      <c r="C815" s="4" t="s">
        <v>2320</v>
      </c>
      <c r="D815" s="4" t="s">
        <v>242</v>
      </c>
      <c r="E815" s="4" t="s">
        <v>2719</v>
      </c>
      <c r="F815" s="4" t="s">
        <v>2718</v>
      </c>
      <c r="G815" s="4" t="s">
        <v>2263</v>
      </c>
      <c r="H815" s="9" t="s">
        <v>2263</v>
      </c>
      <c r="I815" s="4" t="s">
        <v>2317</v>
      </c>
      <c r="J815" s="4" t="s">
        <v>2316</v>
      </c>
      <c r="K815" s="4" t="s">
        <v>2263</v>
      </c>
      <c r="L815" s="10">
        <v>2</v>
      </c>
      <c r="M815" s="5">
        <v>863.47163555555562</v>
      </c>
      <c r="N815" s="5">
        <v>1726.9432711111101</v>
      </c>
    </row>
    <row r="816" spans="1:14" x14ac:dyDescent="0.25">
      <c r="A816" s="4" t="s">
        <v>3157</v>
      </c>
      <c r="B816" s="4" t="s">
        <v>3156</v>
      </c>
      <c r="C816" s="4" t="s">
        <v>2320</v>
      </c>
      <c r="D816" s="4" t="s">
        <v>242</v>
      </c>
      <c r="E816" s="4" t="s">
        <v>2719</v>
      </c>
      <c r="F816" s="4" t="s">
        <v>2718</v>
      </c>
      <c r="G816" s="4" t="s">
        <v>2263</v>
      </c>
      <c r="H816" s="9" t="s">
        <v>2263</v>
      </c>
      <c r="I816" s="4" t="s">
        <v>2317</v>
      </c>
      <c r="J816" s="4" t="s">
        <v>2316</v>
      </c>
      <c r="K816" s="4" t="s">
        <v>2263</v>
      </c>
      <c r="L816" s="10">
        <v>2</v>
      </c>
      <c r="M816" s="5">
        <v>863.47163555555562</v>
      </c>
      <c r="N816" s="5">
        <v>1726.9432711111101</v>
      </c>
    </row>
    <row r="817" spans="1:14" x14ac:dyDescent="0.25">
      <c r="A817" s="4" t="s">
        <v>3104</v>
      </c>
      <c r="B817" s="4" t="s">
        <v>3103</v>
      </c>
      <c r="C817" s="4" t="s">
        <v>2320</v>
      </c>
      <c r="D817" s="4" t="s">
        <v>242</v>
      </c>
      <c r="E817" s="4" t="s">
        <v>2719</v>
      </c>
      <c r="F817" s="4" t="s">
        <v>2718</v>
      </c>
      <c r="G817" s="4" t="s">
        <v>2263</v>
      </c>
      <c r="H817" s="9" t="s">
        <v>2263</v>
      </c>
      <c r="I817" s="4" t="s">
        <v>2317</v>
      </c>
      <c r="J817" s="4" t="s">
        <v>2316</v>
      </c>
      <c r="K817" s="4" t="s">
        <v>2263</v>
      </c>
      <c r="L817" s="10">
        <v>2</v>
      </c>
      <c r="M817" s="5">
        <v>863.47163555555562</v>
      </c>
      <c r="N817" s="5">
        <v>1726.9432711111101</v>
      </c>
    </row>
    <row r="818" spans="1:14" x14ac:dyDescent="0.25">
      <c r="A818" s="4" t="s">
        <v>3063</v>
      </c>
      <c r="B818" s="4" t="s">
        <v>3062</v>
      </c>
      <c r="C818" s="4" t="s">
        <v>2320</v>
      </c>
      <c r="D818" s="4" t="s">
        <v>242</v>
      </c>
      <c r="E818" s="4" t="s">
        <v>2719</v>
      </c>
      <c r="F818" s="4" t="s">
        <v>2718</v>
      </c>
      <c r="G818" s="4" t="s">
        <v>2263</v>
      </c>
      <c r="H818" s="9" t="s">
        <v>2263</v>
      </c>
      <c r="I818" s="4" t="s">
        <v>2317</v>
      </c>
      <c r="J818" s="4" t="s">
        <v>2316</v>
      </c>
      <c r="K818" s="4" t="s">
        <v>2263</v>
      </c>
      <c r="L818" s="10">
        <v>2</v>
      </c>
      <c r="M818" s="5">
        <v>863.47163555555562</v>
      </c>
      <c r="N818" s="5">
        <v>1726.9432711111101</v>
      </c>
    </row>
    <row r="819" spans="1:14" x14ac:dyDescent="0.25">
      <c r="A819" s="4" t="s">
        <v>3051</v>
      </c>
      <c r="B819" s="4" t="s">
        <v>3050</v>
      </c>
      <c r="C819" s="4" t="s">
        <v>2320</v>
      </c>
      <c r="D819" s="4" t="s">
        <v>242</v>
      </c>
      <c r="E819" s="4" t="s">
        <v>2719</v>
      </c>
      <c r="F819" s="4" t="s">
        <v>2718</v>
      </c>
      <c r="G819" s="4" t="s">
        <v>2263</v>
      </c>
      <c r="H819" s="9" t="s">
        <v>2263</v>
      </c>
      <c r="I819" s="4" t="s">
        <v>2317</v>
      </c>
      <c r="J819" s="4" t="s">
        <v>2316</v>
      </c>
      <c r="K819" s="4" t="s">
        <v>2263</v>
      </c>
      <c r="L819" s="10">
        <v>2</v>
      </c>
      <c r="M819" s="5">
        <v>863.47163555555562</v>
      </c>
      <c r="N819" s="5">
        <v>1726.9432711111101</v>
      </c>
    </row>
    <row r="820" spans="1:14" x14ac:dyDescent="0.25">
      <c r="A820" s="4" t="s">
        <v>3024</v>
      </c>
      <c r="B820" s="4" t="s">
        <v>3023</v>
      </c>
      <c r="C820" s="4" t="s">
        <v>2320</v>
      </c>
      <c r="D820" s="4" t="s">
        <v>242</v>
      </c>
      <c r="E820" s="4" t="s">
        <v>2719</v>
      </c>
      <c r="F820" s="4" t="s">
        <v>2718</v>
      </c>
      <c r="G820" s="4" t="s">
        <v>2263</v>
      </c>
      <c r="H820" s="9" t="s">
        <v>2263</v>
      </c>
      <c r="I820" s="4" t="s">
        <v>2317</v>
      </c>
      <c r="J820" s="4" t="s">
        <v>2316</v>
      </c>
      <c r="K820" s="4" t="s">
        <v>2263</v>
      </c>
      <c r="L820" s="10">
        <v>2</v>
      </c>
      <c r="M820" s="5">
        <v>863.47163555555562</v>
      </c>
      <c r="N820" s="5">
        <v>1726.9432711111101</v>
      </c>
    </row>
    <row r="821" spans="1:14" x14ac:dyDescent="0.25">
      <c r="A821" s="4" t="s">
        <v>2673</v>
      </c>
      <c r="B821" s="4" t="s">
        <v>2672</v>
      </c>
      <c r="C821" s="4" t="s">
        <v>2320</v>
      </c>
      <c r="D821" s="4" t="s">
        <v>242</v>
      </c>
      <c r="E821" s="4" t="s">
        <v>2719</v>
      </c>
      <c r="F821" s="4" t="s">
        <v>2718</v>
      </c>
      <c r="G821" s="4" t="s">
        <v>2263</v>
      </c>
      <c r="H821" s="9" t="s">
        <v>2263</v>
      </c>
      <c r="I821" s="4" t="s">
        <v>2317</v>
      </c>
      <c r="J821" s="4" t="s">
        <v>2316</v>
      </c>
      <c r="K821" s="4" t="s">
        <v>2263</v>
      </c>
      <c r="L821" s="10">
        <v>2</v>
      </c>
      <c r="M821" s="5">
        <v>863.47163555555562</v>
      </c>
      <c r="N821" s="5">
        <v>1726.9432711111101</v>
      </c>
    </row>
    <row r="822" spans="1:14" x14ac:dyDescent="0.25">
      <c r="A822" s="4" t="s">
        <v>2279</v>
      </c>
      <c r="B822" s="4" t="s">
        <v>4963</v>
      </c>
      <c r="C822" s="4" t="s">
        <v>2344</v>
      </c>
      <c r="D822" s="4" t="s">
        <v>237</v>
      </c>
      <c r="E822" s="4" t="s">
        <v>2472</v>
      </c>
      <c r="F822" s="4" t="s">
        <v>2471</v>
      </c>
      <c r="G822" s="4" t="s">
        <v>2263</v>
      </c>
      <c r="H822" s="9" t="s">
        <v>2263</v>
      </c>
      <c r="I822" s="4" t="s">
        <v>2263</v>
      </c>
      <c r="J822" s="4" t="s">
        <v>2263</v>
      </c>
      <c r="K822" s="4" t="s">
        <v>2470</v>
      </c>
      <c r="L822" s="10">
        <v>2</v>
      </c>
      <c r="M822" s="5">
        <v>958.57</v>
      </c>
      <c r="N822" s="5">
        <v>1917.14</v>
      </c>
    </row>
    <row r="823" spans="1:14" x14ac:dyDescent="0.25">
      <c r="A823" s="4" t="s">
        <v>2481</v>
      </c>
      <c r="B823" s="4" t="s">
        <v>3217</v>
      </c>
      <c r="C823" s="4" t="s">
        <v>2344</v>
      </c>
      <c r="D823" s="4" t="s">
        <v>237</v>
      </c>
      <c r="E823" s="4" t="s">
        <v>2472</v>
      </c>
      <c r="F823" s="4" t="s">
        <v>2471</v>
      </c>
      <c r="G823" s="4" t="s">
        <v>2263</v>
      </c>
      <c r="H823" s="9" t="s">
        <v>2263</v>
      </c>
      <c r="I823" s="4" t="s">
        <v>2263</v>
      </c>
      <c r="J823" s="4" t="s">
        <v>2263</v>
      </c>
      <c r="K823" s="4" t="s">
        <v>2470</v>
      </c>
      <c r="L823" s="10">
        <v>2</v>
      </c>
      <c r="M823" s="5">
        <v>958.57</v>
      </c>
      <c r="N823" s="5">
        <v>1917.14</v>
      </c>
    </row>
    <row r="824" spans="1:14" x14ac:dyDescent="0.25">
      <c r="A824" s="4" t="s">
        <v>3196</v>
      </c>
      <c r="B824" s="4" t="s">
        <v>3195</v>
      </c>
      <c r="C824" s="4" t="s">
        <v>2344</v>
      </c>
      <c r="D824" s="4" t="s">
        <v>237</v>
      </c>
      <c r="E824" s="4" t="s">
        <v>2472</v>
      </c>
      <c r="F824" s="4" t="s">
        <v>2471</v>
      </c>
      <c r="G824" s="4" t="s">
        <v>2263</v>
      </c>
      <c r="H824" s="9" t="s">
        <v>2263</v>
      </c>
      <c r="I824" s="4" t="s">
        <v>2263</v>
      </c>
      <c r="J824" s="4" t="s">
        <v>2263</v>
      </c>
      <c r="K824" s="4" t="s">
        <v>2470</v>
      </c>
      <c r="L824" s="10">
        <v>2</v>
      </c>
      <c r="M824" s="5">
        <v>958.57</v>
      </c>
      <c r="N824" s="5">
        <v>1917.14</v>
      </c>
    </row>
    <row r="825" spans="1:14" x14ac:dyDescent="0.25">
      <c r="A825" s="4" t="s">
        <v>3157</v>
      </c>
      <c r="B825" s="4" t="s">
        <v>3156</v>
      </c>
      <c r="C825" s="4" t="s">
        <v>2344</v>
      </c>
      <c r="D825" s="4" t="s">
        <v>237</v>
      </c>
      <c r="E825" s="4" t="s">
        <v>2472</v>
      </c>
      <c r="F825" s="4" t="s">
        <v>2471</v>
      </c>
      <c r="G825" s="4" t="s">
        <v>2263</v>
      </c>
      <c r="H825" s="9" t="s">
        <v>2263</v>
      </c>
      <c r="I825" s="4" t="s">
        <v>2263</v>
      </c>
      <c r="J825" s="4" t="s">
        <v>2263</v>
      </c>
      <c r="K825" s="4" t="s">
        <v>2470</v>
      </c>
      <c r="L825" s="10">
        <v>2</v>
      </c>
      <c r="M825" s="5">
        <v>958.57</v>
      </c>
      <c r="N825" s="5">
        <v>1917.14</v>
      </c>
    </row>
    <row r="826" spans="1:14" x14ac:dyDescent="0.25">
      <c r="A826" s="4" t="s">
        <v>3104</v>
      </c>
      <c r="B826" s="4" t="s">
        <v>3103</v>
      </c>
      <c r="C826" s="4" t="s">
        <v>2344</v>
      </c>
      <c r="D826" s="4" t="s">
        <v>237</v>
      </c>
      <c r="E826" s="4" t="s">
        <v>2472</v>
      </c>
      <c r="F826" s="4" t="s">
        <v>2471</v>
      </c>
      <c r="G826" s="4" t="s">
        <v>2263</v>
      </c>
      <c r="H826" s="9" t="s">
        <v>2263</v>
      </c>
      <c r="I826" s="4" t="s">
        <v>2263</v>
      </c>
      <c r="J826" s="4" t="s">
        <v>2263</v>
      </c>
      <c r="K826" s="4" t="s">
        <v>2470</v>
      </c>
      <c r="L826" s="10">
        <v>2</v>
      </c>
      <c r="M826" s="5">
        <v>958.57</v>
      </c>
      <c r="N826" s="5">
        <v>1917.14</v>
      </c>
    </row>
    <row r="827" spans="1:14" x14ac:dyDescent="0.25">
      <c r="A827" s="4" t="s">
        <v>3063</v>
      </c>
      <c r="B827" s="4" t="s">
        <v>3062</v>
      </c>
      <c r="C827" s="4" t="s">
        <v>2344</v>
      </c>
      <c r="D827" s="4" t="s">
        <v>237</v>
      </c>
      <c r="E827" s="4" t="s">
        <v>2472</v>
      </c>
      <c r="F827" s="4" t="s">
        <v>2471</v>
      </c>
      <c r="G827" s="4" t="s">
        <v>2263</v>
      </c>
      <c r="H827" s="9" t="s">
        <v>2263</v>
      </c>
      <c r="I827" s="4" t="s">
        <v>2263</v>
      </c>
      <c r="J827" s="4" t="s">
        <v>2263</v>
      </c>
      <c r="K827" s="4" t="s">
        <v>2470</v>
      </c>
      <c r="L827" s="10">
        <v>2</v>
      </c>
      <c r="M827" s="5">
        <v>958.57</v>
      </c>
      <c r="N827" s="5">
        <v>1917.14</v>
      </c>
    </row>
    <row r="828" spans="1:14" x14ac:dyDescent="0.25">
      <c r="A828" s="4" t="s">
        <v>3024</v>
      </c>
      <c r="B828" s="4" t="s">
        <v>3023</v>
      </c>
      <c r="C828" s="4" t="s">
        <v>2344</v>
      </c>
      <c r="D828" s="4" t="s">
        <v>237</v>
      </c>
      <c r="E828" s="4" t="s">
        <v>2472</v>
      </c>
      <c r="F828" s="4" t="s">
        <v>2471</v>
      </c>
      <c r="G828" s="4" t="s">
        <v>2263</v>
      </c>
      <c r="H828" s="9" t="s">
        <v>2263</v>
      </c>
      <c r="I828" s="4" t="s">
        <v>2263</v>
      </c>
      <c r="J828" s="4" t="s">
        <v>2263</v>
      </c>
      <c r="K828" s="4" t="s">
        <v>2470</v>
      </c>
      <c r="L828" s="10">
        <v>2</v>
      </c>
      <c r="M828" s="5">
        <v>958.57</v>
      </c>
      <c r="N828" s="5">
        <v>1917.14</v>
      </c>
    </row>
    <row r="829" spans="1:14" x14ac:dyDescent="0.25">
      <c r="A829" s="4" t="s">
        <v>2386</v>
      </c>
      <c r="B829" s="4" t="s">
        <v>2385</v>
      </c>
      <c r="C829" s="4" t="s">
        <v>2344</v>
      </c>
      <c r="D829" s="4" t="s">
        <v>237</v>
      </c>
      <c r="E829" s="4" t="s">
        <v>2472</v>
      </c>
      <c r="F829" s="4" t="s">
        <v>2471</v>
      </c>
      <c r="G829" s="4" t="s">
        <v>2263</v>
      </c>
      <c r="H829" s="9" t="s">
        <v>2263</v>
      </c>
      <c r="I829" s="4" t="s">
        <v>2263</v>
      </c>
      <c r="J829" s="4" t="s">
        <v>2263</v>
      </c>
      <c r="K829" s="4" t="s">
        <v>2470</v>
      </c>
      <c r="L829" s="10">
        <v>2</v>
      </c>
      <c r="M829" s="5">
        <v>958.57</v>
      </c>
      <c r="N829" s="5">
        <v>1917.14</v>
      </c>
    </row>
    <row r="830" spans="1:14" x14ac:dyDescent="0.25">
      <c r="A830" s="4" t="s">
        <v>3070</v>
      </c>
      <c r="B830" s="4" t="s">
        <v>3216</v>
      </c>
      <c r="C830" s="4" t="s">
        <v>2320</v>
      </c>
      <c r="D830" s="4" t="s">
        <v>242</v>
      </c>
      <c r="E830" s="4" t="s">
        <v>3160</v>
      </c>
      <c r="F830" s="4" t="s">
        <v>3159</v>
      </c>
      <c r="G830" s="4" t="s">
        <v>2263</v>
      </c>
      <c r="H830" s="9" t="s">
        <v>2263</v>
      </c>
      <c r="I830" s="4" t="s">
        <v>2317</v>
      </c>
      <c r="J830" s="4" t="s">
        <v>2316</v>
      </c>
      <c r="K830" s="4" t="s">
        <v>2263</v>
      </c>
      <c r="L830" s="10">
        <v>2</v>
      </c>
      <c r="M830" s="5">
        <v>997.91805460750845</v>
      </c>
      <c r="N830" s="5">
        <v>1995.8361092150201</v>
      </c>
    </row>
    <row r="831" spans="1:14" x14ac:dyDescent="0.25">
      <c r="A831" s="4" t="s">
        <v>3168</v>
      </c>
      <c r="B831" s="4" t="s">
        <v>3167</v>
      </c>
      <c r="C831" s="4" t="s">
        <v>2320</v>
      </c>
      <c r="D831" s="4" t="s">
        <v>242</v>
      </c>
      <c r="E831" s="4" t="s">
        <v>3160</v>
      </c>
      <c r="F831" s="4" t="s">
        <v>3159</v>
      </c>
      <c r="G831" s="4" t="s">
        <v>2263</v>
      </c>
      <c r="H831" s="9" t="s">
        <v>2263</v>
      </c>
      <c r="I831" s="4" t="s">
        <v>2317</v>
      </c>
      <c r="J831" s="4" t="s">
        <v>2316</v>
      </c>
      <c r="K831" s="4" t="s">
        <v>2263</v>
      </c>
      <c r="L831" s="10">
        <v>2</v>
      </c>
      <c r="M831" s="5">
        <v>997.91805460750845</v>
      </c>
      <c r="N831" s="5">
        <v>1995.8361092150201</v>
      </c>
    </row>
    <row r="832" spans="1:14" x14ac:dyDescent="0.25">
      <c r="A832" s="4" t="s">
        <v>3157</v>
      </c>
      <c r="B832" s="4" t="s">
        <v>3156</v>
      </c>
      <c r="C832" s="4" t="s">
        <v>2320</v>
      </c>
      <c r="D832" s="4" t="s">
        <v>242</v>
      </c>
      <c r="E832" s="4" t="s">
        <v>3160</v>
      </c>
      <c r="F832" s="4" t="s">
        <v>3159</v>
      </c>
      <c r="G832" s="4" t="s">
        <v>2263</v>
      </c>
      <c r="H832" s="9" t="s">
        <v>2263</v>
      </c>
      <c r="I832" s="4" t="s">
        <v>2317</v>
      </c>
      <c r="J832" s="4" t="s">
        <v>2316</v>
      </c>
      <c r="K832" s="4" t="s">
        <v>2263</v>
      </c>
      <c r="L832" s="10">
        <v>2</v>
      </c>
      <c r="M832" s="5">
        <v>997.91805460750845</v>
      </c>
      <c r="N832" s="5">
        <v>1995.8361092150201</v>
      </c>
    </row>
    <row r="833" spans="1:14" x14ac:dyDescent="0.25">
      <c r="A833" s="4" t="s">
        <v>3801</v>
      </c>
      <c r="B833" s="4" t="s">
        <v>4965</v>
      </c>
      <c r="C833" s="4" t="s">
        <v>2344</v>
      </c>
      <c r="D833" s="4" t="s">
        <v>237</v>
      </c>
      <c r="E833" s="4" t="s">
        <v>3194</v>
      </c>
      <c r="F833" s="4" t="s">
        <v>2425</v>
      </c>
      <c r="G833" s="4" t="s">
        <v>2263</v>
      </c>
      <c r="H833" s="9" t="s">
        <v>2263</v>
      </c>
      <c r="I833" s="4" t="s">
        <v>2263</v>
      </c>
      <c r="J833" s="4" t="s">
        <v>2263</v>
      </c>
      <c r="K833" s="4" t="s">
        <v>2424</v>
      </c>
      <c r="L833" s="10">
        <v>2</v>
      </c>
      <c r="M833" s="5">
        <v>1013.732700729927</v>
      </c>
      <c r="N833" s="5">
        <v>2027.46540145985</v>
      </c>
    </row>
    <row r="834" spans="1:14" x14ac:dyDescent="0.25">
      <c r="A834" s="4" t="s">
        <v>2384</v>
      </c>
      <c r="B834" s="4" t="s">
        <v>3187</v>
      </c>
      <c r="C834" s="4" t="s">
        <v>2344</v>
      </c>
      <c r="D834" s="4" t="s">
        <v>237</v>
      </c>
      <c r="E834" s="4" t="s">
        <v>3194</v>
      </c>
      <c r="F834" s="4" t="s">
        <v>2425</v>
      </c>
      <c r="G834" s="4" t="s">
        <v>2263</v>
      </c>
      <c r="H834" s="9" t="s">
        <v>2263</v>
      </c>
      <c r="I834" s="4" t="s">
        <v>2263</v>
      </c>
      <c r="J834" s="4" t="s">
        <v>2263</v>
      </c>
      <c r="K834" s="4" t="s">
        <v>2424</v>
      </c>
      <c r="L834" s="10">
        <v>2</v>
      </c>
      <c r="M834" s="5">
        <v>1013.732700729927</v>
      </c>
      <c r="N834" s="5">
        <v>2027.46540145985</v>
      </c>
    </row>
    <row r="835" spans="1:14" x14ac:dyDescent="0.25">
      <c r="A835" s="4" t="s">
        <v>3801</v>
      </c>
      <c r="B835" s="4" t="s">
        <v>4965</v>
      </c>
      <c r="C835" s="4" t="s">
        <v>2320</v>
      </c>
      <c r="D835" s="4" t="s">
        <v>242</v>
      </c>
      <c r="E835" s="4" t="s">
        <v>2733</v>
      </c>
      <c r="F835" s="4" t="s">
        <v>2732</v>
      </c>
      <c r="G835" s="4" t="s">
        <v>2263</v>
      </c>
      <c r="H835" s="9" t="s">
        <v>2263</v>
      </c>
      <c r="I835" s="4" t="s">
        <v>2317</v>
      </c>
      <c r="J835" s="4" t="s">
        <v>2316</v>
      </c>
      <c r="K835" s="4" t="s">
        <v>2263</v>
      </c>
      <c r="L835" s="10">
        <v>2</v>
      </c>
      <c r="M835" s="5">
        <v>1014.9652030456853</v>
      </c>
      <c r="N835" s="5">
        <v>2029.9304060913701</v>
      </c>
    </row>
    <row r="836" spans="1:14" x14ac:dyDescent="0.25">
      <c r="A836" s="4" t="s">
        <v>2279</v>
      </c>
      <c r="B836" s="4" t="s">
        <v>4963</v>
      </c>
      <c r="C836" s="4" t="s">
        <v>2320</v>
      </c>
      <c r="D836" s="4" t="s">
        <v>242</v>
      </c>
      <c r="E836" s="4" t="s">
        <v>2733</v>
      </c>
      <c r="F836" s="4" t="s">
        <v>2732</v>
      </c>
      <c r="G836" s="4" t="s">
        <v>2263</v>
      </c>
      <c r="H836" s="9" t="s">
        <v>2263</v>
      </c>
      <c r="I836" s="4" t="s">
        <v>2317</v>
      </c>
      <c r="J836" s="4" t="s">
        <v>2316</v>
      </c>
      <c r="K836" s="4" t="s">
        <v>2263</v>
      </c>
      <c r="L836" s="10">
        <v>2</v>
      </c>
      <c r="M836" s="5">
        <v>1014.9652030456853</v>
      </c>
      <c r="N836" s="5">
        <v>2029.9304060913701</v>
      </c>
    </row>
    <row r="837" spans="1:14" x14ac:dyDescent="0.25">
      <c r="A837" s="4" t="s">
        <v>2481</v>
      </c>
      <c r="B837" s="4" t="s">
        <v>3217</v>
      </c>
      <c r="C837" s="4" t="s">
        <v>2320</v>
      </c>
      <c r="D837" s="4" t="s">
        <v>242</v>
      </c>
      <c r="E837" s="4" t="s">
        <v>2733</v>
      </c>
      <c r="F837" s="4" t="s">
        <v>2732</v>
      </c>
      <c r="G837" s="4" t="s">
        <v>2263</v>
      </c>
      <c r="H837" s="9" t="s">
        <v>2263</v>
      </c>
      <c r="I837" s="4" t="s">
        <v>2317</v>
      </c>
      <c r="J837" s="4" t="s">
        <v>2316</v>
      </c>
      <c r="K837" s="4" t="s">
        <v>2263</v>
      </c>
      <c r="L837" s="10">
        <v>2</v>
      </c>
      <c r="M837" s="5">
        <v>1014.9652030456853</v>
      </c>
      <c r="N837" s="5">
        <v>2029.9304060913701</v>
      </c>
    </row>
    <row r="838" spans="1:14" x14ac:dyDescent="0.25">
      <c r="A838" s="4" t="s">
        <v>3196</v>
      </c>
      <c r="B838" s="4" t="s">
        <v>3195</v>
      </c>
      <c r="C838" s="4" t="s">
        <v>2320</v>
      </c>
      <c r="D838" s="4" t="s">
        <v>242</v>
      </c>
      <c r="E838" s="4" t="s">
        <v>2733</v>
      </c>
      <c r="F838" s="4" t="s">
        <v>2732</v>
      </c>
      <c r="G838" s="4" t="s">
        <v>2263</v>
      </c>
      <c r="H838" s="9" t="s">
        <v>2263</v>
      </c>
      <c r="I838" s="4" t="s">
        <v>2317</v>
      </c>
      <c r="J838" s="4" t="s">
        <v>2316</v>
      </c>
      <c r="K838" s="4" t="s">
        <v>2263</v>
      </c>
      <c r="L838" s="10">
        <v>2</v>
      </c>
      <c r="M838" s="5">
        <v>1014.9652030456853</v>
      </c>
      <c r="N838" s="5">
        <v>2029.9304060913701</v>
      </c>
    </row>
    <row r="839" spans="1:14" x14ac:dyDescent="0.25">
      <c r="A839" s="4" t="s">
        <v>2384</v>
      </c>
      <c r="B839" s="4" t="s">
        <v>3187</v>
      </c>
      <c r="C839" s="4" t="s">
        <v>2320</v>
      </c>
      <c r="D839" s="4" t="s">
        <v>242</v>
      </c>
      <c r="E839" s="4" t="s">
        <v>2733</v>
      </c>
      <c r="F839" s="4" t="s">
        <v>2732</v>
      </c>
      <c r="G839" s="4" t="s">
        <v>2263</v>
      </c>
      <c r="H839" s="9" t="s">
        <v>2263</v>
      </c>
      <c r="I839" s="4" t="s">
        <v>2317</v>
      </c>
      <c r="J839" s="4" t="s">
        <v>2316</v>
      </c>
      <c r="K839" s="4" t="s">
        <v>2263</v>
      </c>
      <c r="L839" s="10">
        <v>2</v>
      </c>
      <c r="M839" s="5">
        <v>1014.9652030456853</v>
      </c>
      <c r="N839" s="5">
        <v>2029.9304060913701</v>
      </c>
    </row>
    <row r="840" spans="1:14" x14ac:dyDescent="0.25">
      <c r="A840" s="4" t="s">
        <v>3174</v>
      </c>
      <c r="B840" s="4" t="s">
        <v>3173</v>
      </c>
      <c r="C840" s="4" t="s">
        <v>2320</v>
      </c>
      <c r="D840" s="4" t="s">
        <v>242</v>
      </c>
      <c r="E840" s="4" t="s">
        <v>2733</v>
      </c>
      <c r="F840" s="4" t="s">
        <v>2732</v>
      </c>
      <c r="G840" s="4" t="s">
        <v>2263</v>
      </c>
      <c r="H840" s="9" t="s">
        <v>2263</v>
      </c>
      <c r="I840" s="4" t="s">
        <v>2317</v>
      </c>
      <c r="J840" s="4" t="s">
        <v>2316</v>
      </c>
      <c r="K840" s="4" t="s">
        <v>2263</v>
      </c>
      <c r="L840" s="10">
        <v>2</v>
      </c>
      <c r="M840" s="5">
        <v>1014.9652030456853</v>
      </c>
      <c r="N840" s="5">
        <v>2029.9304060913701</v>
      </c>
    </row>
    <row r="841" spans="1:14" x14ac:dyDescent="0.25">
      <c r="A841" s="4" t="s">
        <v>3157</v>
      </c>
      <c r="B841" s="4" t="s">
        <v>3156</v>
      </c>
      <c r="C841" s="4" t="s">
        <v>2320</v>
      </c>
      <c r="D841" s="4" t="s">
        <v>242</v>
      </c>
      <c r="E841" s="4" t="s">
        <v>2733</v>
      </c>
      <c r="F841" s="4" t="s">
        <v>2732</v>
      </c>
      <c r="G841" s="4" t="s">
        <v>2263</v>
      </c>
      <c r="H841" s="9" t="s">
        <v>2263</v>
      </c>
      <c r="I841" s="4" t="s">
        <v>2317</v>
      </c>
      <c r="J841" s="4" t="s">
        <v>2316</v>
      </c>
      <c r="K841" s="4" t="s">
        <v>2263</v>
      </c>
      <c r="L841" s="10">
        <v>2</v>
      </c>
      <c r="M841" s="5">
        <v>1014.9652030456853</v>
      </c>
      <c r="N841" s="5">
        <v>2029.9304060913701</v>
      </c>
    </row>
    <row r="842" spans="1:14" x14ac:dyDescent="0.25">
      <c r="A842" s="4" t="s">
        <v>3104</v>
      </c>
      <c r="B842" s="4" t="s">
        <v>3103</v>
      </c>
      <c r="C842" s="4" t="s">
        <v>2320</v>
      </c>
      <c r="D842" s="4" t="s">
        <v>242</v>
      </c>
      <c r="E842" s="4" t="s">
        <v>2733</v>
      </c>
      <c r="F842" s="4" t="s">
        <v>2732</v>
      </c>
      <c r="G842" s="4" t="s">
        <v>2263</v>
      </c>
      <c r="H842" s="9" t="s">
        <v>2263</v>
      </c>
      <c r="I842" s="4" t="s">
        <v>2317</v>
      </c>
      <c r="J842" s="4" t="s">
        <v>2316</v>
      </c>
      <c r="K842" s="4" t="s">
        <v>2263</v>
      </c>
      <c r="L842" s="10">
        <v>2</v>
      </c>
      <c r="M842" s="5">
        <v>1014.9652030456853</v>
      </c>
      <c r="N842" s="5">
        <v>2029.9304060913701</v>
      </c>
    </row>
    <row r="843" spans="1:14" x14ac:dyDescent="0.25">
      <c r="A843" s="4" t="s">
        <v>3063</v>
      </c>
      <c r="B843" s="4" t="s">
        <v>3062</v>
      </c>
      <c r="C843" s="4" t="s">
        <v>2320</v>
      </c>
      <c r="D843" s="4" t="s">
        <v>242</v>
      </c>
      <c r="E843" s="4" t="s">
        <v>2733</v>
      </c>
      <c r="F843" s="4" t="s">
        <v>2732</v>
      </c>
      <c r="G843" s="4" t="s">
        <v>2263</v>
      </c>
      <c r="H843" s="9" t="s">
        <v>2263</v>
      </c>
      <c r="I843" s="4" t="s">
        <v>2317</v>
      </c>
      <c r="J843" s="4" t="s">
        <v>2316</v>
      </c>
      <c r="K843" s="4" t="s">
        <v>2263</v>
      </c>
      <c r="L843" s="10">
        <v>2</v>
      </c>
      <c r="M843" s="5">
        <v>1014.9652030456853</v>
      </c>
      <c r="N843" s="5">
        <v>2029.9304060913701</v>
      </c>
    </row>
    <row r="844" spans="1:14" x14ac:dyDescent="0.25">
      <c r="A844" s="4" t="s">
        <v>3051</v>
      </c>
      <c r="B844" s="4" t="s">
        <v>3050</v>
      </c>
      <c r="C844" s="4" t="s">
        <v>2320</v>
      </c>
      <c r="D844" s="4" t="s">
        <v>242</v>
      </c>
      <c r="E844" s="4" t="s">
        <v>2733</v>
      </c>
      <c r="F844" s="4" t="s">
        <v>2732</v>
      </c>
      <c r="G844" s="4" t="s">
        <v>2263</v>
      </c>
      <c r="H844" s="9" t="s">
        <v>2263</v>
      </c>
      <c r="I844" s="4" t="s">
        <v>2317</v>
      </c>
      <c r="J844" s="4" t="s">
        <v>2316</v>
      </c>
      <c r="K844" s="4" t="s">
        <v>2263</v>
      </c>
      <c r="L844" s="10">
        <v>2</v>
      </c>
      <c r="M844" s="5">
        <v>1014.9652030456853</v>
      </c>
      <c r="N844" s="5">
        <v>2029.9304060913701</v>
      </c>
    </row>
    <row r="845" spans="1:14" x14ac:dyDescent="0.25">
      <c r="A845" s="4" t="s">
        <v>2673</v>
      </c>
      <c r="B845" s="4" t="s">
        <v>2672</v>
      </c>
      <c r="C845" s="4" t="s">
        <v>2320</v>
      </c>
      <c r="D845" s="4" t="s">
        <v>242</v>
      </c>
      <c r="E845" s="4" t="s">
        <v>2733</v>
      </c>
      <c r="F845" s="4" t="s">
        <v>2732</v>
      </c>
      <c r="G845" s="4" t="s">
        <v>2263</v>
      </c>
      <c r="H845" s="9" t="s">
        <v>2263</v>
      </c>
      <c r="I845" s="4" t="s">
        <v>2317</v>
      </c>
      <c r="J845" s="4" t="s">
        <v>2316</v>
      </c>
      <c r="K845" s="4" t="s">
        <v>2263</v>
      </c>
      <c r="L845" s="10">
        <v>2</v>
      </c>
      <c r="M845" s="5">
        <v>1014.9652030456853</v>
      </c>
      <c r="N845" s="5">
        <v>2029.9304060913701</v>
      </c>
    </row>
    <row r="846" spans="1:14" x14ac:dyDescent="0.25">
      <c r="A846" s="4" t="s">
        <v>3801</v>
      </c>
      <c r="B846" s="4" t="s">
        <v>4965</v>
      </c>
      <c r="C846" s="4" t="s">
        <v>2320</v>
      </c>
      <c r="D846" s="4" t="s">
        <v>242</v>
      </c>
      <c r="E846" s="4" t="s">
        <v>2402</v>
      </c>
      <c r="F846" s="4" t="s">
        <v>2401</v>
      </c>
      <c r="G846" s="4" t="s">
        <v>2263</v>
      </c>
      <c r="H846" s="9" t="s">
        <v>2263</v>
      </c>
      <c r="I846" s="4" t="s">
        <v>2317</v>
      </c>
      <c r="J846" s="4" t="s">
        <v>2316</v>
      </c>
      <c r="K846" s="4" t="s">
        <v>2263</v>
      </c>
      <c r="L846" s="10">
        <v>2</v>
      </c>
      <c r="M846" s="5">
        <v>1015.8373846153846</v>
      </c>
      <c r="N846" s="5">
        <v>2031.6747692307699</v>
      </c>
    </row>
    <row r="847" spans="1:14" x14ac:dyDescent="0.25">
      <c r="A847" s="4" t="s">
        <v>2279</v>
      </c>
      <c r="B847" s="4" t="s">
        <v>4963</v>
      </c>
      <c r="C847" s="4" t="s">
        <v>2320</v>
      </c>
      <c r="D847" s="4" t="s">
        <v>242</v>
      </c>
      <c r="E847" s="4" t="s">
        <v>2402</v>
      </c>
      <c r="F847" s="4" t="s">
        <v>2401</v>
      </c>
      <c r="G847" s="4" t="s">
        <v>2263</v>
      </c>
      <c r="H847" s="9" t="s">
        <v>2263</v>
      </c>
      <c r="I847" s="4" t="s">
        <v>2317</v>
      </c>
      <c r="J847" s="4" t="s">
        <v>2316</v>
      </c>
      <c r="K847" s="4" t="s">
        <v>2263</v>
      </c>
      <c r="L847" s="10">
        <v>2</v>
      </c>
      <c r="M847" s="5">
        <v>1015.8373846153846</v>
      </c>
      <c r="N847" s="5">
        <v>2031.6747692307699</v>
      </c>
    </row>
    <row r="848" spans="1:14" x14ac:dyDescent="0.25">
      <c r="A848" s="4" t="s">
        <v>2481</v>
      </c>
      <c r="B848" s="4" t="s">
        <v>3217</v>
      </c>
      <c r="C848" s="4" t="s">
        <v>2320</v>
      </c>
      <c r="D848" s="4" t="s">
        <v>242</v>
      </c>
      <c r="E848" s="4" t="s">
        <v>2402</v>
      </c>
      <c r="F848" s="4" t="s">
        <v>2401</v>
      </c>
      <c r="G848" s="4" t="s">
        <v>2263</v>
      </c>
      <c r="H848" s="9" t="s">
        <v>2263</v>
      </c>
      <c r="I848" s="4" t="s">
        <v>2317</v>
      </c>
      <c r="J848" s="4" t="s">
        <v>2316</v>
      </c>
      <c r="K848" s="4" t="s">
        <v>2263</v>
      </c>
      <c r="L848" s="10">
        <v>2</v>
      </c>
      <c r="M848" s="5">
        <v>1015.8373846153846</v>
      </c>
      <c r="N848" s="5">
        <v>2031.6747692307699</v>
      </c>
    </row>
    <row r="849" spans="1:14" x14ac:dyDescent="0.25">
      <c r="A849" s="4" t="s">
        <v>3196</v>
      </c>
      <c r="B849" s="4" t="s">
        <v>3195</v>
      </c>
      <c r="C849" s="4" t="s">
        <v>2320</v>
      </c>
      <c r="D849" s="4" t="s">
        <v>242</v>
      </c>
      <c r="E849" s="4" t="s">
        <v>2402</v>
      </c>
      <c r="F849" s="4" t="s">
        <v>2401</v>
      </c>
      <c r="G849" s="4" t="s">
        <v>2263</v>
      </c>
      <c r="H849" s="9" t="s">
        <v>2263</v>
      </c>
      <c r="I849" s="4" t="s">
        <v>2317</v>
      </c>
      <c r="J849" s="4" t="s">
        <v>2316</v>
      </c>
      <c r="K849" s="4" t="s">
        <v>2263</v>
      </c>
      <c r="L849" s="10">
        <v>2</v>
      </c>
      <c r="M849" s="5">
        <v>1015.8373846153846</v>
      </c>
      <c r="N849" s="5">
        <v>2031.6747692307699</v>
      </c>
    </row>
    <row r="850" spans="1:14" x14ac:dyDescent="0.25">
      <c r="A850" s="4" t="s">
        <v>2384</v>
      </c>
      <c r="B850" s="4" t="s">
        <v>3187</v>
      </c>
      <c r="C850" s="4" t="s">
        <v>2320</v>
      </c>
      <c r="D850" s="4" t="s">
        <v>242</v>
      </c>
      <c r="E850" s="4" t="s">
        <v>2402</v>
      </c>
      <c r="F850" s="4" t="s">
        <v>2401</v>
      </c>
      <c r="G850" s="4" t="s">
        <v>2263</v>
      </c>
      <c r="H850" s="9" t="s">
        <v>2263</v>
      </c>
      <c r="I850" s="4" t="s">
        <v>2317</v>
      </c>
      <c r="J850" s="4" t="s">
        <v>2316</v>
      </c>
      <c r="K850" s="4" t="s">
        <v>2263</v>
      </c>
      <c r="L850" s="10">
        <v>2</v>
      </c>
      <c r="M850" s="5">
        <v>1015.8373846153846</v>
      </c>
      <c r="N850" s="5">
        <v>2031.6747692307699</v>
      </c>
    </row>
    <row r="851" spans="1:14" x14ac:dyDescent="0.25">
      <c r="A851" s="4" t="s">
        <v>3174</v>
      </c>
      <c r="B851" s="4" t="s">
        <v>3173</v>
      </c>
      <c r="C851" s="4" t="s">
        <v>2320</v>
      </c>
      <c r="D851" s="4" t="s">
        <v>242</v>
      </c>
      <c r="E851" s="4" t="s">
        <v>2402</v>
      </c>
      <c r="F851" s="4" t="s">
        <v>2401</v>
      </c>
      <c r="G851" s="4" t="s">
        <v>2263</v>
      </c>
      <c r="H851" s="9" t="s">
        <v>2263</v>
      </c>
      <c r="I851" s="4" t="s">
        <v>2317</v>
      </c>
      <c r="J851" s="4" t="s">
        <v>2316</v>
      </c>
      <c r="K851" s="4" t="s">
        <v>2263</v>
      </c>
      <c r="L851" s="10">
        <v>2</v>
      </c>
      <c r="M851" s="5">
        <v>1015.8373846153846</v>
      </c>
      <c r="N851" s="5">
        <v>2031.6747692307699</v>
      </c>
    </row>
    <row r="852" spans="1:14" x14ac:dyDescent="0.25">
      <c r="A852" s="4" t="s">
        <v>3145</v>
      </c>
      <c r="B852" s="4" t="s">
        <v>3144</v>
      </c>
      <c r="C852" s="4" t="s">
        <v>2320</v>
      </c>
      <c r="D852" s="4" t="s">
        <v>242</v>
      </c>
      <c r="E852" s="4" t="s">
        <v>2402</v>
      </c>
      <c r="F852" s="4" t="s">
        <v>2401</v>
      </c>
      <c r="G852" s="4" t="s">
        <v>2263</v>
      </c>
      <c r="H852" s="9" t="s">
        <v>2263</v>
      </c>
      <c r="I852" s="4" t="s">
        <v>2317</v>
      </c>
      <c r="J852" s="4" t="s">
        <v>2316</v>
      </c>
      <c r="K852" s="4" t="s">
        <v>2263</v>
      </c>
      <c r="L852" s="10">
        <v>2</v>
      </c>
      <c r="M852" s="5">
        <v>1015.8373846153846</v>
      </c>
      <c r="N852" s="5">
        <v>2031.6747692307699</v>
      </c>
    </row>
    <row r="853" spans="1:14" x14ac:dyDescent="0.25">
      <c r="A853" s="4" t="s">
        <v>3104</v>
      </c>
      <c r="B853" s="4" t="s">
        <v>3103</v>
      </c>
      <c r="C853" s="4" t="s">
        <v>2320</v>
      </c>
      <c r="D853" s="4" t="s">
        <v>242</v>
      </c>
      <c r="E853" s="4" t="s">
        <v>2402</v>
      </c>
      <c r="F853" s="4" t="s">
        <v>2401</v>
      </c>
      <c r="G853" s="4" t="s">
        <v>2263</v>
      </c>
      <c r="H853" s="9" t="s">
        <v>2263</v>
      </c>
      <c r="I853" s="4" t="s">
        <v>2317</v>
      </c>
      <c r="J853" s="4" t="s">
        <v>2316</v>
      </c>
      <c r="K853" s="4" t="s">
        <v>2263</v>
      </c>
      <c r="L853" s="10">
        <v>2</v>
      </c>
      <c r="M853" s="5">
        <v>1015.8373846153846</v>
      </c>
      <c r="N853" s="5">
        <v>2031.6747692307699</v>
      </c>
    </row>
    <row r="854" spans="1:14" x14ac:dyDescent="0.25">
      <c r="A854" s="4" t="s">
        <v>3063</v>
      </c>
      <c r="B854" s="4" t="s">
        <v>3062</v>
      </c>
      <c r="C854" s="4" t="s">
        <v>2320</v>
      </c>
      <c r="D854" s="4" t="s">
        <v>242</v>
      </c>
      <c r="E854" s="4" t="s">
        <v>2402</v>
      </c>
      <c r="F854" s="4" t="s">
        <v>2401</v>
      </c>
      <c r="G854" s="4" t="s">
        <v>2263</v>
      </c>
      <c r="H854" s="9" t="s">
        <v>2263</v>
      </c>
      <c r="I854" s="4" t="s">
        <v>2317</v>
      </c>
      <c r="J854" s="4" t="s">
        <v>2316</v>
      </c>
      <c r="K854" s="4" t="s">
        <v>2263</v>
      </c>
      <c r="L854" s="10">
        <v>2</v>
      </c>
      <c r="M854" s="5">
        <v>1015.8373846153846</v>
      </c>
      <c r="N854" s="5">
        <v>2031.6747692307699</v>
      </c>
    </row>
    <row r="855" spans="1:14" x14ac:dyDescent="0.25">
      <c r="A855" s="4" t="s">
        <v>3051</v>
      </c>
      <c r="B855" s="4" t="s">
        <v>3050</v>
      </c>
      <c r="C855" s="4" t="s">
        <v>2320</v>
      </c>
      <c r="D855" s="4" t="s">
        <v>242</v>
      </c>
      <c r="E855" s="4" t="s">
        <v>2402</v>
      </c>
      <c r="F855" s="4" t="s">
        <v>2401</v>
      </c>
      <c r="G855" s="4" t="s">
        <v>2263</v>
      </c>
      <c r="H855" s="9" t="s">
        <v>2263</v>
      </c>
      <c r="I855" s="4" t="s">
        <v>2317</v>
      </c>
      <c r="J855" s="4" t="s">
        <v>2316</v>
      </c>
      <c r="K855" s="4" t="s">
        <v>2263</v>
      </c>
      <c r="L855" s="10">
        <v>2</v>
      </c>
      <c r="M855" s="5">
        <v>1015.8373846153846</v>
      </c>
      <c r="N855" s="5">
        <v>2031.6747692307699</v>
      </c>
    </row>
    <row r="856" spans="1:14" x14ac:dyDescent="0.25">
      <c r="A856" s="4" t="s">
        <v>3024</v>
      </c>
      <c r="B856" s="4" t="s">
        <v>3023</v>
      </c>
      <c r="C856" s="4" t="s">
        <v>2320</v>
      </c>
      <c r="D856" s="4" t="s">
        <v>242</v>
      </c>
      <c r="E856" s="4" t="s">
        <v>2402</v>
      </c>
      <c r="F856" s="4" t="s">
        <v>2401</v>
      </c>
      <c r="G856" s="4" t="s">
        <v>2263</v>
      </c>
      <c r="H856" s="9" t="s">
        <v>2263</v>
      </c>
      <c r="I856" s="4" t="s">
        <v>2317</v>
      </c>
      <c r="J856" s="4" t="s">
        <v>2316</v>
      </c>
      <c r="K856" s="4" t="s">
        <v>2263</v>
      </c>
      <c r="L856" s="10">
        <v>2</v>
      </c>
      <c r="M856" s="5">
        <v>1015.8373846153846</v>
      </c>
      <c r="N856" s="5">
        <v>2031.6747692307699</v>
      </c>
    </row>
    <row r="857" spans="1:14" x14ac:dyDescent="0.25">
      <c r="A857" s="4" t="s">
        <v>2673</v>
      </c>
      <c r="B857" s="4" t="s">
        <v>2672</v>
      </c>
      <c r="C857" s="4" t="s">
        <v>2320</v>
      </c>
      <c r="D857" s="4" t="s">
        <v>242</v>
      </c>
      <c r="E857" s="4" t="s">
        <v>2402</v>
      </c>
      <c r="F857" s="4" t="s">
        <v>2401</v>
      </c>
      <c r="G857" s="4" t="s">
        <v>2263</v>
      </c>
      <c r="H857" s="9" t="s">
        <v>2263</v>
      </c>
      <c r="I857" s="4" t="s">
        <v>2317</v>
      </c>
      <c r="J857" s="4" t="s">
        <v>2316</v>
      </c>
      <c r="K857" s="4" t="s">
        <v>2263</v>
      </c>
      <c r="L857" s="10">
        <v>2</v>
      </c>
      <c r="M857" s="5">
        <v>1015.8373846153846</v>
      </c>
      <c r="N857" s="5">
        <v>2031.6747692307699</v>
      </c>
    </row>
    <row r="858" spans="1:14" x14ac:dyDescent="0.25">
      <c r="A858" s="4" t="s">
        <v>2386</v>
      </c>
      <c r="B858" s="4" t="s">
        <v>2385</v>
      </c>
      <c r="C858" s="4" t="s">
        <v>2320</v>
      </c>
      <c r="D858" s="4" t="s">
        <v>242</v>
      </c>
      <c r="E858" s="4" t="s">
        <v>2402</v>
      </c>
      <c r="F858" s="4" t="s">
        <v>2401</v>
      </c>
      <c r="G858" s="4" t="s">
        <v>2263</v>
      </c>
      <c r="H858" s="9" t="s">
        <v>2263</v>
      </c>
      <c r="I858" s="4" t="s">
        <v>2317</v>
      </c>
      <c r="J858" s="4" t="s">
        <v>2316</v>
      </c>
      <c r="K858" s="4" t="s">
        <v>2263</v>
      </c>
      <c r="L858" s="10">
        <v>2</v>
      </c>
      <c r="M858" s="5">
        <v>1015.8373846153846</v>
      </c>
      <c r="N858" s="5">
        <v>2031.6747692307699</v>
      </c>
    </row>
    <row r="859" spans="1:14" x14ac:dyDescent="0.25">
      <c r="A859" s="4" t="s">
        <v>3801</v>
      </c>
      <c r="B859" s="4" t="s">
        <v>4965</v>
      </c>
      <c r="C859" s="4" t="s">
        <v>2320</v>
      </c>
      <c r="D859" s="4" t="s">
        <v>242</v>
      </c>
      <c r="E859" s="4" t="s">
        <v>2737</v>
      </c>
      <c r="F859" s="4" t="s">
        <v>2736</v>
      </c>
      <c r="G859" s="4" t="s">
        <v>2263</v>
      </c>
      <c r="H859" s="9" t="s">
        <v>2263</v>
      </c>
      <c r="I859" s="4" t="s">
        <v>2317</v>
      </c>
      <c r="J859" s="4" t="s">
        <v>2316</v>
      </c>
      <c r="K859" s="4" t="s">
        <v>2263</v>
      </c>
      <c r="L859" s="10">
        <v>2</v>
      </c>
      <c r="M859" s="5">
        <v>1017.2755338691159</v>
      </c>
      <c r="N859" s="5">
        <v>2034.5510677382299</v>
      </c>
    </row>
    <row r="860" spans="1:14" x14ac:dyDescent="0.25">
      <c r="A860" s="4" t="s">
        <v>2279</v>
      </c>
      <c r="B860" s="4" t="s">
        <v>4963</v>
      </c>
      <c r="C860" s="4" t="s">
        <v>2320</v>
      </c>
      <c r="D860" s="4" t="s">
        <v>242</v>
      </c>
      <c r="E860" s="4" t="s">
        <v>2737</v>
      </c>
      <c r="F860" s="4" t="s">
        <v>2736</v>
      </c>
      <c r="G860" s="4" t="s">
        <v>2263</v>
      </c>
      <c r="H860" s="9" t="s">
        <v>2263</v>
      </c>
      <c r="I860" s="4" t="s">
        <v>2317</v>
      </c>
      <c r="J860" s="4" t="s">
        <v>2316</v>
      </c>
      <c r="K860" s="4" t="s">
        <v>2263</v>
      </c>
      <c r="L860" s="10">
        <v>2</v>
      </c>
      <c r="M860" s="5">
        <v>1017.2755338691159</v>
      </c>
      <c r="N860" s="5">
        <v>2034.5510677382299</v>
      </c>
    </row>
    <row r="861" spans="1:14" x14ac:dyDescent="0.25">
      <c r="A861" s="4" t="s">
        <v>2481</v>
      </c>
      <c r="B861" s="4" t="s">
        <v>3217</v>
      </c>
      <c r="C861" s="4" t="s">
        <v>2320</v>
      </c>
      <c r="D861" s="4" t="s">
        <v>242</v>
      </c>
      <c r="E861" s="4" t="s">
        <v>2737</v>
      </c>
      <c r="F861" s="4" t="s">
        <v>2736</v>
      </c>
      <c r="G861" s="4" t="s">
        <v>2263</v>
      </c>
      <c r="H861" s="9" t="s">
        <v>2263</v>
      </c>
      <c r="I861" s="4" t="s">
        <v>2317</v>
      </c>
      <c r="J861" s="4" t="s">
        <v>2316</v>
      </c>
      <c r="K861" s="4" t="s">
        <v>2263</v>
      </c>
      <c r="L861" s="10">
        <v>2</v>
      </c>
      <c r="M861" s="5">
        <v>1017.2755338691159</v>
      </c>
      <c r="N861" s="5">
        <v>2034.5510677382299</v>
      </c>
    </row>
    <row r="862" spans="1:14" x14ac:dyDescent="0.25">
      <c r="A862" s="4" t="s">
        <v>3196</v>
      </c>
      <c r="B862" s="4" t="s">
        <v>3195</v>
      </c>
      <c r="C862" s="4" t="s">
        <v>2320</v>
      </c>
      <c r="D862" s="4" t="s">
        <v>242</v>
      </c>
      <c r="E862" s="4" t="s">
        <v>2737</v>
      </c>
      <c r="F862" s="4" t="s">
        <v>2736</v>
      </c>
      <c r="G862" s="4" t="s">
        <v>2263</v>
      </c>
      <c r="H862" s="9" t="s">
        <v>2263</v>
      </c>
      <c r="I862" s="4" t="s">
        <v>2317</v>
      </c>
      <c r="J862" s="4" t="s">
        <v>2316</v>
      </c>
      <c r="K862" s="4" t="s">
        <v>2263</v>
      </c>
      <c r="L862" s="10">
        <v>2</v>
      </c>
      <c r="M862" s="5">
        <v>1017.2755338691159</v>
      </c>
      <c r="N862" s="5">
        <v>2034.5510677382299</v>
      </c>
    </row>
    <row r="863" spans="1:14" x14ac:dyDescent="0.25">
      <c r="A863" s="4" t="s">
        <v>2384</v>
      </c>
      <c r="B863" s="4" t="s">
        <v>3187</v>
      </c>
      <c r="C863" s="4" t="s">
        <v>2320</v>
      </c>
      <c r="D863" s="4" t="s">
        <v>242</v>
      </c>
      <c r="E863" s="4" t="s">
        <v>2737</v>
      </c>
      <c r="F863" s="4" t="s">
        <v>2736</v>
      </c>
      <c r="G863" s="4" t="s">
        <v>2263</v>
      </c>
      <c r="H863" s="9" t="s">
        <v>2263</v>
      </c>
      <c r="I863" s="4" t="s">
        <v>2317</v>
      </c>
      <c r="J863" s="4" t="s">
        <v>2316</v>
      </c>
      <c r="K863" s="4" t="s">
        <v>2263</v>
      </c>
      <c r="L863" s="10">
        <v>2</v>
      </c>
      <c r="M863" s="5">
        <v>1017.2755338691159</v>
      </c>
      <c r="N863" s="5">
        <v>2034.5510677382299</v>
      </c>
    </row>
    <row r="864" spans="1:14" x14ac:dyDescent="0.25">
      <c r="A864" s="4" t="s">
        <v>3174</v>
      </c>
      <c r="B864" s="4" t="s">
        <v>3173</v>
      </c>
      <c r="C864" s="4" t="s">
        <v>2320</v>
      </c>
      <c r="D864" s="4" t="s">
        <v>242</v>
      </c>
      <c r="E864" s="4" t="s">
        <v>2737</v>
      </c>
      <c r="F864" s="4" t="s">
        <v>2736</v>
      </c>
      <c r="G864" s="4" t="s">
        <v>2263</v>
      </c>
      <c r="H864" s="9" t="s">
        <v>2263</v>
      </c>
      <c r="I864" s="4" t="s">
        <v>2317</v>
      </c>
      <c r="J864" s="4" t="s">
        <v>2316</v>
      </c>
      <c r="K864" s="4" t="s">
        <v>2263</v>
      </c>
      <c r="L864" s="10">
        <v>2</v>
      </c>
      <c r="M864" s="5">
        <v>1017.2755338691159</v>
      </c>
      <c r="N864" s="5">
        <v>2034.5510677382299</v>
      </c>
    </row>
    <row r="865" spans="1:14" x14ac:dyDescent="0.25">
      <c r="A865" s="4" t="s">
        <v>3104</v>
      </c>
      <c r="B865" s="4" t="s">
        <v>3103</v>
      </c>
      <c r="C865" s="4" t="s">
        <v>2320</v>
      </c>
      <c r="D865" s="4" t="s">
        <v>242</v>
      </c>
      <c r="E865" s="4" t="s">
        <v>2737</v>
      </c>
      <c r="F865" s="4" t="s">
        <v>2736</v>
      </c>
      <c r="G865" s="4" t="s">
        <v>2263</v>
      </c>
      <c r="H865" s="9" t="s">
        <v>2263</v>
      </c>
      <c r="I865" s="4" t="s">
        <v>2317</v>
      </c>
      <c r="J865" s="4" t="s">
        <v>2316</v>
      </c>
      <c r="K865" s="4" t="s">
        <v>2263</v>
      </c>
      <c r="L865" s="10">
        <v>2</v>
      </c>
      <c r="M865" s="5">
        <v>1017.2755338691159</v>
      </c>
      <c r="N865" s="5">
        <v>2034.5510677382299</v>
      </c>
    </row>
    <row r="866" spans="1:14" x14ac:dyDescent="0.25">
      <c r="A866" s="4" t="s">
        <v>3063</v>
      </c>
      <c r="B866" s="4" t="s">
        <v>3062</v>
      </c>
      <c r="C866" s="4" t="s">
        <v>2320</v>
      </c>
      <c r="D866" s="4" t="s">
        <v>242</v>
      </c>
      <c r="E866" s="4" t="s">
        <v>2737</v>
      </c>
      <c r="F866" s="4" t="s">
        <v>2736</v>
      </c>
      <c r="G866" s="4" t="s">
        <v>2263</v>
      </c>
      <c r="H866" s="9" t="s">
        <v>2263</v>
      </c>
      <c r="I866" s="4" t="s">
        <v>2317</v>
      </c>
      <c r="J866" s="4" t="s">
        <v>2316</v>
      </c>
      <c r="K866" s="4" t="s">
        <v>2263</v>
      </c>
      <c r="L866" s="10">
        <v>2</v>
      </c>
      <c r="M866" s="5">
        <v>1017.2755338691159</v>
      </c>
      <c r="N866" s="5">
        <v>2034.5510677382299</v>
      </c>
    </row>
    <row r="867" spans="1:14" x14ac:dyDescent="0.25">
      <c r="A867" s="4" t="s">
        <v>3051</v>
      </c>
      <c r="B867" s="4" t="s">
        <v>3050</v>
      </c>
      <c r="C867" s="4" t="s">
        <v>2320</v>
      </c>
      <c r="D867" s="4" t="s">
        <v>242</v>
      </c>
      <c r="E867" s="4" t="s">
        <v>2737</v>
      </c>
      <c r="F867" s="4" t="s">
        <v>2736</v>
      </c>
      <c r="G867" s="4" t="s">
        <v>2263</v>
      </c>
      <c r="H867" s="9" t="s">
        <v>2263</v>
      </c>
      <c r="I867" s="4" t="s">
        <v>2317</v>
      </c>
      <c r="J867" s="4" t="s">
        <v>2316</v>
      </c>
      <c r="K867" s="4" t="s">
        <v>2263</v>
      </c>
      <c r="L867" s="10">
        <v>2</v>
      </c>
      <c r="M867" s="5">
        <v>1017.2755338691159</v>
      </c>
      <c r="N867" s="5">
        <v>2034.5510677382299</v>
      </c>
    </row>
    <row r="868" spans="1:14" x14ac:dyDescent="0.25">
      <c r="A868" s="4" t="s">
        <v>3024</v>
      </c>
      <c r="B868" s="4" t="s">
        <v>3023</v>
      </c>
      <c r="C868" s="4" t="s">
        <v>2320</v>
      </c>
      <c r="D868" s="4" t="s">
        <v>242</v>
      </c>
      <c r="E868" s="4" t="s">
        <v>2737</v>
      </c>
      <c r="F868" s="4" t="s">
        <v>2736</v>
      </c>
      <c r="G868" s="4" t="s">
        <v>2263</v>
      </c>
      <c r="H868" s="9" t="s">
        <v>2263</v>
      </c>
      <c r="I868" s="4" t="s">
        <v>2317</v>
      </c>
      <c r="J868" s="4" t="s">
        <v>2316</v>
      </c>
      <c r="K868" s="4" t="s">
        <v>2263</v>
      </c>
      <c r="L868" s="10">
        <v>2</v>
      </c>
      <c r="M868" s="5">
        <v>1017.2755338691159</v>
      </c>
      <c r="N868" s="5">
        <v>2034.5510677382299</v>
      </c>
    </row>
    <row r="869" spans="1:14" x14ac:dyDescent="0.25">
      <c r="A869" s="4" t="s">
        <v>2673</v>
      </c>
      <c r="B869" s="4" t="s">
        <v>2672</v>
      </c>
      <c r="C869" s="4" t="s">
        <v>2320</v>
      </c>
      <c r="D869" s="4" t="s">
        <v>242</v>
      </c>
      <c r="E869" s="4" t="s">
        <v>2737</v>
      </c>
      <c r="F869" s="4" t="s">
        <v>2736</v>
      </c>
      <c r="G869" s="4" t="s">
        <v>2263</v>
      </c>
      <c r="H869" s="9" t="s">
        <v>2263</v>
      </c>
      <c r="I869" s="4" t="s">
        <v>2317</v>
      </c>
      <c r="J869" s="4" t="s">
        <v>2316</v>
      </c>
      <c r="K869" s="4" t="s">
        <v>2263</v>
      </c>
      <c r="L869" s="10">
        <v>2</v>
      </c>
      <c r="M869" s="5">
        <v>1017.2755338691159</v>
      </c>
      <c r="N869" s="5">
        <v>2034.5510677382299</v>
      </c>
    </row>
    <row r="870" spans="1:14" x14ac:dyDescent="0.25">
      <c r="A870" s="4" t="s">
        <v>3801</v>
      </c>
      <c r="B870" s="4" t="s">
        <v>4965</v>
      </c>
      <c r="C870" s="4" t="s">
        <v>2320</v>
      </c>
      <c r="D870" s="4" t="s">
        <v>242</v>
      </c>
      <c r="E870" s="4" t="s">
        <v>2739</v>
      </c>
      <c r="F870" s="4" t="s">
        <v>2738</v>
      </c>
      <c r="G870" s="4" t="s">
        <v>2263</v>
      </c>
      <c r="H870" s="9" t="s">
        <v>2263</v>
      </c>
      <c r="I870" s="4" t="s">
        <v>2317</v>
      </c>
      <c r="J870" s="4" t="s">
        <v>2316</v>
      </c>
      <c r="K870" s="4" t="s">
        <v>2263</v>
      </c>
      <c r="L870" s="10">
        <v>2</v>
      </c>
      <c r="M870" s="5">
        <v>1018.0292795883362</v>
      </c>
      <c r="N870" s="5">
        <v>2036.0585591766701</v>
      </c>
    </row>
    <row r="871" spans="1:14" x14ac:dyDescent="0.25">
      <c r="A871" s="4" t="s">
        <v>2279</v>
      </c>
      <c r="B871" s="4" t="s">
        <v>4963</v>
      </c>
      <c r="C871" s="4" t="s">
        <v>2320</v>
      </c>
      <c r="D871" s="4" t="s">
        <v>242</v>
      </c>
      <c r="E871" s="4" t="s">
        <v>2739</v>
      </c>
      <c r="F871" s="4" t="s">
        <v>2738</v>
      </c>
      <c r="G871" s="4" t="s">
        <v>2263</v>
      </c>
      <c r="H871" s="9" t="s">
        <v>2263</v>
      </c>
      <c r="I871" s="4" t="s">
        <v>2317</v>
      </c>
      <c r="J871" s="4" t="s">
        <v>2316</v>
      </c>
      <c r="K871" s="4" t="s">
        <v>2263</v>
      </c>
      <c r="L871" s="10">
        <v>2</v>
      </c>
      <c r="M871" s="5">
        <v>1018.0292795883362</v>
      </c>
      <c r="N871" s="5">
        <v>2036.0585591766701</v>
      </c>
    </row>
    <row r="872" spans="1:14" x14ac:dyDescent="0.25">
      <c r="A872" s="4" t="s">
        <v>2481</v>
      </c>
      <c r="B872" s="4" t="s">
        <v>3217</v>
      </c>
      <c r="C872" s="4" t="s">
        <v>2320</v>
      </c>
      <c r="D872" s="4" t="s">
        <v>242</v>
      </c>
      <c r="E872" s="4" t="s">
        <v>2739</v>
      </c>
      <c r="F872" s="4" t="s">
        <v>2738</v>
      </c>
      <c r="G872" s="4" t="s">
        <v>2263</v>
      </c>
      <c r="H872" s="9" t="s">
        <v>2263</v>
      </c>
      <c r="I872" s="4" t="s">
        <v>2317</v>
      </c>
      <c r="J872" s="4" t="s">
        <v>2316</v>
      </c>
      <c r="K872" s="4" t="s">
        <v>2263</v>
      </c>
      <c r="L872" s="10">
        <v>2</v>
      </c>
      <c r="M872" s="5">
        <v>1018.0292795883362</v>
      </c>
      <c r="N872" s="5">
        <v>2036.0585591766701</v>
      </c>
    </row>
    <row r="873" spans="1:14" x14ac:dyDescent="0.25">
      <c r="A873" s="4" t="s">
        <v>3196</v>
      </c>
      <c r="B873" s="4" t="s">
        <v>3195</v>
      </c>
      <c r="C873" s="4" t="s">
        <v>2320</v>
      </c>
      <c r="D873" s="4" t="s">
        <v>242</v>
      </c>
      <c r="E873" s="4" t="s">
        <v>2739</v>
      </c>
      <c r="F873" s="4" t="s">
        <v>2738</v>
      </c>
      <c r="G873" s="4" t="s">
        <v>2263</v>
      </c>
      <c r="H873" s="9" t="s">
        <v>2263</v>
      </c>
      <c r="I873" s="4" t="s">
        <v>2317</v>
      </c>
      <c r="J873" s="4" t="s">
        <v>2316</v>
      </c>
      <c r="K873" s="4" t="s">
        <v>2263</v>
      </c>
      <c r="L873" s="10">
        <v>2</v>
      </c>
      <c r="M873" s="5">
        <v>1018.0292795883362</v>
      </c>
      <c r="N873" s="5">
        <v>2036.0585591766701</v>
      </c>
    </row>
    <row r="874" spans="1:14" x14ac:dyDescent="0.25">
      <c r="A874" s="4" t="s">
        <v>2384</v>
      </c>
      <c r="B874" s="4" t="s">
        <v>3187</v>
      </c>
      <c r="C874" s="4" t="s">
        <v>2320</v>
      </c>
      <c r="D874" s="4" t="s">
        <v>242</v>
      </c>
      <c r="E874" s="4" t="s">
        <v>2739</v>
      </c>
      <c r="F874" s="4" t="s">
        <v>2738</v>
      </c>
      <c r="G874" s="4" t="s">
        <v>2263</v>
      </c>
      <c r="H874" s="9" t="s">
        <v>2263</v>
      </c>
      <c r="I874" s="4" t="s">
        <v>2317</v>
      </c>
      <c r="J874" s="4" t="s">
        <v>2316</v>
      </c>
      <c r="K874" s="4" t="s">
        <v>2263</v>
      </c>
      <c r="L874" s="10">
        <v>2</v>
      </c>
      <c r="M874" s="5">
        <v>1018.0292795883362</v>
      </c>
      <c r="N874" s="5">
        <v>2036.0585591766701</v>
      </c>
    </row>
    <row r="875" spans="1:14" x14ac:dyDescent="0.25">
      <c r="A875" s="4" t="s">
        <v>3157</v>
      </c>
      <c r="B875" s="4" t="s">
        <v>3156</v>
      </c>
      <c r="C875" s="4" t="s">
        <v>2320</v>
      </c>
      <c r="D875" s="4" t="s">
        <v>242</v>
      </c>
      <c r="E875" s="4" t="s">
        <v>2739</v>
      </c>
      <c r="F875" s="4" t="s">
        <v>2738</v>
      </c>
      <c r="G875" s="4" t="s">
        <v>2263</v>
      </c>
      <c r="H875" s="9" t="s">
        <v>2263</v>
      </c>
      <c r="I875" s="4" t="s">
        <v>2317</v>
      </c>
      <c r="J875" s="4" t="s">
        <v>2316</v>
      </c>
      <c r="K875" s="4" t="s">
        <v>2263</v>
      </c>
      <c r="L875" s="10">
        <v>2</v>
      </c>
      <c r="M875" s="5">
        <v>1018.0292795883362</v>
      </c>
      <c r="N875" s="5">
        <v>2036.0585591766701</v>
      </c>
    </row>
    <row r="876" spans="1:14" x14ac:dyDescent="0.25">
      <c r="A876" s="4" t="s">
        <v>3104</v>
      </c>
      <c r="B876" s="4" t="s">
        <v>3103</v>
      </c>
      <c r="C876" s="4" t="s">
        <v>2320</v>
      </c>
      <c r="D876" s="4" t="s">
        <v>242</v>
      </c>
      <c r="E876" s="4" t="s">
        <v>2739</v>
      </c>
      <c r="F876" s="4" t="s">
        <v>2738</v>
      </c>
      <c r="G876" s="4" t="s">
        <v>2263</v>
      </c>
      <c r="H876" s="9" t="s">
        <v>2263</v>
      </c>
      <c r="I876" s="4" t="s">
        <v>2317</v>
      </c>
      <c r="J876" s="4" t="s">
        <v>2316</v>
      </c>
      <c r="K876" s="4" t="s">
        <v>2263</v>
      </c>
      <c r="L876" s="10">
        <v>2</v>
      </c>
      <c r="M876" s="5">
        <v>1018.0292795883362</v>
      </c>
      <c r="N876" s="5">
        <v>2036.0585591766701</v>
      </c>
    </row>
    <row r="877" spans="1:14" x14ac:dyDescent="0.25">
      <c r="A877" s="4" t="s">
        <v>3063</v>
      </c>
      <c r="B877" s="4" t="s">
        <v>3062</v>
      </c>
      <c r="C877" s="4" t="s">
        <v>2320</v>
      </c>
      <c r="D877" s="4" t="s">
        <v>242</v>
      </c>
      <c r="E877" s="4" t="s">
        <v>2739</v>
      </c>
      <c r="F877" s="4" t="s">
        <v>2738</v>
      </c>
      <c r="G877" s="4" t="s">
        <v>2263</v>
      </c>
      <c r="H877" s="9" t="s">
        <v>2263</v>
      </c>
      <c r="I877" s="4" t="s">
        <v>2317</v>
      </c>
      <c r="J877" s="4" t="s">
        <v>2316</v>
      </c>
      <c r="K877" s="4" t="s">
        <v>2263</v>
      </c>
      <c r="L877" s="10">
        <v>2</v>
      </c>
      <c r="M877" s="5">
        <v>1018.0292795883362</v>
      </c>
      <c r="N877" s="5">
        <v>2036.0585591766701</v>
      </c>
    </row>
    <row r="878" spans="1:14" x14ac:dyDescent="0.25">
      <c r="A878" s="4" t="s">
        <v>3051</v>
      </c>
      <c r="B878" s="4" t="s">
        <v>3050</v>
      </c>
      <c r="C878" s="4" t="s">
        <v>2320</v>
      </c>
      <c r="D878" s="4" t="s">
        <v>242</v>
      </c>
      <c r="E878" s="4" t="s">
        <v>2739</v>
      </c>
      <c r="F878" s="4" t="s">
        <v>2738</v>
      </c>
      <c r="G878" s="4" t="s">
        <v>2263</v>
      </c>
      <c r="H878" s="9" t="s">
        <v>2263</v>
      </c>
      <c r="I878" s="4" t="s">
        <v>2317</v>
      </c>
      <c r="J878" s="4" t="s">
        <v>2316</v>
      </c>
      <c r="K878" s="4" t="s">
        <v>2263</v>
      </c>
      <c r="L878" s="10">
        <v>2</v>
      </c>
      <c r="M878" s="5">
        <v>1018.0292795883362</v>
      </c>
      <c r="N878" s="5">
        <v>2036.0585591766701</v>
      </c>
    </row>
    <row r="879" spans="1:14" x14ac:dyDescent="0.25">
      <c r="A879" s="4" t="s">
        <v>3024</v>
      </c>
      <c r="B879" s="4" t="s">
        <v>3023</v>
      </c>
      <c r="C879" s="4" t="s">
        <v>2320</v>
      </c>
      <c r="D879" s="4" t="s">
        <v>242</v>
      </c>
      <c r="E879" s="4" t="s">
        <v>2739</v>
      </c>
      <c r="F879" s="4" t="s">
        <v>2738</v>
      </c>
      <c r="G879" s="4" t="s">
        <v>2263</v>
      </c>
      <c r="H879" s="9" t="s">
        <v>2263</v>
      </c>
      <c r="I879" s="4" t="s">
        <v>2317</v>
      </c>
      <c r="J879" s="4" t="s">
        <v>2316</v>
      </c>
      <c r="K879" s="4" t="s">
        <v>2263</v>
      </c>
      <c r="L879" s="10">
        <v>2</v>
      </c>
      <c r="M879" s="5">
        <v>1018.0292795883362</v>
      </c>
      <c r="N879" s="5">
        <v>2036.0585591766701</v>
      </c>
    </row>
    <row r="880" spans="1:14" x14ac:dyDescent="0.25">
      <c r="A880" s="4" t="s">
        <v>2673</v>
      </c>
      <c r="B880" s="4" t="s">
        <v>2672</v>
      </c>
      <c r="C880" s="4" t="s">
        <v>2320</v>
      </c>
      <c r="D880" s="4" t="s">
        <v>242</v>
      </c>
      <c r="E880" s="4" t="s">
        <v>2739</v>
      </c>
      <c r="F880" s="4" t="s">
        <v>2738</v>
      </c>
      <c r="G880" s="4" t="s">
        <v>2263</v>
      </c>
      <c r="H880" s="9" t="s">
        <v>2263</v>
      </c>
      <c r="I880" s="4" t="s">
        <v>2317</v>
      </c>
      <c r="J880" s="4" t="s">
        <v>2316</v>
      </c>
      <c r="K880" s="4" t="s">
        <v>2263</v>
      </c>
      <c r="L880" s="10">
        <v>2</v>
      </c>
      <c r="M880" s="5">
        <v>1018.0292795883362</v>
      </c>
      <c r="N880" s="5">
        <v>2036.0585591766701</v>
      </c>
    </row>
    <row r="881" spans="1:14" x14ac:dyDescent="0.25">
      <c r="A881" s="4" t="s">
        <v>2481</v>
      </c>
      <c r="B881" s="4" t="s">
        <v>3217</v>
      </c>
      <c r="C881" s="4" t="s">
        <v>2320</v>
      </c>
      <c r="D881" s="4" t="s">
        <v>242</v>
      </c>
      <c r="E881" s="4" t="s">
        <v>2388</v>
      </c>
      <c r="F881" s="4" t="s">
        <v>2387</v>
      </c>
      <c r="G881" s="4" t="s">
        <v>2263</v>
      </c>
      <c r="H881" s="9" t="s">
        <v>2263</v>
      </c>
      <c r="I881" s="4" t="s">
        <v>2317</v>
      </c>
      <c r="J881" s="4" t="s">
        <v>2316</v>
      </c>
      <c r="K881" s="4" t="s">
        <v>2263</v>
      </c>
      <c r="L881" s="10">
        <v>2</v>
      </c>
      <c r="M881" s="5">
        <v>1061.3860465116279</v>
      </c>
      <c r="N881" s="5">
        <v>2122.7720930232599</v>
      </c>
    </row>
    <row r="882" spans="1:14" x14ac:dyDescent="0.25">
      <c r="A882" s="4" t="s">
        <v>2320</v>
      </c>
      <c r="B882" s="4" t="s">
        <v>4967</v>
      </c>
      <c r="C882" s="4" t="s">
        <v>2320</v>
      </c>
      <c r="D882" s="4" t="s">
        <v>242</v>
      </c>
      <c r="E882" s="4" t="s">
        <v>3034</v>
      </c>
      <c r="F882" s="4" t="s">
        <v>3033</v>
      </c>
      <c r="G882" s="4" t="s">
        <v>2263</v>
      </c>
      <c r="H882" s="9" t="s">
        <v>2263</v>
      </c>
      <c r="I882" s="4" t="s">
        <v>2317</v>
      </c>
      <c r="J882" s="4" t="s">
        <v>2316</v>
      </c>
      <c r="K882" s="4" t="s">
        <v>2263</v>
      </c>
      <c r="L882" s="10">
        <v>2</v>
      </c>
      <c r="M882" s="5">
        <v>1072.3889285714286</v>
      </c>
      <c r="N882" s="5">
        <v>2144.7778571428598</v>
      </c>
    </row>
    <row r="883" spans="1:14" x14ac:dyDescent="0.25">
      <c r="A883" s="4" t="s">
        <v>2344</v>
      </c>
      <c r="B883" s="4" t="s">
        <v>5154</v>
      </c>
      <c r="C883" s="4" t="s">
        <v>2320</v>
      </c>
      <c r="D883" s="4" t="s">
        <v>242</v>
      </c>
      <c r="E883" s="4" t="s">
        <v>3851</v>
      </c>
      <c r="F883" s="4" t="s">
        <v>3850</v>
      </c>
      <c r="G883" s="4" t="s">
        <v>2263</v>
      </c>
      <c r="H883" s="9" t="s">
        <v>2263</v>
      </c>
      <c r="I883" s="4" t="s">
        <v>2317</v>
      </c>
      <c r="J883" s="4" t="s">
        <v>2316</v>
      </c>
      <c r="K883" s="4" t="s">
        <v>2263</v>
      </c>
      <c r="L883" s="10">
        <v>2</v>
      </c>
      <c r="M883" s="5">
        <v>1125</v>
      </c>
      <c r="N883" s="5">
        <v>2250</v>
      </c>
    </row>
    <row r="884" spans="1:14" x14ac:dyDescent="0.25">
      <c r="A884" s="4" t="s">
        <v>2344</v>
      </c>
      <c r="B884" s="4" t="s">
        <v>5154</v>
      </c>
      <c r="C884" s="4" t="s">
        <v>2344</v>
      </c>
      <c r="D884" s="4" t="s">
        <v>237</v>
      </c>
      <c r="E884" s="4" t="s">
        <v>4876</v>
      </c>
      <c r="F884" s="4" t="s">
        <v>4875</v>
      </c>
      <c r="G884" s="4" t="s">
        <v>2263</v>
      </c>
      <c r="H884" s="9" t="s">
        <v>2263</v>
      </c>
      <c r="I884" s="4" t="s">
        <v>2263</v>
      </c>
      <c r="J884" s="4" t="s">
        <v>2263</v>
      </c>
      <c r="K884" s="4" t="s">
        <v>4619</v>
      </c>
      <c r="L884" s="10">
        <v>2</v>
      </c>
      <c r="M884" s="5">
        <v>1188</v>
      </c>
      <c r="N884" s="5">
        <v>2376</v>
      </c>
    </row>
    <row r="885" spans="1:14" x14ac:dyDescent="0.25">
      <c r="A885" s="4" t="s">
        <v>3801</v>
      </c>
      <c r="B885" s="4" t="s">
        <v>4965</v>
      </c>
      <c r="C885" s="4" t="s">
        <v>2320</v>
      </c>
      <c r="D885" s="4" t="s">
        <v>242</v>
      </c>
      <c r="E885" s="4" t="s">
        <v>2735</v>
      </c>
      <c r="F885" s="4" t="s">
        <v>2734</v>
      </c>
      <c r="G885" s="4" t="s">
        <v>2263</v>
      </c>
      <c r="H885" s="9" t="s">
        <v>2263</v>
      </c>
      <c r="I885" s="4" t="s">
        <v>2317</v>
      </c>
      <c r="J885" s="4" t="s">
        <v>2316</v>
      </c>
      <c r="K885" s="4" t="s">
        <v>2263</v>
      </c>
      <c r="L885" s="10">
        <v>2</v>
      </c>
      <c r="M885" s="5">
        <v>1204.1314579901152</v>
      </c>
      <c r="N885" s="5">
        <v>2408.26291598023</v>
      </c>
    </row>
    <row r="886" spans="1:14" x14ac:dyDescent="0.25">
      <c r="A886" s="4" t="s">
        <v>2279</v>
      </c>
      <c r="B886" s="4" t="s">
        <v>4963</v>
      </c>
      <c r="C886" s="4" t="s">
        <v>2320</v>
      </c>
      <c r="D886" s="4" t="s">
        <v>242</v>
      </c>
      <c r="E886" s="4" t="s">
        <v>2735</v>
      </c>
      <c r="F886" s="4" t="s">
        <v>2734</v>
      </c>
      <c r="G886" s="4" t="s">
        <v>2263</v>
      </c>
      <c r="H886" s="9" t="s">
        <v>2263</v>
      </c>
      <c r="I886" s="4" t="s">
        <v>2317</v>
      </c>
      <c r="J886" s="4" t="s">
        <v>2316</v>
      </c>
      <c r="K886" s="4" t="s">
        <v>2263</v>
      </c>
      <c r="L886" s="10">
        <v>2</v>
      </c>
      <c r="M886" s="5">
        <v>1204.1314579901152</v>
      </c>
      <c r="N886" s="5">
        <v>2408.26291598023</v>
      </c>
    </row>
    <row r="887" spans="1:14" x14ac:dyDescent="0.25">
      <c r="A887" s="4" t="s">
        <v>2481</v>
      </c>
      <c r="B887" s="4" t="s">
        <v>3217</v>
      </c>
      <c r="C887" s="4" t="s">
        <v>2320</v>
      </c>
      <c r="D887" s="4" t="s">
        <v>242</v>
      </c>
      <c r="E887" s="4" t="s">
        <v>2735</v>
      </c>
      <c r="F887" s="4" t="s">
        <v>2734</v>
      </c>
      <c r="G887" s="4" t="s">
        <v>2263</v>
      </c>
      <c r="H887" s="9" t="s">
        <v>2263</v>
      </c>
      <c r="I887" s="4" t="s">
        <v>2317</v>
      </c>
      <c r="J887" s="4" t="s">
        <v>2316</v>
      </c>
      <c r="K887" s="4" t="s">
        <v>2263</v>
      </c>
      <c r="L887" s="10">
        <v>2</v>
      </c>
      <c r="M887" s="5">
        <v>1204.1314579901152</v>
      </c>
      <c r="N887" s="5">
        <v>2408.26291598023</v>
      </c>
    </row>
    <row r="888" spans="1:14" x14ac:dyDescent="0.25">
      <c r="A888" s="4" t="s">
        <v>3196</v>
      </c>
      <c r="B888" s="4" t="s">
        <v>3195</v>
      </c>
      <c r="C888" s="4" t="s">
        <v>2320</v>
      </c>
      <c r="D888" s="4" t="s">
        <v>242</v>
      </c>
      <c r="E888" s="4" t="s">
        <v>2735</v>
      </c>
      <c r="F888" s="4" t="s">
        <v>2734</v>
      </c>
      <c r="G888" s="4" t="s">
        <v>2263</v>
      </c>
      <c r="H888" s="9" t="s">
        <v>2263</v>
      </c>
      <c r="I888" s="4" t="s">
        <v>2317</v>
      </c>
      <c r="J888" s="4" t="s">
        <v>2316</v>
      </c>
      <c r="K888" s="4" t="s">
        <v>2263</v>
      </c>
      <c r="L888" s="10">
        <v>2</v>
      </c>
      <c r="M888" s="5">
        <v>1204.1314579901152</v>
      </c>
      <c r="N888" s="5">
        <v>2408.26291598023</v>
      </c>
    </row>
    <row r="889" spans="1:14" x14ac:dyDescent="0.25">
      <c r="A889" s="4" t="s">
        <v>2384</v>
      </c>
      <c r="B889" s="4" t="s">
        <v>3187</v>
      </c>
      <c r="C889" s="4" t="s">
        <v>2320</v>
      </c>
      <c r="D889" s="4" t="s">
        <v>242</v>
      </c>
      <c r="E889" s="4" t="s">
        <v>2735</v>
      </c>
      <c r="F889" s="4" t="s">
        <v>2734</v>
      </c>
      <c r="G889" s="4" t="s">
        <v>2263</v>
      </c>
      <c r="H889" s="9" t="s">
        <v>2263</v>
      </c>
      <c r="I889" s="4" t="s">
        <v>2317</v>
      </c>
      <c r="J889" s="4" t="s">
        <v>2316</v>
      </c>
      <c r="K889" s="4" t="s">
        <v>2263</v>
      </c>
      <c r="L889" s="10">
        <v>2</v>
      </c>
      <c r="M889" s="5">
        <v>1204.1314579901152</v>
      </c>
      <c r="N889" s="5">
        <v>2408.26291598023</v>
      </c>
    </row>
    <row r="890" spans="1:14" x14ac:dyDescent="0.25">
      <c r="A890" s="4" t="s">
        <v>3174</v>
      </c>
      <c r="B890" s="4" t="s">
        <v>3173</v>
      </c>
      <c r="C890" s="4" t="s">
        <v>2320</v>
      </c>
      <c r="D890" s="4" t="s">
        <v>242</v>
      </c>
      <c r="E890" s="4" t="s">
        <v>2735</v>
      </c>
      <c r="F890" s="4" t="s">
        <v>2734</v>
      </c>
      <c r="G890" s="4" t="s">
        <v>2263</v>
      </c>
      <c r="H890" s="9" t="s">
        <v>2263</v>
      </c>
      <c r="I890" s="4" t="s">
        <v>2317</v>
      </c>
      <c r="J890" s="4" t="s">
        <v>2316</v>
      </c>
      <c r="K890" s="4" t="s">
        <v>2263</v>
      </c>
      <c r="L890" s="10">
        <v>2</v>
      </c>
      <c r="M890" s="5">
        <v>1204.1314579901152</v>
      </c>
      <c r="N890" s="5">
        <v>2408.26291598023</v>
      </c>
    </row>
    <row r="891" spans="1:14" x14ac:dyDescent="0.25">
      <c r="A891" s="4" t="s">
        <v>3104</v>
      </c>
      <c r="B891" s="4" t="s">
        <v>3103</v>
      </c>
      <c r="C891" s="4" t="s">
        <v>2320</v>
      </c>
      <c r="D891" s="4" t="s">
        <v>242</v>
      </c>
      <c r="E891" s="4" t="s">
        <v>2735</v>
      </c>
      <c r="F891" s="4" t="s">
        <v>2734</v>
      </c>
      <c r="G891" s="4" t="s">
        <v>2263</v>
      </c>
      <c r="H891" s="9" t="s">
        <v>2263</v>
      </c>
      <c r="I891" s="4" t="s">
        <v>2317</v>
      </c>
      <c r="J891" s="4" t="s">
        <v>2316</v>
      </c>
      <c r="K891" s="4" t="s">
        <v>2263</v>
      </c>
      <c r="L891" s="10">
        <v>2</v>
      </c>
      <c r="M891" s="5">
        <v>1204.1314579901152</v>
      </c>
      <c r="N891" s="5">
        <v>2408.26291598023</v>
      </c>
    </row>
    <row r="892" spans="1:14" x14ac:dyDescent="0.25">
      <c r="A892" s="4" t="s">
        <v>3063</v>
      </c>
      <c r="B892" s="4" t="s">
        <v>3062</v>
      </c>
      <c r="C892" s="4" t="s">
        <v>2320</v>
      </c>
      <c r="D892" s="4" t="s">
        <v>242</v>
      </c>
      <c r="E892" s="4" t="s">
        <v>2735</v>
      </c>
      <c r="F892" s="4" t="s">
        <v>2734</v>
      </c>
      <c r="G892" s="4" t="s">
        <v>2263</v>
      </c>
      <c r="H892" s="9" t="s">
        <v>2263</v>
      </c>
      <c r="I892" s="4" t="s">
        <v>2317</v>
      </c>
      <c r="J892" s="4" t="s">
        <v>2316</v>
      </c>
      <c r="K892" s="4" t="s">
        <v>2263</v>
      </c>
      <c r="L892" s="10">
        <v>2</v>
      </c>
      <c r="M892" s="5">
        <v>1204.1314579901152</v>
      </c>
      <c r="N892" s="5">
        <v>2408.26291598023</v>
      </c>
    </row>
    <row r="893" spans="1:14" x14ac:dyDescent="0.25">
      <c r="A893" s="4" t="s">
        <v>3051</v>
      </c>
      <c r="B893" s="4" t="s">
        <v>3050</v>
      </c>
      <c r="C893" s="4" t="s">
        <v>2320</v>
      </c>
      <c r="D893" s="4" t="s">
        <v>242</v>
      </c>
      <c r="E893" s="4" t="s">
        <v>2735</v>
      </c>
      <c r="F893" s="4" t="s">
        <v>2734</v>
      </c>
      <c r="G893" s="4" t="s">
        <v>2263</v>
      </c>
      <c r="H893" s="9" t="s">
        <v>2263</v>
      </c>
      <c r="I893" s="4" t="s">
        <v>2317</v>
      </c>
      <c r="J893" s="4" t="s">
        <v>2316</v>
      </c>
      <c r="K893" s="4" t="s">
        <v>2263</v>
      </c>
      <c r="L893" s="10">
        <v>2</v>
      </c>
      <c r="M893" s="5">
        <v>1204.1314579901152</v>
      </c>
      <c r="N893" s="5">
        <v>2408.26291598023</v>
      </c>
    </row>
    <row r="894" spans="1:14" x14ac:dyDescent="0.25">
      <c r="A894" s="4" t="s">
        <v>3024</v>
      </c>
      <c r="B894" s="4" t="s">
        <v>3023</v>
      </c>
      <c r="C894" s="4" t="s">
        <v>2320</v>
      </c>
      <c r="D894" s="4" t="s">
        <v>242</v>
      </c>
      <c r="E894" s="4" t="s">
        <v>2735</v>
      </c>
      <c r="F894" s="4" t="s">
        <v>2734</v>
      </c>
      <c r="G894" s="4" t="s">
        <v>2263</v>
      </c>
      <c r="H894" s="9" t="s">
        <v>2263</v>
      </c>
      <c r="I894" s="4" t="s">
        <v>2317</v>
      </c>
      <c r="J894" s="4" t="s">
        <v>2316</v>
      </c>
      <c r="K894" s="4" t="s">
        <v>2263</v>
      </c>
      <c r="L894" s="10">
        <v>2</v>
      </c>
      <c r="M894" s="5">
        <v>1204.1314579901152</v>
      </c>
      <c r="N894" s="5">
        <v>2408.26291598023</v>
      </c>
    </row>
    <row r="895" spans="1:14" x14ac:dyDescent="0.25">
      <c r="A895" s="4" t="s">
        <v>2930</v>
      </c>
      <c r="B895" s="4" t="s">
        <v>2929</v>
      </c>
      <c r="C895" s="4" t="s">
        <v>2320</v>
      </c>
      <c r="D895" s="4" t="s">
        <v>242</v>
      </c>
      <c r="E895" s="4" t="s">
        <v>2735</v>
      </c>
      <c r="F895" s="4" t="s">
        <v>2734</v>
      </c>
      <c r="G895" s="4" t="s">
        <v>2263</v>
      </c>
      <c r="H895" s="9" t="s">
        <v>2263</v>
      </c>
      <c r="I895" s="4" t="s">
        <v>2317</v>
      </c>
      <c r="J895" s="4" t="s">
        <v>2316</v>
      </c>
      <c r="K895" s="4" t="s">
        <v>2263</v>
      </c>
      <c r="L895" s="10">
        <v>2</v>
      </c>
      <c r="M895" s="5">
        <v>1204.1314579901152</v>
      </c>
      <c r="N895" s="5">
        <v>2408.26291598023</v>
      </c>
    </row>
    <row r="896" spans="1:14" x14ac:dyDescent="0.25">
      <c r="A896" s="4" t="s">
        <v>2673</v>
      </c>
      <c r="B896" s="4" t="s">
        <v>2672</v>
      </c>
      <c r="C896" s="4" t="s">
        <v>2320</v>
      </c>
      <c r="D896" s="4" t="s">
        <v>242</v>
      </c>
      <c r="E896" s="4" t="s">
        <v>2735</v>
      </c>
      <c r="F896" s="4" t="s">
        <v>2734</v>
      </c>
      <c r="G896" s="4" t="s">
        <v>2263</v>
      </c>
      <c r="H896" s="9" t="s">
        <v>2263</v>
      </c>
      <c r="I896" s="4" t="s">
        <v>2317</v>
      </c>
      <c r="J896" s="4" t="s">
        <v>2316</v>
      </c>
      <c r="K896" s="4" t="s">
        <v>2263</v>
      </c>
      <c r="L896" s="10">
        <v>2</v>
      </c>
      <c r="M896" s="5">
        <v>1204.1314579901152</v>
      </c>
      <c r="N896" s="5">
        <v>2408.26291598023</v>
      </c>
    </row>
    <row r="897" spans="1:14" x14ac:dyDescent="0.25">
      <c r="A897" s="4" t="s">
        <v>3104</v>
      </c>
      <c r="B897" s="4" t="s">
        <v>3103</v>
      </c>
      <c r="C897" s="4" t="s">
        <v>2320</v>
      </c>
      <c r="D897" s="4" t="s">
        <v>242</v>
      </c>
      <c r="E897" s="4" t="s">
        <v>2701</v>
      </c>
      <c r="F897" s="4" t="s">
        <v>2700</v>
      </c>
      <c r="G897" s="4" t="s">
        <v>2263</v>
      </c>
      <c r="H897" s="9" t="s">
        <v>2263</v>
      </c>
      <c r="I897" s="4" t="s">
        <v>2317</v>
      </c>
      <c r="J897" s="4" t="s">
        <v>2316</v>
      </c>
      <c r="K897" s="4" t="s">
        <v>2263</v>
      </c>
      <c r="L897" s="10">
        <v>2</v>
      </c>
      <c r="M897" s="5">
        <v>1323.9450549450551</v>
      </c>
      <c r="N897" s="5">
        <v>2647.8901098901101</v>
      </c>
    </row>
    <row r="898" spans="1:14" x14ac:dyDescent="0.25">
      <c r="A898" s="4" t="s">
        <v>3174</v>
      </c>
      <c r="B898" s="4" t="s">
        <v>3173</v>
      </c>
      <c r="C898" s="4" t="s">
        <v>2344</v>
      </c>
      <c r="D898" s="4" t="s">
        <v>237</v>
      </c>
      <c r="E898" s="4" t="s">
        <v>2757</v>
      </c>
      <c r="F898" s="4" t="s">
        <v>2756</v>
      </c>
      <c r="G898" s="4" t="s">
        <v>2263</v>
      </c>
      <c r="H898" s="9" t="s">
        <v>2263</v>
      </c>
      <c r="I898" s="4" t="s">
        <v>2263</v>
      </c>
      <c r="J898" s="4" t="s">
        <v>2263</v>
      </c>
      <c r="K898" s="4" t="s">
        <v>2755</v>
      </c>
      <c r="L898" s="10">
        <v>2</v>
      </c>
      <c r="M898" s="5">
        <v>1486.123103448276</v>
      </c>
      <c r="N898" s="5">
        <v>2972.2462068965501</v>
      </c>
    </row>
    <row r="899" spans="1:14" x14ac:dyDescent="0.25">
      <c r="A899" s="4" t="s">
        <v>2481</v>
      </c>
      <c r="B899" s="4" t="s">
        <v>3217</v>
      </c>
      <c r="C899" s="4" t="s">
        <v>2320</v>
      </c>
      <c r="D899" s="4" t="s">
        <v>242</v>
      </c>
      <c r="E899" s="4" t="s">
        <v>2390</v>
      </c>
      <c r="F899" s="4" t="s">
        <v>2389</v>
      </c>
      <c r="G899" s="4" t="s">
        <v>2263</v>
      </c>
      <c r="H899" s="9" t="s">
        <v>2263</v>
      </c>
      <c r="I899" s="4" t="s">
        <v>2317</v>
      </c>
      <c r="J899" s="4" t="s">
        <v>2316</v>
      </c>
      <c r="K899" s="4" t="s">
        <v>2263</v>
      </c>
      <c r="L899" s="10">
        <v>2</v>
      </c>
      <c r="M899" s="5">
        <v>1537.0346428571427</v>
      </c>
      <c r="N899" s="5">
        <v>3074.0692857142899</v>
      </c>
    </row>
    <row r="900" spans="1:14" x14ac:dyDescent="0.25">
      <c r="A900" s="4" t="s">
        <v>3801</v>
      </c>
      <c r="B900" s="4" t="s">
        <v>4965</v>
      </c>
      <c r="C900" s="4" t="s">
        <v>2320</v>
      </c>
      <c r="D900" s="4" t="s">
        <v>242</v>
      </c>
      <c r="E900" s="4" t="s">
        <v>2711</v>
      </c>
      <c r="F900" s="4" t="s">
        <v>2710</v>
      </c>
      <c r="G900" s="4" t="s">
        <v>2263</v>
      </c>
      <c r="H900" s="9" t="s">
        <v>2263</v>
      </c>
      <c r="I900" s="4" t="s">
        <v>2317</v>
      </c>
      <c r="J900" s="4" t="s">
        <v>2316</v>
      </c>
      <c r="K900" s="4" t="s">
        <v>2263</v>
      </c>
      <c r="L900" s="10">
        <v>2</v>
      </c>
      <c r="M900" s="5">
        <v>1558.1416494845362</v>
      </c>
      <c r="N900" s="5">
        <v>3116.2832989690701</v>
      </c>
    </row>
    <row r="901" spans="1:14" x14ac:dyDescent="0.25">
      <c r="A901" s="4" t="s">
        <v>2279</v>
      </c>
      <c r="B901" s="4" t="s">
        <v>4963</v>
      </c>
      <c r="C901" s="4" t="s">
        <v>2320</v>
      </c>
      <c r="D901" s="4" t="s">
        <v>242</v>
      </c>
      <c r="E901" s="4" t="s">
        <v>2711</v>
      </c>
      <c r="F901" s="4" t="s">
        <v>2710</v>
      </c>
      <c r="G901" s="4" t="s">
        <v>2263</v>
      </c>
      <c r="H901" s="9" t="s">
        <v>2263</v>
      </c>
      <c r="I901" s="4" t="s">
        <v>2317</v>
      </c>
      <c r="J901" s="4" t="s">
        <v>2316</v>
      </c>
      <c r="K901" s="4" t="s">
        <v>2263</v>
      </c>
      <c r="L901" s="10">
        <v>2</v>
      </c>
      <c r="M901" s="5">
        <v>1558.1416494845362</v>
      </c>
      <c r="N901" s="5">
        <v>3116.2832989690701</v>
      </c>
    </row>
    <row r="902" spans="1:14" x14ac:dyDescent="0.25">
      <c r="A902" s="4" t="s">
        <v>2481</v>
      </c>
      <c r="B902" s="4" t="s">
        <v>3217</v>
      </c>
      <c r="C902" s="4" t="s">
        <v>2320</v>
      </c>
      <c r="D902" s="4" t="s">
        <v>242</v>
      </c>
      <c r="E902" s="4" t="s">
        <v>2711</v>
      </c>
      <c r="F902" s="4" t="s">
        <v>2710</v>
      </c>
      <c r="G902" s="4" t="s">
        <v>2263</v>
      </c>
      <c r="H902" s="9" t="s">
        <v>2263</v>
      </c>
      <c r="I902" s="4" t="s">
        <v>2317</v>
      </c>
      <c r="J902" s="4" t="s">
        <v>2316</v>
      </c>
      <c r="K902" s="4" t="s">
        <v>2263</v>
      </c>
      <c r="L902" s="10">
        <v>2</v>
      </c>
      <c r="M902" s="5">
        <v>1558.1416494845362</v>
      </c>
      <c r="N902" s="5">
        <v>3116.2832989690701</v>
      </c>
    </row>
    <row r="903" spans="1:14" x14ac:dyDescent="0.25">
      <c r="A903" s="4" t="s">
        <v>3196</v>
      </c>
      <c r="B903" s="4" t="s">
        <v>3195</v>
      </c>
      <c r="C903" s="4" t="s">
        <v>2320</v>
      </c>
      <c r="D903" s="4" t="s">
        <v>242</v>
      </c>
      <c r="E903" s="4" t="s">
        <v>2711</v>
      </c>
      <c r="F903" s="4" t="s">
        <v>2710</v>
      </c>
      <c r="G903" s="4" t="s">
        <v>2263</v>
      </c>
      <c r="H903" s="9" t="s">
        <v>2263</v>
      </c>
      <c r="I903" s="4" t="s">
        <v>2317</v>
      </c>
      <c r="J903" s="4" t="s">
        <v>2316</v>
      </c>
      <c r="K903" s="4" t="s">
        <v>2263</v>
      </c>
      <c r="L903" s="10">
        <v>2</v>
      </c>
      <c r="M903" s="5">
        <v>1558.1416494845362</v>
      </c>
      <c r="N903" s="5">
        <v>3116.2832989690701</v>
      </c>
    </row>
    <row r="904" spans="1:14" x14ac:dyDescent="0.25">
      <c r="A904" s="4" t="s">
        <v>2384</v>
      </c>
      <c r="B904" s="4" t="s">
        <v>3187</v>
      </c>
      <c r="C904" s="4" t="s">
        <v>2320</v>
      </c>
      <c r="D904" s="4" t="s">
        <v>242</v>
      </c>
      <c r="E904" s="4" t="s">
        <v>2711</v>
      </c>
      <c r="F904" s="4" t="s">
        <v>2710</v>
      </c>
      <c r="G904" s="4" t="s">
        <v>2263</v>
      </c>
      <c r="H904" s="9" t="s">
        <v>2263</v>
      </c>
      <c r="I904" s="4" t="s">
        <v>2317</v>
      </c>
      <c r="J904" s="4" t="s">
        <v>2316</v>
      </c>
      <c r="K904" s="4" t="s">
        <v>2263</v>
      </c>
      <c r="L904" s="10">
        <v>2</v>
      </c>
      <c r="M904" s="5">
        <v>1558.1416494845362</v>
      </c>
      <c r="N904" s="5">
        <v>3116.2832989690701</v>
      </c>
    </row>
    <row r="905" spans="1:14" x14ac:dyDescent="0.25">
      <c r="A905" s="4" t="s">
        <v>3174</v>
      </c>
      <c r="B905" s="4" t="s">
        <v>3173</v>
      </c>
      <c r="C905" s="4" t="s">
        <v>2320</v>
      </c>
      <c r="D905" s="4" t="s">
        <v>242</v>
      </c>
      <c r="E905" s="4" t="s">
        <v>2711</v>
      </c>
      <c r="F905" s="4" t="s">
        <v>2710</v>
      </c>
      <c r="G905" s="4" t="s">
        <v>2263</v>
      </c>
      <c r="H905" s="9" t="s">
        <v>2263</v>
      </c>
      <c r="I905" s="4" t="s">
        <v>2317</v>
      </c>
      <c r="J905" s="4" t="s">
        <v>2316</v>
      </c>
      <c r="K905" s="4" t="s">
        <v>2263</v>
      </c>
      <c r="L905" s="10">
        <v>2</v>
      </c>
      <c r="M905" s="5">
        <v>1558.1416494845362</v>
      </c>
      <c r="N905" s="5">
        <v>3116.2832989690701</v>
      </c>
    </row>
    <row r="906" spans="1:14" x14ac:dyDescent="0.25">
      <c r="A906" s="4" t="s">
        <v>3157</v>
      </c>
      <c r="B906" s="4" t="s">
        <v>3156</v>
      </c>
      <c r="C906" s="4" t="s">
        <v>2320</v>
      </c>
      <c r="D906" s="4" t="s">
        <v>242</v>
      </c>
      <c r="E906" s="4" t="s">
        <v>2711</v>
      </c>
      <c r="F906" s="4" t="s">
        <v>2710</v>
      </c>
      <c r="G906" s="4" t="s">
        <v>2263</v>
      </c>
      <c r="H906" s="9" t="s">
        <v>2263</v>
      </c>
      <c r="I906" s="4" t="s">
        <v>2317</v>
      </c>
      <c r="J906" s="4" t="s">
        <v>2316</v>
      </c>
      <c r="K906" s="4" t="s">
        <v>2263</v>
      </c>
      <c r="L906" s="10">
        <v>2</v>
      </c>
      <c r="M906" s="5">
        <v>1558.1416494845362</v>
      </c>
      <c r="N906" s="5">
        <v>3116.2832989690701</v>
      </c>
    </row>
    <row r="907" spans="1:14" x14ac:dyDescent="0.25">
      <c r="A907" s="4" t="s">
        <v>3104</v>
      </c>
      <c r="B907" s="4" t="s">
        <v>3103</v>
      </c>
      <c r="C907" s="4" t="s">
        <v>2320</v>
      </c>
      <c r="D907" s="4" t="s">
        <v>242</v>
      </c>
      <c r="E907" s="4" t="s">
        <v>2711</v>
      </c>
      <c r="F907" s="4" t="s">
        <v>2710</v>
      </c>
      <c r="G907" s="4" t="s">
        <v>2263</v>
      </c>
      <c r="H907" s="9" t="s">
        <v>2263</v>
      </c>
      <c r="I907" s="4" t="s">
        <v>2317</v>
      </c>
      <c r="J907" s="4" t="s">
        <v>2316</v>
      </c>
      <c r="K907" s="4" t="s">
        <v>2263</v>
      </c>
      <c r="L907" s="10">
        <v>2</v>
      </c>
      <c r="M907" s="5">
        <v>1558.1416494845362</v>
      </c>
      <c r="N907" s="5">
        <v>3116.2832989690701</v>
      </c>
    </row>
    <row r="908" spans="1:14" x14ac:dyDescent="0.25">
      <c r="A908" s="4" t="s">
        <v>3063</v>
      </c>
      <c r="B908" s="4" t="s">
        <v>3062</v>
      </c>
      <c r="C908" s="4" t="s">
        <v>2320</v>
      </c>
      <c r="D908" s="4" t="s">
        <v>242</v>
      </c>
      <c r="E908" s="4" t="s">
        <v>2711</v>
      </c>
      <c r="F908" s="4" t="s">
        <v>2710</v>
      </c>
      <c r="G908" s="4" t="s">
        <v>2263</v>
      </c>
      <c r="H908" s="9" t="s">
        <v>2263</v>
      </c>
      <c r="I908" s="4" t="s">
        <v>2317</v>
      </c>
      <c r="J908" s="4" t="s">
        <v>2316</v>
      </c>
      <c r="K908" s="4" t="s">
        <v>2263</v>
      </c>
      <c r="L908" s="10">
        <v>2</v>
      </c>
      <c r="M908" s="5">
        <v>1558.1416494845362</v>
      </c>
      <c r="N908" s="5">
        <v>3116.2832989690701</v>
      </c>
    </row>
    <row r="909" spans="1:14" x14ac:dyDescent="0.25">
      <c r="A909" s="4" t="s">
        <v>3051</v>
      </c>
      <c r="B909" s="4" t="s">
        <v>3050</v>
      </c>
      <c r="C909" s="4" t="s">
        <v>2320</v>
      </c>
      <c r="D909" s="4" t="s">
        <v>242</v>
      </c>
      <c r="E909" s="4" t="s">
        <v>2711</v>
      </c>
      <c r="F909" s="4" t="s">
        <v>2710</v>
      </c>
      <c r="G909" s="4" t="s">
        <v>2263</v>
      </c>
      <c r="H909" s="9" t="s">
        <v>2263</v>
      </c>
      <c r="I909" s="4" t="s">
        <v>2317</v>
      </c>
      <c r="J909" s="4" t="s">
        <v>2316</v>
      </c>
      <c r="K909" s="4" t="s">
        <v>2263</v>
      </c>
      <c r="L909" s="10">
        <v>2</v>
      </c>
      <c r="M909" s="5">
        <v>1558.1416494845362</v>
      </c>
      <c r="N909" s="5">
        <v>3116.2832989690701</v>
      </c>
    </row>
    <row r="910" spans="1:14" x14ac:dyDescent="0.25">
      <c r="A910" s="4" t="s">
        <v>3024</v>
      </c>
      <c r="B910" s="4" t="s">
        <v>3023</v>
      </c>
      <c r="C910" s="4" t="s">
        <v>2320</v>
      </c>
      <c r="D910" s="4" t="s">
        <v>242</v>
      </c>
      <c r="E910" s="4" t="s">
        <v>2711</v>
      </c>
      <c r="F910" s="4" t="s">
        <v>2710</v>
      </c>
      <c r="G910" s="4" t="s">
        <v>2263</v>
      </c>
      <c r="H910" s="9" t="s">
        <v>2263</v>
      </c>
      <c r="I910" s="4" t="s">
        <v>2317</v>
      </c>
      <c r="J910" s="4" t="s">
        <v>2316</v>
      </c>
      <c r="K910" s="4" t="s">
        <v>2263</v>
      </c>
      <c r="L910" s="10">
        <v>2</v>
      </c>
      <c r="M910" s="5">
        <v>1558.1416494845362</v>
      </c>
      <c r="N910" s="5">
        <v>3116.2832989690701</v>
      </c>
    </row>
    <row r="911" spans="1:14" x14ac:dyDescent="0.25">
      <c r="A911" s="4" t="s">
        <v>2673</v>
      </c>
      <c r="B911" s="4" t="s">
        <v>2672</v>
      </c>
      <c r="C911" s="4" t="s">
        <v>2320</v>
      </c>
      <c r="D911" s="4" t="s">
        <v>242</v>
      </c>
      <c r="E911" s="4" t="s">
        <v>2711</v>
      </c>
      <c r="F911" s="4" t="s">
        <v>2710</v>
      </c>
      <c r="G911" s="4" t="s">
        <v>2263</v>
      </c>
      <c r="H911" s="9" t="s">
        <v>2263</v>
      </c>
      <c r="I911" s="4" t="s">
        <v>2317</v>
      </c>
      <c r="J911" s="4" t="s">
        <v>2316</v>
      </c>
      <c r="K911" s="4" t="s">
        <v>2263</v>
      </c>
      <c r="L911" s="10">
        <v>2</v>
      </c>
      <c r="M911" s="5">
        <v>1558.1416494845362</v>
      </c>
      <c r="N911" s="5">
        <v>3116.2832989690701</v>
      </c>
    </row>
    <row r="912" spans="1:14" x14ac:dyDescent="0.25">
      <c r="A912" s="4" t="s">
        <v>3051</v>
      </c>
      <c r="B912" s="4" t="s">
        <v>3050</v>
      </c>
      <c r="C912" s="4" t="s">
        <v>2344</v>
      </c>
      <c r="D912" s="4" t="s">
        <v>237</v>
      </c>
      <c r="E912" s="4" t="s">
        <v>3061</v>
      </c>
      <c r="F912" s="4" t="s">
        <v>3048</v>
      </c>
      <c r="G912" s="4" t="s">
        <v>2263</v>
      </c>
      <c r="H912" s="9" t="s">
        <v>2263</v>
      </c>
      <c r="I912" s="4" t="s">
        <v>2263</v>
      </c>
      <c r="J912" s="4" t="s">
        <v>2263</v>
      </c>
      <c r="K912" s="4" t="s">
        <v>3047</v>
      </c>
      <c r="L912" s="10">
        <v>2</v>
      </c>
      <c r="M912" s="5">
        <v>1652.1557466063348</v>
      </c>
      <c r="N912" s="5">
        <v>3304.31149321267</v>
      </c>
    </row>
    <row r="913" spans="1:14" x14ac:dyDescent="0.25">
      <c r="A913" s="4" t="s">
        <v>2344</v>
      </c>
      <c r="B913" s="4" t="s">
        <v>5154</v>
      </c>
      <c r="C913" s="4" t="s">
        <v>2279</v>
      </c>
      <c r="D913" s="4" t="s">
        <v>2278</v>
      </c>
      <c r="E913" s="4" t="s">
        <v>5275</v>
      </c>
      <c r="F913" s="4" t="s">
        <v>4516</v>
      </c>
      <c r="G913" s="4" t="s">
        <v>2263</v>
      </c>
      <c r="H913" s="9" t="s">
        <v>2263</v>
      </c>
      <c r="I913" s="4" t="s">
        <v>2263</v>
      </c>
      <c r="J913" s="4" t="s">
        <v>2263</v>
      </c>
      <c r="K913" s="4" t="s">
        <v>2545</v>
      </c>
      <c r="L913" s="10">
        <v>2</v>
      </c>
      <c r="M913" s="5">
        <v>1688</v>
      </c>
      <c r="N913" s="5">
        <v>3376</v>
      </c>
    </row>
    <row r="914" spans="1:14" x14ac:dyDescent="0.25">
      <c r="A914" s="4" t="s">
        <v>2893</v>
      </c>
      <c r="B914" s="4" t="s">
        <v>2892</v>
      </c>
      <c r="C914" s="4" t="s">
        <v>2320</v>
      </c>
      <c r="D914" s="4" t="s">
        <v>242</v>
      </c>
      <c r="E914" s="4" t="s">
        <v>2903</v>
      </c>
      <c r="F914" s="4" t="s">
        <v>2902</v>
      </c>
      <c r="G914" s="4" t="s">
        <v>2263</v>
      </c>
      <c r="H914" s="9" t="s">
        <v>2263</v>
      </c>
      <c r="I914" s="4" t="s">
        <v>2317</v>
      </c>
      <c r="J914" s="4" t="s">
        <v>2316</v>
      </c>
      <c r="K914" s="4" t="s">
        <v>2263</v>
      </c>
      <c r="L914" s="10">
        <v>2</v>
      </c>
      <c r="M914" s="5">
        <v>1697.6609375</v>
      </c>
      <c r="N914" s="5">
        <v>3395.3218750000001</v>
      </c>
    </row>
    <row r="915" spans="1:14" x14ac:dyDescent="0.25">
      <c r="A915" s="4" t="s">
        <v>3801</v>
      </c>
      <c r="B915" s="4" t="s">
        <v>4965</v>
      </c>
      <c r="C915" s="4" t="s">
        <v>2320</v>
      </c>
      <c r="D915" s="4" t="s">
        <v>242</v>
      </c>
      <c r="E915" s="4" t="s">
        <v>2731</v>
      </c>
      <c r="F915" s="4" t="s">
        <v>2730</v>
      </c>
      <c r="G915" s="4" t="s">
        <v>2263</v>
      </c>
      <c r="H915" s="9" t="s">
        <v>2263</v>
      </c>
      <c r="I915" s="4" t="s">
        <v>2317</v>
      </c>
      <c r="J915" s="4" t="s">
        <v>2316</v>
      </c>
      <c r="K915" s="4" t="s">
        <v>2263</v>
      </c>
      <c r="L915" s="10">
        <v>2</v>
      </c>
      <c r="M915" s="5">
        <v>1714.5099713467048</v>
      </c>
      <c r="N915" s="5">
        <v>3429.01994269341</v>
      </c>
    </row>
    <row r="916" spans="1:14" x14ac:dyDescent="0.25">
      <c r="A916" s="4" t="s">
        <v>2279</v>
      </c>
      <c r="B916" s="4" t="s">
        <v>4963</v>
      </c>
      <c r="C916" s="4" t="s">
        <v>2320</v>
      </c>
      <c r="D916" s="4" t="s">
        <v>242</v>
      </c>
      <c r="E916" s="4" t="s">
        <v>2731</v>
      </c>
      <c r="F916" s="4" t="s">
        <v>2730</v>
      </c>
      <c r="G916" s="4" t="s">
        <v>2263</v>
      </c>
      <c r="H916" s="9" t="s">
        <v>2263</v>
      </c>
      <c r="I916" s="4" t="s">
        <v>2317</v>
      </c>
      <c r="J916" s="4" t="s">
        <v>2316</v>
      </c>
      <c r="K916" s="4" t="s">
        <v>2263</v>
      </c>
      <c r="L916" s="10">
        <v>2</v>
      </c>
      <c r="M916" s="5">
        <v>1714.5099713467048</v>
      </c>
      <c r="N916" s="5">
        <v>3429.01994269341</v>
      </c>
    </row>
    <row r="917" spans="1:14" x14ac:dyDescent="0.25">
      <c r="A917" s="4" t="s">
        <v>2481</v>
      </c>
      <c r="B917" s="4" t="s">
        <v>3217</v>
      </c>
      <c r="C917" s="4" t="s">
        <v>2320</v>
      </c>
      <c r="D917" s="4" t="s">
        <v>242</v>
      </c>
      <c r="E917" s="4" t="s">
        <v>2731</v>
      </c>
      <c r="F917" s="4" t="s">
        <v>2730</v>
      </c>
      <c r="G917" s="4" t="s">
        <v>2263</v>
      </c>
      <c r="H917" s="9" t="s">
        <v>2263</v>
      </c>
      <c r="I917" s="4" t="s">
        <v>2317</v>
      </c>
      <c r="J917" s="4" t="s">
        <v>2316</v>
      </c>
      <c r="K917" s="4" t="s">
        <v>2263</v>
      </c>
      <c r="L917" s="10">
        <v>2</v>
      </c>
      <c r="M917" s="5">
        <v>1714.5099713467048</v>
      </c>
      <c r="N917" s="5">
        <v>3429.01994269341</v>
      </c>
    </row>
    <row r="918" spans="1:14" x14ac:dyDescent="0.25">
      <c r="A918" s="4" t="s">
        <v>3196</v>
      </c>
      <c r="B918" s="4" t="s">
        <v>3195</v>
      </c>
      <c r="C918" s="4" t="s">
        <v>2320</v>
      </c>
      <c r="D918" s="4" t="s">
        <v>242</v>
      </c>
      <c r="E918" s="4" t="s">
        <v>2731</v>
      </c>
      <c r="F918" s="4" t="s">
        <v>2730</v>
      </c>
      <c r="G918" s="4" t="s">
        <v>2263</v>
      </c>
      <c r="H918" s="9" t="s">
        <v>2263</v>
      </c>
      <c r="I918" s="4" t="s">
        <v>2317</v>
      </c>
      <c r="J918" s="4" t="s">
        <v>2316</v>
      </c>
      <c r="K918" s="4" t="s">
        <v>2263</v>
      </c>
      <c r="L918" s="10">
        <v>2</v>
      </c>
      <c r="M918" s="5">
        <v>1714.5099713467048</v>
      </c>
      <c r="N918" s="5">
        <v>3429.01994269341</v>
      </c>
    </row>
    <row r="919" spans="1:14" x14ac:dyDescent="0.25">
      <c r="A919" s="4" t="s">
        <v>2384</v>
      </c>
      <c r="B919" s="4" t="s">
        <v>3187</v>
      </c>
      <c r="C919" s="4" t="s">
        <v>2320</v>
      </c>
      <c r="D919" s="4" t="s">
        <v>242</v>
      </c>
      <c r="E919" s="4" t="s">
        <v>2731</v>
      </c>
      <c r="F919" s="4" t="s">
        <v>2730</v>
      </c>
      <c r="G919" s="4" t="s">
        <v>2263</v>
      </c>
      <c r="H919" s="9" t="s">
        <v>2263</v>
      </c>
      <c r="I919" s="4" t="s">
        <v>2317</v>
      </c>
      <c r="J919" s="4" t="s">
        <v>2316</v>
      </c>
      <c r="K919" s="4" t="s">
        <v>2263</v>
      </c>
      <c r="L919" s="10">
        <v>2</v>
      </c>
      <c r="M919" s="5">
        <v>1714.5099713467048</v>
      </c>
      <c r="N919" s="5">
        <v>3429.01994269341</v>
      </c>
    </row>
    <row r="920" spans="1:14" x14ac:dyDescent="0.25">
      <c r="A920" s="4" t="s">
        <v>3174</v>
      </c>
      <c r="B920" s="4" t="s">
        <v>3173</v>
      </c>
      <c r="C920" s="4" t="s">
        <v>2320</v>
      </c>
      <c r="D920" s="4" t="s">
        <v>242</v>
      </c>
      <c r="E920" s="4" t="s">
        <v>2731</v>
      </c>
      <c r="F920" s="4" t="s">
        <v>2730</v>
      </c>
      <c r="G920" s="4" t="s">
        <v>2263</v>
      </c>
      <c r="H920" s="9" t="s">
        <v>2263</v>
      </c>
      <c r="I920" s="4" t="s">
        <v>2317</v>
      </c>
      <c r="J920" s="4" t="s">
        <v>2316</v>
      </c>
      <c r="K920" s="4" t="s">
        <v>2263</v>
      </c>
      <c r="L920" s="10">
        <v>2</v>
      </c>
      <c r="M920" s="5">
        <v>1714.5099713467048</v>
      </c>
      <c r="N920" s="5">
        <v>3429.01994269341</v>
      </c>
    </row>
    <row r="921" spans="1:14" x14ac:dyDescent="0.25">
      <c r="A921" s="4" t="s">
        <v>3157</v>
      </c>
      <c r="B921" s="4" t="s">
        <v>3156</v>
      </c>
      <c r="C921" s="4" t="s">
        <v>2320</v>
      </c>
      <c r="D921" s="4" t="s">
        <v>242</v>
      </c>
      <c r="E921" s="4" t="s">
        <v>2731</v>
      </c>
      <c r="F921" s="4" t="s">
        <v>2730</v>
      </c>
      <c r="G921" s="4" t="s">
        <v>2263</v>
      </c>
      <c r="H921" s="9" t="s">
        <v>2263</v>
      </c>
      <c r="I921" s="4" t="s">
        <v>2317</v>
      </c>
      <c r="J921" s="4" t="s">
        <v>2316</v>
      </c>
      <c r="K921" s="4" t="s">
        <v>2263</v>
      </c>
      <c r="L921" s="10">
        <v>2</v>
      </c>
      <c r="M921" s="5">
        <v>1714.5099713467048</v>
      </c>
      <c r="N921" s="5">
        <v>3429.01994269341</v>
      </c>
    </row>
    <row r="922" spans="1:14" x14ac:dyDescent="0.25">
      <c r="A922" s="4" t="s">
        <v>3104</v>
      </c>
      <c r="B922" s="4" t="s">
        <v>3103</v>
      </c>
      <c r="C922" s="4" t="s">
        <v>2320</v>
      </c>
      <c r="D922" s="4" t="s">
        <v>242</v>
      </c>
      <c r="E922" s="4" t="s">
        <v>2731</v>
      </c>
      <c r="F922" s="4" t="s">
        <v>2730</v>
      </c>
      <c r="G922" s="4" t="s">
        <v>2263</v>
      </c>
      <c r="H922" s="9" t="s">
        <v>2263</v>
      </c>
      <c r="I922" s="4" t="s">
        <v>2317</v>
      </c>
      <c r="J922" s="4" t="s">
        <v>2316</v>
      </c>
      <c r="K922" s="4" t="s">
        <v>2263</v>
      </c>
      <c r="L922" s="10">
        <v>2</v>
      </c>
      <c r="M922" s="5">
        <v>1714.5099713467048</v>
      </c>
      <c r="N922" s="5">
        <v>3429.01994269341</v>
      </c>
    </row>
    <row r="923" spans="1:14" x14ac:dyDescent="0.25">
      <c r="A923" s="4" t="s">
        <v>3063</v>
      </c>
      <c r="B923" s="4" t="s">
        <v>3062</v>
      </c>
      <c r="C923" s="4" t="s">
        <v>2320</v>
      </c>
      <c r="D923" s="4" t="s">
        <v>242</v>
      </c>
      <c r="E923" s="4" t="s">
        <v>2731</v>
      </c>
      <c r="F923" s="4" t="s">
        <v>2730</v>
      </c>
      <c r="G923" s="4" t="s">
        <v>2263</v>
      </c>
      <c r="H923" s="9" t="s">
        <v>2263</v>
      </c>
      <c r="I923" s="4" t="s">
        <v>2317</v>
      </c>
      <c r="J923" s="4" t="s">
        <v>2316</v>
      </c>
      <c r="K923" s="4" t="s">
        <v>2263</v>
      </c>
      <c r="L923" s="10">
        <v>2</v>
      </c>
      <c r="M923" s="5">
        <v>1714.5099713467048</v>
      </c>
      <c r="N923" s="5">
        <v>3429.01994269341</v>
      </c>
    </row>
    <row r="924" spans="1:14" x14ac:dyDescent="0.25">
      <c r="A924" s="4" t="s">
        <v>3051</v>
      </c>
      <c r="B924" s="4" t="s">
        <v>3050</v>
      </c>
      <c r="C924" s="4" t="s">
        <v>2320</v>
      </c>
      <c r="D924" s="4" t="s">
        <v>242</v>
      </c>
      <c r="E924" s="4" t="s">
        <v>2731</v>
      </c>
      <c r="F924" s="4" t="s">
        <v>2730</v>
      </c>
      <c r="G924" s="4" t="s">
        <v>2263</v>
      </c>
      <c r="H924" s="9" t="s">
        <v>2263</v>
      </c>
      <c r="I924" s="4" t="s">
        <v>2317</v>
      </c>
      <c r="J924" s="4" t="s">
        <v>2316</v>
      </c>
      <c r="K924" s="4" t="s">
        <v>2263</v>
      </c>
      <c r="L924" s="10">
        <v>2</v>
      </c>
      <c r="M924" s="5">
        <v>1714.5099713467048</v>
      </c>
      <c r="N924" s="5">
        <v>3429.01994269341</v>
      </c>
    </row>
    <row r="925" spans="1:14" x14ac:dyDescent="0.25">
      <c r="A925" s="4" t="s">
        <v>3024</v>
      </c>
      <c r="B925" s="4" t="s">
        <v>3023</v>
      </c>
      <c r="C925" s="4" t="s">
        <v>2320</v>
      </c>
      <c r="D925" s="4" t="s">
        <v>242</v>
      </c>
      <c r="E925" s="4" t="s">
        <v>2731</v>
      </c>
      <c r="F925" s="4" t="s">
        <v>2730</v>
      </c>
      <c r="G925" s="4" t="s">
        <v>2263</v>
      </c>
      <c r="H925" s="9" t="s">
        <v>2263</v>
      </c>
      <c r="I925" s="4" t="s">
        <v>2317</v>
      </c>
      <c r="J925" s="4" t="s">
        <v>2316</v>
      </c>
      <c r="K925" s="4" t="s">
        <v>2263</v>
      </c>
      <c r="L925" s="10">
        <v>2</v>
      </c>
      <c r="M925" s="5">
        <v>1714.5099713467048</v>
      </c>
      <c r="N925" s="5">
        <v>3429.01994269341</v>
      </c>
    </row>
    <row r="926" spans="1:14" x14ac:dyDescent="0.25">
      <c r="A926" s="4" t="s">
        <v>2673</v>
      </c>
      <c r="B926" s="4" t="s">
        <v>2672</v>
      </c>
      <c r="C926" s="4" t="s">
        <v>2320</v>
      </c>
      <c r="D926" s="4" t="s">
        <v>242</v>
      </c>
      <c r="E926" s="4" t="s">
        <v>2731</v>
      </c>
      <c r="F926" s="4" t="s">
        <v>2730</v>
      </c>
      <c r="G926" s="4" t="s">
        <v>2263</v>
      </c>
      <c r="H926" s="9" t="s">
        <v>2263</v>
      </c>
      <c r="I926" s="4" t="s">
        <v>2317</v>
      </c>
      <c r="J926" s="4" t="s">
        <v>2316</v>
      </c>
      <c r="K926" s="4" t="s">
        <v>2263</v>
      </c>
      <c r="L926" s="10">
        <v>2</v>
      </c>
      <c r="M926" s="5">
        <v>1714.5099713467048</v>
      </c>
      <c r="N926" s="5">
        <v>3429.01994269341</v>
      </c>
    </row>
    <row r="927" spans="1:14" x14ac:dyDescent="0.25">
      <c r="A927" s="4" t="s">
        <v>2481</v>
      </c>
      <c r="B927" s="4" t="s">
        <v>3217</v>
      </c>
      <c r="C927" s="4" t="s">
        <v>2320</v>
      </c>
      <c r="D927" s="4" t="s">
        <v>242</v>
      </c>
      <c r="E927" s="4" t="s">
        <v>3189</v>
      </c>
      <c r="F927" s="4" t="s">
        <v>3188</v>
      </c>
      <c r="G927" s="4" t="s">
        <v>2263</v>
      </c>
      <c r="H927" s="9" t="s">
        <v>2263</v>
      </c>
      <c r="I927" s="4" t="s">
        <v>2317</v>
      </c>
      <c r="J927" s="4" t="s">
        <v>2316</v>
      </c>
      <c r="K927" s="4" t="s">
        <v>2263</v>
      </c>
      <c r="L927" s="10">
        <v>2</v>
      </c>
      <c r="M927" s="5">
        <v>1813.293306451613</v>
      </c>
      <c r="N927" s="5">
        <v>3626.5866129032302</v>
      </c>
    </row>
    <row r="928" spans="1:14" x14ac:dyDescent="0.25">
      <c r="A928" s="4" t="s">
        <v>2384</v>
      </c>
      <c r="B928" s="4" t="s">
        <v>3187</v>
      </c>
      <c r="C928" s="4" t="s">
        <v>2320</v>
      </c>
      <c r="D928" s="4" t="s">
        <v>242</v>
      </c>
      <c r="E928" s="4" t="s">
        <v>3189</v>
      </c>
      <c r="F928" s="4" t="s">
        <v>3188</v>
      </c>
      <c r="G928" s="4" t="s">
        <v>2263</v>
      </c>
      <c r="H928" s="9" t="s">
        <v>2263</v>
      </c>
      <c r="I928" s="4" t="s">
        <v>2317</v>
      </c>
      <c r="J928" s="4" t="s">
        <v>2316</v>
      </c>
      <c r="K928" s="4" t="s">
        <v>2263</v>
      </c>
      <c r="L928" s="10">
        <v>2</v>
      </c>
      <c r="M928" s="5">
        <v>1813.293306451613</v>
      </c>
      <c r="N928" s="5">
        <v>3626.5866129032302</v>
      </c>
    </row>
    <row r="929" spans="1:14" x14ac:dyDescent="0.25">
      <c r="A929" s="4" t="s">
        <v>3063</v>
      </c>
      <c r="B929" s="4" t="s">
        <v>3062</v>
      </c>
      <c r="C929" s="4" t="s">
        <v>2320</v>
      </c>
      <c r="D929" s="4" t="s">
        <v>242</v>
      </c>
      <c r="E929" s="4" t="s">
        <v>3038</v>
      </c>
      <c r="F929" s="4" t="s">
        <v>3037</v>
      </c>
      <c r="G929" s="4" t="s">
        <v>2263</v>
      </c>
      <c r="H929" s="9" t="s">
        <v>2263</v>
      </c>
      <c r="I929" s="4" t="s">
        <v>2317</v>
      </c>
      <c r="J929" s="4" t="s">
        <v>2316</v>
      </c>
      <c r="K929" s="4" t="s">
        <v>2263</v>
      </c>
      <c r="L929" s="10">
        <v>2</v>
      </c>
      <c r="M929" s="5">
        <v>1959.4821739130434</v>
      </c>
      <c r="N929" s="5">
        <v>3918.96434782609</v>
      </c>
    </row>
    <row r="930" spans="1:14" x14ac:dyDescent="0.25">
      <c r="A930" s="4" t="s">
        <v>3051</v>
      </c>
      <c r="B930" s="4" t="s">
        <v>3050</v>
      </c>
      <c r="C930" s="4" t="s">
        <v>2320</v>
      </c>
      <c r="D930" s="4" t="s">
        <v>242</v>
      </c>
      <c r="E930" s="4" t="s">
        <v>3038</v>
      </c>
      <c r="F930" s="4" t="s">
        <v>3037</v>
      </c>
      <c r="G930" s="4" t="s">
        <v>2263</v>
      </c>
      <c r="H930" s="9" t="s">
        <v>2263</v>
      </c>
      <c r="I930" s="4" t="s">
        <v>2317</v>
      </c>
      <c r="J930" s="4" t="s">
        <v>2316</v>
      </c>
      <c r="K930" s="4" t="s">
        <v>2263</v>
      </c>
      <c r="L930" s="10">
        <v>2</v>
      </c>
      <c r="M930" s="5">
        <v>1959.4821739130434</v>
      </c>
      <c r="N930" s="5">
        <v>3918.96434782609</v>
      </c>
    </row>
    <row r="931" spans="1:14" x14ac:dyDescent="0.25">
      <c r="A931" s="4" t="s">
        <v>3801</v>
      </c>
      <c r="B931" s="4" t="s">
        <v>4965</v>
      </c>
      <c r="C931" s="4" t="s">
        <v>2320</v>
      </c>
      <c r="D931" s="4" t="s">
        <v>242</v>
      </c>
      <c r="E931" s="4" t="s">
        <v>2412</v>
      </c>
      <c r="F931" s="4" t="s">
        <v>2411</v>
      </c>
      <c r="G931" s="4" t="s">
        <v>2263</v>
      </c>
      <c r="H931" s="9" t="s">
        <v>2263</v>
      </c>
      <c r="I931" s="4" t="s">
        <v>2317</v>
      </c>
      <c r="J931" s="4" t="s">
        <v>2316</v>
      </c>
      <c r="K931" s="4" t="s">
        <v>2263</v>
      </c>
      <c r="L931" s="10">
        <v>2</v>
      </c>
      <c r="M931" s="5">
        <v>1999.3788311688313</v>
      </c>
      <c r="N931" s="5">
        <v>3998.7576623376599</v>
      </c>
    </row>
    <row r="932" spans="1:14" x14ac:dyDescent="0.25">
      <c r="A932" s="4" t="s">
        <v>2279</v>
      </c>
      <c r="B932" s="4" t="s">
        <v>4963</v>
      </c>
      <c r="C932" s="4" t="s">
        <v>2320</v>
      </c>
      <c r="D932" s="4" t="s">
        <v>242</v>
      </c>
      <c r="E932" s="4" t="s">
        <v>2412</v>
      </c>
      <c r="F932" s="4" t="s">
        <v>2411</v>
      </c>
      <c r="G932" s="4" t="s">
        <v>2263</v>
      </c>
      <c r="H932" s="9" t="s">
        <v>2263</v>
      </c>
      <c r="I932" s="4" t="s">
        <v>2317</v>
      </c>
      <c r="J932" s="4" t="s">
        <v>2316</v>
      </c>
      <c r="K932" s="4" t="s">
        <v>2263</v>
      </c>
      <c r="L932" s="10">
        <v>2</v>
      </c>
      <c r="M932" s="5">
        <v>1999.3788311688313</v>
      </c>
      <c r="N932" s="5">
        <v>3998.7576623376599</v>
      </c>
    </row>
    <row r="933" spans="1:14" x14ac:dyDescent="0.25">
      <c r="A933" s="4" t="s">
        <v>3196</v>
      </c>
      <c r="B933" s="4" t="s">
        <v>3195</v>
      </c>
      <c r="C933" s="4" t="s">
        <v>2320</v>
      </c>
      <c r="D933" s="4" t="s">
        <v>242</v>
      </c>
      <c r="E933" s="4" t="s">
        <v>2412</v>
      </c>
      <c r="F933" s="4" t="s">
        <v>2411</v>
      </c>
      <c r="G933" s="4" t="s">
        <v>2263</v>
      </c>
      <c r="H933" s="9" t="s">
        <v>2263</v>
      </c>
      <c r="I933" s="4" t="s">
        <v>2317</v>
      </c>
      <c r="J933" s="4" t="s">
        <v>2316</v>
      </c>
      <c r="K933" s="4" t="s">
        <v>2263</v>
      </c>
      <c r="L933" s="10">
        <v>2</v>
      </c>
      <c r="M933" s="5">
        <v>1999.3788311688313</v>
      </c>
      <c r="N933" s="5">
        <v>3998.7576623376599</v>
      </c>
    </row>
    <row r="934" spans="1:14" x14ac:dyDescent="0.25">
      <c r="A934" s="4" t="s">
        <v>2384</v>
      </c>
      <c r="B934" s="4" t="s">
        <v>3187</v>
      </c>
      <c r="C934" s="4" t="s">
        <v>2320</v>
      </c>
      <c r="D934" s="4" t="s">
        <v>242</v>
      </c>
      <c r="E934" s="4" t="s">
        <v>2412</v>
      </c>
      <c r="F934" s="4" t="s">
        <v>2411</v>
      </c>
      <c r="G934" s="4" t="s">
        <v>2263</v>
      </c>
      <c r="H934" s="9" t="s">
        <v>2263</v>
      </c>
      <c r="I934" s="4" t="s">
        <v>2317</v>
      </c>
      <c r="J934" s="4" t="s">
        <v>2316</v>
      </c>
      <c r="K934" s="4" t="s">
        <v>2263</v>
      </c>
      <c r="L934" s="10">
        <v>2</v>
      </c>
      <c r="M934" s="5">
        <v>1999.3788311688313</v>
      </c>
      <c r="N934" s="5">
        <v>3998.7576623376599</v>
      </c>
    </row>
    <row r="935" spans="1:14" x14ac:dyDescent="0.25">
      <c r="A935" s="4" t="s">
        <v>3174</v>
      </c>
      <c r="B935" s="4" t="s">
        <v>3173</v>
      </c>
      <c r="C935" s="4" t="s">
        <v>2320</v>
      </c>
      <c r="D935" s="4" t="s">
        <v>242</v>
      </c>
      <c r="E935" s="4" t="s">
        <v>2412</v>
      </c>
      <c r="F935" s="4" t="s">
        <v>2411</v>
      </c>
      <c r="G935" s="4" t="s">
        <v>2263</v>
      </c>
      <c r="H935" s="9" t="s">
        <v>2263</v>
      </c>
      <c r="I935" s="4" t="s">
        <v>2317</v>
      </c>
      <c r="J935" s="4" t="s">
        <v>2316</v>
      </c>
      <c r="K935" s="4" t="s">
        <v>2263</v>
      </c>
      <c r="L935" s="10">
        <v>2</v>
      </c>
      <c r="M935" s="5">
        <v>1999.3788311688313</v>
      </c>
      <c r="N935" s="5">
        <v>3998.7576623376599</v>
      </c>
    </row>
    <row r="936" spans="1:14" x14ac:dyDescent="0.25">
      <c r="A936" s="4" t="s">
        <v>3157</v>
      </c>
      <c r="B936" s="4" t="s">
        <v>3156</v>
      </c>
      <c r="C936" s="4" t="s">
        <v>2320</v>
      </c>
      <c r="D936" s="4" t="s">
        <v>242</v>
      </c>
      <c r="E936" s="4" t="s">
        <v>2412</v>
      </c>
      <c r="F936" s="4" t="s">
        <v>2411</v>
      </c>
      <c r="G936" s="4" t="s">
        <v>2263</v>
      </c>
      <c r="H936" s="9" t="s">
        <v>2263</v>
      </c>
      <c r="I936" s="4" t="s">
        <v>2317</v>
      </c>
      <c r="J936" s="4" t="s">
        <v>2316</v>
      </c>
      <c r="K936" s="4" t="s">
        <v>2263</v>
      </c>
      <c r="L936" s="10">
        <v>2</v>
      </c>
      <c r="M936" s="5">
        <v>1999.3788311688313</v>
      </c>
      <c r="N936" s="5">
        <v>3998.7576623376599</v>
      </c>
    </row>
    <row r="937" spans="1:14" x14ac:dyDescent="0.25">
      <c r="A937" s="4" t="s">
        <v>3104</v>
      </c>
      <c r="B937" s="4" t="s">
        <v>3103</v>
      </c>
      <c r="C937" s="4" t="s">
        <v>2320</v>
      </c>
      <c r="D937" s="4" t="s">
        <v>242</v>
      </c>
      <c r="E937" s="4" t="s">
        <v>2412</v>
      </c>
      <c r="F937" s="4" t="s">
        <v>2411</v>
      </c>
      <c r="G937" s="4" t="s">
        <v>2263</v>
      </c>
      <c r="H937" s="9" t="s">
        <v>2263</v>
      </c>
      <c r="I937" s="4" t="s">
        <v>2317</v>
      </c>
      <c r="J937" s="4" t="s">
        <v>2316</v>
      </c>
      <c r="K937" s="4" t="s">
        <v>2263</v>
      </c>
      <c r="L937" s="10">
        <v>2</v>
      </c>
      <c r="M937" s="5">
        <v>1999.3788311688313</v>
      </c>
      <c r="N937" s="5">
        <v>3998.7576623376599</v>
      </c>
    </row>
    <row r="938" spans="1:14" x14ac:dyDescent="0.25">
      <c r="A938" s="4" t="s">
        <v>3063</v>
      </c>
      <c r="B938" s="4" t="s">
        <v>3062</v>
      </c>
      <c r="C938" s="4" t="s">
        <v>2320</v>
      </c>
      <c r="D938" s="4" t="s">
        <v>242</v>
      </c>
      <c r="E938" s="4" t="s">
        <v>2412</v>
      </c>
      <c r="F938" s="4" t="s">
        <v>2411</v>
      </c>
      <c r="G938" s="4" t="s">
        <v>2263</v>
      </c>
      <c r="H938" s="9" t="s">
        <v>2263</v>
      </c>
      <c r="I938" s="4" t="s">
        <v>2317</v>
      </c>
      <c r="J938" s="4" t="s">
        <v>2316</v>
      </c>
      <c r="K938" s="4" t="s">
        <v>2263</v>
      </c>
      <c r="L938" s="10">
        <v>2</v>
      </c>
      <c r="M938" s="5">
        <v>1999.3788311688313</v>
      </c>
      <c r="N938" s="5">
        <v>3998.7576623376599</v>
      </c>
    </row>
    <row r="939" spans="1:14" x14ac:dyDescent="0.25">
      <c r="A939" s="4" t="s">
        <v>3051</v>
      </c>
      <c r="B939" s="4" t="s">
        <v>3050</v>
      </c>
      <c r="C939" s="4" t="s">
        <v>2320</v>
      </c>
      <c r="D939" s="4" t="s">
        <v>242</v>
      </c>
      <c r="E939" s="4" t="s">
        <v>2412</v>
      </c>
      <c r="F939" s="4" t="s">
        <v>2411</v>
      </c>
      <c r="G939" s="4" t="s">
        <v>2263</v>
      </c>
      <c r="H939" s="9" t="s">
        <v>2263</v>
      </c>
      <c r="I939" s="4" t="s">
        <v>2317</v>
      </c>
      <c r="J939" s="4" t="s">
        <v>2316</v>
      </c>
      <c r="K939" s="4" t="s">
        <v>2263</v>
      </c>
      <c r="L939" s="10">
        <v>2</v>
      </c>
      <c r="M939" s="5">
        <v>1999.3788311688313</v>
      </c>
      <c r="N939" s="5">
        <v>3998.7576623376599</v>
      </c>
    </row>
    <row r="940" spans="1:14" x14ac:dyDescent="0.25">
      <c r="A940" s="4" t="s">
        <v>3024</v>
      </c>
      <c r="B940" s="4" t="s">
        <v>3023</v>
      </c>
      <c r="C940" s="4" t="s">
        <v>2320</v>
      </c>
      <c r="D940" s="4" t="s">
        <v>242</v>
      </c>
      <c r="E940" s="4" t="s">
        <v>2412</v>
      </c>
      <c r="F940" s="4" t="s">
        <v>2411</v>
      </c>
      <c r="G940" s="4" t="s">
        <v>2263</v>
      </c>
      <c r="H940" s="9" t="s">
        <v>2263</v>
      </c>
      <c r="I940" s="4" t="s">
        <v>2317</v>
      </c>
      <c r="J940" s="4" t="s">
        <v>2316</v>
      </c>
      <c r="K940" s="4" t="s">
        <v>2263</v>
      </c>
      <c r="L940" s="10">
        <v>2</v>
      </c>
      <c r="M940" s="5">
        <v>1999.3788311688313</v>
      </c>
      <c r="N940" s="5">
        <v>3998.7576623376599</v>
      </c>
    </row>
    <row r="941" spans="1:14" x14ac:dyDescent="0.25">
      <c r="A941" s="4" t="s">
        <v>2386</v>
      </c>
      <c r="B941" s="4" t="s">
        <v>2385</v>
      </c>
      <c r="C941" s="4" t="s">
        <v>2320</v>
      </c>
      <c r="D941" s="4" t="s">
        <v>242</v>
      </c>
      <c r="E941" s="4" t="s">
        <v>2412</v>
      </c>
      <c r="F941" s="4" t="s">
        <v>2411</v>
      </c>
      <c r="G941" s="4" t="s">
        <v>2263</v>
      </c>
      <c r="H941" s="9" t="s">
        <v>2263</v>
      </c>
      <c r="I941" s="4" t="s">
        <v>2317</v>
      </c>
      <c r="J941" s="4" t="s">
        <v>2316</v>
      </c>
      <c r="K941" s="4" t="s">
        <v>2263</v>
      </c>
      <c r="L941" s="10">
        <v>2</v>
      </c>
      <c r="M941" s="5">
        <v>1999.3788311688313</v>
      </c>
      <c r="N941" s="5">
        <v>3998.7576623376599</v>
      </c>
    </row>
    <row r="942" spans="1:14" x14ac:dyDescent="0.25">
      <c r="A942" s="4" t="s">
        <v>3801</v>
      </c>
      <c r="B942" s="4" t="s">
        <v>4965</v>
      </c>
      <c r="C942" s="4" t="s">
        <v>2320</v>
      </c>
      <c r="D942" s="4" t="s">
        <v>242</v>
      </c>
      <c r="E942" s="4" t="s">
        <v>2709</v>
      </c>
      <c r="F942" s="4" t="s">
        <v>2708</v>
      </c>
      <c r="G942" s="4" t="s">
        <v>2263</v>
      </c>
      <c r="H942" s="9" t="s">
        <v>2263</v>
      </c>
      <c r="I942" s="4" t="s">
        <v>2317</v>
      </c>
      <c r="J942" s="4" t="s">
        <v>2316</v>
      </c>
      <c r="K942" s="4" t="s">
        <v>2263</v>
      </c>
      <c r="L942" s="10">
        <v>2</v>
      </c>
      <c r="M942" s="5">
        <v>2022.0220430107527</v>
      </c>
      <c r="N942" s="5">
        <v>4044.0440860215099</v>
      </c>
    </row>
    <row r="943" spans="1:14" x14ac:dyDescent="0.25">
      <c r="A943" s="4" t="s">
        <v>2279</v>
      </c>
      <c r="B943" s="4" t="s">
        <v>4963</v>
      </c>
      <c r="C943" s="4" t="s">
        <v>2320</v>
      </c>
      <c r="D943" s="4" t="s">
        <v>242</v>
      </c>
      <c r="E943" s="4" t="s">
        <v>2709</v>
      </c>
      <c r="F943" s="4" t="s">
        <v>2708</v>
      </c>
      <c r="G943" s="4" t="s">
        <v>2263</v>
      </c>
      <c r="H943" s="9" t="s">
        <v>2263</v>
      </c>
      <c r="I943" s="4" t="s">
        <v>2317</v>
      </c>
      <c r="J943" s="4" t="s">
        <v>2316</v>
      </c>
      <c r="K943" s="4" t="s">
        <v>2263</v>
      </c>
      <c r="L943" s="10">
        <v>2</v>
      </c>
      <c r="M943" s="5">
        <v>2022.0220430107527</v>
      </c>
      <c r="N943" s="5">
        <v>4044.0440860215099</v>
      </c>
    </row>
    <row r="944" spans="1:14" x14ac:dyDescent="0.25">
      <c r="A944" s="4" t="s">
        <v>2481</v>
      </c>
      <c r="B944" s="4" t="s">
        <v>3217</v>
      </c>
      <c r="C944" s="4" t="s">
        <v>2320</v>
      </c>
      <c r="D944" s="4" t="s">
        <v>242</v>
      </c>
      <c r="E944" s="4" t="s">
        <v>2709</v>
      </c>
      <c r="F944" s="4" t="s">
        <v>2708</v>
      </c>
      <c r="G944" s="4" t="s">
        <v>2263</v>
      </c>
      <c r="H944" s="9" t="s">
        <v>2263</v>
      </c>
      <c r="I944" s="4" t="s">
        <v>2317</v>
      </c>
      <c r="J944" s="4" t="s">
        <v>2316</v>
      </c>
      <c r="K944" s="4" t="s">
        <v>2263</v>
      </c>
      <c r="L944" s="10">
        <v>2</v>
      </c>
      <c r="M944" s="5">
        <v>2022.0220430107527</v>
      </c>
      <c r="N944" s="5">
        <v>4044.0440860215099</v>
      </c>
    </row>
    <row r="945" spans="1:14" x14ac:dyDescent="0.25">
      <c r="A945" s="4" t="s">
        <v>3196</v>
      </c>
      <c r="B945" s="4" t="s">
        <v>3195</v>
      </c>
      <c r="C945" s="4" t="s">
        <v>2320</v>
      </c>
      <c r="D945" s="4" t="s">
        <v>242</v>
      </c>
      <c r="E945" s="4" t="s">
        <v>2709</v>
      </c>
      <c r="F945" s="4" t="s">
        <v>2708</v>
      </c>
      <c r="G945" s="4" t="s">
        <v>2263</v>
      </c>
      <c r="H945" s="9" t="s">
        <v>2263</v>
      </c>
      <c r="I945" s="4" t="s">
        <v>2317</v>
      </c>
      <c r="J945" s="4" t="s">
        <v>2316</v>
      </c>
      <c r="K945" s="4" t="s">
        <v>2263</v>
      </c>
      <c r="L945" s="10">
        <v>2</v>
      </c>
      <c r="M945" s="5">
        <v>2022.0220430107527</v>
      </c>
      <c r="N945" s="5">
        <v>4044.0440860215099</v>
      </c>
    </row>
    <row r="946" spans="1:14" x14ac:dyDescent="0.25">
      <c r="A946" s="4" t="s">
        <v>2384</v>
      </c>
      <c r="B946" s="4" t="s">
        <v>3187</v>
      </c>
      <c r="C946" s="4" t="s">
        <v>2320</v>
      </c>
      <c r="D946" s="4" t="s">
        <v>242</v>
      </c>
      <c r="E946" s="4" t="s">
        <v>2709</v>
      </c>
      <c r="F946" s="4" t="s">
        <v>2708</v>
      </c>
      <c r="G946" s="4" t="s">
        <v>2263</v>
      </c>
      <c r="H946" s="9" t="s">
        <v>2263</v>
      </c>
      <c r="I946" s="4" t="s">
        <v>2317</v>
      </c>
      <c r="J946" s="4" t="s">
        <v>2316</v>
      </c>
      <c r="K946" s="4" t="s">
        <v>2263</v>
      </c>
      <c r="L946" s="10">
        <v>2</v>
      </c>
      <c r="M946" s="5">
        <v>2022.0220430107527</v>
      </c>
      <c r="N946" s="5">
        <v>4044.0440860215099</v>
      </c>
    </row>
    <row r="947" spans="1:14" x14ac:dyDescent="0.25">
      <c r="A947" s="4" t="s">
        <v>3174</v>
      </c>
      <c r="B947" s="4" t="s">
        <v>3173</v>
      </c>
      <c r="C947" s="4" t="s">
        <v>2320</v>
      </c>
      <c r="D947" s="4" t="s">
        <v>242</v>
      </c>
      <c r="E947" s="4" t="s">
        <v>2709</v>
      </c>
      <c r="F947" s="4" t="s">
        <v>2708</v>
      </c>
      <c r="G947" s="4" t="s">
        <v>2263</v>
      </c>
      <c r="H947" s="9" t="s">
        <v>2263</v>
      </c>
      <c r="I947" s="4" t="s">
        <v>2317</v>
      </c>
      <c r="J947" s="4" t="s">
        <v>2316</v>
      </c>
      <c r="K947" s="4" t="s">
        <v>2263</v>
      </c>
      <c r="L947" s="10">
        <v>2</v>
      </c>
      <c r="M947" s="5">
        <v>2022.0220430107527</v>
      </c>
      <c r="N947" s="5">
        <v>4044.0440860215099</v>
      </c>
    </row>
    <row r="948" spans="1:14" x14ac:dyDescent="0.25">
      <c r="A948" s="4" t="s">
        <v>3157</v>
      </c>
      <c r="B948" s="4" t="s">
        <v>3156</v>
      </c>
      <c r="C948" s="4" t="s">
        <v>2320</v>
      </c>
      <c r="D948" s="4" t="s">
        <v>242</v>
      </c>
      <c r="E948" s="4" t="s">
        <v>2709</v>
      </c>
      <c r="F948" s="4" t="s">
        <v>2708</v>
      </c>
      <c r="G948" s="4" t="s">
        <v>2263</v>
      </c>
      <c r="H948" s="9" t="s">
        <v>2263</v>
      </c>
      <c r="I948" s="4" t="s">
        <v>2317</v>
      </c>
      <c r="J948" s="4" t="s">
        <v>2316</v>
      </c>
      <c r="K948" s="4" t="s">
        <v>2263</v>
      </c>
      <c r="L948" s="10">
        <v>2</v>
      </c>
      <c r="M948" s="5">
        <v>2022.0220430107527</v>
      </c>
      <c r="N948" s="5">
        <v>4044.0440860215099</v>
      </c>
    </row>
    <row r="949" spans="1:14" x14ac:dyDescent="0.25">
      <c r="A949" s="4" t="s">
        <v>3104</v>
      </c>
      <c r="B949" s="4" t="s">
        <v>3103</v>
      </c>
      <c r="C949" s="4" t="s">
        <v>2320</v>
      </c>
      <c r="D949" s="4" t="s">
        <v>242</v>
      </c>
      <c r="E949" s="4" t="s">
        <v>2709</v>
      </c>
      <c r="F949" s="4" t="s">
        <v>2708</v>
      </c>
      <c r="G949" s="4" t="s">
        <v>2263</v>
      </c>
      <c r="H949" s="9" t="s">
        <v>2263</v>
      </c>
      <c r="I949" s="4" t="s">
        <v>2317</v>
      </c>
      <c r="J949" s="4" t="s">
        <v>2316</v>
      </c>
      <c r="K949" s="4" t="s">
        <v>2263</v>
      </c>
      <c r="L949" s="10">
        <v>2</v>
      </c>
      <c r="M949" s="5">
        <v>2022.0220430107527</v>
      </c>
      <c r="N949" s="5">
        <v>4044.0440860215099</v>
      </c>
    </row>
    <row r="950" spans="1:14" x14ac:dyDescent="0.25">
      <c r="A950" s="4" t="s">
        <v>3063</v>
      </c>
      <c r="B950" s="4" t="s">
        <v>3062</v>
      </c>
      <c r="C950" s="4" t="s">
        <v>2320</v>
      </c>
      <c r="D950" s="4" t="s">
        <v>242</v>
      </c>
      <c r="E950" s="4" t="s">
        <v>2709</v>
      </c>
      <c r="F950" s="4" t="s">
        <v>2708</v>
      </c>
      <c r="G950" s="4" t="s">
        <v>2263</v>
      </c>
      <c r="H950" s="9" t="s">
        <v>2263</v>
      </c>
      <c r="I950" s="4" t="s">
        <v>2317</v>
      </c>
      <c r="J950" s="4" t="s">
        <v>2316</v>
      </c>
      <c r="K950" s="4" t="s">
        <v>2263</v>
      </c>
      <c r="L950" s="10">
        <v>2</v>
      </c>
      <c r="M950" s="5">
        <v>2022.0220430107527</v>
      </c>
      <c r="N950" s="5">
        <v>4044.0440860215099</v>
      </c>
    </row>
    <row r="951" spans="1:14" x14ac:dyDescent="0.25">
      <c r="A951" s="4" t="s">
        <v>3051</v>
      </c>
      <c r="B951" s="4" t="s">
        <v>3050</v>
      </c>
      <c r="C951" s="4" t="s">
        <v>2320</v>
      </c>
      <c r="D951" s="4" t="s">
        <v>242</v>
      </c>
      <c r="E951" s="4" t="s">
        <v>2709</v>
      </c>
      <c r="F951" s="4" t="s">
        <v>2708</v>
      </c>
      <c r="G951" s="4" t="s">
        <v>2263</v>
      </c>
      <c r="H951" s="9" t="s">
        <v>2263</v>
      </c>
      <c r="I951" s="4" t="s">
        <v>2317</v>
      </c>
      <c r="J951" s="4" t="s">
        <v>2316</v>
      </c>
      <c r="K951" s="4" t="s">
        <v>2263</v>
      </c>
      <c r="L951" s="10">
        <v>2</v>
      </c>
      <c r="M951" s="5">
        <v>2022.0220430107527</v>
      </c>
      <c r="N951" s="5">
        <v>4044.0440860215099</v>
      </c>
    </row>
    <row r="952" spans="1:14" x14ac:dyDescent="0.25">
      <c r="A952" s="4" t="s">
        <v>3024</v>
      </c>
      <c r="B952" s="4" t="s">
        <v>3023</v>
      </c>
      <c r="C952" s="4" t="s">
        <v>2320</v>
      </c>
      <c r="D952" s="4" t="s">
        <v>242</v>
      </c>
      <c r="E952" s="4" t="s">
        <v>2709</v>
      </c>
      <c r="F952" s="4" t="s">
        <v>2708</v>
      </c>
      <c r="G952" s="4" t="s">
        <v>2263</v>
      </c>
      <c r="H952" s="9" t="s">
        <v>2263</v>
      </c>
      <c r="I952" s="4" t="s">
        <v>2317</v>
      </c>
      <c r="J952" s="4" t="s">
        <v>2316</v>
      </c>
      <c r="K952" s="4" t="s">
        <v>2263</v>
      </c>
      <c r="L952" s="10">
        <v>2</v>
      </c>
      <c r="M952" s="5">
        <v>2022.0220430107527</v>
      </c>
      <c r="N952" s="5">
        <v>4044.0440860215099</v>
      </c>
    </row>
    <row r="953" spans="1:14" x14ac:dyDescent="0.25">
      <c r="A953" s="4" t="s">
        <v>2673</v>
      </c>
      <c r="B953" s="4" t="s">
        <v>2672</v>
      </c>
      <c r="C953" s="4" t="s">
        <v>2320</v>
      </c>
      <c r="D953" s="4" t="s">
        <v>242</v>
      </c>
      <c r="E953" s="4" t="s">
        <v>2709</v>
      </c>
      <c r="F953" s="4" t="s">
        <v>2708</v>
      </c>
      <c r="G953" s="4" t="s">
        <v>2263</v>
      </c>
      <c r="H953" s="9" t="s">
        <v>2263</v>
      </c>
      <c r="I953" s="4" t="s">
        <v>2317</v>
      </c>
      <c r="J953" s="4" t="s">
        <v>2316</v>
      </c>
      <c r="K953" s="4" t="s">
        <v>2263</v>
      </c>
      <c r="L953" s="10">
        <v>2</v>
      </c>
      <c r="M953" s="5">
        <v>2022.0220430107527</v>
      </c>
      <c r="N953" s="5">
        <v>4044.0440860215099</v>
      </c>
    </row>
    <row r="954" spans="1:14" x14ac:dyDescent="0.25">
      <c r="A954" s="4" t="s">
        <v>2481</v>
      </c>
      <c r="B954" s="4" t="s">
        <v>3217</v>
      </c>
      <c r="C954" s="4" t="s">
        <v>2279</v>
      </c>
      <c r="D954" s="4" t="s">
        <v>2278</v>
      </c>
      <c r="E954" s="4" t="s">
        <v>2282</v>
      </c>
      <c r="F954" s="4" t="s">
        <v>2281</v>
      </c>
      <c r="G954" s="4" t="s">
        <v>2263</v>
      </c>
      <c r="H954" s="9" t="s">
        <v>2263</v>
      </c>
      <c r="I954" s="4" t="s">
        <v>2263</v>
      </c>
      <c r="J954" s="4" t="s">
        <v>2263</v>
      </c>
      <c r="K954" s="4" t="s">
        <v>2280</v>
      </c>
      <c r="L954" s="10">
        <v>2</v>
      </c>
      <c r="M954" s="5">
        <v>2099.7760358342666</v>
      </c>
      <c r="N954" s="5">
        <v>4199.5520716685296</v>
      </c>
    </row>
    <row r="955" spans="1:14" x14ac:dyDescent="0.25">
      <c r="A955" s="4" t="s">
        <v>2269</v>
      </c>
      <c r="B955" s="4" t="s">
        <v>2268</v>
      </c>
      <c r="C955" s="4" t="s">
        <v>2279</v>
      </c>
      <c r="D955" s="4" t="s">
        <v>2278</v>
      </c>
      <c r="E955" s="4" t="s">
        <v>2282</v>
      </c>
      <c r="F955" s="4" t="s">
        <v>2281</v>
      </c>
      <c r="G955" s="4" t="s">
        <v>2263</v>
      </c>
      <c r="H955" s="9" t="s">
        <v>2263</v>
      </c>
      <c r="I955" s="4" t="s">
        <v>2263</v>
      </c>
      <c r="J955" s="4" t="s">
        <v>2263</v>
      </c>
      <c r="K955" s="4" t="s">
        <v>2280</v>
      </c>
      <c r="L955" s="10">
        <v>2</v>
      </c>
      <c r="M955" s="5">
        <v>2099.7760358342666</v>
      </c>
      <c r="N955" s="5">
        <v>4199.5520716685296</v>
      </c>
    </row>
    <row r="956" spans="1:14" x14ac:dyDescent="0.25">
      <c r="A956" s="4" t="s">
        <v>3157</v>
      </c>
      <c r="B956" s="4" t="s">
        <v>3156</v>
      </c>
      <c r="C956" s="4" t="s">
        <v>2320</v>
      </c>
      <c r="D956" s="4" t="s">
        <v>242</v>
      </c>
      <c r="E956" s="4" t="s">
        <v>2721</v>
      </c>
      <c r="F956" s="4" t="s">
        <v>2720</v>
      </c>
      <c r="G956" s="4" t="s">
        <v>2263</v>
      </c>
      <c r="H956" s="9" t="s">
        <v>2263</v>
      </c>
      <c r="I956" s="4" t="s">
        <v>2317</v>
      </c>
      <c r="J956" s="4" t="s">
        <v>2316</v>
      </c>
      <c r="K956" s="4" t="s">
        <v>2263</v>
      </c>
      <c r="L956" s="10">
        <v>2</v>
      </c>
      <c r="M956" s="5">
        <v>2132.3942065491183</v>
      </c>
      <c r="N956" s="5">
        <v>4264.7884130982402</v>
      </c>
    </row>
    <row r="957" spans="1:14" x14ac:dyDescent="0.25">
      <c r="A957" s="4" t="s">
        <v>3801</v>
      </c>
      <c r="B957" s="4" t="s">
        <v>4965</v>
      </c>
      <c r="C957" s="4" t="s">
        <v>2320</v>
      </c>
      <c r="D957" s="4" t="s">
        <v>242</v>
      </c>
      <c r="E957" s="4" t="s">
        <v>2713</v>
      </c>
      <c r="F957" s="4" t="s">
        <v>2712</v>
      </c>
      <c r="G957" s="4" t="s">
        <v>2263</v>
      </c>
      <c r="H957" s="9" t="s">
        <v>2263</v>
      </c>
      <c r="I957" s="4" t="s">
        <v>2317</v>
      </c>
      <c r="J957" s="4" t="s">
        <v>2316</v>
      </c>
      <c r="K957" s="4" t="s">
        <v>2263</v>
      </c>
      <c r="L957" s="10">
        <v>2</v>
      </c>
      <c r="M957" s="5">
        <v>2145.7358134490237</v>
      </c>
      <c r="N957" s="5">
        <v>4291.4716268980501</v>
      </c>
    </row>
    <row r="958" spans="1:14" x14ac:dyDescent="0.25">
      <c r="A958" s="4" t="s">
        <v>2279</v>
      </c>
      <c r="B958" s="4" t="s">
        <v>4963</v>
      </c>
      <c r="C958" s="4" t="s">
        <v>2320</v>
      </c>
      <c r="D958" s="4" t="s">
        <v>242</v>
      </c>
      <c r="E958" s="4" t="s">
        <v>2713</v>
      </c>
      <c r="F958" s="4" t="s">
        <v>2712</v>
      </c>
      <c r="G958" s="4" t="s">
        <v>2263</v>
      </c>
      <c r="H958" s="9" t="s">
        <v>2263</v>
      </c>
      <c r="I958" s="4" t="s">
        <v>2317</v>
      </c>
      <c r="J958" s="4" t="s">
        <v>2316</v>
      </c>
      <c r="K958" s="4" t="s">
        <v>2263</v>
      </c>
      <c r="L958" s="10">
        <v>2</v>
      </c>
      <c r="M958" s="5">
        <v>2145.7358134490237</v>
      </c>
      <c r="N958" s="5">
        <v>4291.4716268980501</v>
      </c>
    </row>
    <row r="959" spans="1:14" x14ac:dyDescent="0.25">
      <c r="A959" s="4" t="s">
        <v>2481</v>
      </c>
      <c r="B959" s="4" t="s">
        <v>3217</v>
      </c>
      <c r="C959" s="4" t="s">
        <v>2320</v>
      </c>
      <c r="D959" s="4" t="s">
        <v>242</v>
      </c>
      <c r="E959" s="4" t="s">
        <v>2713</v>
      </c>
      <c r="F959" s="4" t="s">
        <v>2712</v>
      </c>
      <c r="G959" s="4" t="s">
        <v>2263</v>
      </c>
      <c r="H959" s="9" t="s">
        <v>2263</v>
      </c>
      <c r="I959" s="4" t="s">
        <v>2317</v>
      </c>
      <c r="J959" s="4" t="s">
        <v>2316</v>
      </c>
      <c r="K959" s="4" t="s">
        <v>2263</v>
      </c>
      <c r="L959" s="10">
        <v>2</v>
      </c>
      <c r="M959" s="5">
        <v>2145.7358134490237</v>
      </c>
      <c r="N959" s="5">
        <v>4291.4716268980501</v>
      </c>
    </row>
    <row r="960" spans="1:14" x14ac:dyDescent="0.25">
      <c r="A960" s="4" t="s">
        <v>3196</v>
      </c>
      <c r="B960" s="4" t="s">
        <v>3195</v>
      </c>
      <c r="C960" s="4" t="s">
        <v>2320</v>
      </c>
      <c r="D960" s="4" t="s">
        <v>242</v>
      </c>
      <c r="E960" s="4" t="s">
        <v>2713</v>
      </c>
      <c r="F960" s="4" t="s">
        <v>2712</v>
      </c>
      <c r="G960" s="4" t="s">
        <v>2263</v>
      </c>
      <c r="H960" s="9" t="s">
        <v>2263</v>
      </c>
      <c r="I960" s="4" t="s">
        <v>2317</v>
      </c>
      <c r="J960" s="4" t="s">
        <v>2316</v>
      </c>
      <c r="K960" s="4" t="s">
        <v>2263</v>
      </c>
      <c r="L960" s="10">
        <v>2</v>
      </c>
      <c r="M960" s="5">
        <v>2145.7358134490237</v>
      </c>
      <c r="N960" s="5">
        <v>4291.4716268980501</v>
      </c>
    </row>
    <row r="961" spans="1:14" x14ac:dyDescent="0.25">
      <c r="A961" s="4" t="s">
        <v>2384</v>
      </c>
      <c r="B961" s="4" t="s">
        <v>3187</v>
      </c>
      <c r="C961" s="4" t="s">
        <v>2320</v>
      </c>
      <c r="D961" s="4" t="s">
        <v>242</v>
      </c>
      <c r="E961" s="4" t="s">
        <v>2713</v>
      </c>
      <c r="F961" s="4" t="s">
        <v>2712</v>
      </c>
      <c r="G961" s="4" t="s">
        <v>2263</v>
      </c>
      <c r="H961" s="9" t="s">
        <v>2263</v>
      </c>
      <c r="I961" s="4" t="s">
        <v>2317</v>
      </c>
      <c r="J961" s="4" t="s">
        <v>2316</v>
      </c>
      <c r="K961" s="4" t="s">
        <v>2263</v>
      </c>
      <c r="L961" s="10">
        <v>2</v>
      </c>
      <c r="M961" s="5">
        <v>2145.7358134490237</v>
      </c>
      <c r="N961" s="5">
        <v>4291.4716268980501</v>
      </c>
    </row>
    <row r="962" spans="1:14" x14ac:dyDescent="0.25">
      <c r="A962" s="4" t="s">
        <v>3174</v>
      </c>
      <c r="B962" s="4" t="s">
        <v>3173</v>
      </c>
      <c r="C962" s="4" t="s">
        <v>2320</v>
      </c>
      <c r="D962" s="4" t="s">
        <v>242</v>
      </c>
      <c r="E962" s="4" t="s">
        <v>2713</v>
      </c>
      <c r="F962" s="4" t="s">
        <v>2712</v>
      </c>
      <c r="G962" s="4" t="s">
        <v>2263</v>
      </c>
      <c r="H962" s="9" t="s">
        <v>2263</v>
      </c>
      <c r="I962" s="4" t="s">
        <v>2317</v>
      </c>
      <c r="J962" s="4" t="s">
        <v>2316</v>
      </c>
      <c r="K962" s="4" t="s">
        <v>2263</v>
      </c>
      <c r="L962" s="10">
        <v>2</v>
      </c>
      <c r="M962" s="5">
        <v>2145.7358134490237</v>
      </c>
      <c r="N962" s="5">
        <v>4291.4716268980501</v>
      </c>
    </row>
    <row r="963" spans="1:14" x14ac:dyDescent="0.25">
      <c r="A963" s="4" t="s">
        <v>3157</v>
      </c>
      <c r="B963" s="4" t="s">
        <v>3156</v>
      </c>
      <c r="C963" s="4" t="s">
        <v>2320</v>
      </c>
      <c r="D963" s="4" t="s">
        <v>242</v>
      </c>
      <c r="E963" s="4" t="s">
        <v>2713</v>
      </c>
      <c r="F963" s="4" t="s">
        <v>2712</v>
      </c>
      <c r="G963" s="4" t="s">
        <v>2263</v>
      </c>
      <c r="H963" s="9" t="s">
        <v>2263</v>
      </c>
      <c r="I963" s="4" t="s">
        <v>2317</v>
      </c>
      <c r="J963" s="4" t="s">
        <v>2316</v>
      </c>
      <c r="K963" s="4" t="s">
        <v>2263</v>
      </c>
      <c r="L963" s="10">
        <v>2</v>
      </c>
      <c r="M963" s="5">
        <v>2145.7358134490237</v>
      </c>
      <c r="N963" s="5">
        <v>4291.4716268980501</v>
      </c>
    </row>
    <row r="964" spans="1:14" x14ac:dyDescent="0.25">
      <c r="A964" s="4" t="s">
        <v>3104</v>
      </c>
      <c r="B964" s="4" t="s">
        <v>3103</v>
      </c>
      <c r="C964" s="4" t="s">
        <v>2320</v>
      </c>
      <c r="D964" s="4" t="s">
        <v>242</v>
      </c>
      <c r="E964" s="4" t="s">
        <v>2713</v>
      </c>
      <c r="F964" s="4" t="s">
        <v>2712</v>
      </c>
      <c r="G964" s="4" t="s">
        <v>2263</v>
      </c>
      <c r="H964" s="9" t="s">
        <v>2263</v>
      </c>
      <c r="I964" s="4" t="s">
        <v>2317</v>
      </c>
      <c r="J964" s="4" t="s">
        <v>2316</v>
      </c>
      <c r="K964" s="4" t="s">
        <v>2263</v>
      </c>
      <c r="L964" s="10">
        <v>2</v>
      </c>
      <c r="M964" s="5">
        <v>2145.7358134490237</v>
      </c>
      <c r="N964" s="5">
        <v>4291.4716268980501</v>
      </c>
    </row>
    <row r="965" spans="1:14" x14ac:dyDescent="0.25">
      <c r="A965" s="4" t="s">
        <v>3063</v>
      </c>
      <c r="B965" s="4" t="s">
        <v>3062</v>
      </c>
      <c r="C965" s="4" t="s">
        <v>2320</v>
      </c>
      <c r="D965" s="4" t="s">
        <v>242</v>
      </c>
      <c r="E965" s="4" t="s">
        <v>2713</v>
      </c>
      <c r="F965" s="4" t="s">
        <v>2712</v>
      </c>
      <c r="G965" s="4" t="s">
        <v>2263</v>
      </c>
      <c r="H965" s="9" t="s">
        <v>2263</v>
      </c>
      <c r="I965" s="4" t="s">
        <v>2317</v>
      </c>
      <c r="J965" s="4" t="s">
        <v>2316</v>
      </c>
      <c r="K965" s="4" t="s">
        <v>2263</v>
      </c>
      <c r="L965" s="10">
        <v>2</v>
      </c>
      <c r="M965" s="5">
        <v>2145.7358134490237</v>
      </c>
      <c r="N965" s="5">
        <v>4291.4716268980501</v>
      </c>
    </row>
    <row r="966" spans="1:14" x14ac:dyDescent="0.25">
      <c r="A966" s="4" t="s">
        <v>3051</v>
      </c>
      <c r="B966" s="4" t="s">
        <v>3050</v>
      </c>
      <c r="C966" s="4" t="s">
        <v>2320</v>
      </c>
      <c r="D966" s="4" t="s">
        <v>242</v>
      </c>
      <c r="E966" s="4" t="s">
        <v>2713</v>
      </c>
      <c r="F966" s="4" t="s">
        <v>2712</v>
      </c>
      <c r="G966" s="4" t="s">
        <v>2263</v>
      </c>
      <c r="H966" s="9" t="s">
        <v>2263</v>
      </c>
      <c r="I966" s="4" t="s">
        <v>2317</v>
      </c>
      <c r="J966" s="4" t="s">
        <v>2316</v>
      </c>
      <c r="K966" s="4" t="s">
        <v>2263</v>
      </c>
      <c r="L966" s="10">
        <v>2</v>
      </c>
      <c r="M966" s="5">
        <v>2145.7358134490237</v>
      </c>
      <c r="N966" s="5">
        <v>4291.4716268980501</v>
      </c>
    </row>
    <row r="967" spans="1:14" x14ac:dyDescent="0.25">
      <c r="A967" s="4" t="s">
        <v>3024</v>
      </c>
      <c r="B967" s="4" t="s">
        <v>3023</v>
      </c>
      <c r="C967" s="4" t="s">
        <v>2320</v>
      </c>
      <c r="D967" s="4" t="s">
        <v>242</v>
      </c>
      <c r="E967" s="4" t="s">
        <v>2713</v>
      </c>
      <c r="F967" s="4" t="s">
        <v>2712</v>
      </c>
      <c r="G967" s="4" t="s">
        <v>2263</v>
      </c>
      <c r="H967" s="9" t="s">
        <v>2263</v>
      </c>
      <c r="I967" s="4" t="s">
        <v>2317</v>
      </c>
      <c r="J967" s="4" t="s">
        <v>2316</v>
      </c>
      <c r="K967" s="4" t="s">
        <v>2263</v>
      </c>
      <c r="L967" s="10">
        <v>2</v>
      </c>
      <c r="M967" s="5">
        <v>2145.7358134490237</v>
      </c>
      <c r="N967" s="5">
        <v>4291.4716268980501</v>
      </c>
    </row>
    <row r="968" spans="1:14" x14ac:dyDescent="0.25">
      <c r="A968" s="4" t="s">
        <v>2673</v>
      </c>
      <c r="B968" s="4" t="s">
        <v>2672</v>
      </c>
      <c r="C968" s="4" t="s">
        <v>2320</v>
      </c>
      <c r="D968" s="4" t="s">
        <v>242</v>
      </c>
      <c r="E968" s="4" t="s">
        <v>2713</v>
      </c>
      <c r="F968" s="4" t="s">
        <v>2712</v>
      </c>
      <c r="G968" s="4" t="s">
        <v>2263</v>
      </c>
      <c r="H968" s="9" t="s">
        <v>2263</v>
      </c>
      <c r="I968" s="4" t="s">
        <v>2317</v>
      </c>
      <c r="J968" s="4" t="s">
        <v>2316</v>
      </c>
      <c r="K968" s="4" t="s">
        <v>2263</v>
      </c>
      <c r="L968" s="10">
        <v>2</v>
      </c>
      <c r="M968" s="5">
        <v>2145.7358134490237</v>
      </c>
      <c r="N968" s="5">
        <v>4291.4716268980501</v>
      </c>
    </row>
    <row r="969" spans="1:14" x14ac:dyDescent="0.25">
      <c r="A969" s="4" t="s">
        <v>2344</v>
      </c>
      <c r="B969" s="4" t="s">
        <v>5154</v>
      </c>
      <c r="C969" s="4" t="s">
        <v>2344</v>
      </c>
      <c r="D969" s="4" t="s">
        <v>237</v>
      </c>
      <c r="E969" s="4" t="s">
        <v>4924</v>
      </c>
      <c r="F969" s="4" t="s">
        <v>4716</v>
      </c>
      <c r="G969" s="4" t="s">
        <v>2263</v>
      </c>
      <c r="H969" s="9" t="s">
        <v>2263</v>
      </c>
      <c r="I969" s="4" t="s">
        <v>2263</v>
      </c>
      <c r="J969" s="4" t="s">
        <v>2263</v>
      </c>
      <c r="K969" s="4" t="s">
        <v>4715</v>
      </c>
      <c r="L969" s="10">
        <v>2</v>
      </c>
      <c r="M969" s="5">
        <v>2158.6129032258063</v>
      </c>
      <c r="N969" s="5">
        <v>4317.22580645161</v>
      </c>
    </row>
    <row r="970" spans="1:14" x14ac:dyDescent="0.25">
      <c r="A970" s="4" t="s">
        <v>2320</v>
      </c>
      <c r="B970" s="4" t="s">
        <v>4967</v>
      </c>
      <c r="C970" s="4" t="s">
        <v>2344</v>
      </c>
      <c r="D970" s="4" t="s">
        <v>237</v>
      </c>
      <c r="E970" s="4" t="s">
        <v>4829</v>
      </c>
      <c r="F970" s="4" t="s">
        <v>4828</v>
      </c>
      <c r="G970" s="4" t="s">
        <v>2263</v>
      </c>
      <c r="H970" s="9" t="s">
        <v>2263</v>
      </c>
      <c r="I970" s="4" t="s">
        <v>2263</v>
      </c>
      <c r="J970" s="4" t="s">
        <v>2263</v>
      </c>
      <c r="K970" s="4" t="s">
        <v>4827</v>
      </c>
      <c r="L970" s="10">
        <v>2</v>
      </c>
      <c r="M970" s="5">
        <v>2218.1857500000001</v>
      </c>
      <c r="N970" s="5">
        <v>4436.3715000000002</v>
      </c>
    </row>
    <row r="971" spans="1:14" x14ac:dyDescent="0.25">
      <c r="A971" s="4" t="s">
        <v>3063</v>
      </c>
      <c r="B971" s="4" t="s">
        <v>3062</v>
      </c>
      <c r="C971" s="4" t="s">
        <v>2279</v>
      </c>
      <c r="D971" s="4" t="s">
        <v>2278</v>
      </c>
      <c r="E971" s="4" t="s">
        <v>3064</v>
      </c>
      <c r="F971" s="4" t="s">
        <v>2281</v>
      </c>
      <c r="G971" s="4" t="s">
        <v>2263</v>
      </c>
      <c r="H971" s="9" t="s">
        <v>2263</v>
      </c>
      <c r="I971" s="4" t="s">
        <v>2263</v>
      </c>
      <c r="J971" s="4" t="s">
        <v>2263</v>
      </c>
      <c r="K971" s="4" t="s">
        <v>2280</v>
      </c>
      <c r="L971" s="10">
        <v>2</v>
      </c>
      <c r="M971" s="5">
        <v>2224.0216666666665</v>
      </c>
      <c r="N971" s="5">
        <v>4448.0433333333303</v>
      </c>
    </row>
    <row r="972" spans="1:14" x14ac:dyDescent="0.25">
      <c r="A972" s="4" t="s">
        <v>2269</v>
      </c>
      <c r="B972" s="4" t="s">
        <v>2268</v>
      </c>
      <c r="C972" s="4" t="s">
        <v>2279</v>
      </c>
      <c r="D972" s="4" t="s">
        <v>2278</v>
      </c>
      <c r="E972" s="4" t="s">
        <v>2285</v>
      </c>
      <c r="F972" s="4" t="s">
        <v>2284</v>
      </c>
      <c r="G972" s="4" t="s">
        <v>2263</v>
      </c>
      <c r="H972" s="9" t="s">
        <v>2263</v>
      </c>
      <c r="I972" s="4" t="s">
        <v>2263</v>
      </c>
      <c r="J972" s="4" t="s">
        <v>2263</v>
      </c>
      <c r="K972" s="4" t="s">
        <v>2283</v>
      </c>
      <c r="L972" s="10">
        <v>2</v>
      </c>
      <c r="M972" s="5">
        <v>2235.065979532164</v>
      </c>
      <c r="N972" s="5">
        <v>4470.1319590643297</v>
      </c>
    </row>
    <row r="973" spans="1:14" x14ac:dyDescent="0.25">
      <c r="A973" s="4" t="s">
        <v>2320</v>
      </c>
      <c r="B973" s="4" t="s">
        <v>4967</v>
      </c>
      <c r="C973" s="4" t="s">
        <v>2320</v>
      </c>
      <c r="D973" s="4" t="s">
        <v>242</v>
      </c>
      <c r="E973" s="4" t="s">
        <v>3885</v>
      </c>
      <c r="F973" s="4" t="s">
        <v>3884</v>
      </c>
      <c r="G973" s="4" t="s">
        <v>2263</v>
      </c>
      <c r="H973" s="9" t="s">
        <v>2263</v>
      </c>
      <c r="I973" s="4" t="s">
        <v>2317</v>
      </c>
      <c r="J973" s="4" t="s">
        <v>2316</v>
      </c>
      <c r="K973" s="4" t="s">
        <v>2263</v>
      </c>
      <c r="L973" s="10">
        <v>2</v>
      </c>
      <c r="M973" s="5">
        <v>2345.8135802469137</v>
      </c>
      <c r="N973" s="5">
        <v>4691.6271604938302</v>
      </c>
    </row>
    <row r="974" spans="1:14" x14ac:dyDescent="0.25">
      <c r="A974" s="4" t="s">
        <v>3801</v>
      </c>
      <c r="B974" s="4" t="s">
        <v>4965</v>
      </c>
      <c r="C974" s="4" t="s">
        <v>2344</v>
      </c>
      <c r="D974" s="4" t="s">
        <v>237</v>
      </c>
      <c r="E974" s="4" t="s">
        <v>4922</v>
      </c>
      <c r="F974" s="4" t="s">
        <v>2463</v>
      </c>
      <c r="G974" s="4" t="s">
        <v>2263</v>
      </c>
      <c r="H974" s="9" t="s">
        <v>2263</v>
      </c>
      <c r="I974" s="4" t="s">
        <v>2263</v>
      </c>
      <c r="J974" s="4" t="s">
        <v>2263</v>
      </c>
      <c r="K974" s="4" t="s">
        <v>2462</v>
      </c>
      <c r="L974" s="10">
        <v>2</v>
      </c>
      <c r="M974" s="5">
        <v>2420.6186170212768</v>
      </c>
      <c r="N974" s="5">
        <v>4841.23723404255</v>
      </c>
    </row>
    <row r="975" spans="1:14" x14ac:dyDescent="0.25">
      <c r="A975" s="4" t="s">
        <v>3801</v>
      </c>
      <c r="B975" s="4" t="s">
        <v>4965</v>
      </c>
      <c r="C975" s="4" t="s">
        <v>2320</v>
      </c>
      <c r="D975" s="4" t="s">
        <v>242</v>
      </c>
      <c r="E975" s="4" t="s">
        <v>2366</v>
      </c>
      <c r="F975" s="4" t="s">
        <v>2365</v>
      </c>
      <c r="G975" s="4" t="s">
        <v>2263</v>
      </c>
      <c r="H975" s="9" t="s">
        <v>2263</v>
      </c>
      <c r="I975" s="4" t="s">
        <v>2317</v>
      </c>
      <c r="J975" s="4" t="s">
        <v>2316</v>
      </c>
      <c r="K975" s="4" t="s">
        <v>2263</v>
      </c>
      <c r="L975" s="10">
        <v>2</v>
      </c>
      <c r="M975" s="5">
        <v>2428.3562711864406</v>
      </c>
      <c r="N975" s="5">
        <v>4856.7125423728803</v>
      </c>
    </row>
    <row r="976" spans="1:14" x14ac:dyDescent="0.25">
      <c r="A976" s="4" t="s">
        <v>2279</v>
      </c>
      <c r="B976" s="4" t="s">
        <v>4963</v>
      </c>
      <c r="C976" s="4" t="s">
        <v>2320</v>
      </c>
      <c r="D976" s="4" t="s">
        <v>242</v>
      </c>
      <c r="E976" s="4" t="s">
        <v>2366</v>
      </c>
      <c r="F976" s="4" t="s">
        <v>2365</v>
      </c>
      <c r="G976" s="4" t="s">
        <v>2263</v>
      </c>
      <c r="H976" s="9" t="s">
        <v>2263</v>
      </c>
      <c r="I976" s="4" t="s">
        <v>2317</v>
      </c>
      <c r="J976" s="4" t="s">
        <v>2316</v>
      </c>
      <c r="K976" s="4" t="s">
        <v>2263</v>
      </c>
      <c r="L976" s="10">
        <v>2</v>
      </c>
      <c r="M976" s="5">
        <v>2428.3562711864406</v>
      </c>
      <c r="N976" s="5">
        <v>4856.7125423728803</v>
      </c>
    </row>
    <row r="977" spans="1:14" x14ac:dyDescent="0.25">
      <c r="A977" s="4" t="s">
        <v>2481</v>
      </c>
      <c r="B977" s="4" t="s">
        <v>3217</v>
      </c>
      <c r="C977" s="4" t="s">
        <v>2320</v>
      </c>
      <c r="D977" s="4" t="s">
        <v>242</v>
      </c>
      <c r="E977" s="4" t="s">
        <v>2366</v>
      </c>
      <c r="F977" s="4" t="s">
        <v>2365</v>
      </c>
      <c r="G977" s="4" t="s">
        <v>2263</v>
      </c>
      <c r="H977" s="9" t="s">
        <v>2263</v>
      </c>
      <c r="I977" s="4" t="s">
        <v>2317</v>
      </c>
      <c r="J977" s="4" t="s">
        <v>2316</v>
      </c>
      <c r="K977" s="4" t="s">
        <v>2263</v>
      </c>
      <c r="L977" s="10">
        <v>2</v>
      </c>
      <c r="M977" s="5">
        <v>2428.3562711864406</v>
      </c>
      <c r="N977" s="5">
        <v>4856.7125423728803</v>
      </c>
    </row>
    <row r="978" spans="1:14" x14ac:dyDescent="0.25">
      <c r="A978" s="4" t="s">
        <v>3196</v>
      </c>
      <c r="B978" s="4" t="s">
        <v>3195</v>
      </c>
      <c r="C978" s="4" t="s">
        <v>2320</v>
      </c>
      <c r="D978" s="4" t="s">
        <v>242</v>
      </c>
      <c r="E978" s="4" t="s">
        <v>2366</v>
      </c>
      <c r="F978" s="4" t="s">
        <v>2365</v>
      </c>
      <c r="G978" s="4" t="s">
        <v>2263</v>
      </c>
      <c r="H978" s="9" t="s">
        <v>2263</v>
      </c>
      <c r="I978" s="4" t="s">
        <v>2317</v>
      </c>
      <c r="J978" s="4" t="s">
        <v>2316</v>
      </c>
      <c r="K978" s="4" t="s">
        <v>2263</v>
      </c>
      <c r="L978" s="10">
        <v>2</v>
      </c>
      <c r="M978" s="5">
        <v>2428.3562711864406</v>
      </c>
      <c r="N978" s="5">
        <v>4856.7125423728803</v>
      </c>
    </row>
    <row r="979" spans="1:14" x14ac:dyDescent="0.25">
      <c r="A979" s="4" t="s">
        <v>2384</v>
      </c>
      <c r="B979" s="4" t="s">
        <v>3187</v>
      </c>
      <c r="C979" s="4" t="s">
        <v>2320</v>
      </c>
      <c r="D979" s="4" t="s">
        <v>242</v>
      </c>
      <c r="E979" s="4" t="s">
        <v>2366</v>
      </c>
      <c r="F979" s="4" t="s">
        <v>2365</v>
      </c>
      <c r="G979" s="4" t="s">
        <v>2263</v>
      </c>
      <c r="H979" s="9" t="s">
        <v>2263</v>
      </c>
      <c r="I979" s="4" t="s">
        <v>2317</v>
      </c>
      <c r="J979" s="4" t="s">
        <v>2316</v>
      </c>
      <c r="K979" s="4" t="s">
        <v>2263</v>
      </c>
      <c r="L979" s="10">
        <v>2</v>
      </c>
      <c r="M979" s="5">
        <v>2428.3562711864406</v>
      </c>
      <c r="N979" s="5">
        <v>4856.7125423728803</v>
      </c>
    </row>
    <row r="980" spans="1:14" x14ac:dyDescent="0.25">
      <c r="A980" s="4" t="s">
        <v>3174</v>
      </c>
      <c r="B980" s="4" t="s">
        <v>3173</v>
      </c>
      <c r="C980" s="4" t="s">
        <v>2320</v>
      </c>
      <c r="D980" s="4" t="s">
        <v>242</v>
      </c>
      <c r="E980" s="4" t="s">
        <v>2366</v>
      </c>
      <c r="F980" s="4" t="s">
        <v>2365</v>
      </c>
      <c r="G980" s="4" t="s">
        <v>2263</v>
      </c>
      <c r="H980" s="9" t="s">
        <v>2263</v>
      </c>
      <c r="I980" s="4" t="s">
        <v>2317</v>
      </c>
      <c r="J980" s="4" t="s">
        <v>2316</v>
      </c>
      <c r="K980" s="4" t="s">
        <v>2263</v>
      </c>
      <c r="L980" s="10">
        <v>2</v>
      </c>
      <c r="M980" s="5">
        <v>2428.3562711864406</v>
      </c>
      <c r="N980" s="5">
        <v>4856.7125423728803</v>
      </c>
    </row>
    <row r="981" spans="1:14" x14ac:dyDescent="0.25">
      <c r="A981" s="4" t="s">
        <v>3157</v>
      </c>
      <c r="B981" s="4" t="s">
        <v>3156</v>
      </c>
      <c r="C981" s="4" t="s">
        <v>2320</v>
      </c>
      <c r="D981" s="4" t="s">
        <v>242</v>
      </c>
      <c r="E981" s="4" t="s">
        <v>2366</v>
      </c>
      <c r="F981" s="4" t="s">
        <v>2365</v>
      </c>
      <c r="G981" s="4" t="s">
        <v>2263</v>
      </c>
      <c r="H981" s="9" t="s">
        <v>2263</v>
      </c>
      <c r="I981" s="4" t="s">
        <v>2317</v>
      </c>
      <c r="J981" s="4" t="s">
        <v>2316</v>
      </c>
      <c r="K981" s="4" t="s">
        <v>2263</v>
      </c>
      <c r="L981" s="10">
        <v>2</v>
      </c>
      <c r="M981" s="5">
        <v>2428.3562711864406</v>
      </c>
      <c r="N981" s="5">
        <v>4856.7125423728803</v>
      </c>
    </row>
    <row r="982" spans="1:14" x14ac:dyDescent="0.25">
      <c r="A982" s="4" t="s">
        <v>3104</v>
      </c>
      <c r="B982" s="4" t="s">
        <v>3103</v>
      </c>
      <c r="C982" s="4" t="s">
        <v>2320</v>
      </c>
      <c r="D982" s="4" t="s">
        <v>242</v>
      </c>
      <c r="E982" s="4" t="s">
        <v>2366</v>
      </c>
      <c r="F982" s="4" t="s">
        <v>2365</v>
      </c>
      <c r="G982" s="4" t="s">
        <v>2263</v>
      </c>
      <c r="H982" s="9" t="s">
        <v>2263</v>
      </c>
      <c r="I982" s="4" t="s">
        <v>2317</v>
      </c>
      <c r="J982" s="4" t="s">
        <v>2316</v>
      </c>
      <c r="K982" s="4" t="s">
        <v>2263</v>
      </c>
      <c r="L982" s="10">
        <v>2</v>
      </c>
      <c r="M982" s="5">
        <v>2428.3562711864406</v>
      </c>
      <c r="N982" s="5">
        <v>4856.7125423728803</v>
      </c>
    </row>
    <row r="983" spans="1:14" x14ac:dyDescent="0.25">
      <c r="A983" s="4" t="s">
        <v>3063</v>
      </c>
      <c r="B983" s="4" t="s">
        <v>3062</v>
      </c>
      <c r="C983" s="4" t="s">
        <v>2320</v>
      </c>
      <c r="D983" s="4" t="s">
        <v>242</v>
      </c>
      <c r="E983" s="4" t="s">
        <v>2366</v>
      </c>
      <c r="F983" s="4" t="s">
        <v>2365</v>
      </c>
      <c r="G983" s="4" t="s">
        <v>2263</v>
      </c>
      <c r="H983" s="9" t="s">
        <v>2263</v>
      </c>
      <c r="I983" s="4" t="s">
        <v>2317</v>
      </c>
      <c r="J983" s="4" t="s">
        <v>2316</v>
      </c>
      <c r="K983" s="4" t="s">
        <v>2263</v>
      </c>
      <c r="L983" s="10">
        <v>2</v>
      </c>
      <c r="M983" s="5">
        <v>2428.3562711864406</v>
      </c>
      <c r="N983" s="5">
        <v>4856.7125423728803</v>
      </c>
    </row>
    <row r="984" spans="1:14" x14ac:dyDescent="0.25">
      <c r="A984" s="4" t="s">
        <v>3051</v>
      </c>
      <c r="B984" s="4" t="s">
        <v>3050</v>
      </c>
      <c r="C984" s="4" t="s">
        <v>2320</v>
      </c>
      <c r="D984" s="4" t="s">
        <v>242</v>
      </c>
      <c r="E984" s="4" t="s">
        <v>2366</v>
      </c>
      <c r="F984" s="4" t="s">
        <v>2365</v>
      </c>
      <c r="G984" s="4" t="s">
        <v>2263</v>
      </c>
      <c r="H984" s="9" t="s">
        <v>2263</v>
      </c>
      <c r="I984" s="4" t="s">
        <v>2317</v>
      </c>
      <c r="J984" s="4" t="s">
        <v>2316</v>
      </c>
      <c r="K984" s="4" t="s">
        <v>2263</v>
      </c>
      <c r="L984" s="10">
        <v>2</v>
      </c>
      <c r="M984" s="5">
        <v>2428.3562711864406</v>
      </c>
      <c r="N984" s="5">
        <v>4856.7125423728803</v>
      </c>
    </row>
    <row r="985" spans="1:14" x14ac:dyDescent="0.25">
      <c r="A985" s="4" t="s">
        <v>3024</v>
      </c>
      <c r="B985" s="4" t="s">
        <v>3023</v>
      </c>
      <c r="C985" s="4" t="s">
        <v>2320</v>
      </c>
      <c r="D985" s="4" t="s">
        <v>242</v>
      </c>
      <c r="E985" s="4" t="s">
        <v>2366</v>
      </c>
      <c r="F985" s="4" t="s">
        <v>2365</v>
      </c>
      <c r="G985" s="4" t="s">
        <v>2263</v>
      </c>
      <c r="H985" s="9" t="s">
        <v>2263</v>
      </c>
      <c r="I985" s="4" t="s">
        <v>2317</v>
      </c>
      <c r="J985" s="4" t="s">
        <v>2316</v>
      </c>
      <c r="K985" s="4" t="s">
        <v>2263</v>
      </c>
      <c r="L985" s="10">
        <v>2</v>
      </c>
      <c r="M985" s="5">
        <v>2428.3562711864406</v>
      </c>
      <c r="N985" s="5">
        <v>4856.7125423728803</v>
      </c>
    </row>
    <row r="986" spans="1:14" x14ac:dyDescent="0.25">
      <c r="A986" s="4" t="s">
        <v>2673</v>
      </c>
      <c r="B986" s="4" t="s">
        <v>2672</v>
      </c>
      <c r="C986" s="4" t="s">
        <v>2320</v>
      </c>
      <c r="D986" s="4" t="s">
        <v>242</v>
      </c>
      <c r="E986" s="4" t="s">
        <v>2366</v>
      </c>
      <c r="F986" s="4" t="s">
        <v>2365</v>
      </c>
      <c r="G986" s="4" t="s">
        <v>2263</v>
      </c>
      <c r="H986" s="9" t="s">
        <v>2263</v>
      </c>
      <c r="I986" s="4" t="s">
        <v>2317</v>
      </c>
      <c r="J986" s="4" t="s">
        <v>2316</v>
      </c>
      <c r="K986" s="4" t="s">
        <v>2263</v>
      </c>
      <c r="L986" s="10">
        <v>2</v>
      </c>
      <c r="M986" s="5">
        <v>2428.3562711864406</v>
      </c>
      <c r="N986" s="5">
        <v>4856.7125423728803</v>
      </c>
    </row>
    <row r="987" spans="1:14" x14ac:dyDescent="0.25">
      <c r="A987" s="4" t="s">
        <v>2320</v>
      </c>
      <c r="B987" s="4" t="s">
        <v>4967</v>
      </c>
      <c r="C987" s="4" t="s">
        <v>2267</v>
      </c>
      <c r="D987" s="4" t="s">
        <v>2266</v>
      </c>
      <c r="E987" s="4" t="s">
        <v>4431</v>
      </c>
      <c r="F987" s="4" t="s">
        <v>2498</v>
      </c>
      <c r="G987" s="4" t="s">
        <v>2263</v>
      </c>
      <c r="H987" s="9" t="s">
        <v>2263</v>
      </c>
      <c r="I987" s="4" t="s">
        <v>2263</v>
      </c>
      <c r="J987" s="4" t="s">
        <v>2263</v>
      </c>
      <c r="K987" s="4" t="s">
        <v>2497</v>
      </c>
      <c r="L987" s="10">
        <v>2</v>
      </c>
      <c r="M987" s="5">
        <v>2625.7853225806452</v>
      </c>
      <c r="N987" s="5">
        <v>5251.5706451612896</v>
      </c>
    </row>
    <row r="988" spans="1:14" x14ac:dyDescent="0.25">
      <c r="A988" s="4" t="s">
        <v>2355</v>
      </c>
      <c r="B988" s="4" t="s">
        <v>2354</v>
      </c>
      <c r="C988" s="4" t="s">
        <v>2344</v>
      </c>
      <c r="D988" s="4" t="s">
        <v>237</v>
      </c>
      <c r="E988" s="4" t="s">
        <v>2378</v>
      </c>
      <c r="F988" s="4" t="s">
        <v>2377</v>
      </c>
      <c r="G988" s="4" t="s">
        <v>2263</v>
      </c>
      <c r="H988" s="9" t="s">
        <v>2263</v>
      </c>
      <c r="I988" s="4" t="s">
        <v>2263</v>
      </c>
      <c r="J988" s="4" t="s">
        <v>2263</v>
      </c>
      <c r="K988" s="4" t="s">
        <v>2376</v>
      </c>
      <c r="L988" s="10">
        <v>2</v>
      </c>
      <c r="M988" s="5">
        <v>2635.2512459283389</v>
      </c>
      <c r="N988" s="5">
        <v>5270.5024918566796</v>
      </c>
    </row>
    <row r="989" spans="1:14" x14ac:dyDescent="0.25">
      <c r="A989" s="4" t="s">
        <v>3801</v>
      </c>
      <c r="B989" s="4" t="s">
        <v>4965</v>
      </c>
      <c r="C989" s="4" t="s">
        <v>2344</v>
      </c>
      <c r="D989" s="4" t="s">
        <v>237</v>
      </c>
      <c r="E989" s="4" t="s">
        <v>3221</v>
      </c>
      <c r="F989" s="4" t="s">
        <v>2640</v>
      </c>
      <c r="G989" s="4" t="s">
        <v>2263</v>
      </c>
      <c r="H989" s="9" t="s">
        <v>2263</v>
      </c>
      <c r="I989" s="4" t="s">
        <v>2263</v>
      </c>
      <c r="J989" s="4" t="s">
        <v>2263</v>
      </c>
      <c r="K989" s="4" t="s">
        <v>2557</v>
      </c>
      <c r="L989" s="10">
        <v>2</v>
      </c>
      <c r="M989" s="5">
        <v>2736.7674999999999</v>
      </c>
      <c r="N989" s="5">
        <v>5473.5349999999999</v>
      </c>
    </row>
    <row r="990" spans="1:14" x14ac:dyDescent="0.25">
      <c r="A990" s="4" t="s">
        <v>2481</v>
      </c>
      <c r="B990" s="4" t="s">
        <v>3217</v>
      </c>
      <c r="C990" s="4" t="s">
        <v>2344</v>
      </c>
      <c r="D990" s="4" t="s">
        <v>237</v>
      </c>
      <c r="E990" s="4" t="s">
        <v>3221</v>
      </c>
      <c r="F990" s="4" t="s">
        <v>2640</v>
      </c>
      <c r="G990" s="4" t="s">
        <v>2263</v>
      </c>
      <c r="H990" s="9" t="s">
        <v>2263</v>
      </c>
      <c r="I990" s="4" t="s">
        <v>2263</v>
      </c>
      <c r="J990" s="4" t="s">
        <v>2263</v>
      </c>
      <c r="K990" s="4" t="s">
        <v>2557</v>
      </c>
      <c r="L990" s="10">
        <v>2</v>
      </c>
      <c r="M990" s="5">
        <v>2736.7674999999999</v>
      </c>
      <c r="N990" s="5">
        <v>5473.5349999999999</v>
      </c>
    </row>
    <row r="991" spans="1:14" x14ac:dyDescent="0.25">
      <c r="A991" s="4" t="s">
        <v>2481</v>
      </c>
      <c r="B991" s="4" t="s">
        <v>3217</v>
      </c>
      <c r="C991" s="4" t="s">
        <v>2344</v>
      </c>
      <c r="D991" s="4" t="s">
        <v>237</v>
      </c>
      <c r="E991" s="4" t="s">
        <v>2747</v>
      </c>
      <c r="F991" s="4" t="s">
        <v>2640</v>
      </c>
      <c r="G991" s="4" t="s">
        <v>2263</v>
      </c>
      <c r="H991" s="9" t="s">
        <v>2263</v>
      </c>
      <c r="I991" s="4" t="s">
        <v>2263</v>
      </c>
      <c r="J991" s="4" t="s">
        <v>2263</v>
      </c>
      <c r="K991" s="4" t="s">
        <v>2557</v>
      </c>
      <c r="L991" s="10">
        <v>2</v>
      </c>
      <c r="M991" s="5">
        <v>2745.2384554455443</v>
      </c>
      <c r="N991" s="5">
        <v>5490.4769108910896</v>
      </c>
    </row>
    <row r="992" spans="1:14" x14ac:dyDescent="0.25">
      <c r="A992" s="4" t="s">
        <v>2344</v>
      </c>
      <c r="B992" s="4" t="s">
        <v>5154</v>
      </c>
      <c r="C992" s="4" t="s">
        <v>2320</v>
      </c>
      <c r="D992" s="4" t="s">
        <v>242</v>
      </c>
      <c r="E992" s="4" t="s">
        <v>4101</v>
      </c>
      <c r="F992" s="4" t="s">
        <v>4100</v>
      </c>
      <c r="G992" s="4" t="s">
        <v>2263</v>
      </c>
      <c r="H992" s="9" t="s">
        <v>2263</v>
      </c>
      <c r="I992" s="4" t="s">
        <v>2317</v>
      </c>
      <c r="J992" s="4" t="s">
        <v>2316</v>
      </c>
      <c r="K992" s="4" t="s">
        <v>2263</v>
      </c>
      <c r="L992" s="10">
        <v>2</v>
      </c>
      <c r="M992" s="5">
        <v>2800.4413461538461</v>
      </c>
      <c r="N992" s="5">
        <v>5600.8826923076904</v>
      </c>
    </row>
    <row r="993" spans="1:14" x14ac:dyDescent="0.25">
      <c r="A993" s="4" t="s">
        <v>2344</v>
      </c>
      <c r="B993" s="4" t="s">
        <v>5154</v>
      </c>
      <c r="C993" s="4" t="s">
        <v>2344</v>
      </c>
      <c r="D993" s="4" t="s">
        <v>237</v>
      </c>
      <c r="E993" s="4" t="s">
        <v>4635</v>
      </c>
      <c r="F993" s="4" t="s">
        <v>2542</v>
      </c>
      <c r="G993" s="4" t="s">
        <v>2263</v>
      </c>
      <c r="H993" s="9" t="s">
        <v>2263</v>
      </c>
      <c r="I993" s="4" t="s">
        <v>2263</v>
      </c>
      <c r="J993" s="4" t="s">
        <v>2263</v>
      </c>
      <c r="K993" s="4" t="s">
        <v>2541</v>
      </c>
      <c r="L993" s="10">
        <v>2</v>
      </c>
      <c r="M993" s="5">
        <v>3007</v>
      </c>
      <c r="N993" s="5">
        <v>6014</v>
      </c>
    </row>
    <row r="994" spans="1:14" x14ac:dyDescent="0.25">
      <c r="A994" s="4" t="s">
        <v>2481</v>
      </c>
      <c r="B994" s="4" t="s">
        <v>3217</v>
      </c>
      <c r="C994" s="4" t="s">
        <v>2320</v>
      </c>
      <c r="D994" s="4" t="s">
        <v>242</v>
      </c>
      <c r="E994" s="4" t="s">
        <v>2398</v>
      </c>
      <c r="F994" s="4" t="s">
        <v>2397</v>
      </c>
      <c r="G994" s="4" t="s">
        <v>2263</v>
      </c>
      <c r="H994" s="9" t="s">
        <v>2263</v>
      </c>
      <c r="I994" s="4" t="s">
        <v>2317</v>
      </c>
      <c r="J994" s="4" t="s">
        <v>2316</v>
      </c>
      <c r="K994" s="4" t="s">
        <v>2263</v>
      </c>
      <c r="L994" s="10">
        <v>2</v>
      </c>
      <c r="M994" s="5">
        <v>3146.0238095238092</v>
      </c>
      <c r="N994" s="5">
        <v>6292.0476190476202</v>
      </c>
    </row>
    <row r="995" spans="1:14" x14ac:dyDescent="0.25">
      <c r="A995" s="4" t="s">
        <v>3051</v>
      </c>
      <c r="B995" s="4" t="s">
        <v>3050</v>
      </c>
      <c r="C995" s="4" t="s">
        <v>2320</v>
      </c>
      <c r="D995" s="4" t="s">
        <v>242</v>
      </c>
      <c r="E995" s="4" t="s">
        <v>2398</v>
      </c>
      <c r="F995" s="4" t="s">
        <v>2397</v>
      </c>
      <c r="G995" s="4" t="s">
        <v>2263</v>
      </c>
      <c r="H995" s="9" t="s">
        <v>2263</v>
      </c>
      <c r="I995" s="4" t="s">
        <v>2317</v>
      </c>
      <c r="J995" s="4" t="s">
        <v>2316</v>
      </c>
      <c r="K995" s="4" t="s">
        <v>2263</v>
      </c>
      <c r="L995" s="10">
        <v>2</v>
      </c>
      <c r="M995" s="5">
        <v>3146.0238095238092</v>
      </c>
      <c r="N995" s="5">
        <v>6292.0476190476202</v>
      </c>
    </row>
    <row r="996" spans="1:14" x14ac:dyDescent="0.25">
      <c r="A996" s="4" t="s">
        <v>2320</v>
      </c>
      <c r="B996" s="4" t="s">
        <v>4967</v>
      </c>
      <c r="C996" s="4" t="s">
        <v>2320</v>
      </c>
      <c r="D996" s="4" t="s">
        <v>242</v>
      </c>
      <c r="E996" s="4" t="s">
        <v>2406</v>
      </c>
      <c r="F996" s="4" t="s">
        <v>2405</v>
      </c>
      <c r="G996" s="4" t="s">
        <v>2263</v>
      </c>
      <c r="H996" s="9" t="s">
        <v>2263</v>
      </c>
      <c r="I996" s="4" t="s">
        <v>2317</v>
      </c>
      <c r="J996" s="4" t="s">
        <v>2316</v>
      </c>
      <c r="K996" s="4" t="s">
        <v>2263</v>
      </c>
      <c r="L996" s="10">
        <v>2</v>
      </c>
      <c r="M996" s="5">
        <v>3147.4638144329897</v>
      </c>
      <c r="N996" s="5">
        <v>6294.9276288659803</v>
      </c>
    </row>
    <row r="997" spans="1:14" x14ac:dyDescent="0.25">
      <c r="A997" s="4" t="s">
        <v>3157</v>
      </c>
      <c r="B997" s="4" t="s">
        <v>3156</v>
      </c>
      <c r="C997" s="4" t="s">
        <v>2320</v>
      </c>
      <c r="D997" s="4" t="s">
        <v>242</v>
      </c>
      <c r="E997" s="4" t="s">
        <v>2687</v>
      </c>
      <c r="F997" s="4" t="s">
        <v>2686</v>
      </c>
      <c r="G997" s="4" t="s">
        <v>2263</v>
      </c>
      <c r="H997" s="9" t="s">
        <v>2263</v>
      </c>
      <c r="I997" s="4" t="s">
        <v>2317</v>
      </c>
      <c r="J997" s="4" t="s">
        <v>2316</v>
      </c>
      <c r="K997" s="4" t="s">
        <v>2263</v>
      </c>
      <c r="L997" s="10">
        <v>2</v>
      </c>
      <c r="M997" s="5">
        <v>3156.7916666666665</v>
      </c>
      <c r="N997" s="5">
        <v>6313.5833333333303</v>
      </c>
    </row>
    <row r="998" spans="1:14" x14ac:dyDescent="0.25">
      <c r="A998" s="4" t="s">
        <v>2320</v>
      </c>
      <c r="B998" s="4" t="s">
        <v>4967</v>
      </c>
      <c r="C998" s="4" t="s">
        <v>2320</v>
      </c>
      <c r="D998" s="4" t="s">
        <v>242</v>
      </c>
      <c r="E998" s="4" t="s">
        <v>4993</v>
      </c>
      <c r="F998" s="4" t="s">
        <v>4992</v>
      </c>
      <c r="G998" s="4" t="s">
        <v>2263</v>
      </c>
      <c r="H998" s="9" t="s">
        <v>2263</v>
      </c>
      <c r="I998" s="4" t="s">
        <v>2317</v>
      </c>
      <c r="J998" s="4" t="s">
        <v>2316</v>
      </c>
      <c r="K998" s="4" t="s">
        <v>2263</v>
      </c>
      <c r="L998" s="10">
        <v>2</v>
      </c>
      <c r="M998" s="5">
        <v>3199.81</v>
      </c>
      <c r="N998" s="5">
        <v>6399.62</v>
      </c>
    </row>
    <row r="999" spans="1:14" x14ac:dyDescent="0.25">
      <c r="A999" s="4" t="s">
        <v>2344</v>
      </c>
      <c r="B999" s="4" t="s">
        <v>5154</v>
      </c>
      <c r="C999" s="4" t="s">
        <v>2320</v>
      </c>
      <c r="D999" s="4" t="s">
        <v>242</v>
      </c>
      <c r="E999" s="4" t="s">
        <v>2396</v>
      </c>
      <c r="F999" s="4" t="s">
        <v>2395</v>
      </c>
      <c r="G999" s="4" t="s">
        <v>2263</v>
      </c>
      <c r="H999" s="9" t="s">
        <v>2263</v>
      </c>
      <c r="I999" s="4" t="s">
        <v>2317</v>
      </c>
      <c r="J999" s="4" t="s">
        <v>2316</v>
      </c>
      <c r="K999" s="4" t="s">
        <v>2263</v>
      </c>
      <c r="L999" s="10">
        <v>2</v>
      </c>
      <c r="M999" s="5">
        <v>3219.5391304347827</v>
      </c>
      <c r="N999" s="5">
        <v>6439.0782608695699</v>
      </c>
    </row>
    <row r="1000" spans="1:14" x14ac:dyDescent="0.25">
      <c r="A1000" s="4" t="s">
        <v>2320</v>
      </c>
      <c r="B1000" s="4" t="s">
        <v>4967</v>
      </c>
      <c r="C1000" s="4" t="s">
        <v>2320</v>
      </c>
      <c r="D1000" s="4" t="s">
        <v>242</v>
      </c>
      <c r="E1000" s="4" t="s">
        <v>2396</v>
      </c>
      <c r="F1000" s="4" t="s">
        <v>2395</v>
      </c>
      <c r="G1000" s="4" t="s">
        <v>2263</v>
      </c>
      <c r="H1000" s="9" t="s">
        <v>2263</v>
      </c>
      <c r="I1000" s="4" t="s">
        <v>2317</v>
      </c>
      <c r="J1000" s="4" t="s">
        <v>2316</v>
      </c>
      <c r="K1000" s="4" t="s">
        <v>2263</v>
      </c>
      <c r="L1000" s="10">
        <v>2</v>
      </c>
      <c r="M1000" s="5">
        <v>3219.5391304347827</v>
      </c>
      <c r="N1000" s="5">
        <v>6439.0782608695699</v>
      </c>
    </row>
    <row r="1001" spans="1:14" x14ac:dyDescent="0.25">
      <c r="A1001" s="4" t="s">
        <v>3157</v>
      </c>
      <c r="B1001" s="4" t="s">
        <v>3156</v>
      </c>
      <c r="C1001" s="4" t="s">
        <v>2320</v>
      </c>
      <c r="D1001" s="4" t="s">
        <v>242</v>
      </c>
      <c r="E1001" s="4" t="s">
        <v>2396</v>
      </c>
      <c r="F1001" s="4" t="s">
        <v>2395</v>
      </c>
      <c r="G1001" s="4" t="s">
        <v>2263</v>
      </c>
      <c r="H1001" s="9" t="s">
        <v>2263</v>
      </c>
      <c r="I1001" s="4" t="s">
        <v>2317</v>
      </c>
      <c r="J1001" s="4" t="s">
        <v>2316</v>
      </c>
      <c r="K1001" s="4" t="s">
        <v>2263</v>
      </c>
      <c r="L1001" s="10">
        <v>2</v>
      </c>
      <c r="M1001" s="5">
        <v>3219.5391304347827</v>
      </c>
      <c r="N1001" s="5">
        <v>6439.0782608695699</v>
      </c>
    </row>
    <row r="1002" spans="1:14" x14ac:dyDescent="0.25">
      <c r="A1002" s="4" t="s">
        <v>3024</v>
      </c>
      <c r="B1002" s="4" t="s">
        <v>3023</v>
      </c>
      <c r="C1002" s="4" t="s">
        <v>2320</v>
      </c>
      <c r="D1002" s="4" t="s">
        <v>242</v>
      </c>
      <c r="E1002" s="4" t="s">
        <v>2396</v>
      </c>
      <c r="F1002" s="4" t="s">
        <v>2395</v>
      </c>
      <c r="G1002" s="4" t="s">
        <v>2263</v>
      </c>
      <c r="H1002" s="9" t="s">
        <v>2263</v>
      </c>
      <c r="I1002" s="4" t="s">
        <v>2317</v>
      </c>
      <c r="J1002" s="4" t="s">
        <v>2316</v>
      </c>
      <c r="K1002" s="4" t="s">
        <v>2263</v>
      </c>
      <c r="L1002" s="10">
        <v>2</v>
      </c>
      <c r="M1002" s="5">
        <v>3219.5391304347827</v>
      </c>
      <c r="N1002" s="5">
        <v>6439.0782608695699</v>
      </c>
    </row>
    <row r="1003" spans="1:14" x14ac:dyDescent="0.25">
      <c r="A1003" s="4" t="s">
        <v>3174</v>
      </c>
      <c r="B1003" s="4" t="s">
        <v>3173</v>
      </c>
      <c r="C1003" s="4" t="s">
        <v>2320</v>
      </c>
      <c r="D1003" s="4" t="s">
        <v>242</v>
      </c>
      <c r="E1003" s="4" t="s">
        <v>2689</v>
      </c>
      <c r="F1003" s="4" t="s">
        <v>2688</v>
      </c>
      <c r="G1003" s="4" t="s">
        <v>2263</v>
      </c>
      <c r="H1003" s="9" t="s">
        <v>2263</v>
      </c>
      <c r="I1003" s="4" t="s">
        <v>2317</v>
      </c>
      <c r="J1003" s="4" t="s">
        <v>2316</v>
      </c>
      <c r="K1003" s="4" t="s">
        <v>2263</v>
      </c>
      <c r="L1003" s="10">
        <v>2</v>
      </c>
      <c r="M1003" s="5">
        <v>3250.4286666666667</v>
      </c>
      <c r="N1003" s="5">
        <v>6500.8573333333297</v>
      </c>
    </row>
    <row r="1004" spans="1:14" x14ac:dyDescent="0.25">
      <c r="A1004" s="4" t="s">
        <v>2279</v>
      </c>
      <c r="B1004" s="4" t="s">
        <v>4963</v>
      </c>
      <c r="C1004" s="4" t="s">
        <v>2320</v>
      </c>
      <c r="D1004" s="4" t="s">
        <v>242</v>
      </c>
      <c r="E1004" s="4" t="s">
        <v>2394</v>
      </c>
      <c r="F1004" s="4" t="s">
        <v>2393</v>
      </c>
      <c r="G1004" s="4" t="s">
        <v>2263</v>
      </c>
      <c r="H1004" s="9" t="s">
        <v>2263</v>
      </c>
      <c r="I1004" s="4" t="s">
        <v>2317</v>
      </c>
      <c r="J1004" s="4" t="s">
        <v>2316</v>
      </c>
      <c r="K1004" s="4" t="s">
        <v>2263</v>
      </c>
      <c r="L1004" s="10">
        <v>2</v>
      </c>
      <c r="M1004" s="5">
        <v>3280.1967213114754</v>
      </c>
      <c r="N1004" s="5">
        <v>6560.3934426229498</v>
      </c>
    </row>
    <row r="1005" spans="1:14" x14ac:dyDescent="0.25">
      <c r="A1005" s="4" t="s">
        <v>2320</v>
      </c>
      <c r="B1005" s="4" t="s">
        <v>4967</v>
      </c>
      <c r="C1005" s="4" t="s">
        <v>2344</v>
      </c>
      <c r="D1005" s="4" t="s">
        <v>237</v>
      </c>
      <c r="E1005" s="4" t="s">
        <v>4892</v>
      </c>
      <c r="F1005" s="4" t="s">
        <v>2639</v>
      </c>
      <c r="G1005" s="4" t="s">
        <v>2263</v>
      </c>
      <c r="H1005" s="9" t="s">
        <v>2263</v>
      </c>
      <c r="I1005" s="4" t="s">
        <v>2263</v>
      </c>
      <c r="J1005" s="4" t="s">
        <v>2263</v>
      </c>
      <c r="K1005" s="4" t="s">
        <v>2638</v>
      </c>
      <c r="L1005" s="10">
        <v>2</v>
      </c>
      <c r="M1005" s="5">
        <v>3295.3123287671233</v>
      </c>
      <c r="N1005" s="5">
        <v>6590.6246575342502</v>
      </c>
    </row>
    <row r="1006" spans="1:14" x14ac:dyDescent="0.25">
      <c r="A1006" s="4" t="s">
        <v>2320</v>
      </c>
      <c r="B1006" s="4" t="s">
        <v>4967</v>
      </c>
      <c r="C1006" s="4" t="s">
        <v>2267</v>
      </c>
      <c r="D1006" s="4" t="s">
        <v>2266</v>
      </c>
      <c r="E1006" s="4" t="s">
        <v>4969</v>
      </c>
      <c r="F1006" s="4" t="s">
        <v>2502</v>
      </c>
      <c r="G1006" s="4" t="s">
        <v>2263</v>
      </c>
      <c r="H1006" s="9" t="s">
        <v>2263</v>
      </c>
      <c r="I1006" s="4" t="s">
        <v>2263</v>
      </c>
      <c r="J1006" s="4" t="s">
        <v>2263</v>
      </c>
      <c r="K1006" s="4" t="s">
        <v>2494</v>
      </c>
      <c r="L1006" s="10">
        <v>2</v>
      </c>
      <c r="M1006" s="5">
        <v>3498</v>
      </c>
      <c r="N1006" s="5">
        <v>6996</v>
      </c>
    </row>
    <row r="1007" spans="1:14" x14ac:dyDescent="0.25">
      <c r="A1007" s="4" t="s">
        <v>2279</v>
      </c>
      <c r="B1007" s="4" t="s">
        <v>4963</v>
      </c>
      <c r="C1007" s="4" t="s">
        <v>2344</v>
      </c>
      <c r="D1007" s="4" t="s">
        <v>237</v>
      </c>
      <c r="E1007" s="4" t="s">
        <v>2464</v>
      </c>
      <c r="F1007" s="4" t="s">
        <v>2463</v>
      </c>
      <c r="G1007" s="4" t="s">
        <v>2263</v>
      </c>
      <c r="H1007" s="9" t="s">
        <v>2263</v>
      </c>
      <c r="I1007" s="4" t="s">
        <v>2263</v>
      </c>
      <c r="J1007" s="4" t="s">
        <v>2263</v>
      </c>
      <c r="K1007" s="4" t="s">
        <v>2462</v>
      </c>
      <c r="L1007" s="10">
        <v>2</v>
      </c>
      <c r="M1007" s="5">
        <v>3617.9749999999999</v>
      </c>
      <c r="N1007" s="5">
        <v>7235.95</v>
      </c>
    </row>
    <row r="1008" spans="1:14" x14ac:dyDescent="0.25">
      <c r="A1008" s="4" t="s">
        <v>2481</v>
      </c>
      <c r="B1008" s="4" t="s">
        <v>3217</v>
      </c>
      <c r="C1008" s="4" t="s">
        <v>2344</v>
      </c>
      <c r="D1008" s="4" t="s">
        <v>237</v>
      </c>
      <c r="E1008" s="4" t="s">
        <v>2464</v>
      </c>
      <c r="F1008" s="4" t="s">
        <v>2463</v>
      </c>
      <c r="G1008" s="4" t="s">
        <v>2263</v>
      </c>
      <c r="H1008" s="9" t="s">
        <v>2263</v>
      </c>
      <c r="I1008" s="4" t="s">
        <v>2263</v>
      </c>
      <c r="J1008" s="4" t="s">
        <v>2263</v>
      </c>
      <c r="K1008" s="4" t="s">
        <v>2462</v>
      </c>
      <c r="L1008" s="10">
        <v>2</v>
      </c>
      <c r="M1008" s="5">
        <v>3617.9749999999999</v>
      </c>
      <c r="N1008" s="5">
        <v>7235.95</v>
      </c>
    </row>
    <row r="1009" spans="1:14" x14ac:dyDescent="0.25">
      <c r="A1009" s="4" t="s">
        <v>3196</v>
      </c>
      <c r="B1009" s="4" t="s">
        <v>3195</v>
      </c>
      <c r="C1009" s="4" t="s">
        <v>2344</v>
      </c>
      <c r="D1009" s="4" t="s">
        <v>237</v>
      </c>
      <c r="E1009" s="4" t="s">
        <v>2464</v>
      </c>
      <c r="F1009" s="4" t="s">
        <v>2463</v>
      </c>
      <c r="G1009" s="4" t="s">
        <v>2263</v>
      </c>
      <c r="H1009" s="9" t="s">
        <v>2263</v>
      </c>
      <c r="I1009" s="4" t="s">
        <v>2263</v>
      </c>
      <c r="J1009" s="4" t="s">
        <v>2263</v>
      </c>
      <c r="K1009" s="4" t="s">
        <v>2462</v>
      </c>
      <c r="L1009" s="10">
        <v>2</v>
      </c>
      <c r="M1009" s="5">
        <v>3617.9749999999999</v>
      </c>
      <c r="N1009" s="5">
        <v>7235.95</v>
      </c>
    </row>
    <row r="1010" spans="1:14" x14ac:dyDescent="0.25">
      <c r="A1010" s="4" t="s">
        <v>3174</v>
      </c>
      <c r="B1010" s="4" t="s">
        <v>3173</v>
      </c>
      <c r="C1010" s="4" t="s">
        <v>2344</v>
      </c>
      <c r="D1010" s="4" t="s">
        <v>237</v>
      </c>
      <c r="E1010" s="4" t="s">
        <v>2464</v>
      </c>
      <c r="F1010" s="4" t="s">
        <v>2463</v>
      </c>
      <c r="G1010" s="4" t="s">
        <v>2263</v>
      </c>
      <c r="H1010" s="9" t="s">
        <v>2263</v>
      </c>
      <c r="I1010" s="4" t="s">
        <v>2263</v>
      </c>
      <c r="J1010" s="4" t="s">
        <v>2263</v>
      </c>
      <c r="K1010" s="4" t="s">
        <v>2462</v>
      </c>
      <c r="L1010" s="10">
        <v>2</v>
      </c>
      <c r="M1010" s="5">
        <v>3617.9749999999999</v>
      </c>
      <c r="N1010" s="5">
        <v>7235.95</v>
      </c>
    </row>
    <row r="1011" spans="1:14" x14ac:dyDescent="0.25">
      <c r="A1011" s="4" t="s">
        <v>3157</v>
      </c>
      <c r="B1011" s="4" t="s">
        <v>3156</v>
      </c>
      <c r="C1011" s="4" t="s">
        <v>2344</v>
      </c>
      <c r="D1011" s="4" t="s">
        <v>237</v>
      </c>
      <c r="E1011" s="4" t="s">
        <v>2464</v>
      </c>
      <c r="F1011" s="4" t="s">
        <v>2463</v>
      </c>
      <c r="G1011" s="4" t="s">
        <v>2263</v>
      </c>
      <c r="H1011" s="9" t="s">
        <v>2263</v>
      </c>
      <c r="I1011" s="4" t="s">
        <v>2263</v>
      </c>
      <c r="J1011" s="4" t="s">
        <v>2263</v>
      </c>
      <c r="K1011" s="4" t="s">
        <v>2462</v>
      </c>
      <c r="L1011" s="10">
        <v>2</v>
      </c>
      <c r="M1011" s="5">
        <v>3617.9749999999999</v>
      </c>
      <c r="N1011" s="5">
        <v>7235.95</v>
      </c>
    </row>
    <row r="1012" spans="1:14" x14ac:dyDescent="0.25">
      <c r="A1012" s="4" t="s">
        <v>3104</v>
      </c>
      <c r="B1012" s="4" t="s">
        <v>3103</v>
      </c>
      <c r="C1012" s="4" t="s">
        <v>2344</v>
      </c>
      <c r="D1012" s="4" t="s">
        <v>237</v>
      </c>
      <c r="E1012" s="4" t="s">
        <v>2464</v>
      </c>
      <c r="F1012" s="4" t="s">
        <v>2463</v>
      </c>
      <c r="G1012" s="4" t="s">
        <v>2263</v>
      </c>
      <c r="H1012" s="9" t="s">
        <v>2263</v>
      </c>
      <c r="I1012" s="4" t="s">
        <v>2263</v>
      </c>
      <c r="J1012" s="4" t="s">
        <v>2263</v>
      </c>
      <c r="K1012" s="4" t="s">
        <v>2462</v>
      </c>
      <c r="L1012" s="10">
        <v>2</v>
      </c>
      <c r="M1012" s="5">
        <v>3617.9749999999999</v>
      </c>
      <c r="N1012" s="5">
        <v>7235.95</v>
      </c>
    </row>
    <row r="1013" spans="1:14" x14ac:dyDescent="0.25">
      <c r="A1013" s="4" t="s">
        <v>3063</v>
      </c>
      <c r="B1013" s="4" t="s">
        <v>3062</v>
      </c>
      <c r="C1013" s="4" t="s">
        <v>2344</v>
      </c>
      <c r="D1013" s="4" t="s">
        <v>237</v>
      </c>
      <c r="E1013" s="4" t="s">
        <v>2464</v>
      </c>
      <c r="F1013" s="4" t="s">
        <v>2463</v>
      </c>
      <c r="G1013" s="4" t="s">
        <v>2263</v>
      </c>
      <c r="H1013" s="9" t="s">
        <v>2263</v>
      </c>
      <c r="I1013" s="4" t="s">
        <v>2263</v>
      </c>
      <c r="J1013" s="4" t="s">
        <v>2263</v>
      </c>
      <c r="K1013" s="4" t="s">
        <v>2462</v>
      </c>
      <c r="L1013" s="10">
        <v>2</v>
      </c>
      <c r="M1013" s="5">
        <v>3617.9749999999999</v>
      </c>
      <c r="N1013" s="5">
        <v>7235.95</v>
      </c>
    </row>
    <row r="1014" spans="1:14" x14ac:dyDescent="0.25">
      <c r="A1014" s="4" t="s">
        <v>2386</v>
      </c>
      <c r="B1014" s="4" t="s">
        <v>2385</v>
      </c>
      <c r="C1014" s="4" t="s">
        <v>2344</v>
      </c>
      <c r="D1014" s="4" t="s">
        <v>237</v>
      </c>
      <c r="E1014" s="4" t="s">
        <v>2464</v>
      </c>
      <c r="F1014" s="4" t="s">
        <v>2463</v>
      </c>
      <c r="G1014" s="4" t="s">
        <v>2263</v>
      </c>
      <c r="H1014" s="9" t="s">
        <v>2263</v>
      </c>
      <c r="I1014" s="4" t="s">
        <v>2263</v>
      </c>
      <c r="J1014" s="4" t="s">
        <v>2263</v>
      </c>
      <c r="K1014" s="4" t="s">
        <v>2462</v>
      </c>
      <c r="L1014" s="10">
        <v>2</v>
      </c>
      <c r="M1014" s="5">
        <v>3617.9749999999999</v>
      </c>
      <c r="N1014" s="5">
        <v>7235.95</v>
      </c>
    </row>
    <row r="1015" spans="1:14" x14ac:dyDescent="0.25">
      <c r="A1015" s="4" t="s">
        <v>3157</v>
      </c>
      <c r="B1015" s="4" t="s">
        <v>3156</v>
      </c>
      <c r="C1015" s="4" t="s">
        <v>2344</v>
      </c>
      <c r="D1015" s="4" t="s">
        <v>237</v>
      </c>
      <c r="E1015" s="4" t="s">
        <v>3121</v>
      </c>
      <c r="F1015" s="4" t="s">
        <v>3120</v>
      </c>
      <c r="G1015" s="4" t="s">
        <v>2263</v>
      </c>
      <c r="H1015" s="9" t="s">
        <v>2263</v>
      </c>
      <c r="I1015" s="4" t="s">
        <v>2263</v>
      </c>
      <c r="J1015" s="4" t="s">
        <v>2263</v>
      </c>
      <c r="K1015" s="4" t="s">
        <v>3119</v>
      </c>
      <c r="L1015" s="10">
        <v>2</v>
      </c>
      <c r="M1015" s="5">
        <v>3680.25</v>
      </c>
      <c r="N1015" s="5">
        <v>7360.5</v>
      </c>
    </row>
    <row r="1016" spans="1:14" x14ac:dyDescent="0.25">
      <c r="A1016" s="4" t="s">
        <v>3104</v>
      </c>
      <c r="B1016" s="4" t="s">
        <v>3103</v>
      </c>
      <c r="C1016" s="4" t="s">
        <v>2344</v>
      </c>
      <c r="D1016" s="4" t="s">
        <v>237</v>
      </c>
      <c r="E1016" s="4" t="s">
        <v>3121</v>
      </c>
      <c r="F1016" s="4" t="s">
        <v>3120</v>
      </c>
      <c r="G1016" s="4" t="s">
        <v>2263</v>
      </c>
      <c r="H1016" s="9" t="s">
        <v>2263</v>
      </c>
      <c r="I1016" s="4" t="s">
        <v>2263</v>
      </c>
      <c r="J1016" s="4" t="s">
        <v>2263</v>
      </c>
      <c r="K1016" s="4" t="s">
        <v>3119</v>
      </c>
      <c r="L1016" s="10">
        <v>2</v>
      </c>
      <c r="M1016" s="5">
        <v>3680.25</v>
      </c>
      <c r="N1016" s="5">
        <v>7360.5</v>
      </c>
    </row>
    <row r="1017" spans="1:14" x14ac:dyDescent="0.25">
      <c r="A1017" s="4" t="s">
        <v>2344</v>
      </c>
      <c r="B1017" s="4" t="s">
        <v>5154</v>
      </c>
      <c r="C1017" s="4" t="s">
        <v>2320</v>
      </c>
      <c r="D1017" s="4" t="s">
        <v>242</v>
      </c>
      <c r="E1017" s="4" t="s">
        <v>3923</v>
      </c>
      <c r="F1017" s="4" t="s">
        <v>3922</v>
      </c>
      <c r="G1017" s="4" t="s">
        <v>2263</v>
      </c>
      <c r="H1017" s="9" t="s">
        <v>2263</v>
      </c>
      <c r="I1017" s="4" t="s">
        <v>2317</v>
      </c>
      <c r="J1017" s="4" t="s">
        <v>2316</v>
      </c>
      <c r="K1017" s="4" t="s">
        <v>2263</v>
      </c>
      <c r="L1017" s="10">
        <v>2</v>
      </c>
      <c r="M1017" s="5">
        <v>3711.88375</v>
      </c>
      <c r="N1017" s="5">
        <v>7423.7674999999999</v>
      </c>
    </row>
    <row r="1018" spans="1:14" x14ac:dyDescent="0.25">
      <c r="A1018" s="4" t="s">
        <v>2320</v>
      </c>
      <c r="B1018" s="4" t="s">
        <v>4967</v>
      </c>
      <c r="C1018" s="4" t="s">
        <v>2320</v>
      </c>
      <c r="D1018" s="4" t="s">
        <v>242</v>
      </c>
      <c r="E1018" s="4" t="s">
        <v>2322</v>
      </c>
      <c r="F1018" s="4" t="s">
        <v>2321</v>
      </c>
      <c r="G1018" s="4" t="s">
        <v>2263</v>
      </c>
      <c r="H1018" s="9" t="s">
        <v>2263</v>
      </c>
      <c r="I1018" s="4" t="s">
        <v>2317</v>
      </c>
      <c r="J1018" s="4" t="s">
        <v>2316</v>
      </c>
      <c r="K1018" s="4" t="s">
        <v>2263</v>
      </c>
      <c r="L1018" s="10">
        <v>2</v>
      </c>
      <c r="M1018" s="5">
        <v>3766.5286274509804</v>
      </c>
      <c r="N1018" s="5">
        <v>7533.0572549019598</v>
      </c>
    </row>
    <row r="1019" spans="1:14" x14ac:dyDescent="0.25">
      <c r="A1019" s="4" t="s">
        <v>2279</v>
      </c>
      <c r="B1019" s="4" t="s">
        <v>4963</v>
      </c>
      <c r="C1019" s="4" t="s">
        <v>2344</v>
      </c>
      <c r="D1019" s="4" t="s">
        <v>237</v>
      </c>
      <c r="E1019" s="4" t="s">
        <v>2426</v>
      </c>
      <c r="F1019" s="4" t="s">
        <v>2425</v>
      </c>
      <c r="G1019" s="4" t="s">
        <v>2263</v>
      </c>
      <c r="H1019" s="9" t="s">
        <v>2263</v>
      </c>
      <c r="I1019" s="4" t="s">
        <v>2263</v>
      </c>
      <c r="J1019" s="4" t="s">
        <v>2263</v>
      </c>
      <c r="K1019" s="4" t="s">
        <v>2424</v>
      </c>
      <c r="L1019" s="10">
        <v>2</v>
      </c>
      <c r="M1019" s="5">
        <v>3825.5590000000002</v>
      </c>
      <c r="N1019" s="5">
        <v>7651.1180000000004</v>
      </c>
    </row>
    <row r="1020" spans="1:14" x14ac:dyDescent="0.25">
      <c r="A1020" s="4" t="s">
        <v>2481</v>
      </c>
      <c r="B1020" s="4" t="s">
        <v>3217</v>
      </c>
      <c r="C1020" s="4" t="s">
        <v>2344</v>
      </c>
      <c r="D1020" s="4" t="s">
        <v>237</v>
      </c>
      <c r="E1020" s="4" t="s">
        <v>2426</v>
      </c>
      <c r="F1020" s="4" t="s">
        <v>2425</v>
      </c>
      <c r="G1020" s="4" t="s">
        <v>2263</v>
      </c>
      <c r="H1020" s="9" t="s">
        <v>2263</v>
      </c>
      <c r="I1020" s="4" t="s">
        <v>2263</v>
      </c>
      <c r="J1020" s="4" t="s">
        <v>2263</v>
      </c>
      <c r="K1020" s="4" t="s">
        <v>2424</v>
      </c>
      <c r="L1020" s="10">
        <v>2</v>
      </c>
      <c r="M1020" s="5">
        <v>3825.5590000000002</v>
      </c>
      <c r="N1020" s="5">
        <v>7651.1180000000004</v>
      </c>
    </row>
    <row r="1021" spans="1:14" x14ac:dyDescent="0.25">
      <c r="A1021" s="4" t="s">
        <v>3196</v>
      </c>
      <c r="B1021" s="4" t="s">
        <v>3195</v>
      </c>
      <c r="C1021" s="4" t="s">
        <v>2344</v>
      </c>
      <c r="D1021" s="4" t="s">
        <v>237</v>
      </c>
      <c r="E1021" s="4" t="s">
        <v>2426</v>
      </c>
      <c r="F1021" s="4" t="s">
        <v>2425</v>
      </c>
      <c r="G1021" s="4" t="s">
        <v>2263</v>
      </c>
      <c r="H1021" s="9" t="s">
        <v>2263</v>
      </c>
      <c r="I1021" s="4" t="s">
        <v>2263</v>
      </c>
      <c r="J1021" s="4" t="s">
        <v>2263</v>
      </c>
      <c r="K1021" s="4" t="s">
        <v>2424</v>
      </c>
      <c r="L1021" s="10">
        <v>2</v>
      </c>
      <c r="M1021" s="5">
        <v>3825.5590000000002</v>
      </c>
      <c r="N1021" s="5">
        <v>7651.1180000000004</v>
      </c>
    </row>
    <row r="1022" spans="1:14" x14ac:dyDescent="0.25">
      <c r="A1022" s="4" t="s">
        <v>3174</v>
      </c>
      <c r="B1022" s="4" t="s">
        <v>3173</v>
      </c>
      <c r="C1022" s="4" t="s">
        <v>2344</v>
      </c>
      <c r="D1022" s="4" t="s">
        <v>237</v>
      </c>
      <c r="E1022" s="4" t="s">
        <v>2426</v>
      </c>
      <c r="F1022" s="4" t="s">
        <v>2425</v>
      </c>
      <c r="G1022" s="4" t="s">
        <v>2263</v>
      </c>
      <c r="H1022" s="9" t="s">
        <v>2263</v>
      </c>
      <c r="I1022" s="4" t="s">
        <v>2263</v>
      </c>
      <c r="J1022" s="4" t="s">
        <v>2263</v>
      </c>
      <c r="K1022" s="4" t="s">
        <v>2424</v>
      </c>
      <c r="L1022" s="10">
        <v>2</v>
      </c>
      <c r="M1022" s="5">
        <v>3825.5590000000002</v>
      </c>
      <c r="N1022" s="5">
        <v>7651.1180000000004</v>
      </c>
    </row>
    <row r="1023" spans="1:14" x14ac:dyDescent="0.25">
      <c r="A1023" s="4" t="s">
        <v>3157</v>
      </c>
      <c r="B1023" s="4" t="s">
        <v>3156</v>
      </c>
      <c r="C1023" s="4" t="s">
        <v>2344</v>
      </c>
      <c r="D1023" s="4" t="s">
        <v>237</v>
      </c>
      <c r="E1023" s="4" t="s">
        <v>2426</v>
      </c>
      <c r="F1023" s="4" t="s">
        <v>2425</v>
      </c>
      <c r="G1023" s="4" t="s">
        <v>2263</v>
      </c>
      <c r="H1023" s="9" t="s">
        <v>2263</v>
      </c>
      <c r="I1023" s="4" t="s">
        <v>2263</v>
      </c>
      <c r="J1023" s="4" t="s">
        <v>2263</v>
      </c>
      <c r="K1023" s="4" t="s">
        <v>2424</v>
      </c>
      <c r="L1023" s="10">
        <v>2</v>
      </c>
      <c r="M1023" s="5">
        <v>3825.5590000000002</v>
      </c>
      <c r="N1023" s="5">
        <v>7651.1180000000004</v>
      </c>
    </row>
    <row r="1024" spans="1:14" x14ac:dyDescent="0.25">
      <c r="A1024" s="4" t="s">
        <v>3104</v>
      </c>
      <c r="B1024" s="4" t="s">
        <v>3103</v>
      </c>
      <c r="C1024" s="4" t="s">
        <v>2344</v>
      </c>
      <c r="D1024" s="4" t="s">
        <v>237</v>
      </c>
      <c r="E1024" s="4" t="s">
        <v>2426</v>
      </c>
      <c r="F1024" s="4" t="s">
        <v>2425</v>
      </c>
      <c r="G1024" s="4" t="s">
        <v>2263</v>
      </c>
      <c r="H1024" s="9" t="s">
        <v>2263</v>
      </c>
      <c r="I1024" s="4" t="s">
        <v>2263</v>
      </c>
      <c r="J1024" s="4" t="s">
        <v>2263</v>
      </c>
      <c r="K1024" s="4" t="s">
        <v>2424</v>
      </c>
      <c r="L1024" s="10">
        <v>2</v>
      </c>
      <c r="M1024" s="5">
        <v>3825.5590000000002</v>
      </c>
      <c r="N1024" s="5">
        <v>7651.1180000000004</v>
      </c>
    </row>
    <row r="1025" spans="1:14" x14ac:dyDescent="0.25">
      <c r="A1025" s="4" t="s">
        <v>3063</v>
      </c>
      <c r="B1025" s="4" t="s">
        <v>3062</v>
      </c>
      <c r="C1025" s="4" t="s">
        <v>2344</v>
      </c>
      <c r="D1025" s="4" t="s">
        <v>237</v>
      </c>
      <c r="E1025" s="4" t="s">
        <v>2426</v>
      </c>
      <c r="F1025" s="4" t="s">
        <v>2425</v>
      </c>
      <c r="G1025" s="4" t="s">
        <v>2263</v>
      </c>
      <c r="H1025" s="9" t="s">
        <v>2263</v>
      </c>
      <c r="I1025" s="4" t="s">
        <v>2263</v>
      </c>
      <c r="J1025" s="4" t="s">
        <v>2263</v>
      </c>
      <c r="K1025" s="4" t="s">
        <v>2424</v>
      </c>
      <c r="L1025" s="10">
        <v>2</v>
      </c>
      <c r="M1025" s="5">
        <v>3825.5590000000002</v>
      </c>
      <c r="N1025" s="5">
        <v>7651.1180000000004</v>
      </c>
    </row>
    <row r="1026" spans="1:14" x14ac:dyDescent="0.25">
      <c r="A1026" s="4" t="s">
        <v>3051</v>
      </c>
      <c r="B1026" s="4" t="s">
        <v>3050</v>
      </c>
      <c r="C1026" s="4" t="s">
        <v>2344</v>
      </c>
      <c r="D1026" s="4" t="s">
        <v>237</v>
      </c>
      <c r="E1026" s="4" t="s">
        <v>2426</v>
      </c>
      <c r="F1026" s="4" t="s">
        <v>2425</v>
      </c>
      <c r="G1026" s="4" t="s">
        <v>2263</v>
      </c>
      <c r="H1026" s="9" t="s">
        <v>2263</v>
      </c>
      <c r="I1026" s="4" t="s">
        <v>2263</v>
      </c>
      <c r="J1026" s="4" t="s">
        <v>2263</v>
      </c>
      <c r="K1026" s="4" t="s">
        <v>2424</v>
      </c>
      <c r="L1026" s="10">
        <v>2</v>
      </c>
      <c r="M1026" s="5">
        <v>3825.5590000000002</v>
      </c>
      <c r="N1026" s="5">
        <v>7651.1180000000004</v>
      </c>
    </row>
    <row r="1027" spans="1:14" x14ac:dyDescent="0.25">
      <c r="A1027" s="4" t="s">
        <v>3024</v>
      </c>
      <c r="B1027" s="4" t="s">
        <v>3023</v>
      </c>
      <c r="C1027" s="4" t="s">
        <v>2344</v>
      </c>
      <c r="D1027" s="4" t="s">
        <v>237</v>
      </c>
      <c r="E1027" s="4" t="s">
        <v>2426</v>
      </c>
      <c r="F1027" s="4" t="s">
        <v>2425</v>
      </c>
      <c r="G1027" s="4" t="s">
        <v>2263</v>
      </c>
      <c r="H1027" s="9" t="s">
        <v>2263</v>
      </c>
      <c r="I1027" s="4" t="s">
        <v>2263</v>
      </c>
      <c r="J1027" s="4" t="s">
        <v>2263</v>
      </c>
      <c r="K1027" s="4" t="s">
        <v>2424</v>
      </c>
      <c r="L1027" s="10">
        <v>2</v>
      </c>
      <c r="M1027" s="5">
        <v>3825.5590000000002</v>
      </c>
      <c r="N1027" s="5">
        <v>7651.1180000000004</v>
      </c>
    </row>
    <row r="1028" spans="1:14" x14ac:dyDescent="0.25">
      <c r="A1028" s="4" t="s">
        <v>2384</v>
      </c>
      <c r="B1028" s="4" t="s">
        <v>3187</v>
      </c>
      <c r="C1028" s="4" t="s">
        <v>2344</v>
      </c>
      <c r="D1028" s="4" t="s">
        <v>237</v>
      </c>
      <c r="E1028" s="4" t="s">
        <v>3044</v>
      </c>
      <c r="F1028" s="4" t="s">
        <v>2463</v>
      </c>
      <c r="G1028" s="4" t="s">
        <v>2263</v>
      </c>
      <c r="H1028" s="9" t="s">
        <v>2263</v>
      </c>
      <c r="I1028" s="4" t="s">
        <v>2263</v>
      </c>
      <c r="J1028" s="4" t="s">
        <v>2263</v>
      </c>
      <c r="K1028" s="4" t="s">
        <v>2462</v>
      </c>
      <c r="L1028" s="10">
        <v>2</v>
      </c>
      <c r="M1028" s="5">
        <v>3845.9949999999999</v>
      </c>
      <c r="N1028" s="5">
        <v>7691.99</v>
      </c>
    </row>
    <row r="1029" spans="1:14" x14ac:dyDescent="0.25">
      <c r="A1029" s="4" t="s">
        <v>3051</v>
      </c>
      <c r="B1029" s="4" t="s">
        <v>3050</v>
      </c>
      <c r="C1029" s="4" t="s">
        <v>2344</v>
      </c>
      <c r="D1029" s="4" t="s">
        <v>237</v>
      </c>
      <c r="E1029" s="4" t="s">
        <v>3044</v>
      </c>
      <c r="F1029" s="4" t="s">
        <v>2463</v>
      </c>
      <c r="G1029" s="4" t="s">
        <v>2263</v>
      </c>
      <c r="H1029" s="9" t="s">
        <v>2263</v>
      </c>
      <c r="I1029" s="4" t="s">
        <v>2263</v>
      </c>
      <c r="J1029" s="4" t="s">
        <v>2263</v>
      </c>
      <c r="K1029" s="4" t="s">
        <v>2462</v>
      </c>
      <c r="L1029" s="10">
        <v>2</v>
      </c>
      <c r="M1029" s="5">
        <v>3845.9949999999999</v>
      </c>
      <c r="N1029" s="5">
        <v>7691.99</v>
      </c>
    </row>
    <row r="1030" spans="1:14" x14ac:dyDescent="0.25">
      <c r="A1030" s="4" t="s">
        <v>3024</v>
      </c>
      <c r="B1030" s="4" t="s">
        <v>3023</v>
      </c>
      <c r="C1030" s="4" t="s">
        <v>2344</v>
      </c>
      <c r="D1030" s="4" t="s">
        <v>237</v>
      </c>
      <c r="E1030" s="4" t="s">
        <v>3044</v>
      </c>
      <c r="F1030" s="4" t="s">
        <v>2463</v>
      </c>
      <c r="G1030" s="4" t="s">
        <v>2263</v>
      </c>
      <c r="H1030" s="9" t="s">
        <v>2263</v>
      </c>
      <c r="I1030" s="4" t="s">
        <v>2263</v>
      </c>
      <c r="J1030" s="4" t="s">
        <v>2263</v>
      </c>
      <c r="K1030" s="4" t="s">
        <v>2462</v>
      </c>
      <c r="L1030" s="10">
        <v>2</v>
      </c>
      <c r="M1030" s="5">
        <v>3845.9949999999999</v>
      </c>
      <c r="N1030" s="5">
        <v>7691.99</v>
      </c>
    </row>
    <row r="1031" spans="1:14" x14ac:dyDescent="0.25">
      <c r="A1031" s="4" t="s">
        <v>2274</v>
      </c>
      <c r="B1031" s="4" t="s">
        <v>4348</v>
      </c>
      <c r="C1031" s="4" t="s">
        <v>2267</v>
      </c>
      <c r="D1031" s="4" t="s">
        <v>2266</v>
      </c>
      <c r="E1031" s="4" t="s">
        <v>4384</v>
      </c>
      <c r="F1031" s="4" t="s">
        <v>4383</v>
      </c>
      <c r="G1031" s="4" t="s">
        <v>2263</v>
      </c>
      <c r="H1031" s="9" t="s">
        <v>2263</v>
      </c>
      <c r="I1031" s="4" t="s">
        <v>2263</v>
      </c>
      <c r="J1031" s="4" t="s">
        <v>2263</v>
      </c>
      <c r="K1031" s="4" t="s">
        <v>4381</v>
      </c>
      <c r="L1031" s="10">
        <v>2</v>
      </c>
      <c r="M1031" s="5">
        <v>4019.3333333333335</v>
      </c>
      <c r="N1031" s="5">
        <v>8038.6666666666697</v>
      </c>
    </row>
    <row r="1032" spans="1:14" x14ac:dyDescent="0.25">
      <c r="A1032" s="4" t="s">
        <v>2344</v>
      </c>
      <c r="B1032" s="4" t="s">
        <v>5154</v>
      </c>
      <c r="C1032" s="4" t="s">
        <v>2320</v>
      </c>
      <c r="D1032" s="4" t="s">
        <v>242</v>
      </c>
      <c r="E1032" s="4" t="s">
        <v>2400</v>
      </c>
      <c r="F1032" s="4" t="s">
        <v>2399</v>
      </c>
      <c r="G1032" s="4" t="s">
        <v>2263</v>
      </c>
      <c r="H1032" s="9" t="s">
        <v>2263</v>
      </c>
      <c r="I1032" s="4" t="s">
        <v>2317</v>
      </c>
      <c r="J1032" s="4" t="s">
        <v>2316</v>
      </c>
      <c r="K1032" s="4" t="s">
        <v>2263</v>
      </c>
      <c r="L1032" s="10">
        <v>2</v>
      </c>
      <c r="M1032" s="5">
        <v>4187</v>
      </c>
      <c r="N1032" s="5">
        <v>8374</v>
      </c>
    </row>
    <row r="1033" spans="1:14" x14ac:dyDescent="0.25">
      <c r="A1033" s="4" t="s">
        <v>2481</v>
      </c>
      <c r="B1033" s="4" t="s">
        <v>3217</v>
      </c>
      <c r="C1033" s="4" t="s">
        <v>2320</v>
      </c>
      <c r="D1033" s="4" t="s">
        <v>242</v>
      </c>
      <c r="E1033" s="4" t="s">
        <v>2400</v>
      </c>
      <c r="F1033" s="4" t="s">
        <v>2399</v>
      </c>
      <c r="G1033" s="4" t="s">
        <v>2263</v>
      </c>
      <c r="H1033" s="9" t="s">
        <v>2263</v>
      </c>
      <c r="I1033" s="4" t="s">
        <v>2317</v>
      </c>
      <c r="J1033" s="4" t="s">
        <v>2316</v>
      </c>
      <c r="K1033" s="4" t="s">
        <v>2263</v>
      </c>
      <c r="L1033" s="10">
        <v>2</v>
      </c>
      <c r="M1033" s="5">
        <v>4187</v>
      </c>
      <c r="N1033" s="5">
        <v>8374</v>
      </c>
    </row>
    <row r="1034" spans="1:14" x14ac:dyDescent="0.25">
      <c r="A1034" s="4" t="s">
        <v>2344</v>
      </c>
      <c r="B1034" s="4" t="s">
        <v>5154</v>
      </c>
      <c r="C1034" s="4" t="s">
        <v>2267</v>
      </c>
      <c r="D1034" s="4" t="s">
        <v>2266</v>
      </c>
      <c r="E1034" s="4" t="s">
        <v>5185</v>
      </c>
      <c r="F1034" s="4" t="s">
        <v>5184</v>
      </c>
      <c r="G1034" s="4" t="s">
        <v>2263</v>
      </c>
      <c r="H1034" s="9" t="s">
        <v>2263</v>
      </c>
      <c r="I1034" s="4" t="s">
        <v>2263</v>
      </c>
      <c r="J1034" s="4" t="s">
        <v>2263</v>
      </c>
      <c r="K1034" s="4" t="s">
        <v>5180</v>
      </c>
      <c r="L1034" s="10">
        <v>2</v>
      </c>
      <c r="M1034" s="5">
        <v>4208</v>
      </c>
      <c r="N1034" s="5">
        <v>8416</v>
      </c>
    </row>
    <row r="1035" spans="1:14" x14ac:dyDescent="0.25">
      <c r="A1035" s="4" t="s">
        <v>2481</v>
      </c>
      <c r="B1035" s="4" t="s">
        <v>3217</v>
      </c>
      <c r="C1035" s="4" t="s">
        <v>3107</v>
      </c>
      <c r="D1035" s="4" t="s">
        <v>1105</v>
      </c>
      <c r="E1035" s="4" t="s">
        <v>3106</v>
      </c>
      <c r="F1035" s="4" t="s">
        <v>3105</v>
      </c>
      <c r="G1035" s="4" t="s">
        <v>2263</v>
      </c>
      <c r="H1035" s="9" t="s">
        <v>2263</v>
      </c>
      <c r="I1035" s="4" t="s">
        <v>2317</v>
      </c>
      <c r="J1035" s="4" t="s">
        <v>2316</v>
      </c>
      <c r="K1035" s="4" t="s">
        <v>2263</v>
      </c>
      <c r="L1035" s="10">
        <v>2</v>
      </c>
      <c r="M1035" s="5">
        <v>4226.4341176470589</v>
      </c>
      <c r="N1035" s="5">
        <v>8452.8682352941196</v>
      </c>
    </row>
    <row r="1036" spans="1:14" x14ac:dyDescent="0.25">
      <c r="A1036" s="4" t="s">
        <v>2344</v>
      </c>
      <c r="B1036" s="4" t="s">
        <v>5154</v>
      </c>
      <c r="C1036" s="4" t="s">
        <v>2320</v>
      </c>
      <c r="D1036" s="4" t="s">
        <v>242</v>
      </c>
      <c r="E1036" s="4" t="s">
        <v>2695</v>
      </c>
      <c r="F1036" s="4" t="s">
        <v>2694</v>
      </c>
      <c r="G1036" s="4" t="s">
        <v>2263</v>
      </c>
      <c r="H1036" s="9" t="s">
        <v>2263</v>
      </c>
      <c r="I1036" s="4" t="s">
        <v>2317</v>
      </c>
      <c r="J1036" s="4" t="s">
        <v>2316</v>
      </c>
      <c r="K1036" s="4" t="s">
        <v>2263</v>
      </c>
      <c r="L1036" s="10">
        <v>2</v>
      </c>
      <c r="M1036" s="5">
        <v>4259.3705405405408</v>
      </c>
      <c r="N1036" s="5">
        <v>8518.7410810810798</v>
      </c>
    </row>
    <row r="1037" spans="1:14" x14ac:dyDescent="0.25">
      <c r="A1037" s="4" t="s">
        <v>2344</v>
      </c>
      <c r="B1037" s="4" t="s">
        <v>5154</v>
      </c>
      <c r="C1037" s="4" t="s">
        <v>2344</v>
      </c>
      <c r="D1037" s="4" t="s">
        <v>237</v>
      </c>
      <c r="E1037" s="4" t="s">
        <v>4915</v>
      </c>
      <c r="F1037" s="4" t="s">
        <v>4914</v>
      </c>
      <c r="G1037" s="4" t="s">
        <v>2263</v>
      </c>
      <c r="H1037" s="9" t="s">
        <v>2263</v>
      </c>
      <c r="I1037" s="4" t="s">
        <v>2263</v>
      </c>
      <c r="J1037" s="4" t="s">
        <v>2263</v>
      </c>
      <c r="K1037" s="4" t="s">
        <v>4381</v>
      </c>
      <c r="L1037" s="10">
        <v>2</v>
      </c>
      <c r="M1037" s="5">
        <v>4270</v>
      </c>
      <c r="N1037" s="5">
        <v>8540</v>
      </c>
    </row>
    <row r="1038" spans="1:14" x14ac:dyDescent="0.25">
      <c r="A1038" s="4" t="s">
        <v>3801</v>
      </c>
      <c r="B1038" s="4" t="s">
        <v>4965</v>
      </c>
      <c r="C1038" s="4" t="s">
        <v>2320</v>
      </c>
      <c r="D1038" s="4" t="s">
        <v>242</v>
      </c>
      <c r="E1038" s="4" t="s">
        <v>2392</v>
      </c>
      <c r="F1038" s="4" t="s">
        <v>2391</v>
      </c>
      <c r="G1038" s="4" t="s">
        <v>2263</v>
      </c>
      <c r="H1038" s="9" t="s">
        <v>2263</v>
      </c>
      <c r="I1038" s="4" t="s">
        <v>2317</v>
      </c>
      <c r="J1038" s="4" t="s">
        <v>2316</v>
      </c>
      <c r="K1038" s="4" t="s">
        <v>2263</v>
      </c>
      <c r="L1038" s="10">
        <v>2</v>
      </c>
      <c r="M1038" s="5">
        <v>4436.8685029940125</v>
      </c>
      <c r="N1038" s="5">
        <v>8873.7370059880195</v>
      </c>
    </row>
    <row r="1039" spans="1:14" x14ac:dyDescent="0.25">
      <c r="A1039" s="4" t="s">
        <v>2279</v>
      </c>
      <c r="B1039" s="4" t="s">
        <v>4963</v>
      </c>
      <c r="C1039" s="4" t="s">
        <v>2320</v>
      </c>
      <c r="D1039" s="4" t="s">
        <v>242</v>
      </c>
      <c r="E1039" s="4" t="s">
        <v>2392</v>
      </c>
      <c r="F1039" s="4" t="s">
        <v>2391</v>
      </c>
      <c r="G1039" s="4" t="s">
        <v>2263</v>
      </c>
      <c r="H1039" s="9" t="s">
        <v>2263</v>
      </c>
      <c r="I1039" s="4" t="s">
        <v>2317</v>
      </c>
      <c r="J1039" s="4" t="s">
        <v>2316</v>
      </c>
      <c r="K1039" s="4" t="s">
        <v>2263</v>
      </c>
      <c r="L1039" s="10">
        <v>2</v>
      </c>
      <c r="M1039" s="5">
        <v>4436.8685029940125</v>
      </c>
      <c r="N1039" s="5">
        <v>8873.7370059880195</v>
      </c>
    </row>
    <row r="1040" spans="1:14" x14ac:dyDescent="0.25">
      <c r="A1040" s="4" t="s">
        <v>2384</v>
      </c>
      <c r="B1040" s="4" t="s">
        <v>3187</v>
      </c>
      <c r="C1040" s="4" t="s">
        <v>2320</v>
      </c>
      <c r="D1040" s="4" t="s">
        <v>242</v>
      </c>
      <c r="E1040" s="4" t="s">
        <v>2392</v>
      </c>
      <c r="F1040" s="4" t="s">
        <v>2391</v>
      </c>
      <c r="G1040" s="4" t="s">
        <v>2263</v>
      </c>
      <c r="H1040" s="9" t="s">
        <v>2263</v>
      </c>
      <c r="I1040" s="4" t="s">
        <v>2317</v>
      </c>
      <c r="J1040" s="4" t="s">
        <v>2316</v>
      </c>
      <c r="K1040" s="4" t="s">
        <v>2263</v>
      </c>
      <c r="L1040" s="10">
        <v>2</v>
      </c>
      <c r="M1040" s="5">
        <v>4436.8685029940125</v>
      </c>
      <c r="N1040" s="5">
        <v>8873.7370059880195</v>
      </c>
    </row>
    <row r="1041" spans="1:14" x14ac:dyDescent="0.25">
      <c r="A1041" s="4" t="s">
        <v>3104</v>
      </c>
      <c r="B1041" s="4" t="s">
        <v>3103</v>
      </c>
      <c r="C1041" s="4" t="s">
        <v>2320</v>
      </c>
      <c r="D1041" s="4" t="s">
        <v>242</v>
      </c>
      <c r="E1041" s="4" t="s">
        <v>2392</v>
      </c>
      <c r="F1041" s="4" t="s">
        <v>2391</v>
      </c>
      <c r="G1041" s="4" t="s">
        <v>2263</v>
      </c>
      <c r="H1041" s="9" t="s">
        <v>2263</v>
      </c>
      <c r="I1041" s="4" t="s">
        <v>2317</v>
      </c>
      <c r="J1041" s="4" t="s">
        <v>2316</v>
      </c>
      <c r="K1041" s="4" t="s">
        <v>2263</v>
      </c>
      <c r="L1041" s="10">
        <v>2</v>
      </c>
      <c r="M1041" s="5">
        <v>4436.8685029940125</v>
      </c>
      <c r="N1041" s="5">
        <v>8873.7370059880195</v>
      </c>
    </row>
    <row r="1042" spans="1:14" x14ac:dyDescent="0.25">
      <c r="A1042" s="4" t="s">
        <v>2386</v>
      </c>
      <c r="B1042" s="4" t="s">
        <v>2385</v>
      </c>
      <c r="C1042" s="4" t="s">
        <v>2320</v>
      </c>
      <c r="D1042" s="4" t="s">
        <v>242</v>
      </c>
      <c r="E1042" s="4" t="s">
        <v>2392</v>
      </c>
      <c r="F1042" s="4" t="s">
        <v>2391</v>
      </c>
      <c r="G1042" s="4" t="s">
        <v>2263</v>
      </c>
      <c r="H1042" s="9" t="s">
        <v>2263</v>
      </c>
      <c r="I1042" s="4" t="s">
        <v>2317</v>
      </c>
      <c r="J1042" s="4" t="s">
        <v>2316</v>
      </c>
      <c r="K1042" s="4" t="s">
        <v>2263</v>
      </c>
      <c r="L1042" s="10">
        <v>2</v>
      </c>
      <c r="M1042" s="5">
        <v>4436.8685029940125</v>
      </c>
      <c r="N1042" s="5">
        <v>8873.7370059880195</v>
      </c>
    </row>
    <row r="1043" spans="1:14" x14ac:dyDescent="0.25">
      <c r="A1043" s="4" t="s">
        <v>2274</v>
      </c>
      <c r="B1043" s="4" t="s">
        <v>4348</v>
      </c>
      <c r="C1043" s="4" t="s">
        <v>2267</v>
      </c>
      <c r="D1043" s="4" t="s">
        <v>2266</v>
      </c>
      <c r="E1043" s="4" t="s">
        <v>4389</v>
      </c>
      <c r="F1043" s="4" t="s">
        <v>4388</v>
      </c>
      <c r="G1043" s="4" t="s">
        <v>2263</v>
      </c>
      <c r="H1043" s="9" t="s">
        <v>2263</v>
      </c>
      <c r="I1043" s="4" t="s">
        <v>2263</v>
      </c>
      <c r="J1043" s="4" t="s">
        <v>2263</v>
      </c>
      <c r="K1043" s="4" t="s">
        <v>4387</v>
      </c>
      <c r="L1043" s="10">
        <v>2</v>
      </c>
      <c r="M1043" s="5">
        <v>4918.666666666667</v>
      </c>
      <c r="N1043" s="5">
        <v>9837.3333333333303</v>
      </c>
    </row>
    <row r="1044" spans="1:14" x14ac:dyDescent="0.25">
      <c r="A1044" s="4" t="s">
        <v>2344</v>
      </c>
      <c r="B1044" s="4" t="s">
        <v>5154</v>
      </c>
      <c r="C1044" s="4" t="s">
        <v>2344</v>
      </c>
      <c r="D1044" s="4" t="s">
        <v>237</v>
      </c>
      <c r="E1044" s="4" t="s">
        <v>4741</v>
      </c>
      <c r="F1044" s="4" t="s">
        <v>4740</v>
      </c>
      <c r="G1044" s="4" t="s">
        <v>2263</v>
      </c>
      <c r="H1044" s="9" t="s">
        <v>2263</v>
      </c>
      <c r="I1044" s="4" t="s">
        <v>2263</v>
      </c>
      <c r="J1044" s="4" t="s">
        <v>2263</v>
      </c>
      <c r="K1044" s="4" t="s">
        <v>4739</v>
      </c>
      <c r="L1044" s="10">
        <v>2</v>
      </c>
      <c r="M1044" s="5">
        <v>5183.5294117647063</v>
      </c>
      <c r="N1044" s="5">
        <v>10367.058823529411</v>
      </c>
    </row>
    <row r="1045" spans="1:14" x14ac:dyDescent="0.25">
      <c r="A1045" s="4" t="s">
        <v>2481</v>
      </c>
      <c r="B1045" s="4" t="s">
        <v>3217</v>
      </c>
      <c r="C1045" s="4" t="s">
        <v>2384</v>
      </c>
      <c r="D1045" s="4" t="s">
        <v>262</v>
      </c>
      <c r="E1045" s="4" t="s">
        <v>3053</v>
      </c>
      <c r="F1045" s="4" t="s">
        <v>3052</v>
      </c>
      <c r="G1045" s="4" t="s">
        <v>2263</v>
      </c>
      <c r="H1045" s="9" t="s">
        <v>2263</v>
      </c>
      <c r="I1045" s="4" t="s">
        <v>2317</v>
      </c>
      <c r="J1045" s="4" t="s">
        <v>2316</v>
      </c>
      <c r="K1045" s="4" t="s">
        <v>2263</v>
      </c>
      <c r="L1045" s="10">
        <v>2</v>
      </c>
      <c r="M1045" s="5">
        <v>5237.6400000000003</v>
      </c>
      <c r="N1045" s="5">
        <v>10475.280000000001</v>
      </c>
    </row>
    <row r="1046" spans="1:14" x14ac:dyDescent="0.25">
      <c r="A1046" s="4" t="s">
        <v>2344</v>
      </c>
      <c r="B1046" s="4" t="s">
        <v>5154</v>
      </c>
      <c r="C1046" s="4" t="s">
        <v>2344</v>
      </c>
      <c r="D1046" s="4" t="s">
        <v>237</v>
      </c>
      <c r="E1046" s="4" t="s">
        <v>4699</v>
      </c>
      <c r="F1046" s="4" t="s">
        <v>4698</v>
      </c>
      <c r="G1046" s="4" t="s">
        <v>2263</v>
      </c>
      <c r="H1046" s="9" t="s">
        <v>2263</v>
      </c>
      <c r="I1046" s="4" t="s">
        <v>2263</v>
      </c>
      <c r="J1046" s="4" t="s">
        <v>2263</v>
      </c>
      <c r="K1046" s="4" t="s">
        <v>4697</v>
      </c>
      <c r="L1046" s="10">
        <v>2</v>
      </c>
      <c r="M1046" s="5">
        <v>5498</v>
      </c>
      <c r="N1046" s="5">
        <v>10996</v>
      </c>
    </row>
    <row r="1047" spans="1:14" x14ac:dyDescent="0.25">
      <c r="A1047" s="4" t="s">
        <v>3070</v>
      </c>
      <c r="B1047" s="4" t="s">
        <v>3216</v>
      </c>
      <c r="C1047" s="4" t="s">
        <v>2320</v>
      </c>
      <c r="D1047" s="4" t="s">
        <v>242</v>
      </c>
      <c r="E1047" s="4" t="s">
        <v>3155</v>
      </c>
      <c r="F1047" s="4" t="s">
        <v>3154</v>
      </c>
      <c r="G1047" s="4" t="s">
        <v>2263</v>
      </c>
      <c r="H1047" s="9" t="s">
        <v>2263</v>
      </c>
      <c r="I1047" s="4" t="s">
        <v>2317</v>
      </c>
      <c r="J1047" s="4" t="s">
        <v>2316</v>
      </c>
      <c r="K1047" s="4" t="s">
        <v>2263</v>
      </c>
      <c r="L1047" s="10">
        <v>2</v>
      </c>
      <c r="M1047" s="5">
        <v>5585.4120765027319</v>
      </c>
      <c r="N1047" s="5">
        <v>11170.82415300546</v>
      </c>
    </row>
    <row r="1048" spans="1:14" x14ac:dyDescent="0.25">
      <c r="A1048" s="4" t="s">
        <v>3801</v>
      </c>
      <c r="B1048" s="4" t="s">
        <v>4965</v>
      </c>
      <c r="C1048" s="4" t="s">
        <v>2320</v>
      </c>
      <c r="D1048" s="4" t="s">
        <v>242</v>
      </c>
      <c r="E1048" s="4" t="s">
        <v>2364</v>
      </c>
      <c r="F1048" s="4" t="s">
        <v>2363</v>
      </c>
      <c r="G1048" s="4" t="s">
        <v>2263</v>
      </c>
      <c r="H1048" s="9" t="s">
        <v>2263</v>
      </c>
      <c r="I1048" s="4" t="s">
        <v>2317</v>
      </c>
      <c r="J1048" s="4" t="s">
        <v>2316</v>
      </c>
      <c r="K1048" s="4" t="s">
        <v>2263</v>
      </c>
      <c r="L1048" s="10">
        <v>2</v>
      </c>
      <c r="M1048" s="5">
        <v>5822.2279354838711</v>
      </c>
      <c r="N1048" s="5">
        <v>11644.45587096774</v>
      </c>
    </row>
    <row r="1049" spans="1:14" x14ac:dyDescent="0.25">
      <c r="A1049" s="4" t="s">
        <v>2279</v>
      </c>
      <c r="B1049" s="4" t="s">
        <v>4963</v>
      </c>
      <c r="C1049" s="4" t="s">
        <v>2320</v>
      </c>
      <c r="D1049" s="4" t="s">
        <v>242</v>
      </c>
      <c r="E1049" s="4" t="s">
        <v>2364</v>
      </c>
      <c r="F1049" s="4" t="s">
        <v>2363</v>
      </c>
      <c r="G1049" s="4" t="s">
        <v>2263</v>
      </c>
      <c r="H1049" s="9" t="s">
        <v>2263</v>
      </c>
      <c r="I1049" s="4" t="s">
        <v>2317</v>
      </c>
      <c r="J1049" s="4" t="s">
        <v>2316</v>
      </c>
      <c r="K1049" s="4" t="s">
        <v>2263</v>
      </c>
      <c r="L1049" s="10">
        <v>2</v>
      </c>
      <c r="M1049" s="5">
        <v>5822.2279354838711</v>
      </c>
      <c r="N1049" s="5">
        <v>11644.45587096774</v>
      </c>
    </row>
    <row r="1050" spans="1:14" x14ac:dyDescent="0.25">
      <c r="A1050" s="4" t="s">
        <v>2481</v>
      </c>
      <c r="B1050" s="4" t="s">
        <v>3217</v>
      </c>
      <c r="C1050" s="4" t="s">
        <v>2320</v>
      </c>
      <c r="D1050" s="4" t="s">
        <v>242</v>
      </c>
      <c r="E1050" s="4" t="s">
        <v>2364</v>
      </c>
      <c r="F1050" s="4" t="s">
        <v>2363</v>
      </c>
      <c r="G1050" s="4" t="s">
        <v>2263</v>
      </c>
      <c r="H1050" s="9" t="s">
        <v>2263</v>
      </c>
      <c r="I1050" s="4" t="s">
        <v>2317</v>
      </c>
      <c r="J1050" s="4" t="s">
        <v>2316</v>
      </c>
      <c r="K1050" s="4" t="s">
        <v>2263</v>
      </c>
      <c r="L1050" s="10">
        <v>2</v>
      </c>
      <c r="M1050" s="5">
        <v>5822.2279354838711</v>
      </c>
      <c r="N1050" s="5">
        <v>11644.45587096774</v>
      </c>
    </row>
    <row r="1051" spans="1:14" x14ac:dyDescent="0.25">
      <c r="A1051" s="4" t="s">
        <v>3196</v>
      </c>
      <c r="B1051" s="4" t="s">
        <v>3195</v>
      </c>
      <c r="C1051" s="4" t="s">
        <v>2320</v>
      </c>
      <c r="D1051" s="4" t="s">
        <v>242</v>
      </c>
      <c r="E1051" s="4" t="s">
        <v>2364</v>
      </c>
      <c r="F1051" s="4" t="s">
        <v>2363</v>
      </c>
      <c r="G1051" s="4" t="s">
        <v>2263</v>
      </c>
      <c r="H1051" s="9" t="s">
        <v>2263</v>
      </c>
      <c r="I1051" s="4" t="s">
        <v>2317</v>
      </c>
      <c r="J1051" s="4" t="s">
        <v>2316</v>
      </c>
      <c r="K1051" s="4" t="s">
        <v>2263</v>
      </c>
      <c r="L1051" s="10">
        <v>2</v>
      </c>
      <c r="M1051" s="5">
        <v>5822.2279354838711</v>
      </c>
      <c r="N1051" s="5">
        <v>11644.45587096774</v>
      </c>
    </row>
    <row r="1052" spans="1:14" x14ac:dyDescent="0.25">
      <c r="A1052" s="4" t="s">
        <v>2384</v>
      </c>
      <c r="B1052" s="4" t="s">
        <v>3187</v>
      </c>
      <c r="C1052" s="4" t="s">
        <v>2320</v>
      </c>
      <c r="D1052" s="4" t="s">
        <v>242</v>
      </c>
      <c r="E1052" s="4" t="s">
        <v>2364</v>
      </c>
      <c r="F1052" s="4" t="s">
        <v>2363</v>
      </c>
      <c r="G1052" s="4" t="s">
        <v>2263</v>
      </c>
      <c r="H1052" s="9" t="s">
        <v>2263</v>
      </c>
      <c r="I1052" s="4" t="s">
        <v>2317</v>
      </c>
      <c r="J1052" s="4" t="s">
        <v>2316</v>
      </c>
      <c r="K1052" s="4" t="s">
        <v>2263</v>
      </c>
      <c r="L1052" s="10">
        <v>2</v>
      </c>
      <c r="M1052" s="5">
        <v>5822.2279354838711</v>
      </c>
      <c r="N1052" s="5">
        <v>11644.45587096774</v>
      </c>
    </row>
    <row r="1053" spans="1:14" x14ac:dyDescent="0.25">
      <c r="A1053" s="4" t="s">
        <v>3174</v>
      </c>
      <c r="B1053" s="4" t="s">
        <v>3173</v>
      </c>
      <c r="C1053" s="4" t="s">
        <v>2320</v>
      </c>
      <c r="D1053" s="4" t="s">
        <v>242</v>
      </c>
      <c r="E1053" s="4" t="s">
        <v>2364</v>
      </c>
      <c r="F1053" s="4" t="s">
        <v>2363</v>
      </c>
      <c r="G1053" s="4" t="s">
        <v>2263</v>
      </c>
      <c r="H1053" s="9" t="s">
        <v>2263</v>
      </c>
      <c r="I1053" s="4" t="s">
        <v>2317</v>
      </c>
      <c r="J1053" s="4" t="s">
        <v>2316</v>
      </c>
      <c r="K1053" s="4" t="s">
        <v>2263</v>
      </c>
      <c r="L1053" s="10">
        <v>2</v>
      </c>
      <c r="M1053" s="5">
        <v>5822.2279354838711</v>
      </c>
      <c r="N1053" s="5">
        <v>11644.45587096774</v>
      </c>
    </row>
    <row r="1054" spans="1:14" x14ac:dyDescent="0.25">
      <c r="A1054" s="4" t="s">
        <v>3157</v>
      </c>
      <c r="B1054" s="4" t="s">
        <v>3156</v>
      </c>
      <c r="C1054" s="4" t="s">
        <v>2320</v>
      </c>
      <c r="D1054" s="4" t="s">
        <v>242</v>
      </c>
      <c r="E1054" s="4" t="s">
        <v>2364</v>
      </c>
      <c r="F1054" s="4" t="s">
        <v>2363</v>
      </c>
      <c r="G1054" s="4" t="s">
        <v>2263</v>
      </c>
      <c r="H1054" s="9" t="s">
        <v>2263</v>
      </c>
      <c r="I1054" s="4" t="s">
        <v>2317</v>
      </c>
      <c r="J1054" s="4" t="s">
        <v>2316</v>
      </c>
      <c r="K1054" s="4" t="s">
        <v>2263</v>
      </c>
      <c r="L1054" s="10">
        <v>2</v>
      </c>
      <c r="M1054" s="5">
        <v>5822.2279354838711</v>
      </c>
      <c r="N1054" s="5">
        <v>11644.45587096774</v>
      </c>
    </row>
    <row r="1055" spans="1:14" x14ac:dyDescent="0.25">
      <c r="A1055" s="4" t="s">
        <v>3104</v>
      </c>
      <c r="B1055" s="4" t="s">
        <v>3103</v>
      </c>
      <c r="C1055" s="4" t="s">
        <v>2320</v>
      </c>
      <c r="D1055" s="4" t="s">
        <v>242</v>
      </c>
      <c r="E1055" s="4" t="s">
        <v>2364</v>
      </c>
      <c r="F1055" s="4" t="s">
        <v>2363</v>
      </c>
      <c r="G1055" s="4" t="s">
        <v>2263</v>
      </c>
      <c r="H1055" s="9" t="s">
        <v>2263</v>
      </c>
      <c r="I1055" s="4" t="s">
        <v>2317</v>
      </c>
      <c r="J1055" s="4" t="s">
        <v>2316</v>
      </c>
      <c r="K1055" s="4" t="s">
        <v>2263</v>
      </c>
      <c r="L1055" s="10">
        <v>2</v>
      </c>
      <c r="M1055" s="5">
        <v>5822.2279354838711</v>
      </c>
      <c r="N1055" s="5">
        <v>11644.45587096774</v>
      </c>
    </row>
    <row r="1056" spans="1:14" x14ac:dyDescent="0.25">
      <c r="A1056" s="4" t="s">
        <v>3063</v>
      </c>
      <c r="B1056" s="4" t="s">
        <v>3062</v>
      </c>
      <c r="C1056" s="4" t="s">
        <v>2320</v>
      </c>
      <c r="D1056" s="4" t="s">
        <v>242</v>
      </c>
      <c r="E1056" s="4" t="s">
        <v>2364</v>
      </c>
      <c r="F1056" s="4" t="s">
        <v>2363</v>
      </c>
      <c r="G1056" s="4" t="s">
        <v>2263</v>
      </c>
      <c r="H1056" s="9" t="s">
        <v>2263</v>
      </c>
      <c r="I1056" s="4" t="s">
        <v>2317</v>
      </c>
      <c r="J1056" s="4" t="s">
        <v>2316</v>
      </c>
      <c r="K1056" s="4" t="s">
        <v>2263</v>
      </c>
      <c r="L1056" s="10">
        <v>2</v>
      </c>
      <c r="M1056" s="5">
        <v>5822.2279354838711</v>
      </c>
      <c r="N1056" s="5">
        <v>11644.45587096774</v>
      </c>
    </row>
    <row r="1057" spans="1:14" x14ac:dyDescent="0.25">
      <c r="A1057" s="4" t="s">
        <v>3051</v>
      </c>
      <c r="B1057" s="4" t="s">
        <v>3050</v>
      </c>
      <c r="C1057" s="4" t="s">
        <v>2320</v>
      </c>
      <c r="D1057" s="4" t="s">
        <v>242</v>
      </c>
      <c r="E1057" s="4" t="s">
        <v>2364</v>
      </c>
      <c r="F1057" s="4" t="s">
        <v>2363</v>
      </c>
      <c r="G1057" s="4" t="s">
        <v>2263</v>
      </c>
      <c r="H1057" s="9" t="s">
        <v>2263</v>
      </c>
      <c r="I1057" s="4" t="s">
        <v>2317</v>
      </c>
      <c r="J1057" s="4" t="s">
        <v>2316</v>
      </c>
      <c r="K1057" s="4" t="s">
        <v>2263</v>
      </c>
      <c r="L1057" s="10">
        <v>2</v>
      </c>
      <c r="M1057" s="5">
        <v>5822.2279354838711</v>
      </c>
      <c r="N1057" s="5">
        <v>11644.45587096774</v>
      </c>
    </row>
    <row r="1058" spans="1:14" x14ac:dyDescent="0.25">
      <c r="A1058" s="4" t="s">
        <v>3024</v>
      </c>
      <c r="B1058" s="4" t="s">
        <v>3023</v>
      </c>
      <c r="C1058" s="4" t="s">
        <v>2320</v>
      </c>
      <c r="D1058" s="4" t="s">
        <v>242</v>
      </c>
      <c r="E1058" s="4" t="s">
        <v>2364</v>
      </c>
      <c r="F1058" s="4" t="s">
        <v>2363</v>
      </c>
      <c r="G1058" s="4" t="s">
        <v>2263</v>
      </c>
      <c r="H1058" s="9" t="s">
        <v>2263</v>
      </c>
      <c r="I1058" s="4" t="s">
        <v>2317</v>
      </c>
      <c r="J1058" s="4" t="s">
        <v>2316</v>
      </c>
      <c r="K1058" s="4" t="s">
        <v>2263</v>
      </c>
      <c r="L1058" s="10">
        <v>2</v>
      </c>
      <c r="M1058" s="5">
        <v>5822.2279354838711</v>
      </c>
      <c r="N1058" s="5">
        <v>11644.45587096774</v>
      </c>
    </row>
    <row r="1059" spans="1:14" x14ac:dyDescent="0.25">
      <c r="A1059" s="4" t="s">
        <v>2673</v>
      </c>
      <c r="B1059" s="4" t="s">
        <v>2672</v>
      </c>
      <c r="C1059" s="4" t="s">
        <v>2320</v>
      </c>
      <c r="D1059" s="4" t="s">
        <v>242</v>
      </c>
      <c r="E1059" s="4" t="s">
        <v>2364</v>
      </c>
      <c r="F1059" s="4" t="s">
        <v>2363</v>
      </c>
      <c r="G1059" s="4" t="s">
        <v>2263</v>
      </c>
      <c r="H1059" s="9" t="s">
        <v>2263</v>
      </c>
      <c r="I1059" s="4" t="s">
        <v>2317</v>
      </c>
      <c r="J1059" s="4" t="s">
        <v>2316</v>
      </c>
      <c r="K1059" s="4" t="s">
        <v>2263</v>
      </c>
      <c r="L1059" s="10">
        <v>2</v>
      </c>
      <c r="M1059" s="5">
        <v>5822.2279354838711</v>
      </c>
      <c r="N1059" s="5">
        <v>11644.45587096774</v>
      </c>
    </row>
    <row r="1060" spans="1:14" x14ac:dyDescent="0.25">
      <c r="A1060" s="4" t="s">
        <v>3157</v>
      </c>
      <c r="B1060" s="4" t="s">
        <v>3156</v>
      </c>
      <c r="C1060" s="4" t="s">
        <v>2353</v>
      </c>
      <c r="D1060" s="4" t="s">
        <v>258</v>
      </c>
      <c r="E1060" s="4" t="s">
        <v>2671</v>
      </c>
      <c r="F1060" s="4" t="s">
        <v>2670</v>
      </c>
      <c r="G1060" s="4" t="s">
        <v>2263</v>
      </c>
      <c r="H1060" s="9" t="s">
        <v>2263</v>
      </c>
      <c r="I1060" s="4" t="s">
        <v>2317</v>
      </c>
      <c r="J1060" s="4" t="s">
        <v>2316</v>
      </c>
      <c r="K1060" s="4" t="s">
        <v>2263</v>
      </c>
      <c r="L1060" s="10">
        <v>2</v>
      </c>
      <c r="M1060" s="5">
        <v>5873.5638461538456</v>
      </c>
      <c r="N1060" s="5">
        <v>11747.127692307689</v>
      </c>
    </row>
    <row r="1061" spans="1:14" x14ac:dyDescent="0.25">
      <c r="A1061" s="4" t="s">
        <v>2344</v>
      </c>
      <c r="B1061" s="4" t="s">
        <v>5154</v>
      </c>
      <c r="C1061" s="4" t="s">
        <v>2344</v>
      </c>
      <c r="D1061" s="4" t="s">
        <v>237</v>
      </c>
      <c r="E1061" s="4" t="s">
        <v>4561</v>
      </c>
      <c r="F1061" s="4" t="s">
        <v>4560</v>
      </c>
      <c r="G1061" s="4" t="s">
        <v>2263</v>
      </c>
      <c r="H1061" s="9" t="s">
        <v>2263</v>
      </c>
      <c r="I1061" s="4" t="s">
        <v>2263</v>
      </c>
      <c r="J1061" s="4" t="s">
        <v>2263</v>
      </c>
      <c r="K1061" s="4" t="s">
        <v>4559</v>
      </c>
      <c r="L1061" s="10">
        <v>2</v>
      </c>
      <c r="M1061" s="5">
        <v>5875</v>
      </c>
      <c r="N1061" s="5">
        <v>11750</v>
      </c>
    </row>
    <row r="1062" spans="1:14" x14ac:dyDescent="0.25">
      <c r="A1062" s="4" t="s">
        <v>2481</v>
      </c>
      <c r="B1062" s="4" t="s">
        <v>3217</v>
      </c>
      <c r="C1062" s="4" t="s">
        <v>2320</v>
      </c>
      <c r="D1062" s="4" t="s">
        <v>242</v>
      </c>
      <c r="E1062" s="4" t="s">
        <v>2699</v>
      </c>
      <c r="F1062" s="4" t="s">
        <v>2698</v>
      </c>
      <c r="G1062" s="4" t="s">
        <v>2263</v>
      </c>
      <c r="H1062" s="9" t="s">
        <v>2263</v>
      </c>
      <c r="I1062" s="4" t="s">
        <v>2317</v>
      </c>
      <c r="J1062" s="4" t="s">
        <v>2316</v>
      </c>
      <c r="K1062" s="4" t="s">
        <v>2263</v>
      </c>
      <c r="L1062" s="10">
        <v>2</v>
      </c>
      <c r="M1062" s="5">
        <v>5898.3784375000005</v>
      </c>
      <c r="N1062" s="5">
        <v>11796.756874999999</v>
      </c>
    </row>
    <row r="1063" spans="1:14" x14ac:dyDescent="0.25">
      <c r="A1063" s="4" t="s">
        <v>3174</v>
      </c>
      <c r="B1063" s="4" t="s">
        <v>3173</v>
      </c>
      <c r="C1063" s="4" t="s">
        <v>2320</v>
      </c>
      <c r="D1063" s="4" t="s">
        <v>242</v>
      </c>
      <c r="E1063" s="4" t="s">
        <v>2699</v>
      </c>
      <c r="F1063" s="4" t="s">
        <v>2698</v>
      </c>
      <c r="G1063" s="4" t="s">
        <v>2263</v>
      </c>
      <c r="H1063" s="9" t="s">
        <v>2263</v>
      </c>
      <c r="I1063" s="4" t="s">
        <v>2317</v>
      </c>
      <c r="J1063" s="4" t="s">
        <v>2316</v>
      </c>
      <c r="K1063" s="4" t="s">
        <v>2263</v>
      </c>
      <c r="L1063" s="10">
        <v>2</v>
      </c>
      <c r="M1063" s="5">
        <v>5898.3784375000005</v>
      </c>
      <c r="N1063" s="5">
        <v>11796.756874999999</v>
      </c>
    </row>
    <row r="1064" spans="1:14" x14ac:dyDescent="0.25">
      <c r="A1064" s="4" t="s">
        <v>3157</v>
      </c>
      <c r="B1064" s="4" t="s">
        <v>3156</v>
      </c>
      <c r="C1064" s="4" t="s">
        <v>2320</v>
      </c>
      <c r="D1064" s="4" t="s">
        <v>242</v>
      </c>
      <c r="E1064" s="4" t="s">
        <v>2699</v>
      </c>
      <c r="F1064" s="4" t="s">
        <v>2698</v>
      </c>
      <c r="G1064" s="4" t="s">
        <v>2263</v>
      </c>
      <c r="H1064" s="9" t="s">
        <v>2263</v>
      </c>
      <c r="I1064" s="4" t="s">
        <v>2317</v>
      </c>
      <c r="J1064" s="4" t="s">
        <v>2316</v>
      </c>
      <c r="K1064" s="4" t="s">
        <v>2263</v>
      </c>
      <c r="L1064" s="10">
        <v>2</v>
      </c>
      <c r="M1064" s="5">
        <v>5898.3784375000005</v>
      </c>
      <c r="N1064" s="5">
        <v>11796.756874999999</v>
      </c>
    </row>
    <row r="1065" spans="1:14" x14ac:dyDescent="0.25">
      <c r="A1065" s="4" t="s">
        <v>3104</v>
      </c>
      <c r="B1065" s="4" t="s">
        <v>3103</v>
      </c>
      <c r="C1065" s="4" t="s">
        <v>2320</v>
      </c>
      <c r="D1065" s="4" t="s">
        <v>242</v>
      </c>
      <c r="E1065" s="4" t="s">
        <v>2699</v>
      </c>
      <c r="F1065" s="4" t="s">
        <v>2698</v>
      </c>
      <c r="G1065" s="4" t="s">
        <v>2263</v>
      </c>
      <c r="H1065" s="9" t="s">
        <v>2263</v>
      </c>
      <c r="I1065" s="4" t="s">
        <v>2317</v>
      </c>
      <c r="J1065" s="4" t="s">
        <v>2316</v>
      </c>
      <c r="K1065" s="4" t="s">
        <v>2263</v>
      </c>
      <c r="L1065" s="10">
        <v>2</v>
      </c>
      <c r="M1065" s="5">
        <v>5898.3784375000005</v>
      </c>
      <c r="N1065" s="5">
        <v>11796.756874999999</v>
      </c>
    </row>
    <row r="1066" spans="1:14" x14ac:dyDescent="0.25">
      <c r="A1066" s="4" t="s">
        <v>3063</v>
      </c>
      <c r="B1066" s="4" t="s">
        <v>3062</v>
      </c>
      <c r="C1066" s="4" t="s">
        <v>2320</v>
      </c>
      <c r="D1066" s="4" t="s">
        <v>242</v>
      </c>
      <c r="E1066" s="4" t="s">
        <v>2699</v>
      </c>
      <c r="F1066" s="4" t="s">
        <v>2698</v>
      </c>
      <c r="G1066" s="4" t="s">
        <v>2263</v>
      </c>
      <c r="H1066" s="9" t="s">
        <v>2263</v>
      </c>
      <c r="I1066" s="4" t="s">
        <v>2317</v>
      </c>
      <c r="J1066" s="4" t="s">
        <v>2316</v>
      </c>
      <c r="K1066" s="4" t="s">
        <v>2263</v>
      </c>
      <c r="L1066" s="10">
        <v>2</v>
      </c>
      <c r="M1066" s="5">
        <v>5898.3784375000005</v>
      </c>
      <c r="N1066" s="5">
        <v>11796.756874999999</v>
      </c>
    </row>
    <row r="1067" spans="1:14" x14ac:dyDescent="0.25">
      <c r="A1067" s="4" t="s">
        <v>3051</v>
      </c>
      <c r="B1067" s="4" t="s">
        <v>3050</v>
      </c>
      <c r="C1067" s="4" t="s">
        <v>2320</v>
      </c>
      <c r="D1067" s="4" t="s">
        <v>242</v>
      </c>
      <c r="E1067" s="4" t="s">
        <v>2699</v>
      </c>
      <c r="F1067" s="4" t="s">
        <v>2698</v>
      </c>
      <c r="G1067" s="4" t="s">
        <v>2263</v>
      </c>
      <c r="H1067" s="9" t="s">
        <v>2263</v>
      </c>
      <c r="I1067" s="4" t="s">
        <v>2317</v>
      </c>
      <c r="J1067" s="4" t="s">
        <v>2316</v>
      </c>
      <c r="K1067" s="4" t="s">
        <v>2263</v>
      </c>
      <c r="L1067" s="10">
        <v>2</v>
      </c>
      <c r="M1067" s="5">
        <v>5898.3784375000005</v>
      </c>
      <c r="N1067" s="5">
        <v>11796.756874999999</v>
      </c>
    </row>
    <row r="1068" spans="1:14" x14ac:dyDescent="0.25">
      <c r="A1068" s="4" t="s">
        <v>3024</v>
      </c>
      <c r="B1068" s="4" t="s">
        <v>3023</v>
      </c>
      <c r="C1068" s="4" t="s">
        <v>2320</v>
      </c>
      <c r="D1068" s="4" t="s">
        <v>242</v>
      </c>
      <c r="E1068" s="4" t="s">
        <v>2699</v>
      </c>
      <c r="F1068" s="4" t="s">
        <v>2698</v>
      </c>
      <c r="G1068" s="4" t="s">
        <v>2263</v>
      </c>
      <c r="H1068" s="9" t="s">
        <v>2263</v>
      </c>
      <c r="I1068" s="4" t="s">
        <v>2317</v>
      </c>
      <c r="J1068" s="4" t="s">
        <v>2316</v>
      </c>
      <c r="K1068" s="4" t="s">
        <v>2263</v>
      </c>
      <c r="L1068" s="10">
        <v>2</v>
      </c>
      <c r="M1068" s="5">
        <v>5898.3784375000005</v>
      </c>
      <c r="N1068" s="5">
        <v>11796.756874999999</v>
      </c>
    </row>
    <row r="1069" spans="1:14" x14ac:dyDescent="0.25">
      <c r="A1069" s="4" t="s">
        <v>2673</v>
      </c>
      <c r="B1069" s="4" t="s">
        <v>2672</v>
      </c>
      <c r="C1069" s="4" t="s">
        <v>2320</v>
      </c>
      <c r="D1069" s="4" t="s">
        <v>242</v>
      </c>
      <c r="E1069" s="4" t="s">
        <v>2699</v>
      </c>
      <c r="F1069" s="4" t="s">
        <v>2698</v>
      </c>
      <c r="G1069" s="4" t="s">
        <v>2263</v>
      </c>
      <c r="H1069" s="9" t="s">
        <v>2263</v>
      </c>
      <c r="I1069" s="4" t="s">
        <v>2317</v>
      </c>
      <c r="J1069" s="4" t="s">
        <v>2316</v>
      </c>
      <c r="K1069" s="4" t="s">
        <v>2263</v>
      </c>
      <c r="L1069" s="10">
        <v>2</v>
      </c>
      <c r="M1069" s="5">
        <v>5898.3784375000005</v>
      </c>
      <c r="N1069" s="5">
        <v>11796.756874999999</v>
      </c>
    </row>
    <row r="1070" spans="1:14" x14ac:dyDescent="0.25">
      <c r="A1070" s="4" t="s">
        <v>2344</v>
      </c>
      <c r="B1070" s="4" t="s">
        <v>5154</v>
      </c>
      <c r="C1070" s="4" t="s">
        <v>2344</v>
      </c>
      <c r="D1070" s="4" t="s">
        <v>237</v>
      </c>
      <c r="E1070" s="4" t="s">
        <v>4558</v>
      </c>
      <c r="F1070" s="4" t="s">
        <v>4557</v>
      </c>
      <c r="G1070" s="4" t="s">
        <v>2263</v>
      </c>
      <c r="H1070" s="9" t="s">
        <v>2263</v>
      </c>
      <c r="I1070" s="4" t="s">
        <v>2263</v>
      </c>
      <c r="J1070" s="4" t="s">
        <v>2263</v>
      </c>
      <c r="K1070" s="4" t="s">
        <v>4381</v>
      </c>
      <c r="L1070" s="10">
        <v>2</v>
      </c>
      <c r="M1070" s="5">
        <v>5956.8666666666668</v>
      </c>
      <c r="N1070" s="5">
        <v>11913.73333333333</v>
      </c>
    </row>
    <row r="1071" spans="1:14" x14ac:dyDescent="0.25">
      <c r="A1071" s="4" t="s">
        <v>2930</v>
      </c>
      <c r="B1071" s="4" t="s">
        <v>2929</v>
      </c>
      <c r="C1071" s="4" t="s">
        <v>2320</v>
      </c>
      <c r="D1071" s="4" t="s">
        <v>242</v>
      </c>
      <c r="E1071" s="4" t="s">
        <v>2932</v>
      </c>
      <c r="F1071" s="4" t="s">
        <v>2931</v>
      </c>
      <c r="G1071" s="4" t="s">
        <v>2263</v>
      </c>
      <c r="H1071" s="9" t="s">
        <v>2263</v>
      </c>
      <c r="I1071" s="4" t="s">
        <v>2317</v>
      </c>
      <c r="J1071" s="4" t="s">
        <v>2316</v>
      </c>
      <c r="K1071" s="4" t="s">
        <v>2263</v>
      </c>
      <c r="L1071" s="10">
        <v>2</v>
      </c>
      <c r="M1071" s="5">
        <v>6068.0211111111103</v>
      </c>
      <c r="N1071" s="5">
        <v>12136.042222222221</v>
      </c>
    </row>
    <row r="1072" spans="1:14" x14ac:dyDescent="0.25">
      <c r="A1072" s="4" t="s">
        <v>2320</v>
      </c>
      <c r="B1072" s="4" t="s">
        <v>4967</v>
      </c>
      <c r="C1072" s="4" t="s">
        <v>2344</v>
      </c>
      <c r="D1072" s="4" t="s">
        <v>237</v>
      </c>
      <c r="E1072" s="4" t="s">
        <v>5142</v>
      </c>
      <c r="F1072" s="4" t="s">
        <v>2645</v>
      </c>
      <c r="G1072" s="4" t="s">
        <v>2263</v>
      </c>
      <c r="H1072" s="9" t="s">
        <v>2263</v>
      </c>
      <c r="I1072" s="4" t="s">
        <v>2263</v>
      </c>
      <c r="J1072" s="4" t="s">
        <v>2263</v>
      </c>
      <c r="K1072" s="4" t="s">
        <v>2611</v>
      </c>
      <c r="L1072" s="10">
        <v>2</v>
      </c>
      <c r="M1072" s="5">
        <v>6180</v>
      </c>
      <c r="N1072" s="5">
        <v>12360</v>
      </c>
    </row>
    <row r="1073" spans="1:14" x14ac:dyDescent="0.25">
      <c r="A1073" s="4" t="s">
        <v>2344</v>
      </c>
      <c r="B1073" s="4" t="s">
        <v>5154</v>
      </c>
      <c r="C1073" s="4" t="s">
        <v>2344</v>
      </c>
      <c r="D1073" s="4" t="s">
        <v>237</v>
      </c>
      <c r="E1073" s="4" t="s">
        <v>5337</v>
      </c>
      <c r="F1073" s="4" t="s">
        <v>4745</v>
      </c>
      <c r="G1073" s="4" t="s">
        <v>2263</v>
      </c>
      <c r="H1073" s="9" t="s">
        <v>2263</v>
      </c>
      <c r="I1073" s="4" t="s">
        <v>2263</v>
      </c>
      <c r="J1073" s="4" t="s">
        <v>2263</v>
      </c>
      <c r="K1073" s="4" t="s">
        <v>4744</v>
      </c>
      <c r="L1073" s="10">
        <v>2</v>
      </c>
      <c r="M1073" s="5">
        <v>6602.7749999999996</v>
      </c>
      <c r="N1073" s="5">
        <v>13205.55</v>
      </c>
    </row>
    <row r="1074" spans="1:14" x14ac:dyDescent="0.25">
      <c r="A1074" s="4" t="s">
        <v>3024</v>
      </c>
      <c r="B1074" s="4" t="s">
        <v>3023</v>
      </c>
      <c r="C1074" s="4" t="s">
        <v>2279</v>
      </c>
      <c r="D1074" s="4" t="s">
        <v>2278</v>
      </c>
      <c r="E1074" s="4" t="s">
        <v>2684</v>
      </c>
      <c r="F1074" s="4" t="s">
        <v>2281</v>
      </c>
      <c r="G1074" s="4" t="s">
        <v>2263</v>
      </c>
      <c r="H1074" s="9" t="s">
        <v>2263</v>
      </c>
      <c r="I1074" s="4" t="s">
        <v>2263</v>
      </c>
      <c r="J1074" s="4" t="s">
        <v>2263</v>
      </c>
      <c r="K1074" s="4" t="s">
        <v>2280</v>
      </c>
      <c r="L1074" s="10">
        <v>2</v>
      </c>
      <c r="M1074" s="5">
        <v>6808.1310000000003</v>
      </c>
      <c r="N1074" s="5">
        <v>13616.262000000001</v>
      </c>
    </row>
    <row r="1075" spans="1:14" x14ac:dyDescent="0.25">
      <c r="A1075" s="4" t="s">
        <v>2344</v>
      </c>
      <c r="B1075" s="4" t="s">
        <v>5154</v>
      </c>
      <c r="C1075" s="4" t="s">
        <v>2320</v>
      </c>
      <c r="D1075" s="4" t="s">
        <v>242</v>
      </c>
      <c r="E1075" s="4" t="s">
        <v>2743</v>
      </c>
      <c r="F1075" s="4" t="s">
        <v>2742</v>
      </c>
      <c r="G1075" s="4" t="s">
        <v>2263</v>
      </c>
      <c r="H1075" s="9" t="s">
        <v>2263</v>
      </c>
      <c r="I1075" s="4" t="s">
        <v>2317</v>
      </c>
      <c r="J1075" s="4" t="s">
        <v>2316</v>
      </c>
      <c r="K1075" s="4" t="s">
        <v>2263</v>
      </c>
      <c r="L1075" s="10">
        <v>2</v>
      </c>
      <c r="M1075" s="5">
        <v>6828.93</v>
      </c>
      <c r="N1075" s="5">
        <v>13657.86</v>
      </c>
    </row>
    <row r="1076" spans="1:14" x14ac:dyDescent="0.25">
      <c r="A1076" s="4" t="s">
        <v>3157</v>
      </c>
      <c r="B1076" s="4" t="s">
        <v>3156</v>
      </c>
      <c r="C1076" s="4" t="s">
        <v>2320</v>
      </c>
      <c r="D1076" s="4" t="s">
        <v>242</v>
      </c>
      <c r="E1076" s="4" t="s">
        <v>2743</v>
      </c>
      <c r="F1076" s="4" t="s">
        <v>2742</v>
      </c>
      <c r="G1076" s="4" t="s">
        <v>2263</v>
      </c>
      <c r="H1076" s="9" t="s">
        <v>2263</v>
      </c>
      <c r="I1076" s="4" t="s">
        <v>2317</v>
      </c>
      <c r="J1076" s="4" t="s">
        <v>2316</v>
      </c>
      <c r="K1076" s="4" t="s">
        <v>2263</v>
      </c>
      <c r="L1076" s="10">
        <v>2</v>
      </c>
      <c r="M1076" s="5">
        <v>6828.93</v>
      </c>
      <c r="N1076" s="5">
        <v>13657.86</v>
      </c>
    </row>
    <row r="1077" spans="1:14" x14ac:dyDescent="0.25">
      <c r="A1077" s="4" t="s">
        <v>2673</v>
      </c>
      <c r="B1077" s="4" t="s">
        <v>2672</v>
      </c>
      <c r="C1077" s="4" t="s">
        <v>2320</v>
      </c>
      <c r="D1077" s="4" t="s">
        <v>242</v>
      </c>
      <c r="E1077" s="4" t="s">
        <v>2743</v>
      </c>
      <c r="F1077" s="4" t="s">
        <v>2742</v>
      </c>
      <c r="G1077" s="4" t="s">
        <v>2263</v>
      </c>
      <c r="H1077" s="9" t="s">
        <v>2263</v>
      </c>
      <c r="I1077" s="4" t="s">
        <v>2317</v>
      </c>
      <c r="J1077" s="4" t="s">
        <v>2316</v>
      </c>
      <c r="K1077" s="4" t="s">
        <v>2263</v>
      </c>
      <c r="L1077" s="10">
        <v>2</v>
      </c>
      <c r="M1077" s="5">
        <v>6828.93</v>
      </c>
      <c r="N1077" s="5">
        <v>13657.86</v>
      </c>
    </row>
    <row r="1078" spans="1:14" x14ac:dyDescent="0.25">
      <c r="A1078" s="4" t="s">
        <v>2344</v>
      </c>
      <c r="B1078" s="4" t="s">
        <v>5154</v>
      </c>
      <c r="C1078" s="4" t="s">
        <v>2344</v>
      </c>
      <c r="D1078" s="4" t="s">
        <v>237</v>
      </c>
      <c r="E1078" s="4" t="s">
        <v>4840</v>
      </c>
      <c r="F1078" s="4" t="s">
        <v>4579</v>
      </c>
      <c r="G1078" s="4" t="s">
        <v>2263</v>
      </c>
      <c r="H1078" s="9" t="s">
        <v>2263</v>
      </c>
      <c r="I1078" s="4" t="s">
        <v>2263</v>
      </c>
      <c r="J1078" s="4" t="s">
        <v>2263</v>
      </c>
      <c r="K1078" s="4" t="s">
        <v>4578</v>
      </c>
      <c r="L1078" s="10">
        <v>2</v>
      </c>
      <c r="M1078" s="5">
        <v>6890</v>
      </c>
      <c r="N1078" s="5">
        <v>13780</v>
      </c>
    </row>
    <row r="1079" spans="1:14" x14ac:dyDescent="0.25">
      <c r="A1079" s="4" t="s">
        <v>2344</v>
      </c>
      <c r="B1079" s="4" t="s">
        <v>5154</v>
      </c>
      <c r="C1079" s="4" t="s">
        <v>2320</v>
      </c>
      <c r="D1079" s="4" t="s">
        <v>242</v>
      </c>
      <c r="E1079" s="4" t="s">
        <v>3969</v>
      </c>
      <c r="F1079" s="4" t="s">
        <v>3968</v>
      </c>
      <c r="G1079" s="4" t="s">
        <v>2263</v>
      </c>
      <c r="H1079" s="9" t="s">
        <v>2263</v>
      </c>
      <c r="I1079" s="4" t="s">
        <v>2317</v>
      </c>
      <c r="J1079" s="4" t="s">
        <v>2316</v>
      </c>
      <c r="K1079" s="4" t="s">
        <v>2263</v>
      </c>
      <c r="L1079" s="10">
        <v>2</v>
      </c>
      <c r="M1079" s="5">
        <v>7002</v>
      </c>
      <c r="N1079" s="5">
        <v>14004</v>
      </c>
    </row>
    <row r="1080" spans="1:14" x14ac:dyDescent="0.25">
      <c r="A1080" s="4" t="s">
        <v>2320</v>
      </c>
      <c r="B1080" s="4" t="s">
        <v>4967</v>
      </c>
      <c r="C1080" s="4" t="s">
        <v>2320</v>
      </c>
      <c r="D1080" s="4" t="s">
        <v>242</v>
      </c>
      <c r="E1080" s="4" t="s">
        <v>4127</v>
      </c>
      <c r="F1080" s="4" t="s">
        <v>4126</v>
      </c>
      <c r="G1080" s="4" t="s">
        <v>2263</v>
      </c>
      <c r="H1080" s="9" t="s">
        <v>2263</v>
      </c>
      <c r="I1080" s="4" t="s">
        <v>2317</v>
      </c>
      <c r="J1080" s="4" t="s">
        <v>2316</v>
      </c>
      <c r="K1080" s="4" t="s">
        <v>2263</v>
      </c>
      <c r="L1080" s="10">
        <v>2</v>
      </c>
      <c r="M1080" s="5">
        <v>7608.4736842105258</v>
      </c>
      <c r="N1080" s="5">
        <v>15216.94736842105</v>
      </c>
    </row>
    <row r="1081" spans="1:14" x14ac:dyDescent="0.25">
      <c r="A1081" s="4" t="s">
        <v>2320</v>
      </c>
      <c r="B1081" s="4" t="s">
        <v>4967</v>
      </c>
      <c r="C1081" s="4" t="s">
        <v>2274</v>
      </c>
      <c r="D1081" s="4" t="s">
        <v>2273</v>
      </c>
      <c r="E1081" s="4" t="s">
        <v>4466</v>
      </c>
      <c r="F1081" s="4" t="s">
        <v>2530</v>
      </c>
      <c r="G1081" s="4" t="s">
        <v>2263</v>
      </c>
      <c r="H1081" s="9" t="s">
        <v>2263</v>
      </c>
      <c r="I1081" s="4" t="s">
        <v>2263</v>
      </c>
      <c r="J1081" s="4" t="s">
        <v>2263</v>
      </c>
      <c r="K1081" s="4" t="s">
        <v>2528</v>
      </c>
      <c r="L1081" s="10">
        <v>2</v>
      </c>
      <c r="M1081" s="5">
        <v>7654.5804154302668</v>
      </c>
      <c r="N1081" s="5">
        <v>15309.16083086053</v>
      </c>
    </row>
    <row r="1082" spans="1:14" x14ac:dyDescent="0.25">
      <c r="A1082" s="4" t="s">
        <v>2344</v>
      </c>
      <c r="B1082" s="4" t="s">
        <v>5154</v>
      </c>
      <c r="C1082" s="4" t="s">
        <v>2344</v>
      </c>
      <c r="D1082" s="4" t="s">
        <v>237</v>
      </c>
      <c r="E1082" s="4" t="s">
        <v>4941</v>
      </c>
      <c r="F1082" s="4" t="s">
        <v>4940</v>
      </c>
      <c r="G1082" s="4" t="s">
        <v>2263</v>
      </c>
      <c r="H1082" s="9" t="s">
        <v>2263</v>
      </c>
      <c r="I1082" s="4" t="s">
        <v>2263</v>
      </c>
      <c r="J1082" s="4" t="s">
        <v>2263</v>
      </c>
      <c r="K1082" s="4" t="s">
        <v>4590</v>
      </c>
      <c r="L1082" s="10">
        <v>2</v>
      </c>
      <c r="M1082" s="5">
        <v>8247.5</v>
      </c>
      <c r="N1082" s="5">
        <v>16495</v>
      </c>
    </row>
    <row r="1083" spans="1:14" x14ac:dyDescent="0.25">
      <c r="A1083" s="4" t="s">
        <v>2274</v>
      </c>
      <c r="B1083" s="4" t="s">
        <v>4348</v>
      </c>
      <c r="C1083" s="4" t="s">
        <v>2344</v>
      </c>
      <c r="D1083" s="4" t="s">
        <v>237</v>
      </c>
      <c r="E1083" s="4" t="s">
        <v>4941</v>
      </c>
      <c r="F1083" s="4" t="s">
        <v>4940</v>
      </c>
      <c r="G1083" s="4" t="s">
        <v>2263</v>
      </c>
      <c r="H1083" s="9" t="s">
        <v>2263</v>
      </c>
      <c r="I1083" s="4" t="s">
        <v>2263</v>
      </c>
      <c r="J1083" s="4" t="s">
        <v>2263</v>
      </c>
      <c r="K1083" s="4" t="s">
        <v>4590</v>
      </c>
      <c r="L1083" s="10">
        <v>2</v>
      </c>
      <c r="M1083" s="5">
        <v>8247.5</v>
      </c>
      <c r="N1083" s="5">
        <v>16495</v>
      </c>
    </row>
    <row r="1084" spans="1:14" x14ac:dyDescent="0.25">
      <c r="A1084" s="4" t="s">
        <v>2344</v>
      </c>
      <c r="B1084" s="4" t="s">
        <v>5154</v>
      </c>
      <c r="C1084" s="4" t="s">
        <v>2320</v>
      </c>
      <c r="D1084" s="4" t="s">
        <v>242</v>
      </c>
      <c r="E1084" s="4" t="s">
        <v>4195</v>
      </c>
      <c r="F1084" s="4" t="s">
        <v>4194</v>
      </c>
      <c r="G1084" s="4" t="s">
        <v>2263</v>
      </c>
      <c r="H1084" s="9" t="s">
        <v>2263</v>
      </c>
      <c r="I1084" s="4" t="s">
        <v>2317</v>
      </c>
      <c r="J1084" s="4" t="s">
        <v>2316</v>
      </c>
      <c r="K1084" s="4" t="s">
        <v>2263</v>
      </c>
      <c r="L1084" s="10">
        <v>2</v>
      </c>
      <c r="M1084" s="5">
        <v>8365.636363636364</v>
      </c>
      <c r="N1084" s="5">
        <v>16731.272727272732</v>
      </c>
    </row>
    <row r="1085" spans="1:14" x14ac:dyDescent="0.25">
      <c r="A1085" s="4" t="s">
        <v>2344</v>
      </c>
      <c r="B1085" s="4" t="s">
        <v>5154</v>
      </c>
      <c r="C1085" s="4" t="s">
        <v>2320</v>
      </c>
      <c r="D1085" s="4" t="s">
        <v>242</v>
      </c>
      <c r="E1085" s="4" t="s">
        <v>4223</v>
      </c>
      <c r="F1085" s="4" t="s">
        <v>4222</v>
      </c>
      <c r="G1085" s="4" t="s">
        <v>2263</v>
      </c>
      <c r="H1085" s="9" t="s">
        <v>2263</v>
      </c>
      <c r="I1085" s="4" t="s">
        <v>2317</v>
      </c>
      <c r="J1085" s="4" t="s">
        <v>2316</v>
      </c>
      <c r="K1085" s="4" t="s">
        <v>2263</v>
      </c>
      <c r="L1085" s="10">
        <v>2</v>
      </c>
      <c r="M1085" s="5">
        <v>8440.2525000000005</v>
      </c>
      <c r="N1085" s="5">
        <v>16880.505000000001</v>
      </c>
    </row>
    <row r="1086" spans="1:14" x14ac:dyDescent="0.25">
      <c r="A1086" s="4" t="s">
        <v>2344</v>
      </c>
      <c r="B1086" s="4" t="s">
        <v>5154</v>
      </c>
      <c r="C1086" s="4" t="s">
        <v>2344</v>
      </c>
      <c r="D1086" s="4" t="s">
        <v>237</v>
      </c>
      <c r="E1086" s="4" t="s">
        <v>4679</v>
      </c>
      <c r="F1086" s="4" t="s">
        <v>4678</v>
      </c>
      <c r="G1086" s="4" t="s">
        <v>2263</v>
      </c>
      <c r="H1086" s="9" t="s">
        <v>2263</v>
      </c>
      <c r="I1086" s="4" t="s">
        <v>2263</v>
      </c>
      <c r="J1086" s="4" t="s">
        <v>2263</v>
      </c>
      <c r="K1086" s="4" t="s">
        <v>4677</v>
      </c>
      <c r="L1086" s="10">
        <v>2</v>
      </c>
      <c r="M1086" s="5">
        <v>8500</v>
      </c>
      <c r="N1086" s="5">
        <v>17000</v>
      </c>
    </row>
    <row r="1087" spans="1:14" x14ac:dyDescent="0.25">
      <c r="A1087" s="4" t="s">
        <v>2653</v>
      </c>
      <c r="B1087" s="4" t="s">
        <v>3226</v>
      </c>
      <c r="C1087" s="4" t="s">
        <v>3107</v>
      </c>
      <c r="D1087" s="4" t="s">
        <v>1105</v>
      </c>
      <c r="E1087" s="4" t="s">
        <v>3647</v>
      </c>
      <c r="F1087" s="4" t="s">
        <v>3646</v>
      </c>
      <c r="G1087" s="4" t="s">
        <v>2263</v>
      </c>
      <c r="H1087" s="9" t="s">
        <v>2263</v>
      </c>
      <c r="I1087" s="4" t="s">
        <v>2317</v>
      </c>
      <c r="J1087" s="4" t="s">
        <v>2316</v>
      </c>
      <c r="K1087" s="4" t="s">
        <v>2263</v>
      </c>
      <c r="L1087" s="10">
        <v>2</v>
      </c>
      <c r="M1087" s="5">
        <v>8792.7999999999993</v>
      </c>
      <c r="N1087" s="5">
        <v>17585.599999999999</v>
      </c>
    </row>
    <row r="1088" spans="1:14" x14ac:dyDescent="0.25">
      <c r="A1088" s="4" t="s">
        <v>2653</v>
      </c>
      <c r="B1088" s="4" t="s">
        <v>3226</v>
      </c>
      <c r="C1088" s="4" t="s">
        <v>3196</v>
      </c>
      <c r="D1088" s="4" t="s">
        <v>254</v>
      </c>
      <c r="E1088" s="4" t="s">
        <v>3550</v>
      </c>
      <c r="F1088" s="4" t="s">
        <v>3549</v>
      </c>
      <c r="G1088" s="4" t="s">
        <v>2263</v>
      </c>
      <c r="H1088" s="9" t="s">
        <v>2263</v>
      </c>
      <c r="I1088" s="4" t="s">
        <v>2317</v>
      </c>
      <c r="J1088" s="4" t="s">
        <v>2316</v>
      </c>
      <c r="K1088" s="4" t="s">
        <v>2263</v>
      </c>
      <c r="L1088" s="10">
        <v>2</v>
      </c>
      <c r="M1088" s="5">
        <v>8803</v>
      </c>
      <c r="N1088" s="5">
        <v>17606</v>
      </c>
    </row>
    <row r="1089" spans="1:14" x14ac:dyDescent="0.25">
      <c r="A1089" s="4" t="s">
        <v>2344</v>
      </c>
      <c r="B1089" s="4" t="s">
        <v>5154</v>
      </c>
      <c r="C1089" s="4" t="s">
        <v>2320</v>
      </c>
      <c r="D1089" s="4" t="s">
        <v>242</v>
      </c>
      <c r="E1089" s="4" t="s">
        <v>3911</v>
      </c>
      <c r="F1089" s="4" t="s">
        <v>3910</v>
      </c>
      <c r="G1089" s="4" t="s">
        <v>2263</v>
      </c>
      <c r="H1089" s="9" t="s">
        <v>2263</v>
      </c>
      <c r="I1089" s="4" t="s">
        <v>2317</v>
      </c>
      <c r="J1089" s="4" t="s">
        <v>2316</v>
      </c>
      <c r="K1089" s="4" t="s">
        <v>2263</v>
      </c>
      <c r="L1089" s="10">
        <v>2</v>
      </c>
      <c r="M1089" s="5">
        <v>8908.5088372093014</v>
      </c>
      <c r="N1089" s="5">
        <v>17817.017674418599</v>
      </c>
    </row>
    <row r="1090" spans="1:14" x14ac:dyDescent="0.25">
      <c r="A1090" s="4" t="s">
        <v>2344</v>
      </c>
      <c r="B1090" s="4" t="s">
        <v>5154</v>
      </c>
      <c r="C1090" s="4" t="s">
        <v>2344</v>
      </c>
      <c r="D1090" s="4" t="s">
        <v>237</v>
      </c>
      <c r="E1090" s="4" t="s">
        <v>4592</v>
      </c>
      <c r="F1090" s="4" t="s">
        <v>4591</v>
      </c>
      <c r="G1090" s="4" t="s">
        <v>2263</v>
      </c>
      <c r="H1090" s="9" t="s">
        <v>2263</v>
      </c>
      <c r="I1090" s="4" t="s">
        <v>2263</v>
      </c>
      <c r="J1090" s="4" t="s">
        <v>2263</v>
      </c>
      <c r="K1090" s="4" t="s">
        <v>4590</v>
      </c>
      <c r="L1090" s="10">
        <v>2</v>
      </c>
      <c r="M1090" s="5">
        <v>9344.8875000000007</v>
      </c>
      <c r="N1090" s="5">
        <v>18689.775000000001</v>
      </c>
    </row>
    <row r="1091" spans="1:14" x14ac:dyDescent="0.25">
      <c r="A1091" s="4" t="s">
        <v>2274</v>
      </c>
      <c r="B1091" s="4" t="s">
        <v>4348</v>
      </c>
      <c r="C1091" s="4" t="s">
        <v>2344</v>
      </c>
      <c r="D1091" s="4" t="s">
        <v>237</v>
      </c>
      <c r="E1091" s="4" t="s">
        <v>4592</v>
      </c>
      <c r="F1091" s="4" t="s">
        <v>4591</v>
      </c>
      <c r="G1091" s="4" t="s">
        <v>2263</v>
      </c>
      <c r="H1091" s="9" t="s">
        <v>2263</v>
      </c>
      <c r="I1091" s="4" t="s">
        <v>2263</v>
      </c>
      <c r="J1091" s="4" t="s">
        <v>2263</v>
      </c>
      <c r="K1091" s="4" t="s">
        <v>4590</v>
      </c>
      <c r="L1091" s="10">
        <v>2</v>
      </c>
      <c r="M1091" s="5">
        <v>9344.8875000000007</v>
      </c>
      <c r="N1091" s="5">
        <v>18689.775000000001</v>
      </c>
    </row>
    <row r="1092" spans="1:14" x14ac:dyDescent="0.25">
      <c r="A1092" s="4" t="s">
        <v>3801</v>
      </c>
      <c r="B1092" s="4" t="s">
        <v>4965</v>
      </c>
      <c r="C1092" s="4" t="s">
        <v>2344</v>
      </c>
      <c r="D1092" s="4" t="s">
        <v>237</v>
      </c>
      <c r="E1092" s="4" t="s">
        <v>2753</v>
      </c>
      <c r="F1092" s="4" t="s">
        <v>2752</v>
      </c>
      <c r="G1092" s="4" t="s">
        <v>2263</v>
      </c>
      <c r="H1092" s="9" t="s">
        <v>2263</v>
      </c>
      <c r="I1092" s="4" t="s">
        <v>2263</v>
      </c>
      <c r="J1092" s="4" t="s">
        <v>2263</v>
      </c>
      <c r="K1092" s="4" t="s">
        <v>2751</v>
      </c>
      <c r="L1092" s="10">
        <v>2</v>
      </c>
      <c r="M1092" s="5">
        <v>10080.152592592593</v>
      </c>
      <c r="N1092" s="5">
        <v>20160.305185185189</v>
      </c>
    </row>
    <row r="1093" spans="1:14" x14ac:dyDescent="0.25">
      <c r="A1093" s="4" t="s">
        <v>2279</v>
      </c>
      <c r="B1093" s="4" t="s">
        <v>4963</v>
      </c>
      <c r="C1093" s="4" t="s">
        <v>2344</v>
      </c>
      <c r="D1093" s="4" t="s">
        <v>237</v>
      </c>
      <c r="E1093" s="4" t="s">
        <v>2753</v>
      </c>
      <c r="F1093" s="4" t="s">
        <v>2752</v>
      </c>
      <c r="G1093" s="4" t="s">
        <v>2263</v>
      </c>
      <c r="H1093" s="9" t="s">
        <v>2263</v>
      </c>
      <c r="I1093" s="4" t="s">
        <v>2263</v>
      </c>
      <c r="J1093" s="4" t="s">
        <v>2263</v>
      </c>
      <c r="K1093" s="4" t="s">
        <v>2751</v>
      </c>
      <c r="L1093" s="10">
        <v>2</v>
      </c>
      <c r="M1093" s="5">
        <v>10080.152592592593</v>
      </c>
      <c r="N1093" s="5">
        <v>20160.305185185189</v>
      </c>
    </row>
    <row r="1094" spans="1:14" x14ac:dyDescent="0.25">
      <c r="A1094" s="4" t="s">
        <v>2481</v>
      </c>
      <c r="B1094" s="4" t="s">
        <v>3217</v>
      </c>
      <c r="C1094" s="4" t="s">
        <v>2344</v>
      </c>
      <c r="D1094" s="4" t="s">
        <v>237</v>
      </c>
      <c r="E1094" s="4" t="s">
        <v>2753</v>
      </c>
      <c r="F1094" s="4" t="s">
        <v>2752</v>
      </c>
      <c r="G1094" s="4" t="s">
        <v>2263</v>
      </c>
      <c r="H1094" s="9" t="s">
        <v>2263</v>
      </c>
      <c r="I1094" s="4" t="s">
        <v>2263</v>
      </c>
      <c r="J1094" s="4" t="s">
        <v>2263</v>
      </c>
      <c r="K1094" s="4" t="s">
        <v>2751</v>
      </c>
      <c r="L1094" s="10">
        <v>2</v>
      </c>
      <c r="M1094" s="5">
        <v>10080.152592592593</v>
      </c>
      <c r="N1094" s="5">
        <v>20160.305185185189</v>
      </c>
    </row>
    <row r="1095" spans="1:14" x14ac:dyDescent="0.25">
      <c r="A1095" s="4" t="s">
        <v>2384</v>
      </c>
      <c r="B1095" s="4" t="s">
        <v>3187</v>
      </c>
      <c r="C1095" s="4" t="s">
        <v>2344</v>
      </c>
      <c r="D1095" s="4" t="s">
        <v>237</v>
      </c>
      <c r="E1095" s="4" t="s">
        <v>2753</v>
      </c>
      <c r="F1095" s="4" t="s">
        <v>2752</v>
      </c>
      <c r="G1095" s="4" t="s">
        <v>2263</v>
      </c>
      <c r="H1095" s="9" t="s">
        <v>2263</v>
      </c>
      <c r="I1095" s="4" t="s">
        <v>2263</v>
      </c>
      <c r="J1095" s="4" t="s">
        <v>2263</v>
      </c>
      <c r="K1095" s="4" t="s">
        <v>2751</v>
      </c>
      <c r="L1095" s="10">
        <v>2</v>
      </c>
      <c r="M1095" s="5">
        <v>10080.152592592593</v>
      </c>
      <c r="N1095" s="5">
        <v>20160.305185185189</v>
      </c>
    </row>
    <row r="1096" spans="1:14" x14ac:dyDescent="0.25">
      <c r="A1096" s="4" t="s">
        <v>3157</v>
      </c>
      <c r="B1096" s="4" t="s">
        <v>3156</v>
      </c>
      <c r="C1096" s="4" t="s">
        <v>2344</v>
      </c>
      <c r="D1096" s="4" t="s">
        <v>237</v>
      </c>
      <c r="E1096" s="4" t="s">
        <v>2753</v>
      </c>
      <c r="F1096" s="4" t="s">
        <v>2752</v>
      </c>
      <c r="G1096" s="4" t="s">
        <v>2263</v>
      </c>
      <c r="H1096" s="9" t="s">
        <v>2263</v>
      </c>
      <c r="I1096" s="4" t="s">
        <v>2263</v>
      </c>
      <c r="J1096" s="4" t="s">
        <v>2263</v>
      </c>
      <c r="K1096" s="4" t="s">
        <v>2751</v>
      </c>
      <c r="L1096" s="10">
        <v>2</v>
      </c>
      <c r="M1096" s="5">
        <v>10080.152592592593</v>
      </c>
      <c r="N1096" s="5">
        <v>20160.305185185189</v>
      </c>
    </row>
    <row r="1097" spans="1:14" x14ac:dyDescent="0.25">
      <c r="A1097" s="4" t="s">
        <v>3104</v>
      </c>
      <c r="B1097" s="4" t="s">
        <v>3103</v>
      </c>
      <c r="C1097" s="4" t="s">
        <v>2344</v>
      </c>
      <c r="D1097" s="4" t="s">
        <v>237</v>
      </c>
      <c r="E1097" s="4" t="s">
        <v>2753</v>
      </c>
      <c r="F1097" s="4" t="s">
        <v>2752</v>
      </c>
      <c r="G1097" s="4" t="s">
        <v>2263</v>
      </c>
      <c r="H1097" s="9" t="s">
        <v>2263</v>
      </c>
      <c r="I1097" s="4" t="s">
        <v>2263</v>
      </c>
      <c r="J1097" s="4" t="s">
        <v>2263</v>
      </c>
      <c r="K1097" s="4" t="s">
        <v>2751</v>
      </c>
      <c r="L1097" s="10">
        <v>2</v>
      </c>
      <c r="M1097" s="5">
        <v>10080.152592592593</v>
      </c>
      <c r="N1097" s="5">
        <v>20160.305185185189</v>
      </c>
    </row>
    <row r="1098" spans="1:14" x14ac:dyDescent="0.25">
      <c r="A1098" s="4" t="s">
        <v>2673</v>
      </c>
      <c r="B1098" s="4" t="s">
        <v>2672</v>
      </c>
      <c r="C1098" s="4" t="s">
        <v>2344</v>
      </c>
      <c r="D1098" s="4" t="s">
        <v>237</v>
      </c>
      <c r="E1098" s="4" t="s">
        <v>2753</v>
      </c>
      <c r="F1098" s="4" t="s">
        <v>2752</v>
      </c>
      <c r="G1098" s="4" t="s">
        <v>2263</v>
      </c>
      <c r="H1098" s="9" t="s">
        <v>2263</v>
      </c>
      <c r="I1098" s="4" t="s">
        <v>2263</v>
      </c>
      <c r="J1098" s="4" t="s">
        <v>2263</v>
      </c>
      <c r="K1098" s="4" t="s">
        <v>2751</v>
      </c>
      <c r="L1098" s="10">
        <v>2</v>
      </c>
      <c r="M1098" s="5">
        <v>10080.152592592593</v>
      </c>
      <c r="N1098" s="5">
        <v>20160.305185185189</v>
      </c>
    </row>
    <row r="1099" spans="1:14" x14ac:dyDescent="0.25">
      <c r="A1099" s="4" t="s">
        <v>3051</v>
      </c>
      <c r="B1099" s="4" t="s">
        <v>3050</v>
      </c>
      <c r="C1099" s="4" t="s">
        <v>2344</v>
      </c>
      <c r="D1099" s="4" t="s">
        <v>237</v>
      </c>
      <c r="E1099" s="4" t="s">
        <v>2438</v>
      </c>
      <c r="F1099" s="4" t="s">
        <v>2437</v>
      </c>
      <c r="G1099" s="4" t="s">
        <v>2263</v>
      </c>
      <c r="H1099" s="9" t="s">
        <v>2263</v>
      </c>
      <c r="I1099" s="4" t="s">
        <v>2263</v>
      </c>
      <c r="J1099" s="4" t="s">
        <v>2263</v>
      </c>
      <c r="K1099" s="4" t="s">
        <v>2436</v>
      </c>
      <c r="L1099" s="10">
        <v>2</v>
      </c>
      <c r="M1099" s="5">
        <v>10404.861842105262</v>
      </c>
      <c r="N1099" s="5">
        <v>20809.72368421053</v>
      </c>
    </row>
    <row r="1100" spans="1:14" x14ac:dyDescent="0.25">
      <c r="A1100" s="4" t="s">
        <v>3024</v>
      </c>
      <c r="B1100" s="4" t="s">
        <v>3023</v>
      </c>
      <c r="C1100" s="4" t="s">
        <v>2344</v>
      </c>
      <c r="D1100" s="4" t="s">
        <v>237</v>
      </c>
      <c r="E1100" s="4" t="s">
        <v>2438</v>
      </c>
      <c r="F1100" s="4" t="s">
        <v>2437</v>
      </c>
      <c r="G1100" s="4" t="s">
        <v>2263</v>
      </c>
      <c r="H1100" s="9" t="s">
        <v>2263</v>
      </c>
      <c r="I1100" s="4" t="s">
        <v>2263</v>
      </c>
      <c r="J1100" s="4" t="s">
        <v>2263</v>
      </c>
      <c r="K1100" s="4" t="s">
        <v>2436</v>
      </c>
      <c r="L1100" s="10">
        <v>2</v>
      </c>
      <c r="M1100" s="5">
        <v>10404.861842105262</v>
      </c>
      <c r="N1100" s="5">
        <v>20809.72368421053</v>
      </c>
    </row>
    <row r="1101" spans="1:14" x14ac:dyDescent="0.25">
      <c r="A1101" s="4" t="s">
        <v>3801</v>
      </c>
      <c r="B1101" s="4" t="s">
        <v>4965</v>
      </c>
      <c r="C1101" s="4" t="s">
        <v>2320</v>
      </c>
      <c r="D1101" s="4" t="s">
        <v>242</v>
      </c>
      <c r="E1101" s="4" t="s">
        <v>3176</v>
      </c>
      <c r="F1101" s="4" t="s">
        <v>3175</v>
      </c>
      <c r="G1101" s="4" t="s">
        <v>2263</v>
      </c>
      <c r="H1101" s="9" t="s">
        <v>2263</v>
      </c>
      <c r="I1101" s="4" t="s">
        <v>2317</v>
      </c>
      <c r="J1101" s="4" t="s">
        <v>2316</v>
      </c>
      <c r="K1101" s="4" t="s">
        <v>2263</v>
      </c>
      <c r="L1101" s="10">
        <v>2</v>
      </c>
      <c r="M1101" s="5">
        <v>10464.536519337018</v>
      </c>
      <c r="N1101" s="5">
        <v>20929.073038674029</v>
      </c>
    </row>
    <row r="1102" spans="1:14" x14ac:dyDescent="0.25">
      <c r="A1102" s="4" t="s">
        <v>2279</v>
      </c>
      <c r="B1102" s="4" t="s">
        <v>4963</v>
      </c>
      <c r="C1102" s="4" t="s">
        <v>2320</v>
      </c>
      <c r="D1102" s="4" t="s">
        <v>242</v>
      </c>
      <c r="E1102" s="4" t="s">
        <v>3176</v>
      </c>
      <c r="F1102" s="4" t="s">
        <v>3175</v>
      </c>
      <c r="G1102" s="4" t="s">
        <v>2263</v>
      </c>
      <c r="H1102" s="9" t="s">
        <v>2263</v>
      </c>
      <c r="I1102" s="4" t="s">
        <v>2317</v>
      </c>
      <c r="J1102" s="4" t="s">
        <v>2316</v>
      </c>
      <c r="K1102" s="4" t="s">
        <v>2263</v>
      </c>
      <c r="L1102" s="10">
        <v>2</v>
      </c>
      <c r="M1102" s="5">
        <v>10464.536519337018</v>
      </c>
      <c r="N1102" s="5">
        <v>20929.073038674029</v>
      </c>
    </row>
    <row r="1103" spans="1:14" x14ac:dyDescent="0.25">
      <c r="A1103" s="4" t="s">
        <v>3196</v>
      </c>
      <c r="B1103" s="4" t="s">
        <v>3195</v>
      </c>
      <c r="C1103" s="4" t="s">
        <v>2320</v>
      </c>
      <c r="D1103" s="4" t="s">
        <v>242</v>
      </c>
      <c r="E1103" s="4" t="s">
        <v>3176</v>
      </c>
      <c r="F1103" s="4" t="s">
        <v>3175</v>
      </c>
      <c r="G1103" s="4" t="s">
        <v>2263</v>
      </c>
      <c r="H1103" s="9" t="s">
        <v>2263</v>
      </c>
      <c r="I1103" s="4" t="s">
        <v>2317</v>
      </c>
      <c r="J1103" s="4" t="s">
        <v>2316</v>
      </c>
      <c r="K1103" s="4" t="s">
        <v>2263</v>
      </c>
      <c r="L1103" s="10">
        <v>2</v>
      </c>
      <c r="M1103" s="5">
        <v>10464.536519337018</v>
      </c>
      <c r="N1103" s="5">
        <v>20929.073038674029</v>
      </c>
    </row>
    <row r="1104" spans="1:14" x14ac:dyDescent="0.25">
      <c r="A1104" s="4" t="s">
        <v>2384</v>
      </c>
      <c r="B1104" s="4" t="s">
        <v>3187</v>
      </c>
      <c r="C1104" s="4" t="s">
        <v>2320</v>
      </c>
      <c r="D1104" s="4" t="s">
        <v>242</v>
      </c>
      <c r="E1104" s="4" t="s">
        <v>3176</v>
      </c>
      <c r="F1104" s="4" t="s">
        <v>3175</v>
      </c>
      <c r="G1104" s="4" t="s">
        <v>2263</v>
      </c>
      <c r="H1104" s="9" t="s">
        <v>2263</v>
      </c>
      <c r="I1104" s="4" t="s">
        <v>2317</v>
      </c>
      <c r="J1104" s="4" t="s">
        <v>2316</v>
      </c>
      <c r="K1104" s="4" t="s">
        <v>2263</v>
      </c>
      <c r="L1104" s="10">
        <v>2</v>
      </c>
      <c r="M1104" s="5">
        <v>10464.536519337018</v>
      </c>
      <c r="N1104" s="5">
        <v>20929.073038674029</v>
      </c>
    </row>
    <row r="1105" spans="1:14" x14ac:dyDescent="0.25">
      <c r="A1105" s="4" t="s">
        <v>3174</v>
      </c>
      <c r="B1105" s="4" t="s">
        <v>3173</v>
      </c>
      <c r="C1105" s="4" t="s">
        <v>2320</v>
      </c>
      <c r="D1105" s="4" t="s">
        <v>242</v>
      </c>
      <c r="E1105" s="4" t="s">
        <v>3176</v>
      </c>
      <c r="F1105" s="4" t="s">
        <v>3175</v>
      </c>
      <c r="G1105" s="4" t="s">
        <v>2263</v>
      </c>
      <c r="H1105" s="9" t="s">
        <v>2263</v>
      </c>
      <c r="I1105" s="4" t="s">
        <v>2317</v>
      </c>
      <c r="J1105" s="4" t="s">
        <v>2316</v>
      </c>
      <c r="K1105" s="4" t="s">
        <v>2263</v>
      </c>
      <c r="L1105" s="10">
        <v>2</v>
      </c>
      <c r="M1105" s="5">
        <v>10464.536519337018</v>
      </c>
      <c r="N1105" s="5">
        <v>20929.073038674029</v>
      </c>
    </row>
    <row r="1106" spans="1:14" x14ac:dyDescent="0.25">
      <c r="A1106" s="4" t="s">
        <v>2344</v>
      </c>
      <c r="B1106" s="4" t="s">
        <v>5154</v>
      </c>
      <c r="C1106" s="4" t="s">
        <v>2267</v>
      </c>
      <c r="D1106" s="4" t="s">
        <v>2266</v>
      </c>
      <c r="E1106" s="4" t="s">
        <v>5193</v>
      </c>
      <c r="F1106" s="4" t="s">
        <v>4905</v>
      </c>
      <c r="G1106" s="4" t="s">
        <v>2263</v>
      </c>
      <c r="H1106" s="9" t="s">
        <v>2263</v>
      </c>
      <c r="I1106" s="4" t="s">
        <v>2263</v>
      </c>
      <c r="J1106" s="4" t="s">
        <v>2263</v>
      </c>
      <c r="K1106" s="4" t="s">
        <v>4904</v>
      </c>
      <c r="L1106" s="10">
        <v>2</v>
      </c>
      <c r="M1106" s="5">
        <v>12204.5</v>
      </c>
      <c r="N1106" s="5">
        <v>24409</v>
      </c>
    </row>
    <row r="1107" spans="1:14" x14ac:dyDescent="0.25">
      <c r="A1107" s="4" t="s">
        <v>2915</v>
      </c>
      <c r="B1107" s="4" t="s">
        <v>2914</v>
      </c>
      <c r="C1107" s="4" t="s">
        <v>2320</v>
      </c>
      <c r="D1107" s="4" t="s">
        <v>242</v>
      </c>
      <c r="E1107" s="4" t="s">
        <v>2917</v>
      </c>
      <c r="F1107" s="4" t="s">
        <v>2916</v>
      </c>
      <c r="G1107" s="4" t="s">
        <v>2263</v>
      </c>
      <c r="H1107" s="9" t="s">
        <v>2263</v>
      </c>
      <c r="I1107" s="4" t="s">
        <v>2317</v>
      </c>
      <c r="J1107" s="4" t="s">
        <v>2316</v>
      </c>
      <c r="K1107" s="4" t="s">
        <v>2263</v>
      </c>
      <c r="L1107" s="10">
        <v>2</v>
      </c>
      <c r="M1107" s="5">
        <v>12420.510985915495</v>
      </c>
      <c r="N1107" s="5">
        <v>24841.021971830989</v>
      </c>
    </row>
    <row r="1108" spans="1:14" x14ac:dyDescent="0.25">
      <c r="A1108" s="4" t="s">
        <v>3072</v>
      </c>
      <c r="B1108" s="4" t="s">
        <v>3071</v>
      </c>
      <c r="C1108" s="4" t="s">
        <v>3070</v>
      </c>
      <c r="D1108" s="4" t="s">
        <v>248</v>
      </c>
      <c r="E1108" s="4" t="s">
        <v>3074</v>
      </c>
      <c r="F1108" s="4" t="s">
        <v>3073</v>
      </c>
      <c r="G1108" s="4" t="s">
        <v>2263</v>
      </c>
      <c r="H1108" s="9" t="s">
        <v>2263</v>
      </c>
      <c r="I1108" s="4" t="s">
        <v>2317</v>
      </c>
      <c r="J1108" s="4" t="s">
        <v>2316</v>
      </c>
      <c r="K1108" s="4" t="s">
        <v>2263</v>
      </c>
      <c r="L1108" s="10">
        <v>2</v>
      </c>
      <c r="M1108" s="5">
        <v>12548.21</v>
      </c>
      <c r="N1108" s="5">
        <v>25096.42</v>
      </c>
    </row>
    <row r="1109" spans="1:14" x14ac:dyDescent="0.25">
      <c r="A1109" s="4" t="s">
        <v>2344</v>
      </c>
      <c r="B1109" s="4" t="s">
        <v>5154</v>
      </c>
      <c r="C1109" s="4" t="s">
        <v>2320</v>
      </c>
      <c r="D1109" s="4" t="s">
        <v>242</v>
      </c>
      <c r="E1109" s="4" t="s">
        <v>4063</v>
      </c>
      <c r="F1109" s="4" t="s">
        <v>4062</v>
      </c>
      <c r="G1109" s="4" t="s">
        <v>2263</v>
      </c>
      <c r="H1109" s="9" t="s">
        <v>2263</v>
      </c>
      <c r="I1109" s="4" t="s">
        <v>2317</v>
      </c>
      <c r="J1109" s="4" t="s">
        <v>2316</v>
      </c>
      <c r="K1109" s="4" t="s">
        <v>2263</v>
      </c>
      <c r="L1109" s="10">
        <v>2</v>
      </c>
      <c r="M1109" s="5">
        <v>15098.718000000001</v>
      </c>
      <c r="N1109" s="5">
        <v>30197.436000000002</v>
      </c>
    </row>
    <row r="1110" spans="1:14" x14ac:dyDescent="0.25">
      <c r="A1110" s="4" t="s">
        <v>2344</v>
      </c>
      <c r="B1110" s="4" t="s">
        <v>5154</v>
      </c>
      <c r="C1110" s="4" t="s">
        <v>2320</v>
      </c>
      <c r="D1110" s="4" t="s">
        <v>242</v>
      </c>
      <c r="E1110" s="4" t="s">
        <v>4061</v>
      </c>
      <c r="F1110" s="4" t="s">
        <v>4060</v>
      </c>
      <c r="G1110" s="4" t="s">
        <v>2263</v>
      </c>
      <c r="H1110" s="9" t="s">
        <v>2263</v>
      </c>
      <c r="I1110" s="4" t="s">
        <v>2317</v>
      </c>
      <c r="J1110" s="4" t="s">
        <v>2316</v>
      </c>
      <c r="K1110" s="4" t="s">
        <v>2263</v>
      </c>
      <c r="L1110" s="10">
        <v>2</v>
      </c>
      <c r="M1110" s="5">
        <v>15127.890769230769</v>
      </c>
      <c r="N1110" s="5">
        <v>30255.781538461539</v>
      </c>
    </row>
    <row r="1111" spans="1:14" x14ac:dyDescent="0.25">
      <c r="A1111" s="4" t="s">
        <v>2344</v>
      </c>
      <c r="B1111" s="4" t="s">
        <v>5154</v>
      </c>
      <c r="C1111" s="4" t="s">
        <v>2320</v>
      </c>
      <c r="D1111" s="4" t="s">
        <v>242</v>
      </c>
      <c r="E1111" s="4" t="s">
        <v>4145</v>
      </c>
      <c r="F1111" s="4" t="s">
        <v>4144</v>
      </c>
      <c r="G1111" s="4" t="s">
        <v>2263</v>
      </c>
      <c r="H1111" s="9" t="s">
        <v>2263</v>
      </c>
      <c r="I1111" s="4" t="s">
        <v>2317</v>
      </c>
      <c r="J1111" s="4" t="s">
        <v>2316</v>
      </c>
      <c r="K1111" s="4" t="s">
        <v>2263</v>
      </c>
      <c r="L1111" s="10">
        <v>2</v>
      </c>
      <c r="M1111" s="5">
        <v>15370.884705882354</v>
      </c>
      <c r="N1111" s="5">
        <v>30741.769411764712</v>
      </c>
    </row>
    <row r="1112" spans="1:14" x14ac:dyDescent="0.25">
      <c r="A1112" s="4" t="s">
        <v>2344</v>
      </c>
      <c r="B1112" s="4" t="s">
        <v>5154</v>
      </c>
      <c r="C1112" s="4" t="s">
        <v>2320</v>
      </c>
      <c r="D1112" s="4" t="s">
        <v>242</v>
      </c>
      <c r="E1112" s="4" t="s">
        <v>4055</v>
      </c>
      <c r="F1112" s="4" t="s">
        <v>4054</v>
      </c>
      <c r="G1112" s="4" t="s">
        <v>2263</v>
      </c>
      <c r="H1112" s="9" t="s">
        <v>2263</v>
      </c>
      <c r="I1112" s="4" t="s">
        <v>2317</v>
      </c>
      <c r="J1112" s="4" t="s">
        <v>2316</v>
      </c>
      <c r="K1112" s="4" t="s">
        <v>2263</v>
      </c>
      <c r="L1112" s="10">
        <v>2</v>
      </c>
      <c r="M1112" s="5">
        <v>15428.7</v>
      </c>
      <c r="N1112" s="5">
        <v>30857.4</v>
      </c>
    </row>
    <row r="1113" spans="1:14" x14ac:dyDescent="0.25">
      <c r="A1113" s="4" t="s">
        <v>2344</v>
      </c>
      <c r="B1113" s="4" t="s">
        <v>5154</v>
      </c>
      <c r="C1113" s="4" t="s">
        <v>2320</v>
      </c>
      <c r="D1113" s="4" t="s">
        <v>242</v>
      </c>
      <c r="E1113" s="4" t="s">
        <v>2336</v>
      </c>
      <c r="F1113" s="4" t="s">
        <v>2335</v>
      </c>
      <c r="G1113" s="4" t="s">
        <v>2263</v>
      </c>
      <c r="H1113" s="9" t="s">
        <v>2263</v>
      </c>
      <c r="I1113" s="4" t="s">
        <v>2317</v>
      </c>
      <c r="J1113" s="4" t="s">
        <v>2316</v>
      </c>
      <c r="K1113" s="4" t="s">
        <v>2263</v>
      </c>
      <c r="L1113" s="10">
        <v>2</v>
      </c>
      <c r="M1113" s="5">
        <v>15693</v>
      </c>
      <c r="N1113" s="5">
        <v>31386</v>
      </c>
    </row>
    <row r="1114" spans="1:14" x14ac:dyDescent="0.25">
      <c r="A1114" s="4" t="s">
        <v>2930</v>
      </c>
      <c r="B1114" s="4" t="s">
        <v>2929</v>
      </c>
      <c r="C1114" s="4" t="s">
        <v>2320</v>
      </c>
      <c r="D1114" s="4" t="s">
        <v>242</v>
      </c>
      <c r="E1114" s="4" t="s">
        <v>2336</v>
      </c>
      <c r="F1114" s="4" t="s">
        <v>2335</v>
      </c>
      <c r="G1114" s="4" t="s">
        <v>2263</v>
      </c>
      <c r="H1114" s="9" t="s">
        <v>2263</v>
      </c>
      <c r="I1114" s="4" t="s">
        <v>2317</v>
      </c>
      <c r="J1114" s="4" t="s">
        <v>2316</v>
      </c>
      <c r="K1114" s="4" t="s">
        <v>2263</v>
      </c>
      <c r="L1114" s="10">
        <v>2</v>
      </c>
      <c r="M1114" s="5">
        <v>15693</v>
      </c>
      <c r="N1114" s="5">
        <v>31386</v>
      </c>
    </row>
    <row r="1115" spans="1:14" x14ac:dyDescent="0.25">
      <c r="A1115" s="4" t="s">
        <v>2320</v>
      </c>
      <c r="B1115" s="4" t="s">
        <v>4967</v>
      </c>
      <c r="C1115" s="4" t="s">
        <v>2344</v>
      </c>
      <c r="D1115" s="4" t="s">
        <v>237</v>
      </c>
      <c r="E1115" s="4" t="s">
        <v>4604</v>
      </c>
      <c r="F1115" s="4" t="s">
        <v>4603</v>
      </c>
      <c r="G1115" s="4" t="s">
        <v>2263</v>
      </c>
      <c r="H1115" s="9" t="s">
        <v>2263</v>
      </c>
      <c r="I1115" s="4" t="s">
        <v>2263</v>
      </c>
      <c r="J1115" s="4" t="s">
        <v>2263</v>
      </c>
      <c r="K1115" s="4" t="s">
        <v>4602</v>
      </c>
      <c r="L1115" s="10">
        <v>2</v>
      </c>
      <c r="M1115" s="5">
        <v>15909.861052631579</v>
      </c>
      <c r="N1115" s="5">
        <v>31819.722105263161</v>
      </c>
    </row>
    <row r="1116" spans="1:14" x14ac:dyDescent="0.25">
      <c r="A1116" s="4" t="s">
        <v>2915</v>
      </c>
      <c r="B1116" s="4" t="s">
        <v>2914</v>
      </c>
      <c r="C1116" s="4" t="s">
        <v>2320</v>
      </c>
      <c r="D1116" s="4" t="s">
        <v>242</v>
      </c>
      <c r="E1116" s="4" t="s">
        <v>2913</v>
      </c>
      <c r="F1116" s="4" t="s">
        <v>2912</v>
      </c>
      <c r="G1116" s="4" t="s">
        <v>2263</v>
      </c>
      <c r="H1116" s="9" t="s">
        <v>2263</v>
      </c>
      <c r="I1116" s="4" t="s">
        <v>2317</v>
      </c>
      <c r="J1116" s="4" t="s">
        <v>2316</v>
      </c>
      <c r="K1116" s="4" t="s">
        <v>2263</v>
      </c>
      <c r="L1116" s="10">
        <v>2</v>
      </c>
      <c r="M1116" s="5">
        <v>16054.317027027026</v>
      </c>
      <c r="N1116" s="5">
        <v>32108.634054054051</v>
      </c>
    </row>
    <row r="1117" spans="1:14" x14ac:dyDescent="0.25">
      <c r="A1117" s="4" t="s">
        <v>2930</v>
      </c>
      <c r="B1117" s="4" t="s">
        <v>2929</v>
      </c>
      <c r="C1117" s="4" t="s">
        <v>2320</v>
      </c>
      <c r="D1117" s="4" t="s">
        <v>242</v>
      </c>
      <c r="E1117" s="4" t="s">
        <v>2950</v>
      </c>
      <c r="F1117" s="4" t="s">
        <v>2949</v>
      </c>
      <c r="G1117" s="4" t="s">
        <v>2263</v>
      </c>
      <c r="H1117" s="9" t="s">
        <v>2263</v>
      </c>
      <c r="I1117" s="4" t="s">
        <v>2317</v>
      </c>
      <c r="J1117" s="4" t="s">
        <v>2316</v>
      </c>
      <c r="K1117" s="4" t="s">
        <v>2263</v>
      </c>
      <c r="L1117" s="10">
        <v>2</v>
      </c>
      <c r="M1117" s="5">
        <v>16326</v>
      </c>
      <c r="N1117" s="5">
        <v>32652</v>
      </c>
    </row>
    <row r="1118" spans="1:14" x14ac:dyDescent="0.25">
      <c r="A1118" s="4" t="s">
        <v>2344</v>
      </c>
      <c r="B1118" s="4" t="s">
        <v>5154</v>
      </c>
      <c r="C1118" s="4" t="s">
        <v>2320</v>
      </c>
      <c r="D1118" s="4" t="s">
        <v>242</v>
      </c>
      <c r="E1118" s="4" t="s">
        <v>5320</v>
      </c>
      <c r="F1118" s="4" t="s">
        <v>5319</v>
      </c>
      <c r="G1118" s="4" t="s">
        <v>2263</v>
      </c>
      <c r="H1118" s="9" t="s">
        <v>2263</v>
      </c>
      <c r="I1118" s="4" t="s">
        <v>2317</v>
      </c>
      <c r="J1118" s="4" t="s">
        <v>2316</v>
      </c>
      <c r="K1118" s="4" t="s">
        <v>2263</v>
      </c>
      <c r="L1118" s="10">
        <v>2</v>
      </c>
      <c r="M1118" s="5">
        <v>16418.195</v>
      </c>
      <c r="N1118" s="5">
        <v>32836.39</v>
      </c>
    </row>
    <row r="1119" spans="1:14" x14ac:dyDescent="0.25">
      <c r="A1119" s="4" t="s">
        <v>2930</v>
      </c>
      <c r="B1119" s="4" t="s">
        <v>2929</v>
      </c>
      <c r="C1119" s="4" t="s">
        <v>2320</v>
      </c>
      <c r="D1119" s="4" t="s">
        <v>242</v>
      </c>
      <c r="E1119" s="4" t="s">
        <v>2952</v>
      </c>
      <c r="F1119" s="4" t="s">
        <v>2951</v>
      </c>
      <c r="G1119" s="4" t="s">
        <v>2263</v>
      </c>
      <c r="H1119" s="9" t="s">
        <v>2263</v>
      </c>
      <c r="I1119" s="4" t="s">
        <v>2317</v>
      </c>
      <c r="J1119" s="4" t="s">
        <v>2316</v>
      </c>
      <c r="K1119" s="4" t="s">
        <v>2263</v>
      </c>
      <c r="L1119" s="10">
        <v>2</v>
      </c>
      <c r="M1119" s="5">
        <v>17171</v>
      </c>
      <c r="N1119" s="5">
        <v>34342</v>
      </c>
    </row>
    <row r="1120" spans="1:14" x14ac:dyDescent="0.25">
      <c r="A1120" s="4" t="s">
        <v>3801</v>
      </c>
      <c r="B1120" s="4" t="s">
        <v>4965</v>
      </c>
      <c r="C1120" s="4" t="s">
        <v>2344</v>
      </c>
      <c r="D1120" s="4" t="s">
        <v>237</v>
      </c>
      <c r="E1120" s="4" t="s">
        <v>2423</v>
      </c>
      <c r="F1120" s="4" t="s">
        <v>2422</v>
      </c>
      <c r="G1120" s="4" t="s">
        <v>2263</v>
      </c>
      <c r="H1120" s="9" t="s">
        <v>2263</v>
      </c>
      <c r="I1120" s="4" t="s">
        <v>2263</v>
      </c>
      <c r="J1120" s="4" t="s">
        <v>2263</v>
      </c>
      <c r="K1120" s="4" t="s">
        <v>2421</v>
      </c>
      <c r="L1120" s="10">
        <v>2</v>
      </c>
      <c r="M1120" s="5">
        <v>17623.232</v>
      </c>
      <c r="N1120" s="5">
        <v>35246.464</v>
      </c>
    </row>
    <row r="1121" spans="1:14" x14ac:dyDescent="0.25">
      <c r="A1121" s="4" t="s">
        <v>2279</v>
      </c>
      <c r="B1121" s="4" t="s">
        <v>4963</v>
      </c>
      <c r="C1121" s="4" t="s">
        <v>2344</v>
      </c>
      <c r="D1121" s="4" t="s">
        <v>237</v>
      </c>
      <c r="E1121" s="4" t="s">
        <v>2423</v>
      </c>
      <c r="F1121" s="4" t="s">
        <v>2422</v>
      </c>
      <c r="G1121" s="4" t="s">
        <v>2263</v>
      </c>
      <c r="H1121" s="9" t="s">
        <v>2263</v>
      </c>
      <c r="I1121" s="4" t="s">
        <v>2263</v>
      </c>
      <c r="J1121" s="4" t="s">
        <v>2263</v>
      </c>
      <c r="K1121" s="4" t="s">
        <v>2421</v>
      </c>
      <c r="L1121" s="10">
        <v>2</v>
      </c>
      <c r="M1121" s="5">
        <v>17623.232</v>
      </c>
      <c r="N1121" s="5">
        <v>35246.464</v>
      </c>
    </row>
    <row r="1122" spans="1:14" x14ac:dyDescent="0.25">
      <c r="A1122" s="4" t="s">
        <v>2481</v>
      </c>
      <c r="B1122" s="4" t="s">
        <v>3217</v>
      </c>
      <c r="C1122" s="4" t="s">
        <v>2344</v>
      </c>
      <c r="D1122" s="4" t="s">
        <v>237</v>
      </c>
      <c r="E1122" s="4" t="s">
        <v>2423</v>
      </c>
      <c r="F1122" s="4" t="s">
        <v>2422</v>
      </c>
      <c r="G1122" s="4" t="s">
        <v>2263</v>
      </c>
      <c r="H1122" s="9" t="s">
        <v>2263</v>
      </c>
      <c r="I1122" s="4" t="s">
        <v>2263</v>
      </c>
      <c r="J1122" s="4" t="s">
        <v>2263</v>
      </c>
      <c r="K1122" s="4" t="s">
        <v>2421</v>
      </c>
      <c r="L1122" s="10">
        <v>2</v>
      </c>
      <c r="M1122" s="5">
        <v>17623.232</v>
      </c>
      <c r="N1122" s="5">
        <v>35246.464</v>
      </c>
    </row>
    <row r="1123" spans="1:14" x14ac:dyDescent="0.25">
      <c r="A1123" s="4" t="s">
        <v>3196</v>
      </c>
      <c r="B1123" s="4" t="s">
        <v>3195</v>
      </c>
      <c r="C1123" s="4" t="s">
        <v>2344</v>
      </c>
      <c r="D1123" s="4" t="s">
        <v>237</v>
      </c>
      <c r="E1123" s="4" t="s">
        <v>2423</v>
      </c>
      <c r="F1123" s="4" t="s">
        <v>2422</v>
      </c>
      <c r="G1123" s="4" t="s">
        <v>2263</v>
      </c>
      <c r="H1123" s="9" t="s">
        <v>2263</v>
      </c>
      <c r="I1123" s="4" t="s">
        <v>2263</v>
      </c>
      <c r="J1123" s="4" t="s">
        <v>2263</v>
      </c>
      <c r="K1123" s="4" t="s">
        <v>2421</v>
      </c>
      <c r="L1123" s="10">
        <v>2</v>
      </c>
      <c r="M1123" s="5">
        <v>17623.232</v>
      </c>
      <c r="N1123" s="5">
        <v>35246.464</v>
      </c>
    </row>
    <row r="1124" spans="1:14" x14ac:dyDescent="0.25">
      <c r="A1124" s="4" t="s">
        <v>3174</v>
      </c>
      <c r="B1124" s="4" t="s">
        <v>3173</v>
      </c>
      <c r="C1124" s="4" t="s">
        <v>2344</v>
      </c>
      <c r="D1124" s="4" t="s">
        <v>237</v>
      </c>
      <c r="E1124" s="4" t="s">
        <v>2423</v>
      </c>
      <c r="F1124" s="4" t="s">
        <v>2422</v>
      </c>
      <c r="G1124" s="4" t="s">
        <v>2263</v>
      </c>
      <c r="H1124" s="9" t="s">
        <v>2263</v>
      </c>
      <c r="I1124" s="4" t="s">
        <v>2263</v>
      </c>
      <c r="J1124" s="4" t="s">
        <v>2263</v>
      </c>
      <c r="K1124" s="4" t="s">
        <v>2421</v>
      </c>
      <c r="L1124" s="10">
        <v>2</v>
      </c>
      <c r="M1124" s="5">
        <v>17623.232</v>
      </c>
      <c r="N1124" s="5">
        <v>35246.464</v>
      </c>
    </row>
    <row r="1125" spans="1:14" x14ac:dyDescent="0.25">
      <c r="A1125" s="4" t="s">
        <v>3063</v>
      </c>
      <c r="B1125" s="4" t="s">
        <v>3062</v>
      </c>
      <c r="C1125" s="4" t="s">
        <v>2344</v>
      </c>
      <c r="D1125" s="4" t="s">
        <v>237</v>
      </c>
      <c r="E1125" s="4" t="s">
        <v>2423</v>
      </c>
      <c r="F1125" s="4" t="s">
        <v>2422</v>
      </c>
      <c r="G1125" s="4" t="s">
        <v>2263</v>
      </c>
      <c r="H1125" s="9" t="s">
        <v>2263</v>
      </c>
      <c r="I1125" s="4" t="s">
        <v>2263</v>
      </c>
      <c r="J1125" s="4" t="s">
        <v>2263</v>
      </c>
      <c r="K1125" s="4" t="s">
        <v>2421</v>
      </c>
      <c r="L1125" s="10">
        <v>2</v>
      </c>
      <c r="M1125" s="5">
        <v>17623.232</v>
      </c>
      <c r="N1125" s="5">
        <v>35246.464</v>
      </c>
    </row>
    <row r="1126" spans="1:14" x14ac:dyDescent="0.25">
      <c r="A1126" s="4" t="s">
        <v>2386</v>
      </c>
      <c r="B1126" s="4" t="s">
        <v>2385</v>
      </c>
      <c r="C1126" s="4" t="s">
        <v>2344</v>
      </c>
      <c r="D1126" s="4" t="s">
        <v>237</v>
      </c>
      <c r="E1126" s="4" t="s">
        <v>2423</v>
      </c>
      <c r="F1126" s="4" t="s">
        <v>2422</v>
      </c>
      <c r="G1126" s="4" t="s">
        <v>2263</v>
      </c>
      <c r="H1126" s="9" t="s">
        <v>2263</v>
      </c>
      <c r="I1126" s="4" t="s">
        <v>2263</v>
      </c>
      <c r="J1126" s="4" t="s">
        <v>2263</v>
      </c>
      <c r="K1126" s="4" t="s">
        <v>2421</v>
      </c>
      <c r="L1126" s="10">
        <v>2</v>
      </c>
      <c r="M1126" s="5">
        <v>17623.232</v>
      </c>
      <c r="N1126" s="5">
        <v>35246.464</v>
      </c>
    </row>
    <row r="1127" spans="1:14" x14ac:dyDescent="0.25">
      <c r="A1127" s="4" t="s">
        <v>2344</v>
      </c>
      <c r="B1127" s="4" t="s">
        <v>5154</v>
      </c>
      <c r="C1127" s="4" t="s">
        <v>2320</v>
      </c>
      <c r="D1127" s="4" t="s">
        <v>242</v>
      </c>
      <c r="E1127" s="4" t="s">
        <v>4059</v>
      </c>
      <c r="F1127" s="4" t="s">
        <v>4058</v>
      </c>
      <c r="G1127" s="4" t="s">
        <v>2263</v>
      </c>
      <c r="H1127" s="9" t="s">
        <v>2263</v>
      </c>
      <c r="I1127" s="4" t="s">
        <v>2317</v>
      </c>
      <c r="J1127" s="4" t="s">
        <v>2316</v>
      </c>
      <c r="K1127" s="4" t="s">
        <v>2263</v>
      </c>
      <c r="L1127" s="10">
        <v>2</v>
      </c>
      <c r="M1127" s="5">
        <v>17629.722222222223</v>
      </c>
      <c r="N1127" s="5">
        <v>35259.444444444438</v>
      </c>
    </row>
    <row r="1128" spans="1:14" x14ac:dyDescent="0.25">
      <c r="A1128" s="4" t="s">
        <v>3801</v>
      </c>
      <c r="B1128" s="4" t="s">
        <v>4965</v>
      </c>
      <c r="C1128" s="4" t="s">
        <v>2344</v>
      </c>
      <c r="D1128" s="4" t="s">
        <v>237</v>
      </c>
      <c r="E1128" s="4" t="s">
        <v>2475</v>
      </c>
      <c r="F1128" s="4" t="s">
        <v>2474</v>
      </c>
      <c r="G1128" s="4" t="s">
        <v>2263</v>
      </c>
      <c r="H1128" s="9" t="s">
        <v>2263</v>
      </c>
      <c r="I1128" s="4" t="s">
        <v>2263</v>
      </c>
      <c r="J1128" s="4" t="s">
        <v>2263</v>
      </c>
      <c r="K1128" s="4" t="s">
        <v>2473</v>
      </c>
      <c r="L1128" s="10">
        <v>2</v>
      </c>
      <c r="M1128" s="5">
        <v>17745.580869565216</v>
      </c>
      <c r="N1128" s="5">
        <v>35491.161739130432</v>
      </c>
    </row>
    <row r="1129" spans="1:14" x14ac:dyDescent="0.25">
      <c r="A1129" s="4" t="s">
        <v>2279</v>
      </c>
      <c r="B1129" s="4" t="s">
        <v>4963</v>
      </c>
      <c r="C1129" s="4" t="s">
        <v>2344</v>
      </c>
      <c r="D1129" s="4" t="s">
        <v>237</v>
      </c>
      <c r="E1129" s="4" t="s">
        <v>2475</v>
      </c>
      <c r="F1129" s="4" t="s">
        <v>2474</v>
      </c>
      <c r="G1129" s="4" t="s">
        <v>2263</v>
      </c>
      <c r="H1129" s="9" t="s">
        <v>2263</v>
      </c>
      <c r="I1129" s="4" t="s">
        <v>2263</v>
      </c>
      <c r="J1129" s="4" t="s">
        <v>2263</v>
      </c>
      <c r="K1129" s="4" t="s">
        <v>2473</v>
      </c>
      <c r="L1129" s="10">
        <v>2</v>
      </c>
      <c r="M1129" s="5">
        <v>17745.580869565216</v>
      </c>
      <c r="N1129" s="5">
        <v>35491.161739130432</v>
      </c>
    </row>
    <row r="1130" spans="1:14" x14ac:dyDescent="0.25">
      <c r="A1130" s="4" t="s">
        <v>2481</v>
      </c>
      <c r="B1130" s="4" t="s">
        <v>3217</v>
      </c>
      <c r="C1130" s="4" t="s">
        <v>2344</v>
      </c>
      <c r="D1130" s="4" t="s">
        <v>237</v>
      </c>
      <c r="E1130" s="4" t="s">
        <v>2475</v>
      </c>
      <c r="F1130" s="4" t="s">
        <v>2474</v>
      </c>
      <c r="G1130" s="4" t="s">
        <v>2263</v>
      </c>
      <c r="H1130" s="9" t="s">
        <v>2263</v>
      </c>
      <c r="I1130" s="4" t="s">
        <v>2263</v>
      </c>
      <c r="J1130" s="4" t="s">
        <v>2263</v>
      </c>
      <c r="K1130" s="4" t="s">
        <v>2473</v>
      </c>
      <c r="L1130" s="10">
        <v>2</v>
      </c>
      <c r="M1130" s="5">
        <v>17745.580869565216</v>
      </c>
      <c r="N1130" s="5">
        <v>35491.161739130432</v>
      </c>
    </row>
    <row r="1131" spans="1:14" x14ac:dyDescent="0.25">
      <c r="A1131" s="4" t="s">
        <v>3196</v>
      </c>
      <c r="B1131" s="4" t="s">
        <v>3195</v>
      </c>
      <c r="C1131" s="4" t="s">
        <v>2344</v>
      </c>
      <c r="D1131" s="4" t="s">
        <v>237</v>
      </c>
      <c r="E1131" s="4" t="s">
        <v>2475</v>
      </c>
      <c r="F1131" s="4" t="s">
        <v>2474</v>
      </c>
      <c r="G1131" s="4" t="s">
        <v>2263</v>
      </c>
      <c r="H1131" s="9" t="s">
        <v>2263</v>
      </c>
      <c r="I1131" s="4" t="s">
        <v>2263</v>
      </c>
      <c r="J1131" s="4" t="s">
        <v>2263</v>
      </c>
      <c r="K1131" s="4" t="s">
        <v>2473</v>
      </c>
      <c r="L1131" s="10">
        <v>2</v>
      </c>
      <c r="M1131" s="5">
        <v>17745.580869565216</v>
      </c>
      <c r="N1131" s="5">
        <v>35491.161739130432</v>
      </c>
    </row>
    <row r="1132" spans="1:14" x14ac:dyDescent="0.25">
      <c r="A1132" s="4" t="s">
        <v>2384</v>
      </c>
      <c r="B1132" s="4" t="s">
        <v>3187</v>
      </c>
      <c r="C1132" s="4" t="s">
        <v>2344</v>
      </c>
      <c r="D1132" s="4" t="s">
        <v>237</v>
      </c>
      <c r="E1132" s="4" t="s">
        <v>2475</v>
      </c>
      <c r="F1132" s="4" t="s">
        <v>2474</v>
      </c>
      <c r="G1132" s="4" t="s">
        <v>2263</v>
      </c>
      <c r="H1132" s="9" t="s">
        <v>2263</v>
      </c>
      <c r="I1132" s="4" t="s">
        <v>2263</v>
      </c>
      <c r="J1132" s="4" t="s">
        <v>2263</v>
      </c>
      <c r="K1132" s="4" t="s">
        <v>2473</v>
      </c>
      <c r="L1132" s="10">
        <v>2</v>
      </c>
      <c r="M1132" s="5">
        <v>17745.580869565216</v>
      </c>
      <c r="N1132" s="5">
        <v>35491.161739130432</v>
      </c>
    </row>
    <row r="1133" spans="1:14" x14ac:dyDescent="0.25">
      <c r="A1133" s="4" t="s">
        <v>3174</v>
      </c>
      <c r="B1133" s="4" t="s">
        <v>3173</v>
      </c>
      <c r="C1133" s="4" t="s">
        <v>2344</v>
      </c>
      <c r="D1133" s="4" t="s">
        <v>237</v>
      </c>
      <c r="E1133" s="4" t="s">
        <v>2475</v>
      </c>
      <c r="F1133" s="4" t="s">
        <v>2474</v>
      </c>
      <c r="G1133" s="4" t="s">
        <v>2263</v>
      </c>
      <c r="H1133" s="9" t="s">
        <v>2263</v>
      </c>
      <c r="I1133" s="4" t="s">
        <v>2263</v>
      </c>
      <c r="J1133" s="4" t="s">
        <v>2263</v>
      </c>
      <c r="K1133" s="4" t="s">
        <v>2473</v>
      </c>
      <c r="L1133" s="10">
        <v>2</v>
      </c>
      <c r="M1133" s="5">
        <v>17745.580869565216</v>
      </c>
      <c r="N1133" s="5">
        <v>35491.161739130432</v>
      </c>
    </row>
    <row r="1134" spans="1:14" x14ac:dyDescent="0.25">
      <c r="A1134" s="4" t="s">
        <v>3104</v>
      </c>
      <c r="B1134" s="4" t="s">
        <v>3103</v>
      </c>
      <c r="C1134" s="4" t="s">
        <v>2344</v>
      </c>
      <c r="D1134" s="4" t="s">
        <v>237</v>
      </c>
      <c r="E1134" s="4" t="s">
        <v>2475</v>
      </c>
      <c r="F1134" s="4" t="s">
        <v>2474</v>
      </c>
      <c r="G1134" s="4" t="s">
        <v>2263</v>
      </c>
      <c r="H1134" s="9" t="s">
        <v>2263</v>
      </c>
      <c r="I1134" s="4" t="s">
        <v>2263</v>
      </c>
      <c r="J1134" s="4" t="s">
        <v>2263</v>
      </c>
      <c r="K1134" s="4" t="s">
        <v>2473</v>
      </c>
      <c r="L1134" s="10">
        <v>2</v>
      </c>
      <c r="M1134" s="5">
        <v>17745.580869565216</v>
      </c>
      <c r="N1134" s="5">
        <v>35491.161739130432</v>
      </c>
    </row>
    <row r="1135" spans="1:14" x14ac:dyDescent="0.25">
      <c r="A1135" s="4" t="s">
        <v>3063</v>
      </c>
      <c r="B1135" s="4" t="s">
        <v>3062</v>
      </c>
      <c r="C1135" s="4" t="s">
        <v>2344</v>
      </c>
      <c r="D1135" s="4" t="s">
        <v>237</v>
      </c>
      <c r="E1135" s="4" t="s">
        <v>2475</v>
      </c>
      <c r="F1135" s="4" t="s">
        <v>2474</v>
      </c>
      <c r="G1135" s="4" t="s">
        <v>2263</v>
      </c>
      <c r="H1135" s="9" t="s">
        <v>2263</v>
      </c>
      <c r="I1135" s="4" t="s">
        <v>2263</v>
      </c>
      <c r="J1135" s="4" t="s">
        <v>2263</v>
      </c>
      <c r="K1135" s="4" t="s">
        <v>2473</v>
      </c>
      <c r="L1135" s="10">
        <v>2</v>
      </c>
      <c r="M1135" s="5">
        <v>17745.580869565216</v>
      </c>
      <c r="N1135" s="5">
        <v>35491.161739130432</v>
      </c>
    </row>
    <row r="1136" spans="1:14" x14ac:dyDescent="0.25">
      <c r="A1136" s="4" t="s">
        <v>3051</v>
      </c>
      <c r="B1136" s="4" t="s">
        <v>3050</v>
      </c>
      <c r="C1136" s="4" t="s">
        <v>2344</v>
      </c>
      <c r="D1136" s="4" t="s">
        <v>237</v>
      </c>
      <c r="E1136" s="4" t="s">
        <v>2475</v>
      </c>
      <c r="F1136" s="4" t="s">
        <v>2474</v>
      </c>
      <c r="G1136" s="4" t="s">
        <v>2263</v>
      </c>
      <c r="H1136" s="9" t="s">
        <v>2263</v>
      </c>
      <c r="I1136" s="4" t="s">
        <v>2263</v>
      </c>
      <c r="J1136" s="4" t="s">
        <v>2263</v>
      </c>
      <c r="K1136" s="4" t="s">
        <v>2473</v>
      </c>
      <c r="L1136" s="10">
        <v>2</v>
      </c>
      <c r="M1136" s="5">
        <v>17745.580869565216</v>
      </c>
      <c r="N1136" s="5">
        <v>35491.161739130432</v>
      </c>
    </row>
    <row r="1137" spans="1:14" x14ac:dyDescent="0.25">
      <c r="A1137" s="4" t="s">
        <v>3024</v>
      </c>
      <c r="B1137" s="4" t="s">
        <v>3023</v>
      </c>
      <c r="C1137" s="4" t="s">
        <v>2344</v>
      </c>
      <c r="D1137" s="4" t="s">
        <v>237</v>
      </c>
      <c r="E1137" s="4" t="s">
        <v>2475</v>
      </c>
      <c r="F1137" s="4" t="s">
        <v>2474</v>
      </c>
      <c r="G1137" s="4" t="s">
        <v>2263</v>
      </c>
      <c r="H1137" s="9" t="s">
        <v>2263</v>
      </c>
      <c r="I1137" s="4" t="s">
        <v>2263</v>
      </c>
      <c r="J1137" s="4" t="s">
        <v>2263</v>
      </c>
      <c r="K1137" s="4" t="s">
        <v>2473</v>
      </c>
      <c r="L1137" s="10">
        <v>2</v>
      </c>
      <c r="M1137" s="5">
        <v>17745.580869565216</v>
      </c>
      <c r="N1137" s="5">
        <v>35491.161739130432</v>
      </c>
    </row>
    <row r="1138" spans="1:14" x14ac:dyDescent="0.25">
      <c r="A1138" s="4" t="s">
        <v>2386</v>
      </c>
      <c r="B1138" s="4" t="s">
        <v>2385</v>
      </c>
      <c r="C1138" s="4" t="s">
        <v>2344</v>
      </c>
      <c r="D1138" s="4" t="s">
        <v>237</v>
      </c>
      <c r="E1138" s="4" t="s">
        <v>2475</v>
      </c>
      <c r="F1138" s="4" t="s">
        <v>2474</v>
      </c>
      <c r="G1138" s="4" t="s">
        <v>2263</v>
      </c>
      <c r="H1138" s="9" t="s">
        <v>2263</v>
      </c>
      <c r="I1138" s="4" t="s">
        <v>2263</v>
      </c>
      <c r="J1138" s="4" t="s">
        <v>2263</v>
      </c>
      <c r="K1138" s="4" t="s">
        <v>2473</v>
      </c>
      <c r="L1138" s="10">
        <v>2</v>
      </c>
      <c r="M1138" s="5">
        <v>17745.580869565216</v>
      </c>
      <c r="N1138" s="5">
        <v>35491.161739130432</v>
      </c>
    </row>
    <row r="1139" spans="1:14" x14ac:dyDescent="0.25">
      <c r="A1139" s="4" t="s">
        <v>2386</v>
      </c>
      <c r="B1139" s="4" t="s">
        <v>2385</v>
      </c>
      <c r="C1139" s="4" t="s">
        <v>2344</v>
      </c>
      <c r="D1139" s="4" t="s">
        <v>237</v>
      </c>
      <c r="E1139" s="4" t="s">
        <v>2429</v>
      </c>
      <c r="F1139" s="4" t="s">
        <v>2428</v>
      </c>
      <c r="G1139" s="4" t="s">
        <v>2263</v>
      </c>
      <c r="H1139" s="9" t="s">
        <v>2263</v>
      </c>
      <c r="I1139" s="4" t="s">
        <v>2263</v>
      </c>
      <c r="J1139" s="4" t="s">
        <v>2263</v>
      </c>
      <c r="K1139" s="4" t="s">
        <v>2427</v>
      </c>
      <c r="L1139" s="10">
        <v>2</v>
      </c>
      <c r="M1139" s="5">
        <v>17751.05</v>
      </c>
      <c r="N1139" s="5">
        <v>35502.1</v>
      </c>
    </row>
    <row r="1140" spans="1:14" x14ac:dyDescent="0.25">
      <c r="A1140" s="4" t="s">
        <v>2344</v>
      </c>
      <c r="B1140" s="4" t="s">
        <v>5154</v>
      </c>
      <c r="C1140" s="4" t="s">
        <v>2320</v>
      </c>
      <c r="D1140" s="4" t="s">
        <v>242</v>
      </c>
      <c r="E1140" s="4" t="s">
        <v>4057</v>
      </c>
      <c r="F1140" s="4" t="s">
        <v>4056</v>
      </c>
      <c r="G1140" s="4" t="s">
        <v>2263</v>
      </c>
      <c r="H1140" s="9" t="s">
        <v>2263</v>
      </c>
      <c r="I1140" s="4" t="s">
        <v>2317</v>
      </c>
      <c r="J1140" s="4" t="s">
        <v>2316</v>
      </c>
      <c r="K1140" s="4" t="s">
        <v>2263</v>
      </c>
      <c r="L1140" s="10">
        <v>2</v>
      </c>
      <c r="M1140" s="5">
        <v>18363.222222222223</v>
      </c>
      <c r="N1140" s="5">
        <v>36726.444444444438</v>
      </c>
    </row>
    <row r="1141" spans="1:14" x14ac:dyDescent="0.25">
      <c r="A1141" s="4" t="s">
        <v>3104</v>
      </c>
      <c r="B1141" s="4" t="s">
        <v>3103</v>
      </c>
      <c r="C1141" s="4" t="s">
        <v>2344</v>
      </c>
      <c r="D1141" s="4" t="s">
        <v>237</v>
      </c>
      <c r="E1141" s="4" t="s">
        <v>3040</v>
      </c>
      <c r="F1141" s="4" t="s">
        <v>2440</v>
      </c>
      <c r="G1141" s="4" t="s">
        <v>2263</v>
      </c>
      <c r="H1141" s="9" t="s">
        <v>2263</v>
      </c>
      <c r="I1141" s="4" t="s">
        <v>2263</v>
      </c>
      <c r="J1141" s="4" t="s">
        <v>2263</v>
      </c>
      <c r="K1141" s="4" t="s">
        <v>2439</v>
      </c>
      <c r="L1141" s="10">
        <v>2</v>
      </c>
      <c r="M1141" s="5">
        <v>18750</v>
      </c>
      <c r="N1141" s="5">
        <v>37500</v>
      </c>
    </row>
    <row r="1142" spans="1:14" x14ac:dyDescent="0.25">
      <c r="A1142" s="4" t="s">
        <v>2344</v>
      </c>
      <c r="B1142" s="4" t="s">
        <v>5154</v>
      </c>
      <c r="C1142" s="4" t="s">
        <v>2267</v>
      </c>
      <c r="D1142" s="4" t="s">
        <v>2266</v>
      </c>
      <c r="E1142" s="4" t="s">
        <v>4429</v>
      </c>
      <c r="F1142" s="4" t="s">
        <v>4428</v>
      </c>
      <c r="G1142" s="4" t="s">
        <v>2263</v>
      </c>
      <c r="H1142" s="9" t="s">
        <v>2263</v>
      </c>
      <c r="I1142" s="4" t="s">
        <v>2263</v>
      </c>
      <c r="J1142" s="4" t="s">
        <v>2263</v>
      </c>
      <c r="K1142" s="4" t="s">
        <v>4427</v>
      </c>
      <c r="L1142" s="10">
        <v>2</v>
      </c>
      <c r="M1142" s="5">
        <v>18871</v>
      </c>
      <c r="N1142" s="5">
        <v>37742</v>
      </c>
    </row>
    <row r="1143" spans="1:14" x14ac:dyDescent="0.25">
      <c r="A1143" s="4" t="s">
        <v>2274</v>
      </c>
      <c r="B1143" s="4" t="s">
        <v>4348</v>
      </c>
      <c r="C1143" s="4" t="s">
        <v>2267</v>
      </c>
      <c r="D1143" s="4" t="s">
        <v>2266</v>
      </c>
      <c r="E1143" s="4" t="s">
        <v>4429</v>
      </c>
      <c r="F1143" s="4" t="s">
        <v>4428</v>
      </c>
      <c r="G1143" s="4" t="s">
        <v>2263</v>
      </c>
      <c r="H1143" s="9" t="s">
        <v>2263</v>
      </c>
      <c r="I1143" s="4" t="s">
        <v>2263</v>
      </c>
      <c r="J1143" s="4" t="s">
        <v>2263</v>
      </c>
      <c r="K1143" s="4" t="s">
        <v>4427</v>
      </c>
      <c r="L1143" s="10">
        <v>2</v>
      </c>
      <c r="M1143" s="5">
        <v>18871</v>
      </c>
      <c r="N1143" s="5">
        <v>37742</v>
      </c>
    </row>
    <row r="1144" spans="1:14" x14ac:dyDescent="0.25">
      <c r="A1144" s="4" t="s">
        <v>2320</v>
      </c>
      <c r="B1144" s="4" t="s">
        <v>4967</v>
      </c>
      <c r="C1144" s="4" t="s">
        <v>2320</v>
      </c>
      <c r="D1144" s="4" t="s">
        <v>242</v>
      </c>
      <c r="E1144" s="4" t="s">
        <v>4255</v>
      </c>
      <c r="F1144" s="4" t="s">
        <v>4254</v>
      </c>
      <c r="G1144" s="4" t="s">
        <v>2263</v>
      </c>
      <c r="H1144" s="9" t="s">
        <v>2263</v>
      </c>
      <c r="I1144" s="4" t="s">
        <v>2317</v>
      </c>
      <c r="J1144" s="4" t="s">
        <v>2316</v>
      </c>
      <c r="K1144" s="4" t="s">
        <v>2263</v>
      </c>
      <c r="L1144" s="10">
        <v>2</v>
      </c>
      <c r="M1144" s="5">
        <v>19162.400000000001</v>
      </c>
      <c r="N1144" s="5">
        <v>38324.800000000003</v>
      </c>
    </row>
    <row r="1145" spans="1:14" x14ac:dyDescent="0.25">
      <c r="A1145" s="4" t="s">
        <v>2317</v>
      </c>
      <c r="B1145" s="4" t="s">
        <v>3839</v>
      </c>
      <c r="C1145" s="4" t="s">
        <v>2320</v>
      </c>
      <c r="D1145" s="4" t="s">
        <v>242</v>
      </c>
      <c r="E1145" s="4" t="s">
        <v>4255</v>
      </c>
      <c r="F1145" s="4" t="s">
        <v>4254</v>
      </c>
      <c r="G1145" s="4" t="s">
        <v>2263</v>
      </c>
      <c r="H1145" s="9" t="s">
        <v>2263</v>
      </c>
      <c r="I1145" s="4" t="s">
        <v>2317</v>
      </c>
      <c r="J1145" s="4" t="s">
        <v>2316</v>
      </c>
      <c r="K1145" s="4" t="s">
        <v>2263</v>
      </c>
      <c r="L1145" s="10">
        <v>2</v>
      </c>
      <c r="M1145" s="5">
        <v>19162.400000000001</v>
      </c>
      <c r="N1145" s="5">
        <v>38324.800000000003</v>
      </c>
    </row>
    <row r="1146" spans="1:14" x14ac:dyDescent="0.25">
      <c r="A1146" s="4" t="s">
        <v>2930</v>
      </c>
      <c r="B1146" s="4" t="s">
        <v>2929</v>
      </c>
      <c r="C1146" s="4" t="s">
        <v>2320</v>
      </c>
      <c r="D1146" s="4" t="s">
        <v>242</v>
      </c>
      <c r="E1146" s="4" t="s">
        <v>2340</v>
      </c>
      <c r="F1146" s="4" t="s">
        <v>2339</v>
      </c>
      <c r="G1146" s="4" t="s">
        <v>2263</v>
      </c>
      <c r="H1146" s="9" t="s">
        <v>2263</v>
      </c>
      <c r="I1146" s="4" t="s">
        <v>2317</v>
      </c>
      <c r="J1146" s="4" t="s">
        <v>2316</v>
      </c>
      <c r="K1146" s="4" t="s">
        <v>2263</v>
      </c>
      <c r="L1146" s="10">
        <v>2</v>
      </c>
      <c r="M1146" s="5">
        <v>19722</v>
      </c>
      <c r="N1146" s="5">
        <v>39444</v>
      </c>
    </row>
    <row r="1147" spans="1:14" x14ac:dyDescent="0.25">
      <c r="A1147" s="4" t="s">
        <v>2930</v>
      </c>
      <c r="B1147" s="4" t="s">
        <v>2929</v>
      </c>
      <c r="C1147" s="4" t="s">
        <v>2320</v>
      </c>
      <c r="D1147" s="4" t="s">
        <v>242</v>
      </c>
      <c r="E1147" s="4" t="s">
        <v>2962</v>
      </c>
      <c r="F1147" s="4" t="s">
        <v>2961</v>
      </c>
      <c r="G1147" s="4" t="s">
        <v>2263</v>
      </c>
      <c r="H1147" s="9" t="s">
        <v>2263</v>
      </c>
      <c r="I1147" s="4" t="s">
        <v>2317</v>
      </c>
      <c r="J1147" s="4" t="s">
        <v>2316</v>
      </c>
      <c r="K1147" s="4" t="s">
        <v>2263</v>
      </c>
      <c r="L1147" s="10">
        <v>2</v>
      </c>
      <c r="M1147" s="5">
        <v>20109.540769230771</v>
      </c>
      <c r="N1147" s="5">
        <v>40219.081538461542</v>
      </c>
    </row>
    <row r="1148" spans="1:14" x14ac:dyDescent="0.25">
      <c r="A1148" s="4" t="s">
        <v>2317</v>
      </c>
      <c r="B1148" s="4" t="s">
        <v>3839</v>
      </c>
      <c r="C1148" s="4" t="s">
        <v>2320</v>
      </c>
      <c r="D1148" s="4" t="s">
        <v>242</v>
      </c>
      <c r="E1148" s="4" t="s">
        <v>4189</v>
      </c>
      <c r="F1148" s="4" t="s">
        <v>4188</v>
      </c>
      <c r="G1148" s="4" t="s">
        <v>2263</v>
      </c>
      <c r="H1148" s="9" t="s">
        <v>2263</v>
      </c>
      <c r="I1148" s="4" t="s">
        <v>2317</v>
      </c>
      <c r="J1148" s="4" t="s">
        <v>2316</v>
      </c>
      <c r="K1148" s="4" t="s">
        <v>2263</v>
      </c>
      <c r="L1148" s="10">
        <v>2</v>
      </c>
      <c r="M1148" s="5">
        <v>20549.056666666667</v>
      </c>
      <c r="N1148" s="5">
        <v>41098.113333333327</v>
      </c>
    </row>
    <row r="1149" spans="1:14" x14ac:dyDescent="0.25">
      <c r="A1149" s="4" t="s">
        <v>2653</v>
      </c>
      <c r="B1149" s="4" t="s">
        <v>3226</v>
      </c>
      <c r="C1149" s="4" t="s">
        <v>3107</v>
      </c>
      <c r="D1149" s="4" t="s">
        <v>1105</v>
      </c>
      <c r="E1149" s="4" t="s">
        <v>3737</v>
      </c>
      <c r="F1149" s="4" t="s">
        <v>3736</v>
      </c>
      <c r="G1149" s="4" t="s">
        <v>2263</v>
      </c>
      <c r="H1149" s="9" t="s">
        <v>2263</v>
      </c>
      <c r="I1149" s="4" t="s">
        <v>2317</v>
      </c>
      <c r="J1149" s="4" t="s">
        <v>2316</v>
      </c>
      <c r="K1149" s="4" t="s">
        <v>2263</v>
      </c>
      <c r="L1149" s="10">
        <v>2</v>
      </c>
      <c r="M1149" s="5">
        <v>20659.650000000001</v>
      </c>
      <c r="N1149" s="5">
        <v>41319.300000000003</v>
      </c>
    </row>
    <row r="1150" spans="1:14" x14ac:dyDescent="0.25">
      <c r="A1150" s="4" t="s">
        <v>2320</v>
      </c>
      <c r="B1150" s="4" t="s">
        <v>4967</v>
      </c>
      <c r="C1150" s="4" t="s">
        <v>2344</v>
      </c>
      <c r="D1150" s="4" t="s">
        <v>237</v>
      </c>
      <c r="E1150" s="4" t="s">
        <v>2746</v>
      </c>
      <c r="F1150" s="4" t="s">
        <v>2745</v>
      </c>
      <c r="G1150" s="4" t="s">
        <v>2263</v>
      </c>
      <c r="H1150" s="9" t="s">
        <v>2263</v>
      </c>
      <c r="I1150" s="4" t="s">
        <v>2263</v>
      </c>
      <c r="J1150" s="4" t="s">
        <v>2263</v>
      </c>
      <c r="K1150" s="4" t="s">
        <v>2744</v>
      </c>
      <c r="L1150" s="10">
        <v>2</v>
      </c>
      <c r="M1150" s="5">
        <v>22077.166666666668</v>
      </c>
      <c r="N1150" s="5">
        <v>44154.333333333328</v>
      </c>
    </row>
    <row r="1151" spans="1:14" x14ac:dyDescent="0.25">
      <c r="A1151" s="4" t="s">
        <v>2274</v>
      </c>
      <c r="B1151" s="4" t="s">
        <v>4348</v>
      </c>
      <c r="C1151" s="4" t="s">
        <v>2344</v>
      </c>
      <c r="D1151" s="4" t="s">
        <v>237</v>
      </c>
      <c r="E1151" s="4" t="s">
        <v>2746</v>
      </c>
      <c r="F1151" s="4" t="s">
        <v>2745</v>
      </c>
      <c r="G1151" s="4" t="s">
        <v>2263</v>
      </c>
      <c r="H1151" s="9" t="s">
        <v>2263</v>
      </c>
      <c r="I1151" s="4" t="s">
        <v>2263</v>
      </c>
      <c r="J1151" s="4" t="s">
        <v>2263</v>
      </c>
      <c r="K1151" s="4" t="s">
        <v>2744</v>
      </c>
      <c r="L1151" s="10">
        <v>2</v>
      </c>
      <c r="M1151" s="5">
        <v>22077.166666666668</v>
      </c>
      <c r="N1151" s="5">
        <v>44154.333333333328</v>
      </c>
    </row>
    <row r="1152" spans="1:14" x14ac:dyDescent="0.25">
      <c r="A1152" s="4" t="s">
        <v>2344</v>
      </c>
      <c r="B1152" s="4" t="s">
        <v>5154</v>
      </c>
      <c r="C1152" s="4" t="s">
        <v>2344</v>
      </c>
      <c r="D1152" s="4" t="s">
        <v>237</v>
      </c>
      <c r="E1152" s="4" t="s">
        <v>2926</v>
      </c>
      <c r="F1152" s="4" t="s">
        <v>2925</v>
      </c>
      <c r="G1152" s="4" t="s">
        <v>2263</v>
      </c>
      <c r="H1152" s="9" t="s">
        <v>2263</v>
      </c>
      <c r="I1152" s="4" t="s">
        <v>2263</v>
      </c>
      <c r="J1152" s="4" t="s">
        <v>2263</v>
      </c>
      <c r="K1152" s="4" t="s">
        <v>2924</v>
      </c>
      <c r="L1152" s="10">
        <v>2</v>
      </c>
      <c r="M1152" s="5">
        <v>22303.329230769228</v>
      </c>
      <c r="N1152" s="5">
        <v>44606.658461538464</v>
      </c>
    </row>
    <row r="1153" spans="1:14" x14ac:dyDescent="0.25">
      <c r="A1153" s="4" t="s">
        <v>2344</v>
      </c>
      <c r="B1153" s="4" t="s">
        <v>5154</v>
      </c>
      <c r="C1153" s="4" t="s">
        <v>2320</v>
      </c>
      <c r="D1153" s="4" t="s">
        <v>242</v>
      </c>
      <c r="E1153" s="4" t="s">
        <v>4283</v>
      </c>
      <c r="F1153" s="4" t="s">
        <v>4282</v>
      </c>
      <c r="G1153" s="4" t="s">
        <v>2263</v>
      </c>
      <c r="H1153" s="9" t="s">
        <v>2263</v>
      </c>
      <c r="I1153" s="4" t="s">
        <v>2317</v>
      </c>
      <c r="J1153" s="4" t="s">
        <v>2316</v>
      </c>
      <c r="K1153" s="4" t="s">
        <v>2263</v>
      </c>
      <c r="L1153" s="10">
        <v>2</v>
      </c>
      <c r="M1153" s="5">
        <v>22541.057142857142</v>
      </c>
      <c r="N1153" s="5">
        <v>45082.114285714291</v>
      </c>
    </row>
    <row r="1154" spans="1:14" x14ac:dyDescent="0.25">
      <c r="A1154" s="4" t="s">
        <v>2344</v>
      </c>
      <c r="B1154" s="4" t="s">
        <v>5154</v>
      </c>
      <c r="C1154" s="4" t="s">
        <v>2344</v>
      </c>
      <c r="D1154" s="4" t="s">
        <v>237</v>
      </c>
      <c r="E1154" s="4" t="s">
        <v>5491</v>
      </c>
      <c r="F1154" s="4" t="s">
        <v>2607</v>
      </c>
      <c r="G1154" s="4" t="s">
        <v>2263</v>
      </c>
      <c r="H1154" s="9" t="s">
        <v>2263</v>
      </c>
      <c r="I1154" s="4" t="s">
        <v>2263</v>
      </c>
      <c r="J1154" s="4" t="s">
        <v>2263</v>
      </c>
      <c r="K1154" s="4" t="s">
        <v>2588</v>
      </c>
      <c r="L1154" s="10">
        <v>2</v>
      </c>
      <c r="M1154" s="5">
        <v>22599</v>
      </c>
      <c r="N1154" s="5">
        <v>45198</v>
      </c>
    </row>
    <row r="1155" spans="1:14" x14ac:dyDescent="0.25">
      <c r="A1155" s="4" t="s">
        <v>2653</v>
      </c>
      <c r="B1155" s="4" t="s">
        <v>3226</v>
      </c>
      <c r="C1155" s="4" t="s">
        <v>3107</v>
      </c>
      <c r="D1155" s="4" t="s">
        <v>1105</v>
      </c>
      <c r="E1155" s="4" t="s">
        <v>3645</v>
      </c>
      <c r="F1155" s="4" t="s">
        <v>3644</v>
      </c>
      <c r="G1155" s="4" t="s">
        <v>2263</v>
      </c>
      <c r="H1155" s="9" t="s">
        <v>2263</v>
      </c>
      <c r="I1155" s="4" t="s">
        <v>2317</v>
      </c>
      <c r="J1155" s="4" t="s">
        <v>2316</v>
      </c>
      <c r="K1155" s="4" t="s">
        <v>2263</v>
      </c>
      <c r="L1155" s="10">
        <v>2</v>
      </c>
      <c r="M1155" s="5">
        <v>23205</v>
      </c>
      <c r="N1155" s="5">
        <v>46410</v>
      </c>
    </row>
    <row r="1156" spans="1:14" x14ac:dyDescent="0.25">
      <c r="A1156" s="4" t="s">
        <v>3174</v>
      </c>
      <c r="B1156" s="4" t="s">
        <v>3173</v>
      </c>
      <c r="C1156" s="4" t="s">
        <v>2320</v>
      </c>
      <c r="D1156" s="4" t="s">
        <v>242</v>
      </c>
      <c r="E1156" s="4" t="s">
        <v>2414</v>
      </c>
      <c r="F1156" s="4" t="s">
        <v>2413</v>
      </c>
      <c r="G1156" s="4" t="s">
        <v>2263</v>
      </c>
      <c r="H1156" s="9" t="s">
        <v>2263</v>
      </c>
      <c r="I1156" s="4" t="s">
        <v>2317</v>
      </c>
      <c r="J1156" s="4" t="s">
        <v>2316</v>
      </c>
      <c r="K1156" s="4" t="s">
        <v>2263</v>
      </c>
      <c r="L1156" s="10">
        <v>2</v>
      </c>
      <c r="M1156" s="5">
        <v>24641.383614744351</v>
      </c>
      <c r="N1156" s="5">
        <v>49282.767229488702</v>
      </c>
    </row>
    <row r="1157" spans="1:14" x14ac:dyDescent="0.25">
      <c r="A1157" s="4" t="s">
        <v>3157</v>
      </c>
      <c r="B1157" s="4" t="s">
        <v>3156</v>
      </c>
      <c r="C1157" s="4" t="s">
        <v>2320</v>
      </c>
      <c r="D1157" s="4" t="s">
        <v>242</v>
      </c>
      <c r="E1157" s="4" t="s">
        <v>2414</v>
      </c>
      <c r="F1157" s="4" t="s">
        <v>2413</v>
      </c>
      <c r="G1157" s="4" t="s">
        <v>2263</v>
      </c>
      <c r="H1157" s="9" t="s">
        <v>2263</v>
      </c>
      <c r="I1157" s="4" t="s">
        <v>2317</v>
      </c>
      <c r="J1157" s="4" t="s">
        <v>2316</v>
      </c>
      <c r="K1157" s="4" t="s">
        <v>2263</v>
      </c>
      <c r="L1157" s="10">
        <v>2</v>
      </c>
      <c r="M1157" s="5">
        <v>24641.383614744351</v>
      </c>
      <c r="N1157" s="5">
        <v>49282.767229488702</v>
      </c>
    </row>
    <row r="1158" spans="1:14" x14ac:dyDescent="0.25">
      <c r="A1158" s="4" t="s">
        <v>3104</v>
      </c>
      <c r="B1158" s="4" t="s">
        <v>3103</v>
      </c>
      <c r="C1158" s="4" t="s">
        <v>2320</v>
      </c>
      <c r="D1158" s="4" t="s">
        <v>242</v>
      </c>
      <c r="E1158" s="4" t="s">
        <v>2414</v>
      </c>
      <c r="F1158" s="4" t="s">
        <v>2413</v>
      </c>
      <c r="G1158" s="4" t="s">
        <v>2263</v>
      </c>
      <c r="H1158" s="9" t="s">
        <v>2263</v>
      </c>
      <c r="I1158" s="4" t="s">
        <v>2317</v>
      </c>
      <c r="J1158" s="4" t="s">
        <v>2316</v>
      </c>
      <c r="K1158" s="4" t="s">
        <v>2263</v>
      </c>
      <c r="L1158" s="10">
        <v>2</v>
      </c>
      <c r="M1158" s="5">
        <v>24641.383614744351</v>
      </c>
      <c r="N1158" s="5">
        <v>49282.767229488702</v>
      </c>
    </row>
    <row r="1159" spans="1:14" x14ac:dyDescent="0.25">
      <c r="A1159" s="4" t="s">
        <v>3063</v>
      </c>
      <c r="B1159" s="4" t="s">
        <v>3062</v>
      </c>
      <c r="C1159" s="4" t="s">
        <v>2320</v>
      </c>
      <c r="D1159" s="4" t="s">
        <v>242</v>
      </c>
      <c r="E1159" s="4" t="s">
        <v>2414</v>
      </c>
      <c r="F1159" s="4" t="s">
        <v>2413</v>
      </c>
      <c r="G1159" s="4" t="s">
        <v>2263</v>
      </c>
      <c r="H1159" s="9" t="s">
        <v>2263</v>
      </c>
      <c r="I1159" s="4" t="s">
        <v>2317</v>
      </c>
      <c r="J1159" s="4" t="s">
        <v>2316</v>
      </c>
      <c r="K1159" s="4" t="s">
        <v>2263</v>
      </c>
      <c r="L1159" s="10">
        <v>2</v>
      </c>
      <c r="M1159" s="5">
        <v>24641.383614744351</v>
      </c>
      <c r="N1159" s="5">
        <v>49282.767229488702</v>
      </c>
    </row>
    <row r="1160" spans="1:14" x14ac:dyDescent="0.25">
      <c r="A1160" s="4" t="s">
        <v>3051</v>
      </c>
      <c r="B1160" s="4" t="s">
        <v>3050</v>
      </c>
      <c r="C1160" s="4" t="s">
        <v>2320</v>
      </c>
      <c r="D1160" s="4" t="s">
        <v>242</v>
      </c>
      <c r="E1160" s="4" t="s">
        <v>2414</v>
      </c>
      <c r="F1160" s="4" t="s">
        <v>2413</v>
      </c>
      <c r="G1160" s="4" t="s">
        <v>2263</v>
      </c>
      <c r="H1160" s="9" t="s">
        <v>2263</v>
      </c>
      <c r="I1160" s="4" t="s">
        <v>2317</v>
      </c>
      <c r="J1160" s="4" t="s">
        <v>2316</v>
      </c>
      <c r="K1160" s="4" t="s">
        <v>2263</v>
      </c>
      <c r="L1160" s="10">
        <v>2</v>
      </c>
      <c r="M1160" s="5">
        <v>24641.383614744351</v>
      </c>
      <c r="N1160" s="5">
        <v>49282.767229488702</v>
      </c>
    </row>
    <row r="1161" spans="1:14" x14ac:dyDescent="0.25">
      <c r="A1161" s="4" t="s">
        <v>3024</v>
      </c>
      <c r="B1161" s="4" t="s">
        <v>3023</v>
      </c>
      <c r="C1161" s="4" t="s">
        <v>2320</v>
      </c>
      <c r="D1161" s="4" t="s">
        <v>242</v>
      </c>
      <c r="E1161" s="4" t="s">
        <v>2414</v>
      </c>
      <c r="F1161" s="4" t="s">
        <v>2413</v>
      </c>
      <c r="G1161" s="4" t="s">
        <v>2263</v>
      </c>
      <c r="H1161" s="9" t="s">
        <v>2263</v>
      </c>
      <c r="I1161" s="4" t="s">
        <v>2317</v>
      </c>
      <c r="J1161" s="4" t="s">
        <v>2316</v>
      </c>
      <c r="K1161" s="4" t="s">
        <v>2263</v>
      </c>
      <c r="L1161" s="10">
        <v>2</v>
      </c>
      <c r="M1161" s="5">
        <v>24641.383614744351</v>
      </c>
      <c r="N1161" s="5">
        <v>49282.767229488702</v>
      </c>
    </row>
    <row r="1162" spans="1:14" x14ac:dyDescent="0.25">
      <c r="A1162" s="4" t="s">
        <v>2386</v>
      </c>
      <c r="B1162" s="4" t="s">
        <v>2385</v>
      </c>
      <c r="C1162" s="4" t="s">
        <v>2320</v>
      </c>
      <c r="D1162" s="4" t="s">
        <v>242</v>
      </c>
      <c r="E1162" s="4" t="s">
        <v>2414</v>
      </c>
      <c r="F1162" s="4" t="s">
        <v>2413</v>
      </c>
      <c r="G1162" s="4" t="s">
        <v>2263</v>
      </c>
      <c r="H1162" s="9" t="s">
        <v>2263</v>
      </c>
      <c r="I1162" s="4" t="s">
        <v>2317</v>
      </c>
      <c r="J1162" s="4" t="s">
        <v>2316</v>
      </c>
      <c r="K1162" s="4" t="s">
        <v>2263</v>
      </c>
      <c r="L1162" s="10">
        <v>2</v>
      </c>
      <c r="M1162" s="5">
        <v>24641.383614744351</v>
      </c>
      <c r="N1162" s="5">
        <v>49282.767229488702</v>
      </c>
    </row>
    <row r="1163" spans="1:14" x14ac:dyDescent="0.25">
      <c r="A1163" s="4" t="s">
        <v>2344</v>
      </c>
      <c r="B1163" s="4" t="s">
        <v>5154</v>
      </c>
      <c r="C1163" s="4" t="s">
        <v>2320</v>
      </c>
      <c r="D1163" s="4" t="s">
        <v>242</v>
      </c>
      <c r="E1163" s="4" t="s">
        <v>3895</v>
      </c>
      <c r="F1163" s="4" t="s">
        <v>3894</v>
      </c>
      <c r="G1163" s="4" t="s">
        <v>2263</v>
      </c>
      <c r="H1163" s="9" t="s">
        <v>2263</v>
      </c>
      <c r="I1163" s="4" t="s">
        <v>2317</v>
      </c>
      <c r="J1163" s="4" t="s">
        <v>2316</v>
      </c>
      <c r="K1163" s="4" t="s">
        <v>2263</v>
      </c>
      <c r="L1163" s="10">
        <v>2</v>
      </c>
      <c r="M1163" s="5">
        <v>25631.887777777778</v>
      </c>
      <c r="N1163" s="5">
        <v>51263.775555555563</v>
      </c>
    </row>
    <row r="1164" spans="1:14" x14ac:dyDescent="0.25">
      <c r="A1164" s="4" t="s">
        <v>2320</v>
      </c>
      <c r="B1164" s="4" t="s">
        <v>4967</v>
      </c>
      <c r="C1164" s="4" t="s">
        <v>2320</v>
      </c>
      <c r="D1164" s="4" t="s">
        <v>242</v>
      </c>
      <c r="E1164" s="4" t="s">
        <v>3895</v>
      </c>
      <c r="F1164" s="4" t="s">
        <v>3894</v>
      </c>
      <c r="G1164" s="4" t="s">
        <v>2263</v>
      </c>
      <c r="H1164" s="9" t="s">
        <v>2263</v>
      </c>
      <c r="I1164" s="4" t="s">
        <v>2317</v>
      </c>
      <c r="J1164" s="4" t="s">
        <v>2316</v>
      </c>
      <c r="K1164" s="4" t="s">
        <v>2263</v>
      </c>
      <c r="L1164" s="10">
        <v>2</v>
      </c>
      <c r="M1164" s="5">
        <v>25631.887777777778</v>
      </c>
      <c r="N1164" s="5">
        <v>51263.775555555563</v>
      </c>
    </row>
    <row r="1165" spans="1:14" x14ac:dyDescent="0.25">
      <c r="A1165" s="4" t="s">
        <v>2930</v>
      </c>
      <c r="B1165" s="4" t="s">
        <v>2929</v>
      </c>
      <c r="C1165" s="4" t="s">
        <v>2320</v>
      </c>
      <c r="D1165" s="4" t="s">
        <v>242</v>
      </c>
      <c r="E1165" s="4" t="s">
        <v>2964</v>
      </c>
      <c r="F1165" s="4" t="s">
        <v>2963</v>
      </c>
      <c r="G1165" s="4" t="s">
        <v>2263</v>
      </c>
      <c r="H1165" s="9" t="s">
        <v>2263</v>
      </c>
      <c r="I1165" s="4" t="s">
        <v>2317</v>
      </c>
      <c r="J1165" s="4" t="s">
        <v>2316</v>
      </c>
      <c r="K1165" s="4" t="s">
        <v>2263</v>
      </c>
      <c r="L1165" s="10">
        <v>2</v>
      </c>
      <c r="M1165" s="5">
        <v>25721</v>
      </c>
      <c r="N1165" s="5">
        <v>51442</v>
      </c>
    </row>
    <row r="1166" spans="1:14" x14ac:dyDescent="0.25">
      <c r="A1166" s="4" t="s">
        <v>2930</v>
      </c>
      <c r="B1166" s="4" t="s">
        <v>2929</v>
      </c>
      <c r="C1166" s="4" t="s">
        <v>2320</v>
      </c>
      <c r="D1166" s="4" t="s">
        <v>242</v>
      </c>
      <c r="E1166" s="4" t="s">
        <v>2948</v>
      </c>
      <c r="F1166" s="4" t="s">
        <v>2947</v>
      </c>
      <c r="G1166" s="4" t="s">
        <v>2263</v>
      </c>
      <c r="H1166" s="9" t="s">
        <v>2263</v>
      </c>
      <c r="I1166" s="4" t="s">
        <v>2317</v>
      </c>
      <c r="J1166" s="4" t="s">
        <v>2316</v>
      </c>
      <c r="K1166" s="4" t="s">
        <v>2263</v>
      </c>
      <c r="L1166" s="10">
        <v>2</v>
      </c>
      <c r="M1166" s="5">
        <v>26190.521951219511</v>
      </c>
      <c r="N1166" s="5">
        <v>52381.043902439022</v>
      </c>
    </row>
    <row r="1167" spans="1:14" x14ac:dyDescent="0.25">
      <c r="A1167" s="4" t="s">
        <v>2653</v>
      </c>
      <c r="B1167" s="4" t="s">
        <v>3226</v>
      </c>
      <c r="C1167" s="4" t="s">
        <v>3203</v>
      </c>
      <c r="D1167" s="4" t="s">
        <v>256</v>
      </c>
      <c r="E1167" s="4" t="s">
        <v>3580</v>
      </c>
      <c r="F1167" s="4" t="s">
        <v>3579</v>
      </c>
      <c r="G1167" s="4" t="s">
        <v>2263</v>
      </c>
      <c r="H1167" s="9" t="s">
        <v>2263</v>
      </c>
      <c r="I1167" s="4" t="s">
        <v>2317</v>
      </c>
      <c r="J1167" s="4" t="s">
        <v>2316</v>
      </c>
      <c r="K1167" s="4" t="s">
        <v>2263</v>
      </c>
      <c r="L1167" s="10">
        <v>2</v>
      </c>
      <c r="M1167" s="5">
        <v>27000</v>
      </c>
      <c r="N1167" s="5">
        <v>54000</v>
      </c>
    </row>
    <row r="1168" spans="1:14" x14ac:dyDescent="0.25">
      <c r="A1168" s="4" t="s">
        <v>2344</v>
      </c>
      <c r="B1168" s="4" t="s">
        <v>5154</v>
      </c>
      <c r="C1168" s="4" t="s">
        <v>2320</v>
      </c>
      <c r="D1168" s="4" t="s">
        <v>242</v>
      </c>
      <c r="E1168" s="4" t="s">
        <v>4147</v>
      </c>
      <c r="F1168" s="4" t="s">
        <v>4146</v>
      </c>
      <c r="G1168" s="4" t="s">
        <v>2263</v>
      </c>
      <c r="H1168" s="9" t="s">
        <v>2263</v>
      </c>
      <c r="I1168" s="4" t="s">
        <v>2317</v>
      </c>
      <c r="J1168" s="4" t="s">
        <v>2316</v>
      </c>
      <c r="K1168" s="4" t="s">
        <v>2263</v>
      </c>
      <c r="L1168" s="10">
        <v>2</v>
      </c>
      <c r="M1168" s="5">
        <v>27448.172352941179</v>
      </c>
      <c r="N1168" s="5">
        <v>54896.344705882351</v>
      </c>
    </row>
    <row r="1169" spans="1:14" x14ac:dyDescent="0.25">
      <c r="A1169" s="4" t="s">
        <v>2344</v>
      </c>
      <c r="B1169" s="4" t="s">
        <v>5154</v>
      </c>
      <c r="C1169" s="4" t="s">
        <v>2344</v>
      </c>
      <c r="D1169" s="4" t="s">
        <v>237</v>
      </c>
      <c r="E1169" s="4" t="s">
        <v>5490</v>
      </c>
      <c r="F1169" s="4" t="s">
        <v>5489</v>
      </c>
      <c r="G1169" s="4" t="s">
        <v>2263</v>
      </c>
      <c r="H1169" s="9" t="s">
        <v>2263</v>
      </c>
      <c r="I1169" s="4" t="s">
        <v>2263</v>
      </c>
      <c r="J1169" s="4" t="s">
        <v>2263</v>
      </c>
      <c r="K1169" s="4" t="s">
        <v>5488</v>
      </c>
      <c r="L1169" s="10">
        <v>2</v>
      </c>
      <c r="M1169" s="5">
        <v>27672.5</v>
      </c>
      <c r="N1169" s="5">
        <v>55345</v>
      </c>
    </row>
    <row r="1170" spans="1:14" x14ac:dyDescent="0.25">
      <c r="A1170" s="4" t="s">
        <v>2344</v>
      </c>
      <c r="B1170" s="4" t="s">
        <v>5154</v>
      </c>
      <c r="C1170" s="4" t="s">
        <v>2320</v>
      </c>
      <c r="D1170" s="4" t="s">
        <v>242</v>
      </c>
      <c r="E1170" s="4" t="s">
        <v>3893</v>
      </c>
      <c r="F1170" s="4" t="s">
        <v>3892</v>
      </c>
      <c r="G1170" s="4" t="s">
        <v>2263</v>
      </c>
      <c r="H1170" s="9" t="s">
        <v>2263</v>
      </c>
      <c r="I1170" s="4" t="s">
        <v>2317</v>
      </c>
      <c r="J1170" s="4" t="s">
        <v>2316</v>
      </c>
      <c r="K1170" s="4" t="s">
        <v>2263</v>
      </c>
      <c r="L1170" s="10">
        <v>2</v>
      </c>
      <c r="M1170" s="5">
        <v>28220.3</v>
      </c>
      <c r="N1170" s="5">
        <v>56440.6</v>
      </c>
    </row>
    <row r="1171" spans="1:14" x14ac:dyDescent="0.25">
      <c r="A1171" s="4" t="s">
        <v>2320</v>
      </c>
      <c r="B1171" s="4" t="s">
        <v>4967</v>
      </c>
      <c r="C1171" s="4" t="s">
        <v>2344</v>
      </c>
      <c r="D1171" s="4" t="s">
        <v>237</v>
      </c>
      <c r="E1171" s="4" t="s">
        <v>4632</v>
      </c>
      <c r="F1171" s="4" t="s">
        <v>2919</v>
      </c>
      <c r="G1171" s="4" t="s">
        <v>2263</v>
      </c>
      <c r="H1171" s="9" t="s">
        <v>2263</v>
      </c>
      <c r="I1171" s="4" t="s">
        <v>2263</v>
      </c>
      <c r="J1171" s="4" t="s">
        <v>2263</v>
      </c>
      <c r="K1171" s="4" t="s">
        <v>4631</v>
      </c>
      <c r="L1171" s="10">
        <v>2</v>
      </c>
      <c r="M1171" s="5">
        <v>29000</v>
      </c>
      <c r="N1171" s="5">
        <v>58000</v>
      </c>
    </row>
    <row r="1172" spans="1:14" x14ac:dyDescent="0.25">
      <c r="A1172" s="4" t="s">
        <v>2344</v>
      </c>
      <c r="B1172" s="4" t="s">
        <v>5154</v>
      </c>
      <c r="C1172" s="4" t="s">
        <v>2274</v>
      </c>
      <c r="D1172" s="4" t="s">
        <v>2273</v>
      </c>
      <c r="E1172" s="4" t="s">
        <v>4463</v>
      </c>
      <c r="F1172" s="4" t="s">
        <v>4462</v>
      </c>
      <c r="G1172" s="4" t="s">
        <v>2263</v>
      </c>
      <c r="H1172" s="9" t="s">
        <v>2263</v>
      </c>
      <c r="I1172" s="4" t="s">
        <v>2263</v>
      </c>
      <c r="J1172" s="4" t="s">
        <v>2263</v>
      </c>
      <c r="K1172" s="4" t="s">
        <v>4461</v>
      </c>
      <c r="L1172" s="10">
        <v>2</v>
      </c>
      <c r="M1172" s="5">
        <v>29002.833333333332</v>
      </c>
      <c r="N1172" s="5">
        <v>58005.666666666672</v>
      </c>
    </row>
    <row r="1173" spans="1:14" x14ac:dyDescent="0.25">
      <c r="A1173" s="4" t="s">
        <v>2930</v>
      </c>
      <c r="B1173" s="4" t="s">
        <v>2929</v>
      </c>
      <c r="C1173" s="4" t="s">
        <v>2320</v>
      </c>
      <c r="D1173" s="4" t="s">
        <v>242</v>
      </c>
      <c r="E1173" s="4" t="s">
        <v>2960</v>
      </c>
      <c r="F1173" s="4" t="s">
        <v>2959</v>
      </c>
      <c r="G1173" s="4" t="s">
        <v>2263</v>
      </c>
      <c r="H1173" s="9" t="s">
        <v>2263</v>
      </c>
      <c r="I1173" s="4" t="s">
        <v>2317</v>
      </c>
      <c r="J1173" s="4" t="s">
        <v>2316</v>
      </c>
      <c r="K1173" s="4" t="s">
        <v>2263</v>
      </c>
      <c r="L1173" s="10">
        <v>2</v>
      </c>
      <c r="M1173" s="5">
        <v>29111.5</v>
      </c>
      <c r="N1173" s="5">
        <v>58223</v>
      </c>
    </row>
    <row r="1174" spans="1:14" x14ac:dyDescent="0.25">
      <c r="A1174" s="4" t="s">
        <v>2320</v>
      </c>
      <c r="B1174" s="4" t="s">
        <v>4967</v>
      </c>
      <c r="C1174" s="4" t="s">
        <v>2320</v>
      </c>
      <c r="D1174" s="4" t="s">
        <v>242</v>
      </c>
      <c r="E1174" s="4" t="s">
        <v>4317</v>
      </c>
      <c r="F1174" s="4" t="s">
        <v>4316</v>
      </c>
      <c r="G1174" s="4" t="s">
        <v>2263</v>
      </c>
      <c r="H1174" s="9" t="s">
        <v>2263</v>
      </c>
      <c r="I1174" s="4" t="s">
        <v>2317</v>
      </c>
      <c r="J1174" s="4" t="s">
        <v>2316</v>
      </c>
      <c r="K1174" s="4" t="s">
        <v>2263</v>
      </c>
      <c r="L1174" s="10">
        <v>2</v>
      </c>
      <c r="M1174" s="5">
        <v>29465</v>
      </c>
      <c r="N1174" s="5">
        <v>58930</v>
      </c>
    </row>
    <row r="1175" spans="1:14" x14ac:dyDescent="0.25">
      <c r="A1175" s="4" t="s">
        <v>2320</v>
      </c>
      <c r="B1175" s="4" t="s">
        <v>4967</v>
      </c>
      <c r="C1175" s="4" t="s">
        <v>2320</v>
      </c>
      <c r="D1175" s="4" t="s">
        <v>242</v>
      </c>
      <c r="E1175" s="4" t="s">
        <v>4257</v>
      </c>
      <c r="F1175" s="4" t="s">
        <v>4256</v>
      </c>
      <c r="G1175" s="4" t="s">
        <v>2263</v>
      </c>
      <c r="H1175" s="9" t="s">
        <v>2263</v>
      </c>
      <c r="I1175" s="4" t="s">
        <v>2317</v>
      </c>
      <c r="J1175" s="4" t="s">
        <v>2316</v>
      </c>
      <c r="K1175" s="4" t="s">
        <v>2263</v>
      </c>
      <c r="L1175" s="10">
        <v>2</v>
      </c>
      <c r="M1175" s="5">
        <v>30096.657999999999</v>
      </c>
      <c r="N1175" s="5">
        <v>60193.315999999999</v>
      </c>
    </row>
    <row r="1176" spans="1:14" x14ac:dyDescent="0.25">
      <c r="A1176" s="4" t="s">
        <v>2344</v>
      </c>
      <c r="B1176" s="4" t="s">
        <v>5154</v>
      </c>
      <c r="C1176" s="4" t="s">
        <v>2320</v>
      </c>
      <c r="D1176" s="4" t="s">
        <v>242</v>
      </c>
      <c r="E1176" s="4" t="s">
        <v>4069</v>
      </c>
      <c r="F1176" s="4" t="s">
        <v>4068</v>
      </c>
      <c r="G1176" s="4" t="s">
        <v>2263</v>
      </c>
      <c r="H1176" s="9" t="s">
        <v>2263</v>
      </c>
      <c r="I1176" s="4" t="s">
        <v>2317</v>
      </c>
      <c r="J1176" s="4" t="s">
        <v>2316</v>
      </c>
      <c r="K1176" s="4" t="s">
        <v>2263</v>
      </c>
      <c r="L1176" s="10">
        <v>2</v>
      </c>
      <c r="M1176" s="5">
        <v>30500</v>
      </c>
      <c r="N1176" s="5">
        <v>61000</v>
      </c>
    </row>
    <row r="1177" spans="1:14" x14ac:dyDescent="0.25">
      <c r="A1177" s="4" t="s">
        <v>2344</v>
      </c>
      <c r="B1177" s="4" t="s">
        <v>5154</v>
      </c>
      <c r="C1177" s="4" t="s">
        <v>2320</v>
      </c>
      <c r="D1177" s="4" t="s">
        <v>242</v>
      </c>
      <c r="E1177" s="4" t="s">
        <v>5322</v>
      </c>
      <c r="F1177" s="4" t="s">
        <v>5321</v>
      </c>
      <c r="G1177" s="4" t="s">
        <v>2263</v>
      </c>
      <c r="H1177" s="9" t="s">
        <v>2263</v>
      </c>
      <c r="I1177" s="4" t="s">
        <v>2317</v>
      </c>
      <c r="J1177" s="4" t="s">
        <v>2316</v>
      </c>
      <c r="K1177" s="4" t="s">
        <v>2263</v>
      </c>
      <c r="L1177" s="10">
        <v>2</v>
      </c>
      <c r="M1177" s="5">
        <v>33000</v>
      </c>
      <c r="N1177" s="5">
        <v>66000</v>
      </c>
    </row>
    <row r="1178" spans="1:14" x14ac:dyDescent="0.25">
      <c r="A1178" s="4" t="s">
        <v>2320</v>
      </c>
      <c r="B1178" s="4" t="s">
        <v>4967</v>
      </c>
      <c r="C1178" s="4" t="s">
        <v>2320</v>
      </c>
      <c r="D1178" s="4" t="s">
        <v>242</v>
      </c>
      <c r="E1178" s="4" t="s">
        <v>4075</v>
      </c>
      <c r="F1178" s="4" t="s">
        <v>4074</v>
      </c>
      <c r="G1178" s="4" t="s">
        <v>2263</v>
      </c>
      <c r="H1178" s="9" t="s">
        <v>2263</v>
      </c>
      <c r="I1178" s="4" t="s">
        <v>2317</v>
      </c>
      <c r="J1178" s="4" t="s">
        <v>2316</v>
      </c>
      <c r="K1178" s="4" t="s">
        <v>2263</v>
      </c>
      <c r="L1178" s="10">
        <v>2</v>
      </c>
      <c r="M1178" s="5">
        <v>33095.185624999998</v>
      </c>
      <c r="N1178" s="5">
        <v>66190.371249999997</v>
      </c>
    </row>
    <row r="1179" spans="1:14" x14ac:dyDescent="0.25">
      <c r="A1179" s="4" t="s">
        <v>2320</v>
      </c>
      <c r="B1179" s="4" t="s">
        <v>4967</v>
      </c>
      <c r="C1179" s="4" t="s">
        <v>2320</v>
      </c>
      <c r="D1179" s="4" t="s">
        <v>242</v>
      </c>
      <c r="E1179" s="4" t="s">
        <v>3135</v>
      </c>
      <c r="F1179" s="4" t="s">
        <v>3134</v>
      </c>
      <c r="G1179" s="4" t="s">
        <v>2263</v>
      </c>
      <c r="H1179" s="9" t="s">
        <v>2263</v>
      </c>
      <c r="I1179" s="4" t="s">
        <v>2317</v>
      </c>
      <c r="J1179" s="4" t="s">
        <v>2316</v>
      </c>
      <c r="K1179" s="4" t="s">
        <v>2263</v>
      </c>
      <c r="L1179" s="10">
        <v>2</v>
      </c>
      <c r="M1179" s="5">
        <v>33962</v>
      </c>
      <c r="N1179" s="5">
        <v>67924</v>
      </c>
    </row>
    <row r="1180" spans="1:14" x14ac:dyDescent="0.25">
      <c r="A1180" s="4" t="s">
        <v>2320</v>
      </c>
      <c r="B1180" s="4" t="s">
        <v>4967</v>
      </c>
      <c r="C1180" s="4" t="s">
        <v>2320</v>
      </c>
      <c r="D1180" s="4" t="s">
        <v>242</v>
      </c>
      <c r="E1180" s="4" t="s">
        <v>3133</v>
      </c>
      <c r="F1180" s="4" t="s">
        <v>3132</v>
      </c>
      <c r="G1180" s="4" t="s">
        <v>2263</v>
      </c>
      <c r="H1180" s="9" t="s">
        <v>2263</v>
      </c>
      <c r="I1180" s="4" t="s">
        <v>2317</v>
      </c>
      <c r="J1180" s="4" t="s">
        <v>2316</v>
      </c>
      <c r="K1180" s="4" t="s">
        <v>2263</v>
      </c>
      <c r="L1180" s="10">
        <v>2</v>
      </c>
      <c r="M1180" s="5">
        <v>33962</v>
      </c>
      <c r="N1180" s="5">
        <v>67924</v>
      </c>
    </row>
    <row r="1181" spans="1:14" x14ac:dyDescent="0.25">
      <c r="A1181" s="4" t="s">
        <v>3125</v>
      </c>
      <c r="B1181" s="4" t="s">
        <v>3124</v>
      </c>
      <c r="C1181" s="4" t="s">
        <v>2320</v>
      </c>
      <c r="D1181" s="4" t="s">
        <v>242</v>
      </c>
      <c r="E1181" s="4" t="s">
        <v>3135</v>
      </c>
      <c r="F1181" s="4" t="s">
        <v>3134</v>
      </c>
      <c r="G1181" s="4" t="s">
        <v>2263</v>
      </c>
      <c r="H1181" s="9" t="s">
        <v>2263</v>
      </c>
      <c r="I1181" s="4" t="s">
        <v>2317</v>
      </c>
      <c r="J1181" s="4" t="s">
        <v>2316</v>
      </c>
      <c r="K1181" s="4" t="s">
        <v>2263</v>
      </c>
      <c r="L1181" s="10">
        <v>2</v>
      </c>
      <c r="M1181" s="5">
        <v>33962</v>
      </c>
      <c r="N1181" s="5">
        <v>67924</v>
      </c>
    </row>
    <row r="1182" spans="1:14" x14ac:dyDescent="0.25">
      <c r="A1182" s="4" t="s">
        <v>2317</v>
      </c>
      <c r="B1182" s="4" t="s">
        <v>3839</v>
      </c>
      <c r="C1182" s="4" t="s">
        <v>2320</v>
      </c>
      <c r="D1182" s="4" t="s">
        <v>242</v>
      </c>
      <c r="E1182" s="4" t="s">
        <v>4071</v>
      </c>
      <c r="F1182" s="4" t="s">
        <v>4070</v>
      </c>
      <c r="G1182" s="4" t="s">
        <v>2263</v>
      </c>
      <c r="H1182" s="9" t="s">
        <v>2263</v>
      </c>
      <c r="I1182" s="4" t="s">
        <v>2317</v>
      </c>
      <c r="J1182" s="4" t="s">
        <v>2316</v>
      </c>
      <c r="K1182" s="4" t="s">
        <v>2263</v>
      </c>
      <c r="L1182" s="10">
        <v>2</v>
      </c>
      <c r="M1182" s="5">
        <v>35000</v>
      </c>
      <c r="N1182" s="5">
        <v>70000</v>
      </c>
    </row>
    <row r="1183" spans="1:14" x14ac:dyDescent="0.25">
      <c r="A1183" s="4" t="s">
        <v>2320</v>
      </c>
      <c r="B1183" s="4" t="s">
        <v>4967</v>
      </c>
      <c r="C1183" s="4" t="s">
        <v>2320</v>
      </c>
      <c r="D1183" s="4" t="s">
        <v>242</v>
      </c>
      <c r="E1183" s="4" t="s">
        <v>4099</v>
      </c>
      <c r="F1183" s="4" t="s">
        <v>4098</v>
      </c>
      <c r="G1183" s="4" t="s">
        <v>2263</v>
      </c>
      <c r="H1183" s="9" t="s">
        <v>2263</v>
      </c>
      <c r="I1183" s="4" t="s">
        <v>2317</v>
      </c>
      <c r="J1183" s="4" t="s">
        <v>2316</v>
      </c>
      <c r="K1183" s="4" t="s">
        <v>2263</v>
      </c>
      <c r="L1183" s="10">
        <v>2</v>
      </c>
      <c r="M1183" s="5">
        <v>35743.714285714283</v>
      </c>
      <c r="N1183" s="5">
        <v>71487.428571428565</v>
      </c>
    </row>
    <row r="1184" spans="1:14" x14ac:dyDescent="0.25">
      <c r="A1184" s="4" t="s">
        <v>2344</v>
      </c>
      <c r="B1184" s="4" t="s">
        <v>5154</v>
      </c>
      <c r="C1184" s="4" t="s">
        <v>2344</v>
      </c>
      <c r="D1184" s="4" t="s">
        <v>237</v>
      </c>
      <c r="E1184" s="4" t="s">
        <v>5391</v>
      </c>
      <c r="F1184" s="4" t="s">
        <v>4621</v>
      </c>
      <c r="G1184" s="4" t="s">
        <v>2263</v>
      </c>
      <c r="H1184" s="9" t="s">
        <v>2263</v>
      </c>
      <c r="I1184" s="4" t="s">
        <v>2263</v>
      </c>
      <c r="J1184" s="4" t="s">
        <v>2263</v>
      </c>
      <c r="K1184" s="4" t="s">
        <v>4620</v>
      </c>
      <c r="L1184" s="10">
        <v>2</v>
      </c>
      <c r="M1184" s="5">
        <v>36950</v>
      </c>
      <c r="N1184" s="5">
        <v>73900</v>
      </c>
    </row>
    <row r="1185" spans="1:14" x14ac:dyDescent="0.25">
      <c r="A1185" s="4" t="s">
        <v>2344</v>
      </c>
      <c r="B1185" s="4" t="s">
        <v>5154</v>
      </c>
      <c r="C1185" s="4" t="s">
        <v>2320</v>
      </c>
      <c r="D1185" s="4" t="s">
        <v>242</v>
      </c>
      <c r="E1185" s="4" t="s">
        <v>4125</v>
      </c>
      <c r="F1185" s="4" t="s">
        <v>4124</v>
      </c>
      <c r="G1185" s="4" t="s">
        <v>2263</v>
      </c>
      <c r="H1185" s="9" t="s">
        <v>2263</v>
      </c>
      <c r="I1185" s="4" t="s">
        <v>2317</v>
      </c>
      <c r="J1185" s="4" t="s">
        <v>2316</v>
      </c>
      <c r="K1185" s="4" t="s">
        <v>2263</v>
      </c>
      <c r="L1185" s="10">
        <v>2</v>
      </c>
      <c r="M1185" s="5">
        <v>36998.228749999995</v>
      </c>
      <c r="N1185" s="5">
        <v>73996.457500000004</v>
      </c>
    </row>
    <row r="1186" spans="1:14" x14ac:dyDescent="0.25">
      <c r="A1186" s="4" t="s">
        <v>2653</v>
      </c>
      <c r="B1186" s="4" t="s">
        <v>3226</v>
      </c>
      <c r="C1186" s="4" t="s">
        <v>3203</v>
      </c>
      <c r="D1186" s="4" t="s">
        <v>256</v>
      </c>
      <c r="E1186" s="4" t="s">
        <v>3588</v>
      </c>
      <c r="F1186" s="4" t="s">
        <v>3587</v>
      </c>
      <c r="G1186" s="4" t="s">
        <v>2263</v>
      </c>
      <c r="H1186" s="9" t="s">
        <v>2263</v>
      </c>
      <c r="I1186" s="4" t="s">
        <v>2317</v>
      </c>
      <c r="J1186" s="4" t="s">
        <v>2316</v>
      </c>
      <c r="K1186" s="4" t="s">
        <v>2263</v>
      </c>
      <c r="L1186" s="10">
        <v>2</v>
      </c>
      <c r="M1186" s="5">
        <v>38538.300000000003</v>
      </c>
      <c r="N1186" s="5">
        <v>77076.600000000006</v>
      </c>
    </row>
    <row r="1187" spans="1:14" x14ac:dyDescent="0.25">
      <c r="A1187" s="4" t="s">
        <v>2344</v>
      </c>
      <c r="B1187" s="4" t="s">
        <v>5154</v>
      </c>
      <c r="C1187" s="4" t="s">
        <v>2320</v>
      </c>
      <c r="D1187" s="4" t="s">
        <v>242</v>
      </c>
      <c r="E1187" s="4" t="s">
        <v>2946</v>
      </c>
      <c r="F1187" s="4" t="s">
        <v>2945</v>
      </c>
      <c r="G1187" s="4" t="s">
        <v>2263</v>
      </c>
      <c r="H1187" s="9" t="s">
        <v>2263</v>
      </c>
      <c r="I1187" s="4" t="s">
        <v>2317</v>
      </c>
      <c r="J1187" s="4" t="s">
        <v>2316</v>
      </c>
      <c r="K1187" s="4" t="s">
        <v>2263</v>
      </c>
      <c r="L1187" s="10">
        <v>2</v>
      </c>
      <c r="M1187" s="5">
        <v>40421.470588235294</v>
      </c>
      <c r="N1187" s="5">
        <v>80842.941176470587</v>
      </c>
    </row>
    <row r="1188" spans="1:14" x14ac:dyDescent="0.25">
      <c r="A1188" s="4" t="s">
        <v>2344</v>
      </c>
      <c r="B1188" s="4" t="s">
        <v>5154</v>
      </c>
      <c r="C1188" s="4" t="s">
        <v>2320</v>
      </c>
      <c r="D1188" s="4" t="s">
        <v>242</v>
      </c>
      <c r="E1188" s="4" t="s">
        <v>4049</v>
      </c>
      <c r="F1188" s="4" t="s">
        <v>4048</v>
      </c>
      <c r="G1188" s="4" t="s">
        <v>2263</v>
      </c>
      <c r="H1188" s="9" t="s">
        <v>2263</v>
      </c>
      <c r="I1188" s="4" t="s">
        <v>2317</v>
      </c>
      <c r="J1188" s="4" t="s">
        <v>2316</v>
      </c>
      <c r="K1188" s="4" t="s">
        <v>2263</v>
      </c>
      <c r="L1188" s="10">
        <v>2</v>
      </c>
      <c r="M1188" s="5">
        <v>40634.75</v>
      </c>
      <c r="N1188" s="5">
        <v>81269.5</v>
      </c>
    </row>
    <row r="1189" spans="1:14" x14ac:dyDescent="0.25">
      <c r="A1189" s="4" t="s">
        <v>2344</v>
      </c>
      <c r="B1189" s="4" t="s">
        <v>5154</v>
      </c>
      <c r="C1189" s="4" t="s">
        <v>2320</v>
      </c>
      <c r="D1189" s="4" t="s">
        <v>242</v>
      </c>
      <c r="E1189" s="4" t="s">
        <v>4047</v>
      </c>
      <c r="F1189" s="4" t="s">
        <v>4046</v>
      </c>
      <c r="G1189" s="4" t="s">
        <v>2263</v>
      </c>
      <c r="H1189" s="9" t="s">
        <v>2263</v>
      </c>
      <c r="I1189" s="4" t="s">
        <v>2317</v>
      </c>
      <c r="J1189" s="4" t="s">
        <v>2316</v>
      </c>
      <c r="K1189" s="4" t="s">
        <v>2263</v>
      </c>
      <c r="L1189" s="10">
        <v>2</v>
      </c>
      <c r="M1189" s="5">
        <v>41329.494545454545</v>
      </c>
      <c r="N1189" s="5">
        <v>82658.98909090909</v>
      </c>
    </row>
    <row r="1190" spans="1:14" x14ac:dyDescent="0.25">
      <c r="A1190" s="4" t="s">
        <v>2344</v>
      </c>
      <c r="B1190" s="4" t="s">
        <v>5154</v>
      </c>
      <c r="C1190" s="4" t="s">
        <v>2320</v>
      </c>
      <c r="D1190" s="4" t="s">
        <v>242</v>
      </c>
      <c r="E1190" s="4" t="s">
        <v>4045</v>
      </c>
      <c r="F1190" s="4" t="s">
        <v>4044</v>
      </c>
      <c r="G1190" s="4" t="s">
        <v>2263</v>
      </c>
      <c r="H1190" s="9" t="s">
        <v>2263</v>
      </c>
      <c r="I1190" s="4" t="s">
        <v>2317</v>
      </c>
      <c r="J1190" s="4" t="s">
        <v>2316</v>
      </c>
      <c r="K1190" s="4" t="s">
        <v>2263</v>
      </c>
      <c r="L1190" s="10">
        <v>2</v>
      </c>
      <c r="M1190" s="5">
        <v>41573.815000000002</v>
      </c>
      <c r="N1190" s="5">
        <v>83147.63</v>
      </c>
    </row>
    <row r="1191" spans="1:14" x14ac:dyDescent="0.25">
      <c r="A1191" s="4" t="s">
        <v>2317</v>
      </c>
      <c r="B1191" s="4" t="s">
        <v>3839</v>
      </c>
      <c r="C1191" s="4" t="s">
        <v>2320</v>
      </c>
      <c r="D1191" s="4" t="s">
        <v>242</v>
      </c>
      <c r="E1191" s="4" t="s">
        <v>4045</v>
      </c>
      <c r="F1191" s="4" t="s">
        <v>4044</v>
      </c>
      <c r="G1191" s="4" t="s">
        <v>2263</v>
      </c>
      <c r="H1191" s="9" t="s">
        <v>2263</v>
      </c>
      <c r="I1191" s="4" t="s">
        <v>2317</v>
      </c>
      <c r="J1191" s="4" t="s">
        <v>2316</v>
      </c>
      <c r="K1191" s="4" t="s">
        <v>2263</v>
      </c>
      <c r="L1191" s="10">
        <v>2</v>
      </c>
      <c r="M1191" s="5">
        <v>41573.815000000002</v>
      </c>
      <c r="N1191" s="5">
        <v>83147.63</v>
      </c>
    </row>
    <row r="1192" spans="1:14" x14ac:dyDescent="0.25">
      <c r="A1192" s="4" t="s">
        <v>2344</v>
      </c>
      <c r="B1192" s="4" t="s">
        <v>5154</v>
      </c>
      <c r="C1192" s="4" t="s">
        <v>2320</v>
      </c>
      <c r="D1192" s="4" t="s">
        <v>242</v>
      </c>
      <c r="E1192" s="4" t="s">
        <v>4163</v>
      </c>
      <c r="F1192" s="4" t="s">
        <v>4162</v>
      </c>
      <c r="G1192" s="4" t="s">
        <v>2263</v>
      </c>
      <c r="H1192" s="9" t="s">
        <v>2263</v>
      </c>
      <c r="I1192" s="4" t="s">
        <v>2317</v>
      </c>
      <c r="J1192" s="4" t="s">
        <v>2316</v>
      </c>
      <c r="K1192" s="4" t="s">
        <v>2263</v>
      </c>
      <c r="L1192" s="10">
        <v>2</v>
      </c>
      <c r="M1192" s="5">
        <v>41618.666666666664</v>
      </c>
      <c r="N1192" s="5">
        <v>83237.333333333328</v>
      </c>
    </row>
    <row r="1193" spans="1:14" x14ac:dyDescent="0.25">
      <c r="A1193" s="4" t="s">
        <v>2320</v>
      </c>
      <c r="B1193" s="4" t="s">
        <v>4967</v>
      </c>
      <c r="C1193" s="4" t="s">
        <v>2320</v>
      </c>
      <c r="D1193" s="4" t="s">
        <v>242</v>
      </c>
      <c r="E1193" s="4" t="s">
        <v>4227</v>
      </c>
      <c r="F1193" s="4" t="s">
        <v>4226</v>
      </c>
      <c r="G1193" s="4" t="s">
        <v>2263</v>
      </c>
      <c r="H1193" s="9" t="s">
        <v>2263</v>
      </c>
      <c r="I1193" s="4" t="s">
        <v>2317</v>
      </c>
      <c r="J1193" s="4" t="s">
        <v>2316</v>
      </c>
      <c r="K1193" s="4" t="s">
        <v>2263</v>
      </c>
      <c r="L1193" s="10">
        <v>2</v>
      </c>
      <c r="M1193" s="5">
        <v>41633.914042553188</v>
      </c>
      <c r="N1193" s="5">
        <v>83267.828085106376</v>
      </c>
    </row>
    <row r="1194" spans="1:14" x14ac:dyDescent="0.25">
      <c r="A1194" s="4" t="s">
        <v>2653</v>
      </c>
      <c r="B1194" s="4" t="s">
        <v>3226</v>
      </c>
      <c r="C1194" s="4" t="s">
        <v>3203</v>
      </c>
      <c r="D1194" s="4" t="s">
        <v>256</v>
      </c>
      <c r="E1194" s="4" t="s">
        <v>3582</v>
      </c>
      <c r="F1194" s="4" t="s">
        <v>3581</v>
      </c>
      <c r="G1194" s="4" t="s">
        <v>2263</v>
      </c>
      <c r="H1194" s="9" t="s">
        <v>2263</v>
      </c>
      <c r="I1194" s="4" t="s">
        <v>2317</v>
      </c>
      <c r="J1194" s="4" t="s">
        <v>2316</v>
      </c>
      <c r="K1194" s="4" t="s">
        <v>2263</v>
      </c>
      <c r="L1194" s="10">
        <v>2</v>
      </c>
      <c r="M1194" s="5">
        <v>41650</v>
      </c>
      <c r="N1194" s="5">
        <v>83300</v>
      </c>
    </row>
    <row r="1195" spans="1:14" x14ac:dyDescent="0.25">
      <c r="A1195" s="4" t="s">
        <v>2344</v>
      </c>
      <c r="B1195" s="4" t="s">
        <v>5154</v>
      </c>
      <c r="C1195" s="4" t="s">
        <v>2320</v>
      </c>
      <c r="D1195" s="4" t="s">
        <v>242</v>
      </c>
      <c r="E1195" s="4" t="s">
        <v>4043</v>
      </c>
      <c r="F1195" s="4" t="s">
        <v>4042</v>
      </c>
      <c r="G1195" s="4" t="s">
        <v>2263</v>
      </c>
      <c r="H1195" s="9" t="s">
        <v>2263</v>
      </c>
      <c r="I1195" s="4" t="s">
        <v>2317</v>
      </c>
      <c r="J1195" s="4" t="s">
        <v>2316</v>
      </c>
      <c r="K1195" s="4" t="s">
        <v>2263</v>
      </c>
      <c r="L1195" s="10">
        <v>2</v>
      </c>
      <c r="M1195" s="5">
        <v>42956.055000000008</v>
      </c>
      <c r="N1195" s="5">
        <v>85912.11</v>
      </c>
    </row>
    <row r="1196" spans="1:14" x14ac:dyDescent="0.25">
      <c r="A1196" s="4" t="s">
        <v>2653</v>
      </c>
      <c r="B1196" s="4" t="s">
        <v>3226</v>
      </c>
      <c r="C1196" s="4" t="s">
        <v>3629</v>
      </c>
      <c r="D1196" s="4" t="s">
        <v>264</v>
      </c>
      <c r="E1196" s="4" t="s">
        <v>3635</v>
      </c>
      <c r="F1196" s="4" t="s">
        <v>3634</v>
      </c>
      <c r="G1196" s="4" t="s">
        <v>2263</v>
      </c>
      <c r="H1196" s="9" t="s">
        <v>2263</v>
      </c>
      <c r="I1196" s="4" t="s">
        <v>2317</v>
      </c>
      <c r="J1196" s="4" t="s">
        <v>2316</v>
      </c>
      <c r="K1196" s="4" t="s">
        <v>2263</v>
      </c>
      <c r="L1196" s="10">
        <v>2</v>
      </c>
      <c r="M1196" s="5">
        <v>46008.484999999993</v>
      </c>
      <c r="N1196" s="5">
        <v>92016.97</v>
      </c>
    </row>
    <row r="1197" spans="1:14" x14ac:dyDescent="0.25">
      <c r="A1197" s="4" t="s">
        <v>2653</v>
      </c>
      <c r="B1197" s="4" t="s">
        <v>3226</v>
      </c>
      <c r="C1197" s="4" t="s">
        <v>2384</v>
      </c>
      <c r="D1197" s="4" t="s">
        <v>262</v>
      </c>
      <c r="E1197" s="4" t="s">
        <v>3514</v>
      </c>
      <c r="F1197" s="4" t="s">
        <v>3513</v>
      </c>
      <c r="G1197" s="4" t="s">
        <v>2263</v>
      </c>
      <c r="H1197" s="9" t="s">
        <v>2263</v>
      </c>
      <c r="I1197" s="4" t="s">
        <v>2317</v>
      </c>
      <c r="J1197" s="4" t="s">
        <v>2316</v>
      </c>
      <c r="K1197" s="4" t="s">
        <v>2263</v>
      </c>
      <c r="L1197" s="10">
        <v>2</v>
      </c>
      <c r="M1197" s="5">
        <v>48790</v>
      </c>
      <c r="N1197" s="5">
        <v>97580</v>
      </c>
    </row>
    <row r="1198" spans="1:14" x14ac:dyDescent="0.25">
      <c r="A1198" s="4" t="s">
        <v>2344</v>
      </c>
      <c r="B1198" s="4" t="s">
        <v>5154</v>
      </c>
      <c r="C1198" s="4" t="s">
        <v>2344</v>
      </c>
      <c r="D1198" s="4" t="s">
        <v>237</v>
      </c>
      <c r="E1198" s="4" t="s">
        <v>5465</v>
      </c>
      <c r="F1198" s="4" t="s">
        <v>5464</v>
      </c>
      <c r="G1198" s="4" t="s">
        <v>2263</v>
      </c>
      <c r="H1198" s="9" t="s">
        <v>2263</v>
      </c>
      <c r="I1198" s="4" t="s">
        <v>2263</v>
      </c>
      <c r="J1198" s="4" t="s">
        <v>2263</v>
      </c>
      <c r="K1198" s="4" t="s">
        <v>5463</v>
      </c>
      <c r="L1198" s="10">
        <v>2</v>
      </c>
      <c r="M1198" s="5">
        <v>49600</v>
      </c>
      <c r="N1198" s="5">
        <v>99200</v>
      </c>
    </row>
    <row r="1199" spans="1:14" x14ac:dyDescent="0.25">
      <c r="A1199" s="4" t="s">
        <v>2317</v>
      </c>
      <c r="B1199" s="4" t="s">
        <v>3839</v>
      </c>
      <c r="C1199" s="4" t="s">
        <v>2320</v>
      </c>
      <c r="D1199" s="4" t="s">
        <v>242</v>
      </c>
      <c r="E1199" s="4" t="s">
        <v>4165</v>
      </c>
      <c r="F1199" s="4" t="s">
        <v>4164</v>
      </c>
      <c r="G1199" s="4" t="s">
        <v>2263</v>
      </c>
      <c r="H1199" s="9" t="s">
        <v>2263</v>
      </c>
      <c r="I1199" s="4" t="s">
        <v>2317</v>
      </c>
      <c r="J1199" s="4" t="s">
        <v>2316</v>
      </c>
      <c r="K1199" s="4" t="s">
        <v>2263</v>
      </c>
      <c r="L1199" s="10">
        <v>2</v>
      </c>
      <c r="M1199" s="5">
        <v>50326</v>
      </c>
      <c r="N1199" s="5">
        <v>100652</v>
      </c>
    </row>
    <row r="1200" spans="1:14" x14ac:dyDescent="0.25">
      <c r="A1200" s="4" t="s">
        <v>2344</v>
      </c>
      <c r="B1200" s="4" t="s">
        <v>5154</v>
      </c>
      <c r="C1200" s="4" t="s">
        <v>2274</v>
      </c>
      <c r="D1200" s="4" t="s">
        <v>2273</v>
      </c>
      <c r="E1200" s="4" t="s">
        <v>5266</v>
      </c>
      <c r="F1200" s="4" t="s">
        <v>5265</v>
      </c>
      <c r="G1200" s="4" t="s">
        <v>2263</v>
      </c>
      <c r="H1200" s="9" t="s">
        <v>2263</v>
      </c>
      <c r="I1200" s="4" t="s">
        <v>2263</v>
      </c>
      <c r="J1200" s="4" t="s">
        <v>2263</v>
      </c>
      <c r="K1200" s="4" t="s">
        <v>5264</v>
      </c>
      <c r="L1200" s="10">
        <v>2</v>
      </c>
      <c r="M1200" s="5">
        <v>51500</v>
      </c>
      <c r="N1200" s="5">
        <v>103000</v>
      </c>
    </row>
    <row r="1201" spans="1:14" x14ac:dyDescent="0.25">
      <c r="A1201" s="4" t="s">
        <v>2320</v>
      </c>
      <c r="B1201" s="4" t="s">
        <v>4967</v>
      </c>
      <c r="C1201" s="4" t="s">
        <v>2320</v>
      </c>
      <c r="D1201" s="4" t="s">
        <v>242</v>
      </c>
      <c r="E1201" s="4" t="s">
        <v>4167</v>
      </c>
      <c r="F1201" s="4" t="s">
        <v>4166</v>
      </c>
      <c r="G1201" s="4" t="s">
        <v>2263</v>
      </c>
      <c r="H1201" s="9" t="s">
        <v>2263</v>
      </c>
      <c r="I1201" s="4" t="s">
        <v>2317</v>
      </c>
      <c r="J1201" s="4" t="s">
        <v>2316</v>
      </c>
      <c r="K1201" s="4" t="s">
        <v>2263</v>
      </c>
      <c r="L1201" s="10">
        <v>2</v>
      </c>
      <c r="M1201" s="5">
        <v>51937.5</v>
      </c>
      <c r="N1201" s="5">
        <v>103875</v>
      </c>
    </row>
    <row r="1202" spans="1:14" x14ac:dyDescent="0.25">
      <c r="A1202" s="4" t="s">
        <v>2317</v>
      </c>
      <c r="B1202" s="4" t="s">
        <v>3839</v>
      </c>
      <c r="C1202" s="4" t="s">
        <v>2320</v>
      </c>
      <c r="D1202" s="4" t="s">
        <v>242</v>
      </c>
      <c r="E1202" s="4" t="s">
        <v>4167</v>
      </c>
      <c r="F1202" s="4" t="s">
        <v>4166</v>
      </c>
      <c r="G1202" s="4" t="s">
        <v>2263</v>
      </c>
      <c r="H1202" s="9" t="s">
        <v>2263</v>
      </c>
      <c r="I1202" s="4" t="s">
        <v>2317</v>
      </c>
      <c r="J1202" s="4" t="s">
        <v>2316</v>
      </c>
      <c r="K1202" s="4" t="s">
        <v>2263</v>
      </c>
      <c r="L1202" s="10">
        <v>2</v>
      </c>
      <c r="M1202" s="5">
        <v>51937.5</v>
      </c>
      <c r="N1202" s="5">
        <v>103875</v>
      </c>
    </row>
    <row r="1203" spans="1:14" x14ac:dyDescent="0.25">
      <c r="A1203" s="4" t="s">
        <v>2344</v>
      </c>
      <c r="B1203" s="4" t="s">
        <v>5154</v>
      </c>
      <c r="C1203" s="4" t="s">
        <v>2320</v>
      </c>
      <c r="D1203" s="4" t="s">
        <v>242</v>
      </c>
      <c r="E1203" s="4" t="s">
        <v>3004</v>
      </c>
      <c r="F1203" s="4" t="s">
        <v>3003</v>
      </c>
      <c r="G1203" s="4" t="s">
        <v>2263</v>
      </c>
      <c r="H1203" s="9" t="s">
        <v>2263</v>
      </c>
      <c r="I1203" s="4" t="s">
        <v>2317</v>
      </c>
      <c r="J1203" s="4" t="s">
        <v>2316</v>
      </c>
      <c r="K1203" s="4" t="s">
        <v>2263</v>
      </c>
      <c r="L1203" s="10">
        <v>2</v>
      </c>
      <c r="M1203" s="5">
        <v>52195.93</v>
      </c>
      <c r="N1203" s="5">
        <v>104391.86</v>
      </c>
    </row>
    <row r="1204" spans="1:14" x14ac:dyDescent="0.25">
      <c r="A1204" s="4" t="s">
        <v>2344</v>
      </c>
      <c r="B1204" s="4" t="s">
        <v>5154</v>
      </c>
      <c r="C1204" s="4" t="s">
        <v>2320</v>
      </c>
      <c r="D1204" s="4" t="s">
        <v>242</v>
      </c>
      <c r="E1204" s="4" t="s">
        <v>3933</v>
      </c>
      <c r="F1204" s="4" t="s">
        <v>3932</v>
      </c>
      <c r="G1204" s="4" t="s">
        <v>2263</v>
      </c>
      <c r="H1204" s="9" t="s">
        <v>2263</v>
      </c>
      <c r="I1204" s="4" t="s">
        <v>2317</v>
      </c>
      <c r="J1204" s="4" t="s">
        <v>2316</v>
      </c>
      <c r="K1204" s="4" t="s">
        <v>2263</v>
      </c>
      <c r="L1204" s="10">
        <v>2</v>
      </c>
      <c r="M1204" s="5">
        <v>52417.890967741943</v>
      </c>
      <c r="N1204" s="5">
        <v>104835.78193548389</v>
      </c>
    </row>
    <row r="1205" spans="1:14" x14ac:dyDescent="0.25">
      <c r="A1205" s="4" t="s">
        <v>2344</v>
      </c>
      <c r="B1205" s="4" t="s">
        <v>5154</v>
      </c>
      <c r="C1205" s="4" t="s">
        <v>2320</v>
      </c>
      <c r="D1205" s="4" t="s">
        <v>242</v>
      </c>
      <c r="E1205" s="4" t="s">
        <v>2996</v>
      </c>
      <c r="F1205" s="4" t="s">
        <v>2995</v>
      </c>
      <c r="G1205" s="4" t="s">
        <v>2263</v>
      </c>
      <c r="H1205" s="9" t="s">
        <v>2263</v>
      </c>
      <c r="I1205" s="4" t="s">
        <v>2317</v>
      </c>
      <c r="J1205" s="4" t="s">
        <v>2316</v>
      </c>
      <c r="K1205" s="4" t="s">
        <v>2263</v>
      </c>
      <c r="L1205" s="10">
        <v>2</v>
      </c>
      <c r="M1205" s="5">
        <v>53196.71</v>
      </c>
      <c r="N1205" s="5">
        <v>106393.42</v>
      </c>
    </row>
    <row r="1206" spans="1:14" x14ac:dyDescent="0.25">
      <c r="A1206" s="4" t="s">
        <v>2344</v>
      </c>
      <c r="B1206" s="4" t="s">
        <v>5154</v>
      </c>
      <c r="C1206" s="4" t="s">
        <v>2274</v>
      </c>
      <c r="D1206" s="4" t="s">
        <v>2273</v>
      </c>
      <c r="E1206" s="4" t="s">
        <v>5222</v>
      </c>
      <c r="F1206" s="4" t="s">
        <v>2537</v>
      </c>
      <c r="G1206" s="4" t="s">
        <v>2263</v>
      </c>
      <c r="H1206" s="9" t="s">
        <v>2263</v>
      </c>
      <c r="I1206" s="4" t="s">
        <v>2263</v>
      </c>
      <c r="J1206" s="4" t="s">
        <v>2263</v>
      </c>
      <c r="K1206" s="4" t="s">
        <v>2536</v>
      </c>
      <c r="L1206" s="10">
        <v>2</v>
      </c>
      <c r="M1206" s="5">
        <v>55004.235000000001</v>
      </c>
      <c r="N1206" s="5">
        <v>110008.47</v>
      </c>
    </row>
    <row r="1207" spans="1:14" x14ac:dyDescent="0.25">
      <c r="A1207" s="4" t="s">
        <v>2320</v>
      </c>
      <c r="B1207" s="4" t="s">
        <v>4967</v>
      </c>
      <c r="C1207" s="4" t="s">
        <v>2320</v>
      </c>
      <c r="D1207" s="4" t="s">
        <v>242</v>
      </c>
      <c r="E1207" s="4" t="s">
        <v>2795</v>
      </c>
      <c r="F1207" s="4" t="s">
        <v>2794</v>
      </c>
      <c r="G1207" s="4" t="s">
        <v>2263</v>
      </c>
      <c r="H1207" s="9" t="s">
        <v>2263</v>
      </c>
      <c r="I1207" s="4" t="s">
        <v>2317</v>
      </c>
      <c r="J1207" s="4" t="s">
        <v>2316</v>
      </c>
      <c r="K1207" s="4" t="s">
        <v>2263</v>
      </c>
      <c r="L1207" s="10">
        <v>2</v>
      </c>
      <c r="M1207" s="5">
        <v>56579.244999999995</v>
      </c>
      <c r="N1207" s="5">
        <v>113158.49</v>
      </c>
    </row>
    <row r="1208" spans="1:14" x14ac:dyDescent="0.25">
      <c r="A1208" s="4" t="s">
        <v>2761</v>
      </c>
      <c r="B1208" s="4" t="s">
        <v>2760</v>
      </c>
      <c r="C1208" s="4" t="s">
        <v>2320</v>
      </c>
      <c r="D1208" s="4" t="s">
        <v>242</v>
      </c>
      <c r="E1208" s="4" t="s">
        <v>2795</v>
      </c>
      <c r="F1208" s="4" t="s">
        <v>2794</v>
      </c>
      <c r="G1208" s="4" t="s">
        <v>2263</v>
      </c>
      <c r="H1208" s="9" t="s">
        <v>2263</v>
      </c>
      <c r="I1208" s="4" t="s">
        <v>2317</v>
      </c>
      <c r="J1208" s="4" t="s">
        <v>2316</v>
      </c>
      <c r="K1208" s="4" t="s">
        <v>2263</v>
      </c>
      <c r="L1208" s="10">
        <v>2</v>
      </c>
      <c r="M1208" s="5">
        <v>56579.244999999995</v>
      </c>
      <c r="N1208" s="5">
        <v>113158.49</v>
      </c>
    </row>
    <row r="1209" spans="1:14" x14ac:dyDescent="0.25">
      <c r="A1209" s="4" t="s">
        <v>2653</v>
      </c>
      <c r="B1209" s="4" t="s">
        <v>3226</v>
      </c>
      <c r="C1209" s="4" t="s">
        <v>2384</v>
      </c>
      <c r="D1209" s="4" t="s">
        <v>262</v>
      </c>
      <c r="E1209" s="4" t="s">
        <v>3486</v>
      </c>
      <c r="F1209" s="4" t="s">
        <v>3485</v>
      </c>
      <c r="G1209" s="4" t="s">
        <v>2263</v>
      </c>
      <c r="H1209" s="9" t="s">
        <v>2263</v>
      </c>
      <c r="I1209" s="4" t="s">
        <v>2317</v>
      </c>
      <c r="J1209" s="4" t="s">
        <v>2316</v>
      </c>
      <c r="K1209" s="4" t="s">
        <v>2263</v>
      </c>
      <c r="L1209" s="10">
        <v>2</v>
      </c>
      <c r="M1209" s="5">
        <v>57120</v>
      </c>
      <c r="N1209" s="5">
        <v>114240</v>
      </c>
    </row>
    <row r="1210" spans="1:14" x14ac:dyDescent="0.25">
      <c r="A1210" s="4" t="s">
        <v>2344</v>
      </c>
      <c r="B1210" s="4" t="s">
        <v>5154</v>
      </c>
      <c r="C1210" s="4" t="s">
        <v>2274</v>
      </c>
      <c r="D1210" s="4" t="s">
        <v>2273</v>
      </c>
      <c r="E1210" s="4" t="s">
        <v>4978</v>
      </c>
      <c r="F1210" s="4" t="s">
        <v>4977</v>
      </c>
      <c r="G1210" s="4" t="s">
        <v>2263</v>
      </c>
      <c r="H1210" s="9" t="s">
        <v>2263</v>
      </c>
      <c r="I1210" s="4" t="s">
        <v>2263</v>
      </c>
      <c r="J1210" s="4" t="s">
        <v>2263</v>
      </c>
      <c r="K1210" s="4" t="s">
        <v>4976</v>
      </c>
      <c r="L1210" s="10">
        <v>2</v>
      </c>
      <c r="M1210" s="5">
        <v>61690.46</v>
      </c>
      <c r="N1210" s="5">
        <v>123380.92</v>
      </c>
    </row>
    <row r="1211" spans="1:14" x14ac:dyDescent="0.25">
      <c r="A1211" s="4" t="s">
        <v>2317</v>
      </c>
      <c r="B1211" s="4" t="s">
        <v>3839</v>
      </c>
      <c r="C1211" s="4" t="s">
        <v>2320</v>
      </c>
      <c r="D1211" s="4" t="s">
        <v>242</v>
      </c>
      <c r="E1211" s="4" t="s">
        <v>2942</v>
      </c>
      <c r="F1211" s="4" t="s">
        <v>2941</v>
      </c>
      <c r="G1211" s="4" t="s">
        <v>2263</v>
      </c>
      <c r="H1211" s="9" t="s">
        <v>2263</v>
      </c>
      <c r="I1211" s="4" t="s">
        <v>2317</v>
      </c>
      <c r="J1211" s="4" t="s">
        <v>2316</v>
      </c>
      <c r="K1211" s="4" t="s">
        <v>2263</v>
      </c>
      <c r="L1211" s="10">
        <v>2</v>
      </c>
      <c r="M1211" s="5">
        <v>64922.14875</v>
      </c>
      <c r="N1211" s="5">
        <v>129844.2975</v>
      </c>
    </row>
    <row r="1212" spans="1:14" x14ac:dyDescent="0.25">
      <c r="A1212" s="4" t="s">
        <v>2317</v>
      </c>
      <c r="B1212" s="4" t="s">
        <v>3839</v>
      </c>
      <c r="C1212" s="4" t="s">
        <v>2320</v>
      </c>
      <c r="D1212" s="4" t="s">
        <v>242</v>
      </c>
      <c r="E1212" s="4" t="s">
        <v>2970</v>
      </c>
      <c r="F1212" s="4" t="s">
        <v>2969</v>
      </c>
      <c r="G1212" s="4" t="s">
        <v>2263</v>
      </c>
      <c r="H1212" s="9" t="s">
        <v>2263</v>
      </c>
      <c r="I1212" s="4" t="s">
        <v>2317</v>
      </c>
      <c r="J1212" s="4" t="s">
        <v>2316</v>
      </c>
      <c r="K1212" s="4" t="s">
        <v>2263</v>
      </c>
      <c r="L1212" s="10">
        <v>2</v>
      </c>
      <c r="M1212" s="5">
        <v>65514.193548387098</v>
      </c>
      <c r="N1212" s="5">
        <v>131028.3870967742</v>
      </c>
    </row>
    <row r="1213" spans="1:14" x14ac:dyDescent="0.25">
      <c r="A1213" s="4" t="s">
        <v>2320</v>
      </c>
      <c r="B1213" s="4" t="s">
        <v>4967</v>
      </c>
      <c r="C1213" s="4" t="s">
        <v>2320</v>
      </c>
      <c r="D1213" s="4" t="s">
        <v>242</v>
      </c>
      <c r="E1213" s="4" t="s">
        <v>4333</v>
      </c>
      <c r="F1213" s="4" t="s">
        <v>4332</v>
      </c>
      <c r="G1213" s="4" t="s">
        <v>2263</v>
      </c>
      <c r="H1213" s="9" t="s">
        <v>2263</v>
      </c>
      <c r="I1213" s="4" t="s">
        <v>2317</v>
      </c>
      <c r="J1213" s="4" t="s">
        <v>2316</v>
      </c>
      <c r="K1213" s="4" t="s">
        <v>2263</v>
      </c>
      <c r="L1213" s="10">
        <v>2</v>
      </c>
      <c r="M1213" s="5">
        <v>70804.524705882359</v>
      </c>
      <c r="N1213" s="5">
        <v>141609.04941176472</v>
      </c>
    </row>
    <row r="1214" spans="1:14" x14ac:dyDescent="0.25">
      <c r="A1214" s="4" t="s">
        <v>2837</v>
      </c>
      <c r="B1214" s="4" t="s">
        <v>2836</v>
      </c>
      <c r="C1214" s="4" t="s">
        <v>2320</v>
      </c>
      <c r="D1214" s="4" t="s">
        <v>242</v>
      </c>
      <c r="E1214" s="4" t="s">
        <v>2857</v>
      </c>
      <c r="F1214" s="4" t="s">
        <v>2856</v>
      </c>
      <c r="G1214" s="4" t="s">
        <v>2263</v>
      </c>
      <c r="H1214" s="9" t="s">
        <v>2263</v>
      </c>
      <c r="I1214" s="4" t="s">
        <v>2317</v>
      </c>
      <c r="J1214" s="4" t="s">
        <v>2316</v>
      </c>
      <c r="K1214" s="4" t="s">
        <v>2263</v>
      </c>
      <c r="L1214" s="10">
        <v>2</v>
      </c>
      <c r="M1214" s="5">
        <v>73000</v>
      </c>
      <c r="N1214" s="5">
        <v>146000</v>
      </c>
    </row>
    <row r="1215" spans="1:14" x14ac:dyDescent="0.25">
      <c r="A1215" s="4" t="s">
        <v>2653</v>
      </c>
      <c r="B1215" s="4" t="s">
        <v>3226</v>
      </c>
      <c r="C1215" s="4" t="s">
        <v>2384</v>
      </c>
      <c r="D1215" s="4" t="s">
        <v>262</v>
      </c>
      <c r="E1215" s="4" t="s">
        <v>3476</v>
      </c>
      <c r="F1215" s="4" t="s">
        <v>3475</v>
      </c>
      <c r="G1215" s="4" t="s">
        <v>2263</v>
      </c>
      <c r="H1215" s="9" t="s">
        <v>2263</v>
      </c>
      <c r="I1215" s="4" t="s">
        <v>2317</v>
      </c>
      <c r="J1215" s="4" t="s">
        <v>2316</v>
      </c>
      <c r="K1215" s="4" t="s">
        <v>2263</v>
      </c>
      <c r="L1215" s="10">
        <v>2</v>
      </c>
      <c r="M1215" s="5">
        <v>73358</v>
      </c>
      <c r="N1215" s="5">
        <v>146716</v>
      </c>
    </row>
    <row r="1216" spans="1:14" x14ac:dyDescent="0.25">
      <c r="A1216" s="4" t="s">
        <v>3174</v>
      </c>
      <c r="B1216" s="4" t="s">
        <v>3173</v>
      </c>
      <c r="C1216" s="4" t="s">
        <v>2384</v>
      </c>
      <c r="D1216" s="4" t="s">
        <v>262</v>
      </c>
      <c r="E1216" s="4" t="s">
        <v>2679</v>
      </c>
      <c r="F1216" s="4" t="s">
        <v>2678</v>
      </c>
      <c r="G1216" s="4" t="s">
        <v>2263</v>
      </c>
      <c r="H1216" s="9" t="s">
        <v>2263</v>
      </c>
      <c r="I1216" s="4" t="s">
        <v>2317</v>
      </c>
      <c r="J1216" s="4" t="s">
        <v>2316</v>
      </c>
      <c r="K1216" s="4" t="s">
        <v>2263</v>
      </c>
      <c r="L1216" s="10">
        <v>2</v>
      </c>
      <c r="M1216" s="5">
        <v>76942.326774193556</v>
      </c>
      <c r="N1216" s="5">
        <v>153884.65354838711</v>
      </c>
    </row>
    <row r="1217" spans="1:14" x14ac:dyDescent="0.25">
      <c r="A1217" s="4" t="s">
        <v>3102</v>
      </c>
      <c r="B1217" s="4" t="s">
        <v>3101</v>
      </c>
      <c r="C1217" s="4" t="s">
        <v>2384</v>
      </c>
      <c r="D1217" s="4" t="s">
        <v>262</v>
      </c>
      <c r="E1217" s="4" t="s">
        <v>2679</v>
      </c>
      <c r="F1217" s="4" t="s">
        <v>2678</v>
      </c>
      <c r="G1217" s="4" t="s">
        <v>2263</v>
      </c>
      <c r="H1217" s="9" t="s">
        <v>2263</v>
      </c>
      <c r="I1217" s="4" t="s">
        <v>2317</v>
      </c>
      <c r="J1217" s="4" t="s">
        <v>2316</v>
      </c>
      <c r="K1217" s="4" t="s">
        <v>2263</v>
      </c>
      <c r="L1217" s="10">
        <v>2</v>
      </c>
      <c r="M1217" s="5">
        <v>76942.326774193556</v>
      </c>
      <c r="N1217" s="5">
        <v>153884.65354838711</v>
      </c>
    </row>
    <row r="1218" spans="1:14" x14ac:dyDescent="0.25">
      <c r="A1218" s="4" t="s">
        <v>2653</v>
      </c>
      <c r="B1218" s="4" t="s">
        <v>3226</v>
      </c>
      <c r="C1218" s="4" t="s">
        <v>2384</v>
      </c>
      <c r="D1218" s="4" t="s">
        <v>262</v>
      </c>
      <c r="E1218" s="4" t="s">
        <v>3450</v>
      </c>
      <c r="F1218" s="4" t="s">
        <v>3449</v>
      </c>
      <c r="G1218" s="4" t="s">
        <v>2263</v>
      </c>
      <c r="H1218" s="9" t="s">
        <v>2263</v>
      </c>
      <c r="I1218" s="4" t="s">
        <v>2317</v>
      </c>
      <c r="J1218" s="4" t="s">
        <v>2316</v>
      </c>
      <c r="K1218" s="4" t="s">
        <v>2263</v>
      </c>
      <c r="L1218" s="10">
        <v>2</v>
      </c>
      <c r="M1218" s="5">
        <v>77991.42</v>
      </c>
      <c r="N1218" s="5">
        <v>155982.84</v>
      </c>
    </row>
    <row r="1219" spans="1:14" x14ac:dyDescent="0.25">
      <c r="A1219" s="4" t="s">
        <v>2320</v>
      </c>
      <c r="B1219" s="4" t="s">
        <v>4967</v>
      </c>
      <c r="C1219" s="4" t="s">
        <v>2320</v>
      </c>
      <c r="D1219" s="4" t="s">
        <v>242</v>
      </c>
      <c r="E1219" s="4" t="s">
        <v>5005</v>
      </c>
      <c r="F1219" s="4" t="s">
        <v>5004</v>
      </c>
      <c r="G1219" s="4" t="s">
        <v>2263</v>
      </c>
      <c r="H1219" s="9" t="s">
        <v>2263</v>
      </c>
      <c r="I1219" s="4" t="s">
        <v>2317</v>
      </c>
      <c r="J1219" s="4" t="s">
        <v>2316</v>
      </c>
      <c r="K1219" s="4" t="s">
        <v>2263</v>
      </c>
      <c r="L1219" s="10">
        <v>2</v>
      </c>
      <c r="M1219" s="5">
        <v>78700</v>
      </c>
      <c r="N1219" s="5">
        <v>157400</v>
      </c>
    </row>
    <row r="1220" spans="1:14" x14ac:dyDescent="0.25">
      <c r="A1220" s="4" t="s">
        <v>2269</v>
      </c>
      <c r="B1220" s="4" t="s">
        <v>2268</v>
      </c>
      <c r="C1220" s="4" t="s">
        <v>2320</v>
      </c>
      <c r="D1220" s="4" t="s">
        <v>242</v>
      </c>
      <c r="E1220" s="4" t="s">
        <v>2338</v>
      </c>
      <c r="F1220" s="4" t="s">
        <v>2337</v>
      </c>
      <c r="G1220" s="4" t="s">
        <v>2263</v>
      </c>
      <c r="H1220" s="9" t="s">
        <v>2263</v>
      </c>
      <c r="I1220" s="4" t="s">
        <v>2317</v>
      </c>
      <c r="J1220" s="4" t="s">
        <v>2316</v>
      </c>
      <c r="K1220" s="4" t="s">
        <v>2263</v>
      </c>
      <c r="L1220" s="10">
        <v>2</v>
      </c>
      <c r="M1220" s="5">
        <v>79990</v>
      </c>
      <c r="N1220" s="5">
        <v>159980</v>
      </c>
    </row>
    <row r="1221" spans="1:14" x14ac:dyDescent="0.25">
      <c r="A1221" s="4" t="s">
        <v>3801</v>
      </c>
      <c r="B1221" s="4" t="s">
        <v>4965</v>
      </c>
      <c r="C1221" s="4" t="s">
        <v>2320</v>
      </c>
      <c r="D1221" s="4" t="s">
        <v>242</v>
      </c>
      <c r="E1221" s="4" t="s">
        <v>2418</v>
      </c>
      <c r="F1221" s="4" t="s">
        <v>2417</v>
      </c>
      <c r="G1221" s="4" t="s">
        <v>2263</v>
      </c>
      <c r="H1221" s="9" t="s">
        <v>2263</v>
      </c>
      <c r="I1221" s="4" t="s">
        <v>2317</v>
      </c>
      <c r="J1221" s="4" t="s">
        <v>2316</v>
      </c>
      <c r="K1221" s="4" t="s">
        <v>2263</v>
      </c>
      <c r="L1221" s="10">
        <v>2</v>
      </c>
      <c r="M1221" s="5">
        <v>80197.548536585367</v>
      </c>
      <c r="N1221" s="5">
        <v>160395.09707317071</v>
      </c>
    </row>
    <row r="1222" spans="1:14" x14ac:dyDescent="0.25">
      <c r="A1222" s="4" t="s">
        <v>2279</v>
      </c>
      <c r="B1222" s="4" t="s">
        <v>4963</v>
      </c>
      <c r="C1222" s="4" t="s">
        <v>2320</v>
      </c>
      <c r="D1222" s="4" t="s">
        <v>242</v>
      </c>
      <c r="E1222" s="4" t="s">
        <v>2418</v>
      </c>
      <c r="F1222" s="4" t="s">
        <v>2417</v>
      </c>
      <c r="G1222" s="4" t="s">
        <v>2263</v>
      </c>
      <c r="H1222" s="9" t="s">
        <v>2263</v>
      </c>
      <c r="I1222" s="4" t="s">
        <v>2317</v>
      </c>
      <c r="J1222" s="4" t="s">
        <v>2316</v>
      </c>
      <c r="K1222" s="4" t="s">
        <v>2263</v>
      </c>
      <c r="L1222" s="10">
        <v>2</v>
      </c>
      <c r="M1222" s="5">
        <v>80197.548536585367</v>
      </c>
      <c r="N1222" s="5">
        <v>160395.09707317071</v>
      </c>
    </row>
    <row r="1223" spans="1:14" x14ac:dyDescent="0.25">
      <c r="A1223" s="4" t="s">
        <v>2481</v>
      </c>
      <c r="B1223" s="4" t="s">
        <v>3217</v>
      </c>
      <c r="C1223" s="4" t="s">
        <v>2320</v>
      </c>
      <c r="D1223" s="4" t="s">
        <v>242</v>
      </c>
      <c r="E1223" s="4" t="s">
        <v>2418</v>
      </c>
      <c r="F1223" s="4" t="s">
        <v>2417</v>
      </c>
      <c r="G1223" s="4" t="s">
        <v>2263</v>
      </c>
      <c r="H1223" s="9" t="s">
        <v>2263</v>
      </c>
      <c r="I1223" s="4" t="s">
        <v>2317</v>
      </c>
      <c r="J1223" s="4" t="s">
        <v>2316</v>
      </c>
      <c r="K1223" s="4" t="s">
        <v>2263</v>
      </c>
      <c r="L1223" s="10">
        <v>2</v>
      </c>
      <c r="M1223" s="5">
        <v>80197.548536585367</v>
      </c>
      <c r="N1223" s="5">
        <v>160395.09707317071</v>
      </c>
    </row>
    <row r="1224" spans="1:14" x14ac:dyDescent="0.25">
      <c r="A1224" s="4" t="s">
        <v>3196</v>
      </c>
      <c r="B1224" s="4" t="s">
        <v>3195</v>
      </c>
      <c r="C1224" s="4" t="s">
        <v>2320</v>
      </c>
      <c r="D1224" s="4" t="s">
        <v>242</v>
      </c>
      <c r="E1224" s="4" t="s">
        <v>2418</v>
      </c>
      <c r="F1224" s="4" t="s">
        <v>2417</v>
      </c>
      <c r="G1224" s="4" t="s">
        <v>2263</v>
      </c>
      <c r="H1224" s="9" t="s">
        <v>2263</v>
      </c>
      <c r="I1224" s="4" t="s">
        <v>2317</v>
      </c>
      <c r="J1224" s="4" t="s">
        <v>2316</v>
      </c>
      <c r="K1224" s="4" t="s">
        <v>2263</v>
      </c>
      <c r="L1224" s="10">
        <v>2</v>
      </c>
      <c r="M1224" s="5">
        <v>80197.548536585367</v>
      </c>
      <c r="N1224" s="5">
        <v>160395.09707317071</v>
      </c>
    </row>
    <row r="1225" spans="1:14" x14ac:dyDescent="0.25">
      <c r="A1225" s="4" t="s">
        <v>2384</v>
      </c>
      <c r="B1225" s="4" t="s">
        <v>3187</v>
      </c>
      <c r="C1225" s="4" t="s">
        <v>2320</v>
      </c>
      <c r="D1225" s="4" t="s">
        <v>242</v>
      </c>
      <c r="E1225" s="4" t="s">
        <v>2418</v>
      </c>
      <c r="F1225" s="4" t="s">
        <v>2417</v>
      </c>
      <c r="G1225" s="4" t="s">
        <v>2263</v>
      </c>
      <c r="H1225" s="9" t="s">
        <v>2263</v>
      </c>
      <c r="I1225" s="4" t="s">
        <v>2317</v>
      </c>
      <c r="J1225" s="4" t="s">
        <v>2316</v>
      </c>
      <c r="K1225" s="4" t="s">
        <v>2263</v>
      </c>
      <c r="L1225" s="10">
        <v>2</v>
      </c>
      <c r="M1225" s="5">
        <v>80197.548536585367</v>
      </c>
      <c r="N1225" s="5">
        <v>160395.09707317071</v>
      </c>
    </row>
    <row r="1226" spans="1:14" x14ac:dyDescent="0.25">
      <c r="A1226" s="4" t="s">
        <v>3174</v>
      </c>
      <c r="B1226" s="4" t="s">
        <v>3173</v>
      </c>
      <c r="C1226" s="4" t="s">
        <v>2320</v>
      </c>
      <c r="D1226" s="4" t="s">
        <v>242</v>
      </c>
      <c r="E1226" s="4" t="s">
        <v>2418</v>
      </c>
      <c r="F1226" s="4" t="s">
        <v>2417</v>
      </c>
      <c r="G1226" s="4" t="s">
        <v>2263</v>
      </c>
      <c r="H1226" s="9" t="s">
        <v>2263</v>
      </c>
      <c r="I1226" s="4" t="s">
        <v>2317</v>
      </c>
      <c r="J1226" s="4" t="s">
        <v>2316</v>
      </c>
      <c r="K1226" s="4" t="s">
        <v>2263</v>
      </c>
      <c r="L1226" s="10">
        <v>2</v>
      </c>
      <c r="M1226" s="5">
        <v>80197.548536585367</v>
      </c>
      <c r="N1226" s="5">
        <v>160395.09707317071</v>
      </c>
    </row>
    <row r="1227" spans="1:14" x14ac:dyDescent="0.25">
      <c r="A1227" s="4" t="s">
        <v>3104</v>
      </c>
      <c r="B1227" s="4" t="s">
        <v>3103</v>
      </c>
      <c r="C1227" s="4" t="s">
        <v>2320</v>
      </c>
      <c r="D1227" s="4" t="s">
        <v>242</v>
      </c>
      <c r="E1227" s="4" t="s">
        <v>2418</v>
      </c>
      <c r="F1227" s="4" t="s">
        <v>2417</v>
      </c>
      <c r="G1227" s="4" t="s">
        <v>2263</v>
      </c>
      <c r="H1227" s="9" t="s">
        <v>2263</v>
      </c>
      <c r="I1227" s="4" t="s">
        <v>2317</v>
      </c>
      <c r="J1227" s="4" t="s">
        <v>2316</v>
      </c>
      <c r="K1227" s="4" t="s">
        <v>2263</v>
      </c>
      <c r="L1227" s="10">
        <v>2</v>
      </c>
      <c r="M1227" s="5">
        <v>80197.548536585367</v>
      </c>
      <c r="N1227" s="5">
        <v>160395.09707317071</v>
      </c>
    </row>
    <row r="1228" spans="1:14" x14ac:dyDescent="0.25">
      <c r="A1228" s="4" t="s">
        <v>3063</v>
      </c>
      <c r="B1228" s="4" t="s">
        <v>3062</v>
      </c>
      <c r="C1228" s="4" t="s">
        <v>2320</v>
      </c>
      <c r="D1228" s="4" t="s">
        <v>242</v>
      </c>
      <c r="E1228" s="4" t="s">
        <v>2418</v>
      </c>
      <c r="F1228" s="4" t="s">
        <v>2417</v>
      </c>
      <c r="G1228" s="4" t="s">
        <v>2263</v>
      </c>
      <c r="H1228" s="9" t="s">
        <v>2263</v>
      </c>
      <c r="I1228" s="4" t="s">
        <v>2317</v>
      </c>
      <c r="J1228" s="4" t="s">
        <v>2316</v>
      </c>
      <c r="K1228" s="4" t="s">
        <v>2263</v>
      </c>
      <c r="L1228" s="10">
        <v>2</v>
      </c>
      <c r="M1228" s="5">
        <v>80197.548536585367</v>
      </c>
      <c r="N1228" s="5">
        <v>160395.09707317071</v>
      </c>
    </row>
    <row r="1229" spans="1:14" x14ac:dyDescent="0.25">
      <c r="A1229" s="4" t="s">
        <v>3051</v>
      </c>
      <c r="B1229" s="4" t="s">
        <v>3050</v>
      </c>
      <c r="C1229" s="4" t="s">
        <v>2320</v>
      </c>
      <c r="D1229" s="4" t="s">
        <v>242</v>
      </c>
      <c r="E1229" s="4" t="s">
        <v>2418</v>
      </c>
      <c r="F1229" s="4" t="s">
        <v>2417</v>
      </c>
      <c r="G1229" s="4" t="s">
        <v>2263</v>
      </c>
      <c r="H1229" s="9" t="s">
        <v>2263</v>
      </c>
      <c r="I1229" s="4" t="s">
        <v>2317</v>
      </c>
      <c r="J1229" s="4" t="s">
        <v>2316</v>
      </c>
      <c r="K1229" s="4" t="s">
        <v>2263</v>
      </c>
      <c r="L1229" s="10">
        <v>2</v>
      </c>
      <c r="M1229" s="5">
        <v>80197.548536585367</v>
      </c>
      <c r="N1229" s="5">
        <v>160395.09707317071</v>
      </c>
    </row>
    <row r="1230" spans="1:14" x14ac:dyDescent="0.25">
      <c r="A1230" s="4" t="s">
        <v>3024</v>
      </c>
      <c r="B1230" s="4" t="s">
        <v>3023</v>
      </c>
      <c r="C1230" s="4" t="s">
        <v>2320</v>
      </c>
      <c r="D1230" s="4" t="s">
        <v>242</v>
      </c>
      <c r="E1230" s="4" t="s">
        <v>2418</v>
      </c>
      <c r="F1230" s="4" t="s">
        <v>2417</v>
      </c>
      <c r="G1230" s="4" t="s">
        <v>2263</v>
      </c>
      <c r="H1230" s="9" t="s">
        <v>2263</v>
      </c>
      <c r="I1230" s="4" t="s">
        <v>2317</v>
      </c>
      <c r="J1230" s="4" t="s">
        <v>2316</v>
      </c>
      <c r="K1230" s="4" t="s">
        <v>2263</v>
      </c>
      <c r="L1230" s="10">
        <v>2</v>
      </c>
      <c r="M1230" s="5">
        <v>80197.548536585367</v>
      </c>
      <c r="N1230" s="5">
        <v>160395.09707317071</v>
      </c>
    </row>
    <row r="1231" spans="1:14" x14ac:dyDescent="0.25">
      <c r="A1231" s="4" t="s">
        <v>2386</v>
      </c>
      <c r="B1231" s="4" t="s">
        <v>2385</v>
      </c>
      <c r="C1231" s="4" t="s">
        <v>2320</v>
      </c>
      <c r="D1231" s="4" t="s">
        <v>242</v>
      </c>
      <c r="E1231" s="4" t="s">
        <v>2418</v>
      </c>
      <c r="F1231" s="4" t="s">
        <v>2417</v>
      </c>
      <c r="G1231" s="4" t="s">
        <v>2263</v>
      </c>
      <c r="H1231" s="9" t="s">
        <v>2263</v>
      </c>
      <c r="I1231" s="4" t="s">
        <v>2317</v>
      </c>
      <c r="J1231" s="4" t="s">
        <v>2316</v>
      </c>
      <c r="K1231" s="4" t="s">
        <v>2263</v>
      </c>
      <c r="L1231" s="10">
        <v>2</v>
      </c>
      <c r="M1231" s="5">
        <v>80197.548536585367</v>
      </c>
      <c r="N1231" s="5">
        <v>160395.09707317071</v>
      </c>
    </row>
    <row r="1232" spans="1:14" x14ac:dyDescent="0.25">
      <c r="A1232" s="4" t="s">
        <v>2653</v>
      </c>
      <c r="B1232" s="4" t="s">
        <v>3226</v>
      </c>
      <c r="C1232" s="4" t="s">
        <v>3203</v>
      </c>
      <c r="D1232" s="4" t="s">
        <v>256</v>
      </c>
      <c r="E1232" s="4" t="s">
        <v>3592</v>
      </c>
      <c r="F1232" s="4" t="s">
        <v>3591</v>
      </c>
      <c r="G1232" s="4" t="s">
        <v>2263</v>
      </c>
      <c r="H1232" s="9" t="s">
        <v>2263</v>
      </c>
      <c r="I1232" s="4" t="s">
        <v>2317</v>
      </c>
      <c r="J1232" s="4" t="s">
        <v>2316</v>
      </c>
      <c r="K1232" s="4" t="s">
        <v>2263</v>
      </c>
      <c r="L1232" s="10">
        <v>2</v>
      </c>
      <c r="M1232" s="5">
        <v>83119.399999999994</v>
      </c>
      <c r="N1232" s="5">
        <v>166238.79999999999</v>
      </c>
    </row>
    <row r="1233" spans="1:14" x14ac:dyDescent="0.25">
      <c r="A1233" s="4" t="s">
        <v>2317</v>
      </c>
      <c r="B1233" s="4" t="s">
        <v>3839</v>
      </c>
      <c r="C1233" s="4" t="s">
        <v>2320</v>
      </c>
      <c r="D1233" s="4" t="s">
        <v>242</v>
      </c>
      <c r="E1233" s="4" t="s">
        <v>4019</v>
      </c>
      <c r="F1233" s="4" t="s">
        <v>4018</v>
      </c>
      <c r="G1233" s="4" t="s">
        <v>2263</v>
      </c>
      <c r="H1233" s="9" t="s">
        <v>2263</v>
      </c>
      <c r="I1233" s="4" t="s">
        <v>2317</v>
      </c>
      <c r="J1233" s="4" t="s">
        <v>2316</v>
      </c>
      <c r="K1233" s="4" t="s">
        <v>2263</v>
      </c>
      <c r="L1233" s="10">
        <v>2</v>
      </c>
      <c r="M1233" s="5">
        <v>88333</v>
      </c>
      <c r="N1233" s="5">
        <v>176666</v>
      </c>
    </row>
    <row r="1234" spans="1:14" x14ac:dyDescent="0.25">
      <c r="A1234" s="4" t="s">
        <v>2653</v>
      </c>
      <c r="B1234" s="4" t="s">
        <v>3226</v>
      </c>
      <c r="C1234" s="4" t="s">
        <v>3203</v>
      </c>
      <c r="D1234" s="4" t="s">
        <v>256</v>
      </c>
      <c r="E1234" s="4" t="s">
        <v>3598</v>
      </c>
      <c r="F1234" s="4" t="s">
        <v>3597</v>
      </c>
      <c r="G1234" s="4" t="s">
        <v>2263</v>
      </c>
      <c r="H1234" s="9" t="s">
        <v>2263</v>
      </c>
      <c r="I1234" s="4" t="s">
        <v>2317</v>
      </c>
      <c r="J1234" s="4" t="s">
        <v>2316</v>
      </c>
      <c r="K1234" s="4" t="s">
        <v>2263</v>
      </c>
      <c r="L1234" s="10">
        <v>2</v>
      </c>
      <c r="M1234" s="5">
        <v>93711.32</v>
      </c>
      <c r="N1234" s="5">
        <v>187422.64</v>
      </c>
    </row>
    <row r="1235" spans="1:14" x14ac:dyDescent="0.25">
      <c r="A1235" s="4" t="s">
        <v>2761</v>
      </c>
      <c r="B1235" s="4" t="s">
        <v>2760</v>
      </c>
      <c r="C1235" s="4" t="s">
        <v>2320</v>
      </c>
      <c r="D1235" s="4" t="s">
        <v>242</v>
      </c>
      <c r="E1235" s="4" t="s">
        <v>2773</v>
      </c>
      <c r="F1235" s="4" t="s">
        <v>2772</v>
      </c>
      <c r="G1235" s="4" t="s">
        <v>2263</v>
      </c>
      <c r="H1235" s="9" t="s">
        <v>2263</v>
      </c>
      <c r="I1235" s="4" t="s">
        <v>2317</v>
      </c>
      <c r="J1235" s="4" t="s">
        <v>2316</v>
      </c>
      <c r="K1235" s="4" t="s">
        <v>2263</v>
      </c>
      <c r="L1235" s="10">
        <v>2</v>
      </c>
      <c r="M1235" s="5">
        <v>93891.305714285714</v>
      </c>
      <c r="N1235" s="5">
        <v>187782.61142857143</v>
      </c>
    </row>
    <row r="1236" spans="1:14" x14ac:dyDescent="0.25">
      <c r="A1236" s="4" t="s">
        <v>2930</v>
      </c>
      <c r="B1236" s="4" t="s">
        <v>2929</v>
      </c>
      <c r="C1236" s="4" t="s">
        <v>2320</v>
      </c>
      <c r="D1236" s="4" t="s">
        <v>242</v>
      </c>
      <c r="E1236" s="4" t="s">
        <v>2980</v>
      </c>
      <c r="F1236" s="4" t="s">
        <v>2979</v>
      </c>
      <c r="G1236" s="4" t="s">
        <v>2263</v>
      </c>
      <c r="H1236" s="9" t="s">
        <v>2263</v>
      </c>
      <c r="I1236" s="4" t="s">
        <v>2317</v>
      </c>
      <c r="J1236" s="4" t="s">
        <v>2316</v>
      </c>
      <c r="K1236" s="4" t="s">
        <v>2263</v>
      </c>
      <c r="L1236" s="10">
        <v>2</v>
      </c>
      <c r="M1236" s="5">
        <v>95230.947368421053</v>
      </c>
      <c r="N1236" s="5">
        <v>190461.89473684211</v>
      </c>
    </row>
    <row r="1237" spans="1:14" x14ac:dyDescent="0.25">
      <c r="A1237" s="4" t="s">
        <v>2344</v>
      </c>
      <c r="B1237" s="4" t="s">
        <v>5154</v>
      </c>
      <c r="C1237" s="4" t="s">
        <v>2274</v>
      </c>
      <c r="D1237" s="4" t="s">
        <v>2273</v>
      </c>
      <c r="E1237" s="4" t="s">
        <v>5255</v>
      </c>
      <c r="F1237" s="4" t="s">
        <v>5254</v>
      </c>
      <c r="G1237" s="4" t="s">
        <v>2263</v>
      </c>
      <c r="H1237" s="9" t="s">
        <v>2263</v>
      </c>
      <c r="I1237" s="4" t="s">
        <v>2263</v>
      </c>
      <c r="J1237" s="4" t="s">
        <v>2263</v>
      </c>
      <c r="K1237" s="4" t="s">
        <v>5253</v>
      </c>
      <c r="L1237" s="10">
        <v>2</v>
      </c>
      <c r="M1237" s="5">
        <v>105457</v>
      </c>
      <c r="N1237" s="5">
        <v>210914</v>
      </c>
    </row>
    <row r="1238" spans="1:14" x14ac:dyDescent="0.25">
      <c r="A1238" s="4" t="s">
        <v>2344</v>
      </c>
      <c r="B1238" s="4" t="s">
        <v>5154</v>
      </c>
      <c r="C1238" s="4" t="s">
        <v>2320</v>
      </c>
      <c r="D1238" s="4" t="s">
        <v>242</v>
      </c>
      <c r="E1238" s="4" t="s">
        <v>4245</v>
      </c>
      <c r="F1238" s="4" t="s">
        <v>4244</v>
      </c>
      <c r="G1238" s="4" t="s">
        <v>2263</v>
      </c>
      <c r="H1238" s="9" t="s">
        <v>2263</v>
      </c>
      <c r="I1238" s="4" t="s">
        <v>2317</v>
      </c>
      <c r="J1238" s="4" t="s">
        <v>2316</v>
      </c>
      <c r="K1238" s="4" t="s">
        <v>2263</v>
      </c>
      <c r="L1238" s="10">
        <v>2</v>
      </c>
      <c r="M1238" s="5">
        <v>113448.33333333333</v>
      </c>
      <c r="N1238" s="5">
        <v>226896.66666666669</v>
      </c>
    </row>
    <row r="1239" spans="1:14" x14ac:dyDescent="0.25">
      <c r="A1239" s="4" t="s">
        <v>2344</v>
      </c>
      <c r="B1239" s="4" t="s">
        <v>5154</v>
      </c>
      <c r="C1239" s="4" t="s">
        <v>2320</v>
      </c>
      <c r="D1239" s="4" t="s">
        <v>242</v>
      </c>
      <c r="E1239" s="4" t="s">
        <v>5123</v>
      </c>
      <c r="F1239" s="4" t="s">
        <v>5122</v>
      </c>
      <c r="G1239" s="4" t="s">
        <v>2263</v>
      </c>
      <c r="H1239" s="9" t="s">
        <v>2263</v>
      </c>
      <c r="I1239" s="4" t="s">
        <v>2317</v>
      </c>
      <c r="J1239" s="4" t="s">
        <v>2316</v>
      </c>
      <c r="K1239" s="4" t="s">
        <v>2263</v>
      </c>
      <c r="L1239" s="10">
        <v>2</v>
      </c>
      <c r="M1239" s="5">
        <v>116186.63333333333</v>
      </c>
      <c r="N1239" s="5">
        <v>232373.26666666669</v>
      </c>
    </row>
    <row r="1240" spans="1:14" x14ac:dyDescent="0.25">
      <c r="A1240" s="4" t="s">
        <v>2653</v>
      </c>
      <c r="B1240" s="4" t="s">
        <v>3226</v>
      </c>
      <c r="C1240" s="4" t="s">
        <v>2384</v>
      </c>
      <c r="D1240" s="4" t="s">
        <v>262</v>
      </c>
      <c r="E1240" s="4" t="s">
        <v>3480</v>
      </c>
      <c r="F1240" s="4" t="s">
        <v>3479</v>
      </c>
      <c r="G1240" s="4" t="s">
        <v>2263</v>
      </c>
      <c r="H1240" s="9" t="s">
        <v>2263</v>
      </c>
      <c r="I1240" s="4" t="s">
        <v>2317</v>
      </c>
      <c r="J1240" s="4" t="s">
        <v>2316</v>
      </c>
      <c r="K1240" s="4" t="s">
        <v>2263</v>
      </c>
      <c r="L1240" s="10">
        <v>2</v>
      </c>
      <c r="M1240" s="5">
        <v>121377.48</v>
      </c>
      <c r="N1240" s="5">
        <v>242754.96</v>
      </c>
    </row>
    <row r="1241" spans="1:14" x14ac:dyDescent="0.25">
      <c r="A1241" s="4" t="s">
        <v>2320</v>
      </c>
      <c r="B1241" s="4" t="s">
        <v>4967</v>
      </c>
      <c r="C1241" s="4" t="s">
        <v>2320</v>
      </c>
      <c r="D1241" s="4" t="s">
        <v>242</v>
      </c>
      <c r="E1241" s="4" t="s">
        <v>4335</v>
      </c>
      <c r="F1241" s="4" t="s">
        <v>4334</v>
      </c>
      <c r="G1241" s="4" t="s">
        <v>2263</v>
      </c>
      <c r="H1241" s="9" t="s">
        <v>2263</v>
      </c>
      <c r="I1241" s="4" t="s">
        <v>2317</v>
      </c>
      <c r="J1241" s="4" t="s">
        <v>2316</v>
      </c>
      <c r="K1241" s="4" t="s">
        <v>2263</v>
      </c>
      <c r="L1241" s="10">
        <v>2</v>
      </c>
      <c r="M1241" s="5">
        <v>124536.58499999999</v>
      </c>
      <c r="N1241" s="5">
        <v>249073.17</v>
      </c>
    </row>
    <row r="1242" spans="1:14" x14ac:dyDescent="0.25">
      <c r="A1242" s="4" t="s">
        <v>2317</v>
      </c>
      <c r="B1242" s="4" t="s">
        <v>3839</v>
      </c>
      <c r="C1242" s="4" t="s">
        <v>2320</v>
      </c>
      <c r="D1242" s="4" t="s">
        <v>242</v>
      </c>
      <c r="E1242" s="4" t="s">
        <v>4015</v>
      </c>
      <c r="F1242" s="4" t="s">
        <v>4014</v>
      </c>
      <c r="G1242" s="4" t="s">
        <v>2263</v>
      </c>
      <c r="H1242" s="9" t="s">
        <v>2263</v>
      </c>
      <c r="I1242" s="4" t="s">
        <v>2317</v>
      </c>
      <c r="J1242" s="4" t="s">
        <v>2316</v>
      </c>
      <c r="K1242" s="4" t="s">
        <v>2263</v>
      </c>
      <c r="L1242" s="10">
        <v>2</v>
      </c>
      <c r="M1242" s="5">
        <v>125774.17</v>
      </c>
      <c r="N1242" s="5">
        <v>251548.34</v>
      </c>
    </row>
    <row r="1243" spans="1:14" x14ac:dyDescent="0.25">
      <c r="A1243" s="4" t="s">
        <v>2344</v>
      </c>
      <c r="B1243" s="4" t="s">
        <v>5154</v>
      </c>
      <c r="C1243" s="4" t="s">
        <v>2320</v>
      </c>
      <c r="D1243" s="4" t="s">
        <v>242</v>
      </c>
      <c r="E1243" s="4" t="s">
        <v>4039</v>
      </c>
      <c r="F1243" s="4" t="s">
        <v>4038</v>
      </c>
      <c r="G1243" s="4" t="s">
        <v>2263</v>
      </c>
      <c r="H1243" s="9" t="s">
        <v>2263</v>
      </c>
      <c r="I1243" s="4" t="s">
        <v>2317</v>
      </c>
      <c r="J1243" s="4" t="s">
        <v>2316</v>
      </c>
      <c r="K1243" s="4" t="s">
        <v>2263</v>
      </c>
      <c r="L1243" s="10">
        <v>2</v>
      </c>
      <c r="M1243" s="5">
        <v>126428.15222222223</v>
      </c>
      <c r="N1243" s="5">
        <v>252856.30444444445</v>
      </c>
    </row>
    <row r="1244" spans="1:14" x14ac:dyDescent="0.25">
      <c r="A1244" s="4" t="s">
        <v>2320</v>
      </c>
      <c r="B1244" s="4" t="s">
        <v>4967</v>
      </c>
      <c r="C1244" s="4" t="s">
        <v>2320</v>
      </c>
      <c r="D1244" s="4" t="s">
        <v>242</v>
      </c>
      <c r="E1244" s="4" t="s">
        <v>4039</v>
      </c>
      <c r="F1244" s="4" t="s">
        <v>4038</v>
      </c>
      <c r="G1244" s="4" t="s">
        <v>2263</v>
      </c>
      <c r="H1244" s="9" t="s">
        <v>2263</v>
      </c>
      <c r="I1244" s="4" t="s">
        <v>2317</v>
      </c>
      <c r="J1244" s="4" t="s">
        <v>2316</v>
      </c>
      <c r="K1244" s="4" t="s">
        <v>2263</v>
      </c>
      <c r="L1244" s="10">
        <v>2</v>
      </c>
      <c r="M1244" s="5">
        <v>126428.15222222223</v>
      </c>
      <c r="N1244" s="5">
        <v>252856.30444444445</v>
      </c>
    </row>
    <row r="1245" spans="1:14" x14ac:dyDescent="0.25">
      <c r="A1245" s="4" t="s">
        <v>2344</v>
      </c>
      <c r="B1245" s="4" t="s">
        <v>5154</v>
      </c>
      <c r="C1245" s="4" t="s">
        <v>2320</v>
      </c>
      <c r="D1245" s="4" t="s">
        <v>242</v>
      </c>
      <c r="E1245" s="4" t="s">
        <v>4037</v>
      </c>
      <c r="F1245" s="4" t="s">
        <v>4036</v>
      </c>
      <c r="G1245" s="4" t="s">
        <v>2263</v>
      </c>
      <c r="H1245" s="9" t="s">
        <v>2263</v>
      </c>
      <c r="I1245" s="4" t="s">
        <v>2317</v>
      </c>
      <c r="J1245" s="4" t="s">
        <v>2316</v>
      </c>
      <c r="K1245" s="4" t="s">
        <v>2263</v>
      </c>
      <c r="L1245" s="10">
        <v>2</v>
      </c>
      <c r="M1245" s="5">
        <v>126651.68888888888</v>
      </c>
      <c r="N1245" s="5">
        <v>253303.37777777776</v>
      </c>
    </row>
    <row r="1246" spans="1:14" x14ac:dyDescent="0.25">
      <c r="A1246" s="4" t="s">
        <v>2320</v>
      </c>
      <c r="B1246" s="4" t="s">
        <v>4967</v>
      </c>
      <c r="C1246" s="4" t="s">
        <v>2320</v>
      </c>
      <c r="D1246" s="4" t="s">
        <v>242</v>
      </c>
      <c r="E1246" s="4" t="s">
        <v>5057</v>
      </c>
      <c r="F1246" s="4" t="s">
        <v>5056</v>
      </c>
      <c r="G1246" s="4" t="s">
        <v>2263</v>
      </c>
      <c r="H1246" s="9" t="s">
        <v>2263</v>
      </c>
      <c r="I1246" s="4" t="s">
        <v>2317</v>
      </c>
      <c r="J1246" s="4" t="s">
        <v>2316</v>
      </c>
      <c r="K1246" s="4" t="s">
        <v>2263</v>
      </c>
      <c r="L1246" s="10">
        <v>2</v>
      </c>
      <c r="M1246" s="5">
        <v>126787.47</v>
      </c>
      <c r="N1246" s="5">
        <v>253574.94</v>
      </c>
    </row>
    <row r="1247" spans="1:14" x14ac:dyDescent="0.25">
      <c r="A1247" s="4" t="s">
        <v>2344</v>
      </c>
      <c r="B1247" s="4" t="s">
        <v>5154</v>
      </c>
      <c r="C1247" s="4" t="s">
        <v>2320</v>
      </c>
      <c r="D1247" s="4" t="s">
        <v>242</v>
      </c>
      <c r="E1247" s="4" t="s">
        <v>4035</v>
      </c>
      <c r="F1247" s="4" t="s">
        <v>4034</v>
      </c>
      <c r="G1247" s="4" t="s">
        <v>2263</v>
      </c>
      <c r="H1247" s="9" t="s">
        <v>2263</v>
      </c>
      <c r="I1247" s="4" t="s">
        <v>2317</v>
      </c>
      <c r="J1247" s="4" t="s">
        <v>2316</v>
      </c>
      <c r="K1247" s="4" t="s">
        <v>2263</v>
      </c>
      <c r="L1247" s="10">
        <v>2</v>
      </c>
      <c r="M1247" s="5">
        <v>127557.78</v>
      </c>
      <c r="N1247" s="5">
        <v>255115.56</v>
      </c>
    </row>
    <row r="1248" spans="1:14" x14ac:dyDescent="0.25">
      <c r="A1248" s="4" t="s">
        <v>2930</v>
      </c>
      <c r="B1248" s="4" t="s">
        <v>2929</v>
      </c>
      <c r="C1248" s="4" t="s">
        <v>2320</v>
      </c>
      <c r="D1248" s="4" t="s">
        <v>242</v>
      </c>
      <c r="E1248" s="4" t="s">
        <v>2984</v>
      </c>
      <c r="F1248" s="4" t="s">
        <v>2983</v>
      </c>
      <c r="G1248" s="4" t="s">
        <v>2263</v>
      </c>
      <c r="H1248" s="9" t="s">
        <v>2263</v>
      </c>
      <c r="I1248" s="4" t="s">
        <v>2317</v>
      </c>
      <c r="J1248" s="4" t="s">
        <v>2316</v>
      </c>
      <c r="K1248" s="4" t="s">
        <v>2263</v>
      </c>
      <c r="L1248" s="10">
        <v>2</v>
      </c>
      <c r="M1248" s="5">
        <v>131177.4588372093</v>
      </c>
      <c r="N1248" s="5">
        <v>262354.9176744186</v>
      </c>
    </row>
    <row r="1249" spans="1:14" x14ac:dyDescent="0.25">
      <c r="A1249" s="4" t="s">
        <v>2317</v>
      </c>
      <c r="B1249" s="4" t="s">
        <v>3839</v>
      </c>
      <c r="C1249" s="4" t="s">
        <v>2320</v>
      </c>
      <c r="D1249" s="4" t="s">
        <v>242</v>
      </c>
      <c r="E1249" s="4" t="s">
        <v>4065</v>
      </c>
      <c r="F1249" s="4" t="s">
        <v>4064</v>
      </c>
      <c r="G1249" s="4" t="s">
        <v>2263</v>
      </c>
      <c r="H1249" s="9" t="s">
        <v>2263</v>
      </c>
      <c r="I1249" s="4" t="s">
        <v>2317</v>
      </c>
      <c r="J1249" s="4" t="s">
        <v>2316</v>
      </c>
      <c r="K1249" s="4" t="s">
        <v>2263</v>
      </c>
      <c r="L1249" s="10">
        <v>2</v>
      </c>
      <c r="M1249" s="5">
        <v>132210</v>
      </c>
      <c r="N1249" s="5">
        <v>264420</v>
      </c>
    </row>
    <row r="1250" spans="1:14" x14ac:dyDescent="0.25">
      <c r="A1250" s="4" t="s">
        <v>2344</v>
      </c>
      <c r="B1250" s="4" t="s">
        <v>5154</v>
      </c>
      <c r="C1250" s="4" t="s">
        <v>2320</v>
      </c>
      <c r="D1250" s="4" t="s">
        <v>242</v>
      </c>
      <c r="E1250" s="4" t="s">
        <v>4241</v>
      </c>
      <c r="F1250" s="4" t="s">
        <v>4240</v>
      </c>
      <c r="G1250" s="4" t="s">
        <v>2263</v>
      </c>
      <c r="H1250" s="9" t="s">
        <v>2263</v>
      </c>
      <c r="I1250" s="4" t="s">
        <v>2317</v>
      </c>
      <c r="J1250" s="4" t="s">
        <v>2316</v>
      </c>
      <c r="K1250" s="4" t="s">
        <v>2263</v>
      </c>
      <c r="L1250" s="10">
        <v>2</v>
      </c>
      <c r="M1250" s="5">
        <v>132235.43700000001</v>
      </c>
      <c r="N1250" s="5">
        <v>264470.87400000001</v>
      </c>
    </row>
    <row r="1251" spans="1:14" x14ac:dyDescent="0.25">
      <c r="A1251" s="4" t="s">
        <v>2320</v>
      </c>
      <c r="B1251" s="4" t="s">
        <v>4967</v>
      </c>
      <c r="C1251" s="4" t="s">
        <v>2320</v>
      </c>
      <c r="D1251" s="4" t="s">
        <v>242</v>
      </c>
      <c r="E1251" s="4" t="s">
        <v>4241</v>
      </c>
      <c r="F1251" s="4" t="s">
        <v>4240</v>
      </c>
      <c r="G1251" s="4" t="s">
        <v>2263</v>
      </c>
      <c r="H1251" s="9" t="s">
        <v>2263</v>
      </c>
      <c r="I1251" s="4" t="s">
        <v>2317</v>
      </c>
      <c r="J1251" s="4" t="s">
        <v>2316</v>
      </c>
      <c r="K1251" s="4" t="s">
        <v>2263</v>
      </c>
      <c r="L1251" s="10">
        <v>2</v>
      </c>
      <c r="M1251" s="5">
        <v>132235.43700000001</v>
      </c>
      <c r="N1251" s="5">
        <v>264470.87400000001</v>
      </c>
    </row>
    <row r="1252" spans="1:14" x14ac:dyDescent="0.25">
      <c r="A1252" s="4" t="s">
        <v>2320</v>
      </c>
      <c r="B1252" s="4" t="s">
        <v>4967</v>
      </c>
      <c r="C1252" s="4" t="s">
        <v>2320</v>
      </c>
      <c r="D1252" s="4" t="s">
        <v>242</v>
      </c>
      <c r="E1252" s="4" t="s">
        <v>2813</v>
      </c>
      <c r="F1252" s="4" t="s">
        <v>2812</v>
      </c>
      <c r="G1252" s="4" t="s">
        <v>2263</v>
      </c>
      <c r="H1252" s="9" t="s">
        <v>2263</v>
      </c>
      <c r="I1252" s="4" t="s">
        <v>2317</v>
      </c>
      <c r="J1252" s="4" t="s">
        <v>2316</v>
      </c>
      <c r="K1252" s="4" t="s">
        <v>2263</v>
      </c>
      <c r="L1252" s="10">
        <v>2</v>
      </c>
      <c r="M1252" s="5">
        <v>135729.74428571429</v>
      </c>
      <c r="N1252" s="5">
        <v>271459.48857142858</v>
      </c>
    </row>
    <row r="1253" spans="1:14" x14ac:dyDescent="0.25">
      <c r="A1253" s="4" t="s">
        <v>2320</v>
      </c>
      <c r="B1253" s="4" t="s">
        <v>4967</v>
      </c>
      <c r="C1253" s="4" t="s">
        <v>2320</v>
      </c>
      <c r="D1253" s="4" t="s">
        <v>242</v>
      </c>
      <c r="E1253" s="4" t="s">
        <v>5131</v>
      </c>
      <c r="F1253" s="4" t="s">
        <v>5130</v>
      </c>
      <c r="G1253" s="4" t="s">
        <v>2263</v>
      </c>
      <c r="H1253" s="9" t="s">
        <v>2263</v>
      </c>
      <c r="I1253" s="4" t="s">
        <v>2317</v>
      </c>
      <c r="J1253" s="4" t="s">
        <v>2316</v>
      </c>
      <c r="K1253" s="4" t="s">
        <v>2263</v>
      </c>
      <c r="L1253" s="10">
        <v>2</v>
      </c>
      <c r="M1253" s="5">
        <v>141140.79999999999</v>
      </c>
      <c r="N1253" s="5">
        <v>282281.59999999998</v>
      </c>
    </row>
    <row r="1254" spans="1:14" x14ac:dyDescent="0.25">
      <c r="A1254" s="4" t="s">
        <v>2653</v>
      </c>
      <c r="B1254" s="4" t="s">
        <v>3226</v>
      </c>
      <c r="C1254" s="4" t="s">
        <v>2384</v>
      </c>
      <c r="D1254" s="4" t="s">
        <v>262</v>
      </c>
      <c r="E1254" s="4" t="s">
        <v>3428</v>
      </c>
      <c r="F1254" s="4" t="s">
        <v>3427</v>
      </c>
      <c r="G1254" s="4" t="s">
        <v>2263</v>
      </c>
      <c r="H1254" s="9" t="s">
        <v>2263</v>
      </c>
      <c r="I1254" s="4" t="s">
        <v>2317</v>
      </c>
      <c r="J1254" s="4" t="s">
        <v>2316</v>
      </c>
      <c r="K1254" s="4" t="s">
        <v>2263</v>
      </c>
      <c r="L1254" s="10">
        <v>2</v>
      </c>
      <c r="M1254" s="5">
        <v>145679.48499999999</v>
      </c>
      <c r="N1254" s="5">
        <v>291358.96999999997</v>
      </c>
    </row>
    <row r="1255" spans="1:14" x14ac:dyDescent="0.25">
      <c r="A1255" s="4" t="s">
        <v>2344</v>
      </c>
      <c r="B1255" s="4" t="s">
        <v>5154</v>
      </c>
      <c r="C1255" s="4" t="s">
        <v>2274</v>
      </c>
      <c r="D1255" s="4" t="s">
        <v>2273</v>
      </c>
      <c r="E1255" s="4" t="s">
        <v>5247</v>
      </c>
      <c r="F1255" s="4" t="s">
        <v>5246</v>
      </c>
      <c r="G1255" s="4" t="s">
        <v>2263</v>
      </c>
      <c r="H1255" s="9" t="s">
        <v>2263</v>
      </c>
      <c r="I1255" s="4" t="s">
        <v>2263</v>
      </c>
      <c r="J1255" s="4" t="s">
        <v>2263</v>
      </c>
      <c r="K1255" s="4" t="s">
        <v>5245</v>
      </c>
      <c r="L1255" s="10">
        <v>2</v>
      </c>
      <c r="M1255" s="5">
        <v>149500</v>
      </c>
      <c r="N1255" s="5">
        <v>299000</v>
      </c>
    </row>
    <row r="1256" spans="1:14" x14ac:dyDescent="0.25">
      <c r="A1256" s="4" t="s">
        <v>2761</v>
      </c>
      <c r="B1256" s="4" t="s">
        <v>2760</v>
      </c>
      <c r="C1256" s="4" t="s">
        <v>2320</v>
      </c>
      <c r="D1256" s="4" t="s">
        <v>242</v>
      </c>
      <c r="E1256" s="4" t="s">
        <v>2785</v>
      </c>
      <c r="F1256" s="4" t="s">
        <v>2784</v>
      </c>
      <c r="G1256" s="4" t="s">
        <v>2263</v>
      </c>
      <c r="H1256" s="9" t="s">
        <v>2263</v>
      </c>
      <c r="I1256" s="4" t="s">
        <v>2317</v>
      </c>
      <c r="J1256" s="4" t="s">
        <v>2316</v>
      </c>
      <c r="K1256" s="4" t="s">
        <v>2263</v>
      </c>
      <c r="L1256" s="10">
        <v>2</v>
      </c>
      <c r="M1256" s="5">
        <v>155177.1</v>
      </c>
      <c r="N1256" s="5">
        <v>310354.2</v>
      </c>
    </row>
    <row r="1257" spans="1:14" x14ac:dyDescent="0.25">
      <c r="A1257" s="4" t="s">
        <v>2344</v>
      </c>
      <c r="B1257" s="4" t="s">
        <v>5154</v>
      </c>
      <c r="C1257" s="4" t="s">
        <v>2320</v>
      </c>
      <c r="D1257" s="4" t="s">
        <v>242</v>
      </c>
      <c r="E1257" s="4" t="s">
        <v>5332</v>
      </c>
      <c r="F1257" s="4" t="s">
        <v>5331</v>
      </c>
      <c r="G1257" s="4" t="s">
        <v>2263</v>
      </c>
      <c r="H1257" s="9" t="s">
        <v>2263</v>
      </c>
      <c r="I1257" s="4" t="s">
        <v>2317</v>
      </c>
      <c r="J1257" s="4" t="s">
        <v>2316</v>
      </c>
      <c r="K1257" s="4" t="s">
        <v>2263</v>
      </c>
      <c r="L1257" s="10">
        <v>2</v>
      </c>
      <c r="M1257" s="5">
        <v>161701.96</v>
      </c>
      <c r="N1257" s="5">
        <v>323403.92</v>
      </c>
    </row>
    <row r="1258" spans="1:14" x14ac:dyDescent="0.25">
      <c r="A1258" s="4" t="s">
        <v>2344</v>
      </c>
      <c r="B1258" s="4" t="s">
        <v>5154</v>
      </c>
      <c r="C1258" s="4" t="s">
        <v>2320</v>
      </c>
      <c r="D1258" s="4" t="s">
        <v>242</v>
      </c>
      <c r="E1258" s="4" t="s">
        <v>5328</v>
      </c>
      <c r="F1258" s="4" t="s">
        <v>5327</v>
      </c>
      <c r="G1258" s="4" t="s">
        <v>2263</v>
      </c>
      <c r="H1258" s="9" t="s">
        <v>2263</v>
      </c>
      <c r="I1258" s="4" t="s">
        <v>2317</v>
      </c>
      <c r="J1258" s="4" t="s">
        <v>2316</v>
      </c>
      <c r="K1258" s="4" t="s">
        <v>2263</v>
      </c>
      <c r="L1258" s="10">
        <v>2</v>
      </c>
      <c r="M1258" s="5">
        <v>166600</v>
      </c>
      <c r="N1258" s="5">
        <v>333200</v>
      </c>
    </row>
    <row r="1259" spans="1:14" x14ac:dyDescent="0.25">
      <c r="A1259" s="4" t="s">
        <v>2344</v>
      </c>
      <c r="B1259" s="4" t="s">
        <v>5154</v>
      </c>
      <c r="C1259" s="4" t="s">
        <v>2320</v>
      </c>
      <c r="D1259" s="4" t="s">
        <v>242</v>
      </c>
      <c r="E1259" s="4" t="s">
        <v>3115</v>
      </c>
      <c r="F1259" s="4" t="s">
        <v>3114</v>
      </c>
      <c r="G1259" s="4" t="s">
        <v>2263</v>
      </c>
      <c r="H1259" s="9" t="s">
        <v>2263</v>
      </c>
      <c r="I1259" s="4" t="s">
        <v>2317</v>
      </c>
      <c r="J1259" s="4" t="s">
        <v>2316</v>
      </c>
      <c r="K1259" s="4" t="s">
        <v>2263</v>
      </c>
      <c r="L1259" s="10">
        <v>2</v>
      </c>
      <c r="M1259" s="5">
        <v>176814.75</v>
      </c>
      <c r="N1259" s="5">
        <v>353629.5</v>
      </c>
    </row>
    <row r="1260" spans="1:14" x14ac:dyDescent="0.25">
      <c r="A1260" s="4" t="s">
        <v>2761</v>
      </c>
      <c r="B1260" s="4" t="s">
        <v>2760</v>
      </c>
      <c r="C1260" s="4" t="s">
        <v>2320</v>
      </c>
      <c r="D1260" s="4" t="s">
        <v>242</v>
      </c>
      <c r="E1260" s="4" t="s">
        <v>2787</v>
      </c>
      <c r="F1260" s="4" t="s">
        <v>2786</v>
      </c>
      <c r="G1260" s="4" t="s">
        <v>2263</v>
      </c>
      <c r="H1260" s="9" t="s">
        <v>2263</v>
      </c>
      <c r="I1260" s="4" t="s">
        <v>2317</v>
      </c>
      <c r="J1260" s="4" t="s">
        <v>2316</v>
      </c>
      <c r="K1260" s="4" t="s">
        <v>2263</v>
      </c>
      <c r="L1260" s="10">
        <v>2</v>
      </c>
      <c r="M1260" s="5">
        <v>182459.11333333334</v>
      </c>
      <c r="N1260" s="5">
        <v>364918.22666666663</v>
      </c>
    </row>
    <row r="1261" spans="1:14" x14ac:dyDescent="0.25">
      <c r="A1261" s="4" t="s">
        <v>2320</v>
      </c>
      <c r="B1261" s="4" t="s">
        <v>4967</v>
      </c>
      <c r="C1261" s="4" t="s">
        <v>2320</v>
      </c>
      <c r="D1261" s="4" t="s">
        <v>242</v>
      </c>
      <c r="E1261" s="4" t="s">
        <v>4309</v>
      </c>
      <c r="F1261" s="4" t="s">
        <v>4308</v>
      </c>
      <c r="G1261" s="4" t="s">
        <v>2263</v>
      </c>
      <c r="H1261" s="9" t="s">
        <v>2263</v>
      </c>
      <c r="I1261" s="4" t="s">
        <v>2317</v>
      </c>
      <c r="J1261" s="4" t="s">
        <v>2316</v>
      </c>
      <c r="K1261" s="4" t="s">
        <v>2263</v>
      </c>
      <c r="L1261" s="10">
        <v>2</v>
      </c>
      <c r="M1261" s="5">
        <v>191583.57142857142</v>
      </c>
      <c r="N1261" s="5">
        <v>383167.1428571429</v>
      </c>
    </row>
    <row r="1262" spans="1:14" x14ac:dyDescent="0.25">
      <c r="A1262" s="4" t="s">
        <v>2653</v>
      </c>
      <c r="B1262" s="4" t="s">
        <v>3226</v>
      </c>
      <c r="C1262" s="4" t="s">
        <v>2384</v>
      </c>
      <c r="D1262" s="4" t="s">
        <v>262</v>
      </c>
      <c r="E1262" s="4" t="s">
        <v>3376</v>
      </c>
      <c r="F1262" s="4" t="s">
        <v>3375</v>
      </c>
      <c r="G1262" s="4" t="s">
        <v>2263</v>
      </c>
      <c r="H1262" s="9" t="s">
        <v>2263</v>
      </c>
      <c r="I1262" s="4" t="s">
        <v>2317</v>
      </c>
      <c r="J1262" s="4" t="s">
        <v>2316</v>
      </c>
      <c r="K1262" s="4" t="s">
        <v>2263</v>
      </c>
      <c r="L1262" s="10">
        <v>2</v>
      </c>
      <c r="M1262" s="5">
        <v>197093</v>
      </c>
      <c r="N1262" s="5">
        <v>394186</v>
      </c>
    </row>
    <row r="1263" spans="1:14" x14ac:dyDescent="0.25">
      <c r="A1263" s="4" t="s">
        <v>2320</v>
      </c>
      <c r="B1263" s="4" t="s">
        <v>4967</v>
      </c>
      <c r="C1263" s="4" t="s">
        <v>2320</v>
      </c>
      <c r="D1263" s="4" t="s">
        <v>242</v>
      </c>
      <c r="E1263" s="4" t="s">
        <v>4305</v>
      </c>
      <c r="F1263" s="4" t="s">
        <v>4304</v>
      </c>
      <c r="G1263" s="4" t="s">
        <v>2263</v>
      </c>
      <c r="H1263" s="9" t="s">
        <v>2263</v>
      </c>
      <c r="I1263" s="4" t="s">
        <v>2317</v>
      </c>
      <c r="J1263" s="4" t="s">
        <v>2316</v>
      </c>
      <c r="K1263" s="4" t="s">
        <v>2263</v>
      </c>
      <c r="L1263" s="10">
        <v>2</v>
      </c>
      <c r="M1263" s="5">
        <v>197500</v>
      </c>
      <c r="N1263" s="5">
        <v>395000</v>
      </c>
    </row>
    <row r="1264" spans="1:14" x14ac:dyDescent="0.25">
      <c r="A1264" s="4" t="s">
        <v>2320</v>
      </c>
      <c r="B1264" s="4" t="s">
        <v>4967</v>
      </c>
      <c r="C1264" s="4" t="s">
        <v>2320</v>
      </c>
      <c r="D1264" s="4" t="s">
        <v>242</v>
      </c>
      <c r="E1264" s="4" t="s">
        <v>3857</v>
      </c>
      <c r="F1264" s="4" t="s">
        <v>3856</v>
      </c>
      <c r="G1264" s="4" t="s">
        <v>2263</v>
      </c>
      <c r="H1264" s="9" t="s">
        <v>2263</v>
      </c>
      <c r="I1264" s="4" t="s">
        <v>2317</v>
      </c>
      <c r="J1264" s="4" t="s">
        <v>2316</v>
      </c>
      <c r="K1264" s="4" t="s">
        <v>2263</v>
      </c>
      <c r="L1264" s="10">
        <v>2</v>
      </c>
      <c r="M1264" s="5">
        <v>197535.65384615384</v>
      </c>
      <c r="N1264" s="5">
        <v>395071.30769230769</v>
      </c>
    </row>
    <row r="1265" spans="1:14" x14ac:dyDescent="0.25">
      <c r="A1265" s="4" t="s">
        <v>2344</v>
      </c>
      <c r="B1265" s="4" t="s">
        <v>5154</v>
      </c>
      <c r="C1265" s="4" t="s">
        <v>2274</v>
      </c>
      <c r="D1265" s="4" t="s">
        <v>2273</v>
      </c>
      <c r="E1265" s="4" t="s">
        <v>4515</v>
      </c>
      <c r="F1265" s="4" t="s">
        <v>4514</v>
      </c>
      <c r="G1265" s="4" t="s">
        <v>2263</v>
      </c>
      <c r="H1265" s="9" t="s">
        <v>2263</v>
      </c>
      <c r="I1265" s="4" t="s">
        <v>2263</v>
      </c>
      <c r="J1265" s="4" t="s">
        <v>2263</v>
      </c>
      <c r="K1265" s="4" t="s">
        <v>4513</v>
      </c>
      <c r="L1265" s="10">
        <v>2</v>
      </c>
      <c r="M1265" s="5">
        <v>207500</v>
      </c>
      <c r="N1265" s="5">
        <v>415000</v>
      </c>
    </row>
    <row r="1266" spans="1:14" x14ac:dyDescent="0.25">
      <c r="A1266" s="4" t="s">
        <v>2344</v>
      </c>
      <c r="B1266" s="4" t="s">
        <v>5154</v>
      </c>
      <c r="C1266" s="4" t="s">
        <v>2320</v>
      </c>
      <c r="D1266" s="4" t="s">
        <v>242</v>
      </c>
      <c r="E1266" s="4" t="s">
        <v>5326</v>
      </c>
      <c r="F1266" s="4" t="s">
        <v>5325</v>
      </c>
      <c r="G1266" s="4" t="s">
        <v>2263</v>
      </c>
      <c r="H1266" s="9" t="s">
        <v>2263</v>
      </c>
      <c r="I1266" s="4" t="s">
        <v>2317</v>
      </c>
      <c r="J1266" s="4" t="s">
        <v>2316</v>
      </c>
      <c r="K1266" s="4" t="s">
        <v>2263</v>
      </c>
      <c r="L1266" s="10">
        <v>2</v>
      </c>
      <c r="M1266" s="5">
        <v>208250</v>
      </c>
      <c r="N1266" s="5">
        <v>416500</v>
      </c>
    </row>
    <row r="1267" spans="1:14" x14ac:dyDescent="0.25">
      <c r="A1267" s="4" t="s">
        <v>2344</v>
      </c>
      <c r="B1267" s="4" t="s">
        <v>5154</v>
      </c>
      <c r="C1267" s="4" t="s">
        <v>2320</v>
      </c>
      <c r="D1267" s="4" t="s">
        <v>242</v>
      </c>
      <c r="E1267" s="4" t="s">
        <v>3164</v>
      </c>
      <c r="F1267" s="4" t="s">
        <v>3163</v>
      </c>
      <c r="G1267" s="4" t="s">
        <v>2263</v>
      </c>
      <c r="H1267" s="9" t="s">
        <v>2263</v>
      </c>
      <c r="I1267" s="4" t="s">
        <v>2317</v>
      </c>
      <c r="J1267" s="4" t="s">
        <v>2316</v>
      </c>
      <c r="K1267" s="4" t="s">
        <v>2263</v>
      </c>
      <c r="L1267" s="10">
        <v>2</v>
      </c>
      <c r="M1267" s="5">
        <v>214258.75</v>
      </c>
      <c r="N1267" s="5">
        <v>428517.5</v>
      </c>
    </row>
    <row r="1268" spans="1:14" x14ac:dyDescent="0.25">
      <c r="A1268" s="4" t="s">
        <v>2320</v>
      </c>
      <c r="B1268" s="4" t="s">
        <v>4967</v>
      </c>
      <c r="C1268" s="4" t="s">
        <v>2320</v>
      </c>
      <c r="D1268" s="4" t="s">
        <v>242</v>
      </c>
      <c r="E1268" s="4" t="s">
        <v>4307</v>
      </c>
      <c r="F1268" s="4" t="s">
        <v>4306</v>
      </c>
      <c r="G1268" s="4" t="s">
        <v>2263</v>
      </c>
      <c r="H1268" s="9" t="s">
        <v>2263</v>
      </c>
      <c r="I1268" s="4" t="s">
        <v>2317</v>
      </c>
      <c r="J1268" s="4" t="s">
        <v>2316</v>
      </c>
      <c r="K1268" s="4" t="s">
        <v>2263</v>
      </c>
      <c r="L1268" s="10">
        <v>2</v>
      </c>
      <c r="M1268" s="5">
        <v>222075</v>
      </c>
      <c r="N1268" s="5">
        <v>444150</v>
      </c>
    </row>
    <row r="1269" spans="1:14" x14ac:dyDescent="0.25">
      <c r="A1269" s="4" t="s">
        <v>3072</v>
      </c>
      <c r="B1269" s="4" t="s">
        <v>3071</v>
      </c>
      <c r="C1269" s="4" t="s">
        <v>3070</v>
      </c>
      <c r="D1269" s="4" t="s">
        <v>248</v>
      </c>
      <c r="E1269" s="4" t="s">
        <v>3098</v>
      </c>
      <c r="F1269" s="4" t="s">
        <v>3097</v>
      </c>
      <c r="G1269" s="4" t="s">
        <v>2263</v>
      </c>
      <c r="H1269" s="9" t="s">
        <v>2263</v>
      </c>
      <c r="I1269" s="4" t="s">
        <v>2317</v>
      </c>
      <c r="J1269" s="4" t="s">
        <v>2316</v>
      </c>
      <c r="K1269" s="4" t="s">
        <v>2263</v>
      </c>
      <c r="L1269" s="10">
        <v>2</v>
      </c>
      <c r="M1269" s="5">
        <v>223535</v>
      </c>
      <c r="N1269" s="5">
        <v>447070</v>
      </c>
    </row>
    <row r="1270" spans="1:14" x14ac:dyDescent="0.25">
      <c r="A1270" s="4" t="s">
        <v>2653</v>
      </c>
      <c r="B1270" s="4" t="s">
        <v>3226</v>
      </c>
      <c r="C1270" s="4" t="s">
        <v>2384</v>
      </c>
      <c r="D1270" s="4" t="s">
        <v>262</v>
      </c>
      <c r="E1270" s="4" t="s">
        <v>3434</v>
      </c>
      <c r="F1270" s="4" t="s">
        <v>3433</v>
      </c>
      <c r="G1270" s="4" t="s">
        <v>2263</v>
      </c>
      <c r="H1270" s="9" t="s">
        <v>2263</v>
      </c>
      <c r="I1270" s="4" t="s">
        <v>2317</v>
      </c>
      <c r="J1270" s="4" t="s">
        <v>2316</v>
      </c>
      <c r="K1270" s="4" t="s">
        <v>2263</v>
      </c>
      <c r="L1270" s="10">
        <v>2</v>
      </c>
      <c r="M1270" s="5">
        <v>237278</v>
      </c>
      <c r="N1270" s="5">
        <v>474556</v>
      </c>
    </row>
    <row r="1271" spans="1:14" x14ac:dyDescent="0.25">
      <c r="A1271" s="4" t="s">
        <v>2653</v>
      </c>
      <c r="B1271" s="4" t="s">
        <v>3226</v>
      </c>
      <c r="C1271" s="4" t="s">
        <v>2384</v>
      </c>
      <c r="D1271" s="4" t="s">
        <v>262</v>
      </c>
      <c r="E1271" s="4" t="s">
        <v>2681</v>
      </c>
      <c r="F1271" s="4" t="s">
        <v>2680</v>
      </c>
      <c r="G1271" s="4" t="s">
        <v>2263</v>
      </c>
      <c r="H1271" s="9" t="s">
        <v>2263</v>
      </c>
      <c r="I1271" s="4" t="s">
        <v>2317</v>
      </c>
      <c r="J1271" s="4" t="s">
        <v>2316</v>
      </c>
      <c r="K1271" s="4" t="s">
        <v>2263</v>
      </c>
      <c r="L1271" s="10">
        <v>2</v>
      </c>
      <c r="M1271" s="5">
        <v>246265.91363636364</v>
      </c>
      <c r="N1271" s="5">
        <v>492531.82727272727</v>
      </c>
    </row>
    <row r="1272" spans="1:14" x14ac:dyDescent="0.25">
      <c r="A1272" s="4" t="s">
        <v>3174</v>
      </c>
      <c r="B1272" s="4" t="s">
        <v>3173</v>
      </c>
      <c r="C1272" s="4" t="s">
        <v>2384</v>
      </c>
      <c r="D1272" s="4" t="s">
        <v>262</v>
      </c>
      <c r="E1272" s="4" t="s">
        <v>2681</v>
      </c>
      <c r="F1272" s="4" t="s">
        <v>2680</v>
      </c>
      <c r="G1272" s="4" t="s">
        <v>2263</v>
      </c>
      <c r="H1272" s="9" t="s">
        <v>2263</v>
      </c>
      <c r="I1272" s="4" t="s">
        <v>2317</v>
      </c>
      <c r="J1272" s="4" t="s">
        <v>2316</v>
      </c>
      <c r="K1272" s="4" t="s">
        <v>2263</v>
      </c>
      <c r="L1272" s="10">
        <v>2</v>
      </c>
      <c r="M1272" s="5">
        <v>246265.91363636364</v>
      </c>
      <c r="N1272" s="5">
        <v>492531.82727272727</v>
      </c>
    </row>
    <row r="1273" spans="1:14" x14ac:dyDescent="0.25">
      <c r="A1273" s="4" t="s">
        <v>3157</v>
      </c>
      <c r="B1273" s="4" t="s">
        <v>3156</v>
      </c>
      <c r="C1273" s="4" t="s">
        <v>2384</v>
      </c>
      <c r="D1273" s="4" t="s">
        <v>262</v>
      </c>
      <c r="E1273" s="4" t="s">
        <v>2681</v>
      </c>
      <c r="F1273" s="4" t="s">
        <v>2680</v>
      </c>
      <c r="G1273" s="4" t="s">
        <v>2263</v>
      </c>
      <c r="H1273" s="9" t="s">
        <v>2263</v>
      </c>
      <c r="I1273" s="4" t="s">
        <v>2317</v>
      </c>
      <c r="J1273" s="4" t="s">
        <v>2316</v>
      </c>
      <c r="K1273" s="4" t="s">
        <v>2263</v>
      </c>
      <c r="L1273" s="10">
        <v>2</v>
      </c>
      <c r="M1273" s="5">
        <v>246265.91363636364</v>
      </c>
      <c r="N1273" s="5">
        <v>492531.82727272727</v>
      </c>
    </row>
    <row r="1274" spans="1:14" x14ac:dyDescent="0.25">
      <c r="A1274" s="4" t="s">
        <v>3104</v>
      </c>
      <c r="B1274" s="4" t="s">
        <v>3103</v>
      </c>
      <c r="C1274" s="4" t="s">
        <v>2384</v>
      </c>
      <c r="D1274" s="4" t="s">
        <v>262</v>
      </c>
      <c r="E1274" s="4" t="s">
        <v>2681</v>
      </c>
      <c r="F1274" s="4" t="s">
        <v>2680</v>
      </c>
      <c r="G1274" s="4" t="s">
        <v>2263</v>
      </c>
      <c r="H1274" s="9" t="s">
        <v>2263</v>
      </c>
      <c r="I1274" s="4" t="s">
        <v>2317</v>
      </c>
      <c r="J1274" s="4" t="s">
        <v>2316</v>
      </c>
      <c r="K1274" s="4" t="s">
        <v>2263</v>
      </c>
      <c r="L1274" s="10">
        <v>2</v>
      </c>
      <c r="M1274" s="5">
        <v>246265.91363636364</v>
      </c>
      <c r="N1274" s="5">
        <v>492531.82727272727</v>
      </c>
    </row>
    <row r="1275" spans="1:14" x14ac:dyDescent="0.25">
      <c r="A1275" s="4" t="s">
        <v>3063</v>
      </c>
      <c r="B1275" s="4" t="s">
        <v>3062</v>
      </c>
      <c r="C1275" s="4" t="s">
        <v>2384</v>
      </c>
      <c r="D1275" s="4" t="s">
        <v>262</v>
      </c>
      <c r="E1275" s="4" t="s">
        <v>2681</v>
      </c>
      <c r="F1275" s="4" t="s">
        <v>2680</v>
      </c>
      <c r="G1275" s="4" t="s">
        <v>2263</v>
      </c>
      <c r="H1275" s="9" t="s">
        <v>2263</v>
      </c>
      <c r="I1275" s="4" t="s">
        <v>2317</v>
      </c>
      <c r="J1275" s="4" t="s">
        <v>2316</v>
      </c>
      <c r="K1275" s="4" t="s">
        <v>2263</v>
      </c>
      <c r="L1275" s="10">
        <v>2</v>
      </c>
      <c r="M1275" s="5">
        <v>246265.91363636364</v>
      </c>
      <c r="N1275" s="5">
        <v>492531.82727272727</v>
      </c>
    </row>
    <row r="1276" spans="1:14" x14ac:dyDescent="0.25">
      <c r="A1276" s="4" t="s">
        <v>3051</v>
      </c>
      <c r="B1276" s="4" t="s">
        <v>3050</v>
      </c>
      <c r="C1276" s="4" t="s">
        <v>2384</v>
      </c>
      <c r="D1276" s="4" t="s">
        <v>262</v>
      </c>
      <c r="E1276" s="4" t="s">
        <v>2681</v>
      </c>
      <c r="F1276" s="4" t="s">
        <v>2680</v>
      </c>
      <c r="G1276" s="4" t="s">
        <v>2263</v>
      </c>
      <c r="H1276" s="9" t="s">
        <v>2263</v>
      </c>
      <c r="I1276" s="4" t="s">
        <v>2317</v>
      </c>
      <c r="J1276" s="4" t="s">
        <v>2316</v>
      </c>
      <c r="K1276" s="4" t="s">
        <v>2263</v>
      </c>
      <c r="L1276" s="10">
        <v>2</v>
      </c>
      <c r="M1276" s="5">
        <v>246265.91363636364</v>
      </c>
      <c r="N1276" s="5">
        <v>492531.82727272727</v>
      </c>
    </row>
    <row r="1277" spans="1:14" x14ac:dyDescent="0.25">
      <c r="A1277" s="4" t="s">
        <v>3024</v>
      </c>
      <c r="B1277" s="4" t="s">
        <v>3023</v>
      </c>
      <c r="C1277" s="4" t="s">
        <v>2384</v>
      </c>
      <c r="D1277" s="4" t="s">
        <v>262</v>
      </c>
      <c r="E1277" s="4" t="s">
        <v>2681</v>
      </c>
      <c r="F1277" s="4" t="s">
        <v>2680</v>
      </c>
      <c r="G1277" s="4" t="s">
        <v>2263</v>
      </c>
      <c r="H1277" s="9" t="s">
        <v>2263</v>
      </c>
      <c r="I1277" s="4" t="s">
        <v>2317</v>
      </c>
      <c r="J1277" s="4" t="s">
        <v>2316</v>
      </c>
      <c r="K1277" s="4" t="s">
        <v>2263</v>
      </c>
      <c r="L1277" s="10">
        <v>2</v>
      </c>
      <c r="M1277" s="5">
        <v>246265.91363636364</v>
      </c>
      <c r="N1277" s="5">
        <v>492531.82727272727</v>
      </c>
    </row>
    <row r="1278" spans="1:14" x14ac:dyDescent="0.25">
      <c r="A1278" s="4" t="s">
        <v>2673</v>
      </c>
      <c r="B1278" s="4" t="s">
        <v>2672</v>
      </c>
      <c r="C1278" s="4" t="s">
        <v>2384</v>
      </c>
      <c r="D1278" s="4" t="s">
        <v>262</v>
      </c>
      <c r="E1278" s="4" t="s">
        <v>2681</v>
      </c>
      <c r="F1278" s="4" t="s">
        <v>2680</v>
      </c>
      <c r="G1278" s="4" t="s">
        <v>2263</v>
      </c>
      <c r="H1278" s="9" t="s">
        <v>2263</v>
      </c>
      <c r="I1278" s="4" t="s">
        <v>2317</v>
      </c>
      <c r="J1278" s="4" t="s">
        <v>2316</v>
      </c>
      <c r="K1278" s="4" t="s">
        <v>2263</v>
      </c>
      <c r="L1278" s="10">
        <v>2</v>
      </c>
      <c r="M1278" s="5">
        <v>246265.91363636364</v>
      </c>
      <c r="N1278" s="5">
        <v>492531.82727272727</v>
      </c>
    </row>
    <row r="1279" spans="1:14" x14ac:dyDescent="0.25">
      <c r="A1279" s="4" t="s">
        <v>2320</v>
      </c>
      <c r="B1279" s="4" t="s">
        <v>4967</v>
      </c>
      <c r="C1279" s="4" t="s">
        <v>2320</v>
      </c>
      <c r="D1279" s="4" t="s">
        <v>242</v>
      </c>
      <c r="E1279" s="4" t="s">
        <v>4311</v>
      </c>
      <c r="F1279" s="4" t="s">
        <v>4310</v>
      </c>
      <c r="G1279" s="4" t="s">
        <v>2263</v>
      </c>
      <c r="H1279" s="9" t="s">
        <v>2263</v>
      </c>
      <c r="I1279" s="4" t="s">
        <v>2317</v>
      </c>
      <c r="J1279" s="4" t="s">
        <v>2316</v>
      </c>
      <c r="K1279" s="4" t="s">
        <v>2263</v>
      </c>
      <c r="L1279" s="10">
        <v>2</v>
      </c>
      <c r="M1279" s="5">
        <v>246484.2</v>
      </c>
      <c r="N1279" s="5">
        <v>492968.4</v>
      </c>
    </row>
    <row r="1280" spans="1:14" x14ac:dyDescent="0.25">
      <c r="A1280" s="4" t="s">
        <v>2837</v>
      </c>
      <c r="B1280" s="4" t="s">
        <v>2836</v>
      </c>
      <c r="C1280" s="4" t="s">
        <v>2320</v>
      </c>
      <c r="D1280" s="4" t="s">
        <v>242</v>
      </c>
      <c r="E1280" s="4" t="s">
        <v>2845</v>
      </c>
      <c r="F1280" s="4" t="s">
        <v>2844</v>
      </c>
      <c r="G1280" s="4" t="s">
        <v>2263</v>
      </c>
      <c r="H1280" s="9" t="s">
        <v>2263</v>
      </c>
      <c r="I1280" s="4" t="s">
        <v>2317</v>
      </c>
      <c r="J1280" s="4" t="s">
        <v>2316</v>
      </c>
      <c r="K1280" s="4" t="s">
        <v>2263</v>
      </c>
      <c r="L1280" s="10">
        <v>2</v>
      </c>
      <c r="M1280" s="5">
        <v>249900</v>
      </c>
      <c r="N1280" s="5">
        <v>499800</v>
      </c>
    </row>
    <row r="1281" spans="1:14" x14ac:dyDescent="0.25">
      <c r="A1281" s="4" t="s">
        <v>3072</v>
      </c>
      <c r="B1281" s="4" t="s">
        <v>3071</v>
      </c>
      <c r="C1281" s="4" t="s">
        <v>3070</v>
      </c>
      <c r="D1281" s="4" t="s">
        <v>248</v>
      </c>
      <c r="E1281" s="4" t="s">
        <v>3092</v>
      </c>
      <c r="F1281" s="4" t="s">
        <v>3091</v>
      </c>
      <c r="G1281" s="4" t="s">
        <v>2263</v>
      </c>
      <c r="H1281" s="9" t="s">
        <v>2263</v>
      </c>
      <c r="I1281" s="4" t="s">
        <v>2317</v>
      </c>
      <c r="J1281" s="4" t="s">
        <v>2316</v>
      </c>
      <c r="K1281" s="4" t="s">
        <v>2263</v>
      </c>
      <c r="L1281" s="10">
        <v>2</v>
      </c>
      <c r="M1281" s="5">
        <v>261816</v>
      </c>
      <c r="N1281" s="5">
        <v>523632</v>
      </c>
    </row>
    <row r="1282" spans="1:14" x14ac:dyDescent="0.25">
      <c r="A1282" s="4" t="s">
        <v>2317</v>
      </c>
      <c r="B1282" s="4" t="s">
        <v>3839</v>
      </c>
      <c r="C1282" s="4" t="s">
        <v>2320</v>
      </c>
      <c r="D1282" s="4" t="s">
        <v>242</v>
      </c>
      <c r="E1282" s="4" t="s">
        <v>3191</v>
      </c>
      <c r="F1282" s="4" t="s">
        <v>3190</v>
      </c>
      <c r="G1282" s="4" t="s">
        <v>2263</v>
      </c>
      <c r="H1282" s="9" t="s">
        <v>2263</v>
      </c>
      <c r="I1282" s="4" t="s">
        <v>2317</v>
      </c>
      <c r="J1282" s="4" t="s">
        <v>2316</v>
      </c>
      <c r="K1282" s="4" t="s">
        <v>2263</v>
      </c>
      <c r="L1282" s="10">
        <v>2</v>
      </c>
      <c r="M1282" s="5">
        <v>262587.625</v>
      </c>
      <c r="N1282" s="5">
        <v>525175.25</v>
      </c>
    </row>
    <row r="1283" spans="1:14" x14ac:dyDescent="0.25">
      <c r="A1283" s="4" t="s">
        <v>2384</v>
      </c>
      <c r="B1283" s="4" t="s">
        <v>3187</v>
      </c>
      <c r="C1283" s="4" t="s">
        <v>2384</v>
      </c>
      <c r="D1283" s="4" t="s">
        <v>262</v>
      </c>
      <c r="E1283" s="4" t="s">
        <v>2383</v>
      </c>
      <c r="F1283" s="4" t="s">
        <v>2382</v>
      </c>
      <c r="G1283" s="4" t="s">
        <v>2263</v>
      </c>
      <c r="H1283" s="9" t="s">
        <v>2263</v>
      </c>
      <c r="I1283" s="4" t="s">
        <v>2317</v>
      </c>
      <c r="J1283" s="4" t="s">
        <v>2316</v>
      </c>
      <c r="K1283" s="4" t="s">
        <v>2263</v>
      </c>
      <c r="L1283" s="10">
        <v>2</v>
      </c>
      <c r="M1283" s="5">
        <v>282984.17235294118</v>
      </c>
      <c r="N1283" s="5">
        <v>565968.34470588237</v>
      </c>
    </row>
    <row r="1284" spans="1:14" x14ac:dyDescent="0.25">
      <c r="A1284" s="4" t="s">
        <v>3024</v>
      </c>
      <c r="B1284" s="4" t="s">
        <v>3023</v>
      </c>
      <c r="C1284" s="4" t="s">
        <v>2384</v>
      </c>
      <c r="D1284" s="4" t="s">
        <v>262</v>
      </c>
      <c r="E1284" s="4" t="s">
        <v>2383</v>
      </c>
      <c r="F1284" s="4" t="s">
        <v>2382</v>
      </c>
      <c r="G1284" s="4" t="s">
        <v>2263</v>
      </c>
      <c r="H1284" s="9" t="s">
        <v>2263</v>
      </c>
      <c r="I1284" s="4" t="s">
        <v>2317</v>
      </c>
      <c r="J1284" s="4" t="s">
        <v>2316</v>
      </c>
      <c r="K1284" s="4" t="s">
        <v>2263</v>
      </c>
      <c r="L1284" s="10">
        <v>2</v>
      </c>
      <c r="M1284" s="5">
        <v>282984.17235294118</v>
      </c>
      <c r="N1284" s="5">
        <v>565968.34470588237</v>
      </c>
    </row>
    <row r="1285" spans="1:14" x14ac:dyDescent="0.25">
      <c r="A1285" s="4" t="s">
        <v>2317</v>
      </c>
      <c r="B1285" s="4" t="s">
        <v>3839</v>
      </c>
      <c r="C1285" s="4" t="s">
        <v>2320</v>
      </c>
      <c r="D1285" s="4" t="s">
        <v>242</v>
      </c>
      <c r="E1285" s="4" t="s">
        <v>4177</v>
      </c>
      <c r="F1285" s="4" t="s">
        <v>4176</v>
      </c>
      <c r="G1285" s="4" t="s">
        <v>2263</v>
      </c>
      <c r="H1285" s="9" t="s">
        <v>2263</v>
      </c>
      <c r="I1285" s="4" t="s">
        <v>2317</v>
      </c>
      <c r="J1285" s="4" t="s">
        <v>2316</v>
      </c>
      <c r="K1285" s="4" t="s">
        <v>2263</v>
      </c>
      <c r="L1285" s="10">
        <v>2</v>
      </c>
      <c r="M1285" s="5">
        <v>297657.86166666663</v>
      </c>
      <c r="N1285" s="5">
        <v>595315.72333333339</v>
      </c>
    </row>
    <row r="1286" spans="1:14" x14ac:dyDescent="0.25">
      <c r="A1286" s="4" t="s">
        <v>2320</v>
      </c>
      <c r="B1286" s="4" t="s">
        <v>4967</v>
      </c>
      <c r="C1286" s="4" t="s">
        <v>2320</v>
      </c>
      <c r="D1286" s="4" t="s">
        <v>242</v>
      </c>
      <c r="E1286" s="4" t="s">
        <v>2789</v>
      </c>
      <c r="F1286" s="4" t="s">
        <v>2788</v>
      </c>
      <c r="G1286" s="4" t="s">
        <v>2263</v>
      </c>
      <c r="H1286" s="9" t="s">
        <v>2263</v>
      </c>
      <c r="I1286" s="4" t="s">
        <v>2317</v>
      </c>
      <c r="J1286" s="4" t="s">
        <v>2316</v>
      </c>
      <c r="K1286" s="4" t="s">
        <v>2263</v>
      </c>
      <c r="L1286" s="10">
        <v>2</v>
      </c>
      <c r="M1286" s="5">
        <v>298569.47162162163</v>
      </c>
      <c r="N1286" s="5">
        <v>597138.94324324315</v>
      </c>
    </row>
    <row r="1287" spans="1:14" x14ac:dyDescent="0.25">
      <c r="A1287" s="4" t="s">
        <v>2320</v>
      </c>
      <c r="B1287" s="4" t="s">
        <v>4967</v>
      </c>
      <c r="C1287" s="4" t="s">
        <v>2320</v>
      </c>
      <c r="D1287" s="4" t="s">
        <v>242</v>
      </c>
      <c r="E1287" s="4" t="s">
        <v>4153</v>
      </c>
      <c r="F1287" s="4" t="s">
        <v>4152</v>
      </c>
      <c r="G1287" s="4" t="s">
        <v>2263</v>
      </c>
      <c r="H1287" s="9" t="s">
        <v>2263</v>
      </c>
      <c r="I1287" s="4" t="s">
        <v>2317</v>
      </c>
      <c r="J1287" s="4" t="s">
        <v>2316</v>
      </c>
      <c r="K1287" s="4" t="s">
        <v>2263</v>
      </c>
      <c r="L1287" s="10">
        <v>2</v>
      </c>
      <c r="M1287" s="5">
        <v>303624</v>
      </c>
      <c r="N1287" s="5">
        <v>607248</v>
      </c>
    </row>
    <row r="1288" spans="1:14" x14ac:dyDescent="0.25">
      <c r="A1288" s="4" t="s">
        <v>2653</v>
      </c>
      <c r="B1288" s="4" t="s">
        <v>3226</v>
      </c>
      <c r="C1288" s="4" t="s">
        <v>2384</v>
      </c>
      <c r="D1288" s="4" t="s">
        <v>262</v>
      </c>
      <c r="E1288" s="4" t="s">
        <v>3354</v>
      </c>
      <c r="F1288" s="4" t="s">
        <v>3353</v>
      </c>
      <c r="G1288" s="4" t="s">
        <v>2263</v>
      </c>
      <c r="H1288" s="9" t="s">
        <v>2263</v>
      </c>
      <c r="I1288" s="4" t="s">
        <v>2317</v>
      </c>
      <c r="J1288" s="4" t="s">
        <v>2316</v>
      </c>
      <c r="K1288" s="4" t="s">
        <v>2263</v>
      </c>
      <c r="L1288" s="10">
        <v>2</v>
      </c>
      <c r="M1288" s="5">
        <v>317331.00000000006</v>
      </c>
      <c r="N1288" s="5">
        <v>634662</v>
      </c>
    </row>
    <row r="1289" spans="1:14" x14ac:dyDescent="0.25">
      <c r="A1289" s="4" t="s">
        <v>2653</v>
      </c>
      <c r="B1289" s="4" t="s">
        <v>3226</v>
      </c>
      <c r="C1289" s="4" t="s">
        <v>2384</v>
      </c>
      <c r="D1289" s="4" t="s">
        <v>262</v>
      </c>
      <c r="E1289" s="4" t="s">
        <v>3424</v>
      </c>
      <c r="F1289" s="4" t="s">
        <v>3423</v>
      </c>
      <c r="G1289" s="4" t="s">
        <v>2263</v>
      </c>
      <c r="H1289" s="9" t="s">
        <v>2263</v>
      </c>
      <c r="I1289" s="4" t="s">
        <v>2317</v>
      </c>
      <c r="J1289" s="4" t="s">
        <v>2316</v>
      </c>
      <c r="K1289" s="4" t="s">
        <v>2263</v>
      </c>
      <c r="L1289" s="10">
        <v>2</v>
      </c>
      <c r="M1289" s="5">
        <v>356325.4</v>
      </c>
      <c r="N1289" s="5">
        <v>712650.8</v>
      </c>
    </row>
    <row r="1290" spans="1:14" x14ac:dyDescent="0.25">
      <c r="A1290" s="4" t="s">
        <v>2653</v>
      </c>
      <c r="B1290" s="4" t="s">
        <v>3226</v>
      </c>
      <c r="C1290" s="4" t="s">
        <v>2384</v>
      </c>
      <c r="D1290" s="4" t="s">
        <v>262</v>
      </c>
      <c r="E1290" s="4" t="s">
        <v>3432</v>
      </c>
      <c r="F1290" s="4" t="s">
        <v>3431</v>
      </c>
      <c r="G1290" s="4" t="s">
        <v>2263</v>
      </c>
      <c r="H1290" s="9" t="s">
        <v>2263</v>
      </c>
      <c r="I1290" s="4" t="s">
        <v>2317</v>
      </c>
      <c r="J1290" s="4" t="s">
        <v>2316</v>
      </c>
      <c r="K1290" s="4" t="s">
        <v>2263</v>
      </c>
      <c r="L1290" s="10">
        <v>2</v>
      </c>
      <c r="M1290" s="5">
        <v>364612</v>
      </c>
      <c r="N1290" s="5">
        <v>729224</v>
      </c>
    </row>
    <row r="1291" spans="1:14" x14ac:dyDescent="0.25">
      <c r="A1291" s="4" t="s">
        <v>3801</v>
      </c>
      <c r="B1291" s="4" t="s">
        <v>4965</v>
      </c>
      <c r="C1291" s="4" t="s">
        <v>2320</v>
      </c>
      <c r="D1291" s="4" t="s">
        <v>242</v>
      </c>
      <c r="E1291" s="4" t="s">
        <v>3178</v>
      </c>
      <c r="F1291" s="4" t="s">
        <v>3177</v>
      </c>
      <c r="G1291" s="4" t="s">
        <v>2263</v>
      </c>
      <c r="H1291" s="9" t="s">
        <v>2263</v>
      </c>
      <c r="I1291" s="4" t="s">
        <v>2317</v>
      </c>
      <c r="J1291" s="4" t="s">
        <v>2316</v>
      </c>
      <c r="K1291" s="4" t="s">
        <v>2263</v>
      </c>
      <c r="L1291" s="10">
        <v>2</v>
      </c>
      <c r="M1291" s="5">
        <v>377892.75</v>
      </c>
      <c r="N1291" s="5">
        <v>755785.5</v>
      </c>
    </row>
    <row r="1292" spans="1:14" x14ac:dyDescent="0.25">
      <c r="A1292" s="4" t="s">
        <v>2653</v>
      </c>
      <c r="B1292" s="4" t="s">
        <v>3226</v>
      </c>
      <c r="C1292" s="4" t="s">
        <v>2384</v>
      </c>
      <c r="D1292" s="4" t="s">
        <v>262</v>
      </c>
      <c r="E1292" s="4" t="s">
        <v>3366</v>
      </c>
      <c r="F1292" s="4" t="s">
        <v>3365</v>
      </c>
      <c r="G1292" s="4" t="s">
        <v>2263</v>
      </c>
      <c r="H1292" s="9" t="s">
        <v>2263</v>
      </c>
      <c r="I1292" s="4" t="s">
        <v>2317</v>
      </c>
      <c r="J1292" s="4" t="s">
        <v>2316</v>
      </c>
      <c r="K1292" s="4" t="s">
        <v>2263</v>
      </c>
      <c r="L1292" s="10">
        <v>2</v>
      </c>
      <c r="M1292" s="5">
        <v>386750</v>
      </c>
      <c r="N1292" s="5">
        <v>773500</v>
      </c>
    </row>
    <row r="1293" spans="1:14" x14ac:dyDescent="0.25">
      <c r="A1293" s="4" t="s">
        <v>2344</v>
      </c>
      <c r="B1293" s="4" t="s">
        <v>5154</v>
      </c>
      <c r="C1293" s="4" t="s">
        <v>2274</v>
      </c>
      <c r="D1293" s="4" t="s">
        <v>2273</v>
      </c>
      <c r="E1293" s="4" t="s">
        <v>4455</v>
      </c>
      <c r="F1293" s="4" t="s">
        <v>4454</v>
      </c>
      <c r="G1293" s="4" t="s">
        <v>2263</v>
      </c>
      <c r="H1293" s="9" t="s">
        <v>2263</v>
      </c>
      <c r="I1293" s="4" t="s">
        <v>2263</v>
      </c>
      <c r="J1293" s="4" t="s">
        <v>2263</v>
      </c>
      <c r="K1293" s="4" t="s">
        <v>4453</v>
      </c>
      <c r="L1293" s="10">
        <v>2</v>
      </c>
      <c r="M1293" s="5">
        <v>400000</v>
      </c>
      <c r="N1293" s="5">
        <v>800000</v>
      </c>
    </row>
    <row r="1294" spans="1:14" x14ac:dyDescent="0.25">
      <c r="A1294" s="4" t="s">
        <v>2274</v>
      </c>
      <c r="B1294" s="4" t="s">
        <v>4348</v>
      </c>
      <c r="C1294" s="4" t="s">
        <v>2274</v>
      </c>
      <c r="D1294" s="4" t="s">
        <v>2273</v>
      </c>
      <c r="E1294" s="4" t="s">
        <v>4494</v>
      </c>
      <c r="F1294" s="4" t="s">
        <v>4493</v>
      </c>
      <c r="G1294" s="4" t="s">
        <v>2263</v>
      </c>
      <c r="H1294" s="9" t="s">
        <v>2263</v>
      </c>
      <c r="I1294" s="4" t="s">
        <v>2263</v>
      </c>
      <c r="J1294" s="4" t="s">
        <v>2263</v>
      </c>
      <c r="K1294" s="4" t="s">
        <v>4492</v>
      </c>
      <c r="L1294" s="10">
        <v>2</v>
      </c>
      <c r="M1294" s="5">
        <v>437002.39428571431</v>
      </c>
      <c r="N1294" s="5">
        <v>874004.78857142862</v>
      </c>
    </row>
    <row r="1295" spans="1:14" x14ac:dyDescent="0.25">
      <c r="A1295" s="4" t="s">
        <v>2344</v>
      </c>
      <c r="B1295" s="4" t="s">
        <v>5154</v>
      </c>
      <c r="C1295" s="4" t="s">
        <v>2320</v>
      </c>
      <c r="D1295" s="4" t="s">
        <v>242</v>
      </c>
      <c r="E1295" s="4" t="s">
        <v>4293</v>
      </c>
      <c r="F1295" s="4" t="s">
        <v>4292</v>
      </c>
      <c r="G1295" s="4" t="s">
        <v>2263</v>
      </c>
      <c r="H1295" s="9" t="s">
        <v>2263</v>
      </c>
      <c r="I1295" s="4" t="s">
        <v>2317</v>
      </c>
      <c r="J1295" s="4" t="s">
        <v>2316</v>
      </c>
      <c r="K1295" s="4" t="s">
        <v>2263</v>
      </c>
      <c r="L1295" s="10">
        <v>2</v>
      </c>
      <c r="M1295" s="5">
        <v>448296.56</v>
      </c>
      <c r="N1295" s="5">
        <v>896593.12</v>
      </c>
    </row>
    <row r="1296" spans="1:14" x14ac:dyDescent="0.25">
      <c r="A1296" s="4" t="s">
        <v>2320</v>
      </c>
      <c r="B1296" s="4" t="s">
        <v>4967</v>
      </c>
      <c r="C1296" s="4" t="s">
        <v>2320</v>
      </c>
      <c r="D1296" s="4" t="s">
        <v>242</v>
      </c>
      <c r="E1296" s="4" t="s">
        <v>4295</v>
      </c>
      <c r="F1296" s="4" t="s">
        <v>4294</v>
      </c>
      <c r="G1296" s="4" t="s">
        <v>2263</v>
      </c>
      <c r="H1296" s="9" t="s">
        <v>2263</v>
      </c>
      <c r="I1296" s="4" t="s">
        <v>2317</v>
      </c>
      <c r="J1296" s="4" t="s">
        <v>2316</v>
      </c>
      <c r="K1296" s="4" t="s">
        <v>2263</v>
      </c>
      <c r="L1296" s="10">
        <v>2</v>
      </c>
      <c r="M1296" s="5">
        <v>449044.53499999997</v>
      </c>
      <c r="N1296" s="5">
        <v>898089.07</v>
      </c>
    </row>
    <row r="1297" spans="1:14" x14ac:dyDescent="0.25">
      <c r="A1297" s="4" t="s">
        <v>2317</v>
      </c>
      <c r="B1297" s="4" t="s">
        <v>3839</v>
      </c>
      <c r="C1297" s="4" t="s">
        <v>2320</v>
      </c>
      <c r="D1297" s="4" t="s">
        <v>242</v>
      </c>
      <c r="E1297" s="4" t="s">
        <v>4295</v>
      </c>
      <c r="F1297" s="4" t="s">
        <v>4294</v>
      </c>
      <c r="G1297" s="4" t="s">
        <v>2263</v>
      </c>
      <c r="H1297" s="9" t="s">
        <v>2263</v>
      </c>
      <c r="I1297" s="4" t="s">
        <v>2317</v>
      </c>
      <c r="J1297" s="4" t="s">
        <v>2316</v>
      </c>
      <c r="K1297" s="4" t="s">
        <v>2263</v>
      </c>
      <c r="L1297" s="10">
        <v>2</v>
      </c>
      <c r="M1297" s="5">
        <v>449044.53499999997</v>
      </c>
      <c r="N1297" s="5">
        <v>898089.07</v>
      </c>
    </row>
    <row r="1298" spans="1:14" x14ac:dyDescent="0.25">
      <c r="A1298" s="4" t="s">
        <v>2320</v>
      </c>
      <c r="B1298" s="4" t="s">
        <v>4967</v>
      </c>
      <c r="C1298" s="4" t="s">
        <v>2274</v>
      </c>
      <c r="D1298" s="4" t="s">
        <v>2273</v>
      </c>
      <c r="E1298" s="4" t="s">
        <v>4975</v>
      </c>
      <c r="F1298" s="4" t="s">
        <v>4974</v>
      </c>
      <c r="G1298" s="4" t="s">
        <v>2263</v>
      </c>
      <c r="H1298" s="9" t="s">
        <v>2263</v>
      </c>
      <c r="I1298" s="4" t="s">
        <v>2263</v>
      </c>
      <c r="J1298" s="4" t="s">
        <v>2263</v>
      </c>
      <c r="K1298" s="4" t="s">
        <v>4444</v>
      </c>
      <c r="L1298" s="10">
        <v>2</v>
      </c>
      <c r="M1298" s="5">
        <v>450949.25</v>
      </c>
      <c r="N1298" s="5">
        <v>901898.5</v>
      </c>
    </row>
    <row r="1299" spans="1:14" x14ac:dyDescent="0.25">
      <c r="A1299" s="4" t="s">
        <v>2344</v>
      </c>
      <c r="B1299" s="4" t="s">
        <v>5154</v>
      </c>
      <c r="C1299" s="4" t="s">
        <v>2320</v>
      </c>
      <c r="D1299" s="4" t="s">
        <v>242</v>
      </c>
      <c r="E1299" s="4" t="s">
        <v>4299</v>
      </c>
      <c r="F1299" s="4" t="s">
        <v>4298</v>
      </c>
      <c r="G1299" s="4" t="s">
        <v>2263</v>
      </c>
      <c r="H1299" s="9" t="s">
        <v>2263</v>
      </c>
      <c r="I1299" s="4" t="s">
        <v>2317</v>
      </c>
      <c r="J1299" s="4" t="s">
        <v>2316</v>
      </c>
      <c r="K1299" s="4" t="s">
        <v>2263</v>
      </c>
      <c r="L1299" s="10">
        <v>2</v>
      </c>
      <c r="M1299" s="5">
        <v>480300</v>
      </c>
      <c r="N1299" s="5">
        <v>960600</v>
      </c>
    </row>
    <row r="1300" spans="1:14" x14ac:dyDescent="0.25">
      <c r="A1300" s="4" t="s">
        <v>2320</v>
      </c>
      <c r="B1300" s="4" t="s">
        <v>4967</v>
      </c>
      <c r="C1300" s="4" t="s">
        <v>2320</v>
      </c>
      <c r="D1300" s="4" t="s">
        <v>242</v>
      </c>
      <c r="E1300" s="4" t="s">
        <v>3905</v>
      </c>
      <c r="F1300" s="4" t="s">
        <v>3904</v>
      </c>
      <c r="G1300" s="4" t="s">
        <v>2263</v>
      </c>
      <c r="H1300" s="9" t="s">
        <v>2263</v>
      </c>
      <c r="I1300" s="4" t="s">
        <v>2317</v>
      </c>
      <c r="J1300" s="4" t="s">
        <v>2316</v>
      </c>
      <c r="K1300" s="4" t="s">
        <v>2263</v>
      </c>
      <c r="L1300" s="10">
        <v>2</v>
      </c>
      <c r="M1300" s="5">
        <v>489545.64999999997</v>
      </c>
      <c r="N1300" s="5">
        <v>979091.3</v>
      </c>
    </row>
    <row r="1301" spans="1:14" x14ac:dyDescent="0.25">
      <c r="A1301" s="4" t="s">
        <v>2653</v>
      </c>
      <c r="B1301" s="4" t="s">
        <v>3226</v>
      </c>
      <c r="C1301" s="4" t="s">
        <v>2384</v>
      </c>
      <c r="D1301" s="4" t="s">
        <v>262</v>
      </c>
      <c r="E1301" s="4" t="s">
        <v>3400</v>
      </c>
      <c r="F1301" s="4" t="s">
        <v>3399</v>
      </c>
      <c r="G1301" s="4" t="s">
        <v>2263</v>
      </c>
      <c r="H1301" s="9" t="s">
        <v>2263</v>
      </c>
      <c r="I1301" s="4" t="s">
        <v>2317</v>
      </c>
      <c r="J1301" s="4" t="s">
        <v>2316</v>
      </c>
      <c r="K1301" s="4" t="s">
        <v>2263</v>
      </c>
      <c r="L1301" s="10">
        <v>2</v>
      </c>
      <c r="M1301" s="5">
        <v>505750</v>
      </c>
      <c r="N1301" s="5">
        <v>1011500</v>
      </c>
    </row>
    <row r="1302" spans="1:14" x14ac:dyDescent="0.25">
      <c r="A1302" s="4" t="s">
        <v>2320</v>
      </c>
      <c r="B1302" s="4" t="s">
        <v>4967</v>
      </c>
      <c r="C1302" s="4" t="s">
        <v>2320</v>
      </c>
      <c r="D1302" s="4" t="s">
        <v>242</v>
      </c>
      <c r="E1302" s="4" t="s">
        <v>4181</v>
      </c>
      <c r="F1302" s="4" t="s">
        <v>4180</v>
      </c>
      <c r="G1302" s="4" t="s">
        <v>2263</v>
      </c>
      <c r="H1302" s="9" t="s">
        <v>2263</v>
      </c>
      <c r="I1302" s="4" t="s">
        <v>2317</v>
      </c>
      <c r="J1302" s="4" t="s">
        <v>2316</v>
      </c>
      <c r="K1302" s="4" t="s">
        <v>2263</v>
      </c>
      <c r="L1302" s="10">
        <v>2</v>
      </c>
      <c r="M1302" s="5">
        <v>552912.05000000005</v>
      </c>
      <c r="N1302" s="5">
        <v>1105824.1000000001</v>
      </c>
    </row>
    <row r="1303" spans="1:14" x14ac:dyDescent="0.25">
      <c r="A1303" s="4" t="s">
        <v>2317</v>
      </c>
      <c r="B1303" s="4" t="s">
        <v>3839</v>
      </c>
      <c r="C1303" s="4" t="s">
        <v>2320</v>
      </c>
      <c r="D1303" s="4" t="s">
        <v>242</v>
      </c>
      <c r="E1303" s="4" t="s">
        <v>4271</v>
      </c>
      <c r="F1303" s="4" t="s">
        <v>4270</v>
      </c>
      <c r="G1303" s="4" t="s">
        <v>2263</v>
      </c>
      <c r="H1303" s="9" t="s">
        <v>2263</v>
      </c>
      <c r="I1303" s="4" t="s">
        <v>2317</v>
      </c>
      <c r="J1303" s="4" t="s">
        <v>2316</v>
      </c>
      <c r="K1303" s="4" t="s">
        <v>2263</v>
      </c>
      <c r="L1303" s="10">
        <v>2</v>
      </c>
      <c r="M1303" s="5">
        <v>600681.05999999994</v>
      </c>
      <c r="N1303" s="5">
        <v>1201362.1200000001</v>
      </c>
    </row>
    <row r="1304" spans="1:14" x14ac:dyDescent="0.25">
      <c r="A1304" s="4" t="s">
        <v>2279</v>
      </c>
      <c r="B1304" s="4" t="s">
        <v>4963</v>
      </c>
      <c r="C1304" s="4" t="s">
        <v>2344</v>
      </c>
      <c r="D1304" s="4" t="s">
        <v>237</v>
      </c>
      <c r="E1304" s="4" t="s">
        <v>3199</v>
      </c>
      <c r="F1304" s="4" t="s">
        <v>2640</v>
      </c>
      <c r="G1304" s="4" t="s">
        <v>2263</v>
      </c>
      <c r="H1304" s="9" t="s">
        <v>2263</v>
      </c>
      <c r="I1304" s="4" t="s">
        <v>2263</v>
      </c>
      <c r="J1304" s="4" t="s">
        <v>2263</v>
      </c>
      <c r="K1304" s="4" t="s">
        <v>2557</v>
      </c>
      <c r="L1304" s="10">
        <v>2</v>
      </c>
      <c r="M1304" s="5">
        <v>600778.76250000007</v>
      </c>
      <c r="N1304" s="5">
        <v>1201557.5249999999</v>
      </c>
    </row>
    <row r="1305" spans="1:14" x14ac:dyDescent="0.25">
      <c r="A1305" s="4" t="s">
        <v>3196</v>
      </c>
      <c r="B1305" s="4" t="s">
        <v>3195</v>
      </c>
      <c r="C1305" s="4" t="s">
        <v>2344</v>
      </c>
      <c r="D1305" s="4" t="s">
        <v>237</v>
      </c>
      <c r="E1305" s="4" t="s">
        <v>3199</v>
      </c>
      <c r="F1305" s="4" t="s">
        <v>2640</v>
      </c>
      <c r="G1305" s="4" t="s">
        <v>2263</v>
      </c>
      <c r="H1305" s="9" t="s">
        <v>2263</v>
      </c>
      <c r="I1305" s="4" t="s">
        <v>2263</v>
      </c>
      <c r="J1305" s="4" t="s">
        <v>2263</v>
      </c>
      <c r="K1305" s="4" t="s">
        <v>2557</v>
      </c>
      <c r="L1305" s="10">
        <v>2</v>
      </c>
      <c r="M1305" s="5">
        <v>600778.76250000007</v>
      </c>
      <c r="N1305" s="5">
        <v>1201557.5249999999</v>
      </c>
    </row>
    <row r="1306" spans="1:14" x14ac:dyDescent="0.25">
      <c r="A1306" s="4" t="s">
        <v>2320</v>
      </c>
      <c r="B1306" s="4" t="s">
        <v>4967</v>
      </c>
      <c r="C1306" s="4" t="s">
        <v>2320</v>
      </c>
      <c r="D1306" s="4" t="s">
        <v>242</v>
      </c>
      <c r="E1306" s="4" t="s">
        <v>3999</v>
      </c>
      <c r="F1306" s="4" t="s">
        <v>3998</v>
      </c>
      <c r="G1306" s="4" t="s">
        <v>2263</v>
      </c>
      <c r="H1306" s="9" t="s">
        <v>2263</v>
      </c>
      <c r="I1306" s="4" t="s">
        <v>2317</v>
      </c>
      <c r="J1306" s="4" t="s">
        <v>2316</v>
      </c>
      <c r="K1306" s="4" t="s">
        <v>2263</v>
      </c>
      <c r="L1306" s="10">
        <v>2</v>
      </c>
      <c r="M1306" s="5">
        <v>638502.56000000006</v>
      </c>
      <c r="N1306" s="5">
        <v>1277005.1200000001</v>
      </c>
    </row>
    <row r="1307" spans="1:14" x14ac:dyDescent="0.25">
      <c r="A1307" s="4" t="s">
        <v>2320</v>
      </c>
      <c r="B1307" s="4" t="s">
        <v>4967</v>
      </c>
      <c r="C1307" s="4" t="s">
        <v>2320</v>
      </c>
      <c r="D1307" s="4" t="s">
        <v>242</v>
      </c>
      <c r="E1307" s="4" t="s">
        <v>4263</v>
      </c>
      <c r="F1307" s="4" t="s">
        <v>4262</v>
      </c>
      <c r="G1307" s="4" t="s">
        <v>2263</v>
      </c>
      <c r="H1307" s="9" t="s">
        <v>2263</v>
      </c>
      <c r="I1307" s="4" t="s">
        <v>2317</v>
      </c>
      <c r="J1307" s="4" t="s">
        <v>2316</v>
      </c>
      <c r="K1307" s="4" t="s">
        <v>2263</v>
      </c>
      <c r="L1307" s="10">
        <v>2</v>
      </c>
      <c r="M1307" s="5">
        <v>650223.76666666672</v>
      </c>
      <c r="N1307" s="5">
        <v>1300447.5333333332</v>
      </c>
    </row>
    <row r="1308" spans="1:14" x14ac:dyDescent="0.25">
      <c r="A1308" s="4" t="s">
        <v>2320</v>
      </c>
      <c r="B1308" s="4" t="s">
        <v>4967</v>
      </c>
      <c r="C1308" s="4" t="s">
        <v>2320</v>
      </c>
      <c r="D1308" s="4" t="s">
        <v>242</v>
      </c>
      <c r="E1308" s="4" t="s">
        <v>4267</v>
      </c>
      <c r="F1308" s="4" t="s">
        <v>4266</v>
      </c>
      <c r="G1308" s="4" t="s">
        <v>2263</v>
      </c>
      <c r="H1308" s="9" t="s">
        <v>2263</v>
      </c>
      <c r="I1308" s="4" t="s">
        <v>2317</v>
      </c>
      <c r="J1308" s="4" t="s">
        <v>2316</v>
      </c>
      <c r="K1308" s="4" t="s">
        <v>2263</v>
      </c>
      <c r="L1308" s="10">
        <v>2</v>
      </c>
      <c r="M1308" s="5">
        <v>650854.53333333333</v>
      </c>
      <c r="N1308" s="5">
        <v>1301709.0666666667</v>
      </c>
    </row>
    <row r="1309" spans="1:14" x14ac:dyDescent="0.25">
      <c r="A1309" s="4" t="s">
        <v>2317</v>
      </c>
      <c r="B1309" s="4" t="s">
        <v>3839</v>
      </c>
      <c r="C1309" s="4" t="s">
        <v>2320</v>
      </c>
      <c r="D1309" s="4" t="s">
        <v>242</v>
      </c>
      <c r="E1309" s="4" t="s">
        <v>4275</v>
      </c>
      <c r="F1309" s="4" t="s">
        <v>4274</v>
      </c>
      <c r="G1309" s="4" t="s">
        <v>2263</v>
      </c>
      <c r="H1309" s="9" t="s">
        <v>2263</v>
      </c>
      <c r="I1309" s="4" t="s">
        <v>2317</v>
      </c>
      <c r="J1309" s="4" t="s">
        <v>2316</v>
      </c>
      <c r="K1309" s="4" t="s">
        <v>2263</v>
      </c>
      <c r="L1309" s="10">
        <v>2</v>
      </c>
      <c r="M1309" s="5">
        <v>671519.56500000006</v>
      </c>
      <c r="N1309" s="5">
        <v>1343039.13</v>
      </c>
    </row>
    <row r="1310" spans="1:14" x14ac:dyDescent="0.25">
      <c r="A1310" s="4" t="s">
        <v>2317</v>
      </c>
      <c r="B1310" s="4" t="s">
        <v>3839</v>
      </c>
      <c r="C1310" s="4" t="s">
        <v>2320</v>
      </c>
      <c r="D1310" s="4" t="s">
        <v>242</v>
      </c>
      <c r="E1310" s="4" t="s">
        <v>4273</v>
      </c>
      <c r="F1310" s="4" t="s">
        <v>4272</v>
      </c>
      <c r="G1310" s="4" t="s">
        <v>2263</v>
      </c>
      <c r="H1310" s="9" t="s">
        <v>2263</v>
      </c>
      <c r="I1310" s="4" t="s">
        <v>2317</v>
      </c>
      <c r="J1310" s="4" t="s">
        <v>2316</v>
      </c>
      <c r="K1310" s="4" t="s">
        <v>2263</v>
      </c>
      <c r="L1310" s="10">
        <v>2</v>
      </c>
      <c r="M1310" s="5">
        <v>701201.40499999991</v>
      </c>
      <c r="N1310" s="5">
        <v>1402402.81</v>
      </c>
    </row>
    <row r="1311" spans="1:14" x14ac:dyDescent="0.25">
      <c r="A1311" s="4" t="s">
        <v>2653</v>
      </c>
      <c r="B1311" s="4" t="s">
        <v>3226</v>
      </c>
      <c r="C1311" s="4" t="s">
        <v>2384</v>
      </c>
      <c r="D1311" s="4" t="s">
        <v>262</v>
      </c>
      <c r="E1311" s="4" t="s">
        <v>3308</v>
      </c>
      <c r="F1311" s="4" t="s">
        <v>3307</v>
      </c>
      <c r="G1311" s="4" t="s">
        <v>2263</v>
      </c>
      <c r="H1311" s="9" t="s">
        <v>2263</v>
      </c>
      <c r="I1311" s="4" t="s">
        <v>2317</v>
      </c>
      <c r="J1311" s="4" t="s">
        <v>2316</v>
      </c>
      <c r="K1311" s="4" t="s">
        <v>2263</v>
      </c>
      <c r="L1311" s="10">
        <v>2</v>
      </c>
      <c r="M1311" s="5">
        <v>702100</v>
      </c>
      <c r="N1311" s="5">
        <v>1404200</v>
      </c>
    </row>
    <row r="1312" spans="1:14" x14ac:dyDescent="0.25">
      <c r="A1312" s="4" t="s">
        <v>2320</v>
      </c>
      <c r="B1312" s="4" t="s">
        <v>4967</v>
      </c>
      <c r="C1312" s="4" t="s">
        <v>2320</v>
      </c>
      <c r="D1312" s="4" t="s">
        <v>242</v>
      </c>
      <c r="E1312" s="4" t="s">
        <v>4249</v>
      </c>
      <c r="F1312" s="4" t="s">
        <v>4248</v>
      </c>
      <c r="G1312" s="4" t="s">
        <v>2263</v>
      </c>
      <c r="H1312" s="9" t="s">
        <v>2263</v>
      </c>
      <c r="I1312" s="4" t="s">
        <v>2317</v>
      </c>
      <c r="J1312" s="4" t="s">
        <v>2316</v>
      </c>
      <c r="K1312" s="4" t="s">
        <v>2263</v>
      </c>
      <c r="L1312" s="10">
        <v>2</v>
      </c>
      <c r="M1312" s="5">
        <v>715874.01249999995</v>
      </c>
      <c r="N1312" s="5">
        <v>1431748.0249999999</v>
      </c>
    </row>
    <row r="1313" spans="1:14" x14ac:dyDescent="0.25">
      <c r="A1313" s="4" t="s">
        <v>2317</v>
      </c>
      <c r="B1313" s="4" t="s">
        <v>3839</v>
      </c>
      <c r="C1313" s="4" t="s">
        <v>2320</v>
      </c>
      <c r="D1313" s="4" t="s">
        <v>242</v>
      </c>
      <c r="E1313" s="4" t="s">
        <v>4249</v>
      </c>
      <c r="F1313" s="4" t="s">
        <v>4248</v>
      </c>
      <c r="G1313" s="4" t="s">
        <v>2263</v>
      </c>
      <c r="H1313" s="9" t="s">
        <v>2263</v>
      </c>
      <c r="I1313" s="4" t="s">
        <v>2317</v>
      </c>
      <c r="J1313" s="4" t="s">
        <v>2316</v>
      </c>
      <c r="K1313" s="4" t="s">
        <v>2263</v>
      </c>
      <c r="L1313" s="10">
        <v>2</v>
      </c>
      <c r="M1313" s="5">
        <v>715874.01249999995</v>
      </c>
      <c r="N1313" s="5">
        <v>1431748.0249999999</v>
      </c>
    </row>
    <row r="1314" spans="1:14" x14ac:dyDescent="0.25">
      <c r="A1314" s="4" t="s">
        <v>2819</v>
      </c>
      <c r="B1314" s="4" t="s">
        <v>2818</v>
      </c>
      <c r="C1314" s="4" t="s">
        <v>2320</v>
      </c>
      <c r="D1314" s="4" t="s">
        <v>242</v>
      </c>
      <c r="E1314" s="4" t="s">
        <v>2829</v>
      </c>
      <c r="F1314" s="4" t="s">
        <v>2828</v>
      </c>
      <c r="G1314" s="4" t="s">
        <v>2263</v>
      </c>
      <c r="H1314" s="9" t="s">
        <v>2263</v>
      </c>
      <c r="I1314" s="4" t="s">
        <v>2317</v>
      </c>
      <c r="J1314" s="4" t="s">
        <v>2316</v>
      </c>
      <c r="K1314" s="4" t="s">
        <v>2263</v>
      </c>
      <c r="L1314" s="10">
        <v>2</v>
      </c>
      <c r="M1314" s="5">
        <v>721662.34</v>
      </c>
      <c r="N1314" s="5">
        <v>1443324.68</v>
      </c>
    </row>
    <row r="1315" spans="1:14" x14ac:dyDescent="0.25">
      <c r="A1315" s="4" t="s">
        <v>2320</v>
      </c>
      <c r="B1315" s="4" t="s">
        <v>4967</v>
      </c>
      <c r="C1315" s="4" t="s">
        <v>2320</v>
      </c>
      <c r="D1315" s="4" t="s">
        <v>242</v>
      </c>
      <c r="E1315" s="4" t="s">
        <v>5121</v>
      </c>
      <c r="F1315" s="4" t="s">
        <v>5120</v>
      </c>
      <c r="G1315" s="4" t="s">
        <v>2263</v>
      </c>
      <c r="H1315" s="9" t="s">
        <v>2263</v>
      </c>
      <c r="I1315" s="4" t="s">
        <v>2317</v>
      </c>
      <c r="J1315" s="4" t="s">
        <v>2316</v>
      </c>
      <c r="K1315" s="4" t="s">
        <v>2263</v>
      </c>
      <c r="L1315" s="10">
        <v>2</v>
      </c>
      <c r="M1315" s="5">
        <v>753431.41</v>
      </c>
      <c r="N1315" s="5">
        <v>1506862.82</v>
      </c>
    </row>
    <row r="1316" spans="1:14" x14ac:dyDescent="0.25">
      <c r="A1316" s="4" t="s">
        <v>2320</v>
      </c>
      <c r="B1316" s="4" t="s">
        <v>4967</v>
      </c>
      <c r="C1316" s="4" t="s">
        <v>2274</v>
      </c>
      <c r="D1316" s="4" t="s">
        <v>2273</v>
      </c>
      <c r="E1316" s="4" t="s">
        <v>4988</v>
      </c>
      <c r="F1316" s="4" t="s">
        <v>4987</v>
      </c>
      <c r="G1316" s="4" t="s">
        <v>2263</v>
      </c>
      <c r="H1316" s="9" t="s">
        <v>2263</v>
      </c>
      <c r="I1316" s="4" t="s">
        <v>2263</v>
      </c>
      <c r="J1316" s="4" t="s">
        <v>2263</v>
      </c>
      <c r="K1316" s="4" t="s">
        <v>4986</v>
      </c>
      <c r="L1316" s="10">
        <v>2</v>
      </c>
      <c r="M1316" s="5">
        <v>760000</v>
      </c>
      <c r="N1316" s="5">
        <v>1520000</v>
      </c>
    </row>
    <row r="1317" spans="1:14" x14ac:dyDescent="0.25">
      <c r="A1317" s="4" t="s">
        <v>2320</v>
      </c>
      <c r="B1317" s="4" t="s">
        <v>4967</v>
      </c>
      <c r="C1317" s="4" t="s">
        <v>2320</v>
      </c>
      <c r="D1317" s="4" t="s">
        <v>242</v>
      </c>
      <c r="E1317" s="4" t="s">
        <v>5007</v>
      </c>
      <c r="F1317" s="4" t="s">
        <v>5006</v>
      </c>
      <c r="G1317" s="4" t="s">
        <v>2263</v>
      </c>
      <c r="H1317" s="9" t="s">
        <v>2263</v>
      </c>
      <c r="I1317" s="4" t="s">
        <v>2317</v>
      </c>
      <c r="J1317" s="4" t="s">
        <v>2316</v>
      </c>
      <c r="K1317" s="4" t="s">
        <v>2263</v>
      </c>
      <c r="L1317" s="10">
        <v>2</v>
      </c>
      <c r="M1317" s="5">
        <v>782886.3949999999</v>
      </c>
      <c r="N1317" s="5">
        <v>1565772.79</v>
      </c>
    </row>
    <row r="1318" spans="1:14" x14ac:dyDescent="0.25">
      <c r="A1318" s="4" t="s">
        <v>2317</v>
      </c>
      <c r="B1318" s="4" t="s">
        <v>3839</v>
      </c>
      <c r="C1318" s="4" t="s">
        <v>2320</v>
      </c>
      <c r="D1318" s="4" t="s">
        <v>242</v>
      </c>
      <c r="E1318" s="4" t="s">
        <v>4235</v>
      </c>
      <c r="F1318" s="4" t="s">
        <v>4234</v>
      </c>
      <c r="G1318" s="4" t="s">
        <v>2263</v>
      </c>
      <c r="H1318" s="9" t="s">
        <v>2263</v>
      </c>
      <c r="I1318" s="4" t="s">
        <v>2317</v>
      </c>
      <c r="J1318" s="4" t="s">
        <v>2316</v>
      </c>
      <c r="K1318" s="4" t="s">
        <v>2263</v>
      </c>
      <c r="L1318" s="10">
        <v>2</v>
      </c>
      <c r="M1318" s="5">
        <v>783143.36</v>
      </c>
      <c r="N1318" s="5">
        <v>1566286.72</v>
      </c>
    </row>
    <row r="1319" spans="1:14" x14ac:dyDescent="0.25">
      <c r="A1319" s="4" t="s">
        <v>2320</v>
      </c>
      <c r="B1319" s="4" t="s">
        <v>4967</v>
      </c>
      <c r="C1319" s="4" t="s">
        <v>2274</v>
      </c>
      <c r="D1319" s="4" t="s">
        <v>2273</v>
      </c>
      <c r="E1319" s="4" t="s">
        <v>4983</v>
      </c>
      <c r="F1319" s="4" t="s">
        <v>4982</v>
      </c>
      <c r="G1319" s="4" t="s">
        <v>2263</v>
      </c>
      <c r="H1319" s="9" t="s">
        <v>2263</v>
      </c>
      <c r="I1319" s="4" t="s">
        <v>2263</v>
      </c>
      <c r="J1319" s="4" t="s">
        <v>2263</v>
      </c>
      <c r="K1319" s="4" t="s">
        <v>4791</v>
      </c>
      <c r="L1319" s="10">
        <v>2</v>
      </c>
      <c r="M1319" s="5">
        <v>822100</v>
      </c>
      <c r="N1319" s="5">
        <v>1644200</v>
      </c>
    </row>
    <row r="1320" spans="1:14" x14ac:dyDescent="0.25">
      <c r="A1320" s="4" t="s">
        <v>2320</v>
      </c>
      <c r="B1320" s="4" t="s">
        <v>4967</v>
      </c>
      <c r="C1320" s="4" t="s">
        <v>2320</v>
      </c>
      <c r="D1320" s="4" t="s">
        <v>242</v>
      </c>
      <c r="E1320" s="4" t="s">
        <v>5105</v>
      </c>
      <c r="F1320" s="4" t="s">
        <v>5104</v>
      </c>
      <c r="G1320" s="4" t="s">
        <v>2263</v>
      </c>
      <c r="H1320" s="9" t="s">
        <v>2263</v>
      </c>
      <c r="I1320" s="4" t="s">
        <v>2317</v>
      </c>
      <c r="J1320" s="4" t="s">
        <v>2316</v>
      </c>
      <c r="K1320" s="4" t="s">
        <v>2263</v>
      </c>
      <c r="L1320" s="10">
        <v>2</v>
      </c>
      <c r="M1320" s="5">
        <v>823829</v>
      </c>
      <c r="N1320" s="5">
        <v>1647658</v>
      </c>
    </row>
    <row r="1321" spans="1:14" x14ac:dyDescent="0.25">
      <c r="A1321" s="4" t="s">
        <v>2317</v>
      </c>
      <c r="B1321" s="4" t="s">
        <v>3839</v>
      </c>
      <c r="C1321" s="4" t="s">
        <v>2320</v>
      </c>
      <c r="D1321" s="4" t="s">
        <v>242</v>
      </c>
      <c r="E1321" s="4" t="s">
        <v>4277</v>
      </c>
      <c r="F1321" s="4" t="s">
        <v>4276</v>
      </c>
      <c r="G1321" s="4" t="s">
        <v>2263</v>
      </c>
      <c r="H1321" s="9" t="s">
        <v>2263</v>
      </c>
      <c r="I1321" s="4" t="s">
        <v>2317</v>
      </c>
      <c r="J1321" s="4" t="s">
        <v>2316</v>
      </c>
      <c r="K1321" s="4" t="s">
        <v>2263</v>
      </c>
      <c r="L1321" s="10">
        <v>2</v>
      </c>
      <c r="M1321" s="5">
        <v>925633.66666666663</v>
      </c>
      <c r="N1321" s="5">
        <v>1851267.3333333335</v>
      </c>
    </row>
    <row r="1322" spans="1:14" x14ac:dyDescent="0.25">
      <c r="A1322" s="4" t="s">
        <v>2320</v>
      </c>
      <c r="B1322" s="4" t="s">
        <v>4967</v>
      </c>
      <c r="C1322" s="4" t="s">
        <v>2320</v>
      </c>
      <c r="D1322" s="4" t="s">
        <v>242</v>
      </c>
      <c r="E1322" s="4" t="s">
        <v>4173</v>
      </c>
      <c r="F1322" s="4" t="s">
        <v>4172</v>
      </c>
      <c r="G1322" s="4" t="s">
        <v>2263</v>
      </c>
      <c r="H1322" s="9" t="s">
        <v>2263</v>
      </c>
      <c r="I1322" s="4" t="s">
        <v>2317</v>
      </c>
      <c r="J1322" s="4" t="s">
        <v>2316</v>
      </c>
      <c r="K1322" s="4" t="s">
        <v>2263</v>
      </c>
      <c r="L1322" s="10">
        <v>2</v>
      </c>
      <c r="M1322" s="5">
        <v>948737.25</v>
      </c>
      <c r="N1322" s="5">
        <v>1897474.5</v>
      </c>
    </row>
    <row r="1323" spans="1:14" x14ac:dyDescent="0.25">
      <c r="A1323" s="4" t="s">
        <v>2317</v>
      </c>
      <c r="B1323" s="4" t="s">
        <v>3839</v>
      </c>
      <c r="C1323" s="4" t="s">
        <v>2320</v>
      </c>
      <c r="D1323" s="4" t="s">
        <v>242</v>
      </c>
      <c r="E1323" s="4" t="s">
        <v>4173</v>
      </c>
      <c r="F1323" s="4" t="s">
        <v>4172</v>
      </c>
      <c r="G1323" s="4" t="s">
        <v>2263</v>
      </c>
      <c r="H1323" s="9" t="s">
        <v>2263</v>
      </c>
      <c r="I1323" s="4" t="s">
        <v>2317</v>
      </c>
      <c r="J1323" s="4" t="s">
        <v>2316</v>
      </c>
      <c r="K1323" s="4" t="s">
        <v>2263</v>
      </c>
      <c r="L1323" s="10">
        <v>2</v>
      </c>
      <c r="M1323" s="5">
        <v>948737.25</v>
      </c>
      <c r="N1323" s="5">
        <v>1897474.5</v>
      </c>
    </row>
    <row r="1324" spans="1:14" x14ac:dyDescent="0.25">
      <c r="A1324" s="4" t="s">
        <v>2837</v>
      </c>
      <c r="B1324" s="4" t="s">
        <v>2836</v>
      </c>
      <c r="C1324" s="4" t="s">
        <v>2320</v>
      </c>
      <c r="D1324" s="4" t="s">
        <v>242</v>
      </c>
      <c r="E1324" s="4" t="s">
        <v>2835</v>
      </c>
      <c r="F1324" s="4" t="s">
        <v>2834</v>
      </c>
      <c r="G1324" s="4" t="s">
        <v>2263</v>
      </c>
      <c r="H1324" s="9" t="s">
        <v>2263</v>
      </c>
      <c r="I1324" s="4" t="s">
        <v>2317</v>
      </c>
      <c r="J1324" s="4" t="s">
        <v>2316</v>
      </c>
      <c r="K1324" s="4" t="s">
        <v>2263</v>
      </c>
      <c r="L1324" s="10">
        <v>2</v>
      </c>
      <c r="M1324" s="5">
        <v>988682.41500000004</v>
      </c>
      <c r="N1324" s="5">
        <v>1977364.83</v>
      </c>
    </row>
    <row r="1325" spans="1:14" x14ac:dyDescent="0.25">
      <c r="A1325" s="4" t="s">
        <v>2320</v>
      </c>
      <c r="B1325" s="4" t="s">
        <v>4967</v>
      </c>
      <c r="C1325" s="4" t="s">
        <v>2320</v>
      </c>
      <c r="D1325" s="4" t="s">
        <v>242</v>
      </c>
      <c r="E1325" s="4" t="s">
        <v>5125</v>
      </c>
      <c r="F1325" s="4" t="s">
        <v>5124</v>
      </c>
      <c r="G1325" s="4" t="s">
        <v>2263</v>
      </c>
      <c r="H1325" s="9" t="s">
        <v>2263</v>
      </c>
      <c r="I1325" s="4" t="s">
        <v>2317</v>
      </c>
      <c r="J1325" s="4" t="s">
        <v>2316</v>
      </c>
      <c r="K1325" s="4" t="s">
        <v>2263</v>
      </c>
      <c r="L1325" s="10">
        <v>2</v>
      </c>
      <c r="M1325" s="5">
        <v>1095300</v>
      </c>
      <c r="N1325" s="5">
        <v>2190600</v>
      </c>
    </row>
    <row r="1326" spans="1:14" x14ac:dyDescent="0.25">
      <c r="A1326" s="4" t="s">
        <v>2320</v>
      </c>
      <c r="B1326" s="4" t="s">
        <v>4967</v>
      </c>
      <c r="C1326" s="4" t="s">
        <v>2320</v>
      </c>
      <c r="D1326" s="4" t="s">
        <v>242</v>
      </c>
      <c r="E1326" s="4" t="s">
        <v>5091</v>
      </c>
      <c r="F1326" s="4" t="s">
        <v>5090</v>
      </c>
      <c r="G1326" s="4" t="s">
        <v>2263</v>
      </c>
      <c r="H1326" s="9" t="s">
        <v>2263</v>
      </c>
      <c r="I1326" s="4" t="s">
        <v>2317</v>
      </c>
      <c r="J1326" s="4" t="s">
        <v>2316</v>
      </c>
      <c r="K1326" s="4" t="s">
        <v>2263</v>
      </c>
      <c r="L1326" s="10">
        <v>2</v>
      </c>
      <c r="M1326" s="5">
        <v>1402829.3399999999</v>
      </c>
      <c r="N1326" s="5">
        <v>2805658.68</v>
      </c>
    </row>
    <row r="1327" spans="1:14" x14ac:dyDescent="0.25">
      <c r="A1327" s="4" t="s">
        <v>2344</v>
      </c>
      <c r="B1327" s="4" t="s">
        <v>5154</v>
      </c>
      <c r="C1327" s="4" t="s">
        <v>2320</v>
      </c>
      <c r="D1327" s="4" t="s">
        <v>242</v>
      </c>
      <c r="E1327" s="4" t="s">
        <v>2803</v>
      </c>
      <c r="F1327" s="4" t="s">
        <v>2802</v>
      </c>
      <c r="G1327" s="4" t="s">
        <v>2263</v>
      </c>
      <c r="H1327" s="9" t="s">
        <v>2263</v>
      </c>
      <c r="I1327" s="4" t="s">
        <v>2317</v>
      </c>
      <c r="J1327" s="4" t="s">
        <v>2316</v>
      </c>
      <c r="K1327" s="4" t="s">
        <v>2263</v>
      </c>
      <c r="L1327" s="10">
        <v>2</v>
      </c>
      <c r="M1327" s="5">
        <v>1592274.287142857</v>
      </c>
      <c r="N1327" s="5">
        <v>3184548.5742857144</v>
      </c>
    </row>
    <row r="1328" spans="1:14" x14ac:dyDescent="0.25">
      <c r="A1328" s="4" t="s">
        <v>2320</v>
      </c>
      <c r="B1328" s="4" t="s">
        <v>4967</v>
      </c>
      <c r="C1328" s="4" t="s">
        <v>2320</v>
      </c>
      <c r="D1328" s="4" t="s">
        <v>242</v>
      </c>
      <c r="E1328" s="4" t="s">
        <v>4005</v>
      </c>
      <c r="F1328" s="4" t="s">
        <v>4004</v>
      </c>
      <c r="G1328" s="4" t="s">
        <v>2263</v>
      </c>
      <c r="H1328" s="9" t="s">
        <v>2263</v>
      </c>
      <c r="I1328" s="4" t="s">
        <v>2317</v>
      </c>
      <c r="J1328" s="4" t="s">
        <v>2316</v>
      </c>
      <c r="K1328" s="4" t="s">
        <v>2263</v>
      </c>
      <c r="L1328" s="10">
        <v>2</v>
      </c>
      <c r="M1328" s="5">
        <v>1718763.47</v>
      </c>
      <c r="N1328" s="5">
        <v>3437526.94</v>
      </c>
    </row>
    <row r="1329" spans="1:14" x14ac:dyDescent="0.25">
      <c r="A1329" s="4" t="s">
        <v>2317</v>
      </c>
      <c r="B1329" s="4" t="s">
        <v>3839</v>
      </c>
      <c r="C1329" s="4" t="s">
        <v>2320</v>
      </c>
      <c r="D1329" s="4" t="s">
        <v>242</v>
      </c>
      <c r="E1329" s="4" t="s">
        <v>4005</v>
      </c>
      <c r="F1329" s="4" t="s">
        <v>4004</v>
      </c>
      <c r="G1329" s="4" t="s">
        <v>2263</v>
      </c>
      <c r="H1329" s="9" t="s">
        <v>2263</v>
      </c>
      <c r="I1329" s="4" t="s">
        <v>2317</v>
      </c>
      <c r="J1329" s="4" t="s">
        <v>2316</v>
      </c>
      <c r="K1329" s="4" t="s">
        <v>2263</v>
      </c>
      <c r="L1329" s="10">
        <v>2</v>
      </c>
      <c r="M1329" s="5">
        <v>1718763.47</v>
      </c>
      <c r="N1329" s="5">
        <v>3437526.94</v>
      </c>
    </row>
    <row r="1330" spans="1:14" x14ac:dyDescent="0.25">
      <c r="A1330" s="4" t="s">
        <v>2274</v>
      </c>
      <c r="B1330" s="4" t="s">
        <v>4348</v>
      </c>
      <c r="C1330" s="4" t="s">
        <v>2274</v>
      </c>
      <c r="D1330" s="4" t="s">
        <v>2273</v>
      </c>
      <c r="E1330" s="4" t="s">
        <v>4446</v>
      </c>
      <c r="F1330" s="4" t="s">
        <v>4445</v>
      </c>
      <c r="G1330" s="4" t="s">
        <v>2263</v>
      </c>
      <c r="H1330" s="9" t="s">
        <v>2263</v>
      </c>
      <c r="I1330" s="4" t="s">
        <v>2263</v>
      </c>
      <c r="J1330" s="4" t="s">
        <v>2263</v>
      </c>
      <c r="K1330" s="4" t="s">
        <v>2536</v>
      </c>
      <c r="L1330" s="10">
        <v>2</v>
      </c>
      <c r="M1330" s="5">
        <v>1737313.7885714285</v>
      </c>
      <c r="N1330" s="5">
        <v>3474627.577142857</v>
      </c>
    </row>
    <row r="1331" spans="1:14" x14ac:dyDescent="0.25">
      <c r="A1331" s="4" t="s">
        <v>2317</v>
      </c>
      <c r="B1331" s="4" t="s">
        <v>3839</v>
      </c>
      <c r="C1331" s="4" t="s">
        <v>2320</v>
      </c>
      <c r="D1331" s="4" t="s">
        <v>242</v>
      </c>
      <c r="E1331" s="4" t="s">
        <v>4003</v>
      </c>
      <c r="F1331" s="4" t="s">
        <v>4002</v>
      </c>
      <c r="G1331" s="4" t="s">
        <v>2263</v>
      </c>
      <c r="H1331" s="9" t="s">
        <v>2263</v>
      </c>
      <c r="I1331" s="4" t="s">
        <v>2317</v>
      </c>
      <c r="J1331" s="4" t="s">
        <v>2316</v>
      </c>
      <c r="K1331" s="4" t="s">
        <v>2263</v>
      </c>
      <c r="L1331" s="10">
        <v>2</v>
      </c>
      <c r="M1331" s="5">
        <v>1776461.3</v>
      </c>
      <c r="N1331" s="5">
        <v>3552922.6</v>
      </c>
    </row>
    <row r="1332" spans="1:14" x14ac:dyDescent="0.25">
      <c r="A1332" s="4" t="s">
        <v>2653</v>
      </c>
      <c r="B1332" s="4" t="s">
        <v>3226</v>
      </c>
      <c r="C1332" s="4" t="s">
        <v>2384</v>
      </c>
      <c r="D1332" s="4" t="s">
        <v>262</v>
      </c>
      <c r="E1332" s="4" t="s">
        <v>3444</v>
      </c>
      <c r="F1332" s="4" t="s">
        <v>3443</v>
      </c>
      <c r="G1332" s="4" t="s">
        <v>2263</v>
      </c>
      <c r="H1332" s="9" t="s">
        <v>2263</v>
      </c>
      <c r="I1332" s="4" t="s">
        <v>2317</v>
      </c>
      <c r="J1332" s="4" t="s">
        <v>2316</v>
      </c>
      <c r="K1332" s="4" t="s">
        <v>2263</v>
      </c>
      <c r="L1332" s="10">
        <v>2</v>
      </c>
      <c r="M1332" s="5">
        <v>1868236.33</v>
      </c>
      <c r="N1332" s="5">
        <v>3736472.66</v>
      </c>
    </row>
    <row r="1333" spans="1:14" x14ac:dyDescent="0.25">
      <c r="A1333" s="4" t="s">
        <v>2653</v>
      </c>
      <c r="B1333" s="4" t="s">
        <v>3226</v>
      </c>
      <c r="C1333" s="4" t="s">
        <v>2384</v>
      </c>
      <c r="D1333" s="4" t="s">
        <v>262</v>
      </c>
      <c r="E1333" s="4" t="s">
        <v>3438</v>
      </c>
      <c r="F1333" s="4" t="s">
        <v>3437</v>
      </c>
      <c r="G1333" s="4" t="s">
        <v>2263</v>
      </c>
      <c r="H1333" s="9" t="s">
        <v>2263</v>
      </c>
      <c r="I1333" s="4" t="s">
        <v>2317</v>
      </c>
      <c r="J1333" s="4" t="s">
        <v>2316</v>
      </c>
      <c r="K1333" s="4" t="s">
        <v>2263</v>
      </c>
      <c r="L1333" s="10">
        <v>2</v>
      </c>
      <c r="M1333" s="5">
        <v>2241701.25</v>
      </c>
      <c r="N1333" s="5">
        <v>4483402.5</v>
      </c>
    </row>
    <row r="1334" spans="1:14" x14ac:dyDescent="0.25">
      <c r="A1334" s="4" t="s">
        <v>2344</v>
      </c>
      <c r="B1334" s="4" t="s">
        <v>5154</v>
      </c>
      <c r="C1334" s="4" t="s">
        <v>2274</v>
      </c>
      <c r="D1334" s="4" t="s">
        <v>2273</v>
      </c>
      <c r="E1334" s="4" t="s">
        <v>4502</v>
      </c>
      <c r="F1334" s="4" t="s">
        <v>4501</v>
      </c>
      <c r="G1334" s="4" t="s">
        <v>2263</v>
      </c>
      <c r="H1334" s="9" t="s">
        <v>2263</v>
      </c>
      <c r="I1334" s="4" t="s">
        <v>2263</v>
      </c>
      <c r="J1334" s="4" t="s">
        <v>2263</v>
      </c>
      <c r="K1334" s="4" t="s">
        <v>4500</v>
      </c>
      <c r="L1334" s="10">
        <v>2</v>
      </c>
      <c r="M1334" s="5">
        <v>3009538.5566666666</v>
      </c>
      <c r="N1334" s="5">
        <v>6019077.1133333342</v>
      </c>
    </row>
    <row r="1335" spans="1:14" x14ac:dyDescent="0.25">
      <c r="A1335" s="4" t="s">
        <v>2344</v>
      </c>
      <c r="B1335" s="4" t="s">
        <v>5154</v>
      </c>
      <c r="C1335" s="4" t="s">
        <v>2274</v>
      </c>
      <c r="D1335" s="4" t="s">
        <v>2273</v>
      </c>
      <c r="E1335" s="4" t="s">
        <v>5236</v>
      </c>
      <c r="F1335" s="4" t="s">
        <v>5235</v>
      </c>
      <c r="G1335" s="4" t="s">
        <v>2263</v>
      </c>
      <c r="H1335" s="9" t="s">
        <v>2263</v>
      </c>
      <c r="I1335" s="4" t="s">
        <v>2263</v>
      </c>
      <c r="J1335" s="4" t="s">
        <v>2263</v>
      </c>
      <c r="K1335" s="4" t="s">
        <v>2536</v>
      </c>
      <c r="L1335" s="10">
        <v>2</v>
      </c>
      <c r="M1335" s="5">
        <v>5462920.4500000002</v>
      </c>
      <c r="N1335" s="5">
        <v>10925840.9</v>
      </c>
    </row>
    <row r="1336" spans="1:14" x14ac:dyDescent="0.25">
      <c r="A1336" s="4" t="s">
        <v>2344</v>
      </c>
      <c r="B1336" s="4" t="s">
        <v>5154</v>
      </c>
      <c r="C1336" s="4" t="s">
        <v>2267</v>
      </c>
      <c r="D1336" s="4" t="s">
        <v>2266</v>
      </c>
      <c r="E1336" s="4" t="s">
        <v>5200</v>
      </c>
      <c r="F1336" s="4" t="s">
        <v>2500</v>
      </c>
      <c r="G1336" s="4" t="s">
        <v>2263</v>
      </c>
      <c r="H1336" s="9" t="s">
        <v>2263</v>
      </c>
      <c r="I1336" s="4" t="s">
        <v>2263</v>
      </c>
      <c r="J1336" s="4" t="s">
        <v>2263</v>
      </c>
      <c r="K1336" s="4" t="s">
        <v>2499</v>
      </c>
      <c r="L1336" s="10">
        <v>3</v>
      </c>
      <c r="M1336" s="5">
        <v>-868015.81666666665</v>
      </c>
      <c r="N1336" s="5">
        <v>-2604047.4500000002</v>
      </c>
    </row>
    <row r="1337" spans="1:14" x14ac:dyDescent="0.25">
      <c r="A1337" s="4" t="s">
        <v>2344</v>
      </c>
      <c r="B1337" s="4" t="s">
        <v>5154</v>
      </c>
      <c r="C1337" s="4" t="s">
        <v>2320</v>
      </c>
      <c r="D1337" s="4" t="s">
        <v>242</v>
      </c>
      <c r="E1337" s="4" t="s">
        <v>5304</v>
      </c>
      <c r="F1337" s="4" t="s">
        <v>5303</v>
      </c>
      <c r="G1337" s="4" t="s">
        <v>2263</v>
      </c>
      <c r="H1337" s="9" t="s">
        <v>2263</v>
      </c>
      <c r="I1337" s="4" t="s">
        <v>2317</v>
      </c>
      <c r="J1337" s="4" t="s">
        <v>2316</v>
      </c>
      <c r="K1337" s="4" t="s">
        <v>2263</v>
      </c>
      <c r="L1337" s="10">
        <v>3</v>
      </c>
      <c r="M1337" s="5">
        <v>-153546.33333333334</v>
      </c>
      <c r="N1337" s="5">
        <v>-460639</v>
      </c>
    </row>
    <row r="1338" spans="1:14" x14ac:dyDescent="0.25">
      <c r="A1338" s="4" t="s">
        <v>2673</v>
      </c>
      <c r="B1338" s="4" t="s">
        <v>2672</v>
      </c>
      <c r="C1338" s="4" t="s">
        <v>2320</v>
      </c>
      <c r="D1338" s="4" t="s">
        <v>242</v>
      </c>
      <c r="E1338" s="4" t="s">
        <v>2408</v>
      </c>
      <c r="F1338" s="4" t="s">
        <v>2407</v>
      </c>
      <c r="G1338" s="4" t="s">
        <v>2263</v>
      </c>
      <c r="H1338" s="9" t="s">
        <v>2263</v>
      </c>
      <c r="I1338" s="4" t="s">
        <v>2317</v>
      </c>
      <c r="J1338" s="4" t="s">
        <v>2316</v>
      </c>
      <c r="K1338" s="4" t="s">
        <v>2263</v>
      </c>
      <c r="L1338" s="10">
        <v>3</v>
      </c>
      <c r="M1338" s="5">
        <v>-58082.704199999993</v>
      </c>
      <c r="N1338" s="5">
        <v>-174248.11259999999</v>
      </c>
    </row>
    <row r="1339" spans="1:14" x14ac:dyDescent="0.25">
      <c r="A1339" s="4" t="s">
        <v>2279</v>
      </c>
      <c r="B1339" s="4" t="s">
        <v>4963</v>
      </c>
      <c r="C1339" s="4" t="s">
        <v>2279</v>
      </c>
      <c r="D1339" s="4" t="s">
        <v>2278</v>
      </c>
      <c r="E1339" s="4" t="s">
        <v>3158</v>
      </c>
      <c r="F1339" s="4" t="s">
        <v>2284</v>
      </c>
      <c r="G1339" s="4" t="s">
        <v>2263</v>
      </c>
      <c r="H1339" s="9" t="s">
        <v>2263</v>
      </c>
      <c r="I1339" s="4" t="s">
        <v>2263</v>
      </c>
      <c r="J1339" s="4" t="s">
        <v>2263</v>
      </c>
      <c r="K1339" s="4" t="s">
        <v>2283</v>
      </c>
      <c r="L1339" s="10">
        <v>3</v>
      </c>
      <c r="M1339" s="5">
        <v>-41006.857142857145</v>
      </c>
      <c r="N1339" s="5">
        <v>-123020.57142857143</v>
      </c>
    </row>
    <row r="1340" spans="1:14" x14ac:dyDescent="0.25">
      <c r="A1340" s="4" t="s">
        <v>2320</v>
      </c>
      <c r="B1340" s="4" t="s">
        <v>4967</v>
      </c>
      <c r="C1340" s="4" t="s">
        <v>2274</v>
      </c>
      <c r="D1340" s="4" t="s">
        <v>2273</v>
      </c>
      <c r="E1340" s="4" t="s">
        <v>4443</v>
      </c>
      <c r="F1340" s="4" t="s">
        <v>4442</v>
      </c>
      <c r="G1340" s="4" t="s">
        <v>2263</v>
      </c>
      <c r="H1340" s="9" t="s">
        <v>2263</v>
      </c>
      <c r="I1340" s="4" t="s">
        <v>2263</v>
      </c>
      <c r="J1340" s="4" t="s">
        <v>2263</v>
      </c>
      <c r="K1340" s="4" t="s">
        <v>4441</v>
      </c>
      <c r="L1340" s="10">
        <v>3</v>
      </c>
      <c r="M1340" s="5">
        <v>-33746.551249999997</v>
      </c>
      <c r="N1340" s="5">
        <v>-101239.65375</v>
      </c>
    </row>
    <row r="1341" spans="1:14" x14ac:dyDescent="0.25">
      <c r="A1341" s="4" t="s">
        <v>2930</v>
      </c>
      <c r="B1341" s="4" t="s">
        <v>2929</v>
      </c>
      <c r="C1341" s="4" t="s">
        <v>2320</v>
      </c>
      <c r="D1341" s="4" t="s">
        <v>242</v>
      </c>
      <c r="E1341" s="4" t="s">
        <v>2707</v>
      </c>
      <c r="F1341" s="4" t="s">
        <v>2706</v>
      </c>
      <c r="G1341" s="4" t="s">
        <v>2263</v>
      </c>
      <c r="H1341" s="9" t="s">
        <v>2263</v>
      </c>
      <c r="I1341" s="4" t="s">
        <v>2317</v>
      </c>
      <c r="J1341" s="4" t="s">
        <v>2316</v>
      </c>
      <c r="K1341" s="4" t="s">
        <v>2263</v>
      </c>
      <c r="L1341" s="10">
        <v>3</v>
      </c>
      <c r="M1341" s="5">
        <v>-18687.463351548267</v>
      </c>
      <c r="N1341" s="5">
        <v>-56062.390054644813</v>
      </c>
    </row>
    <row r="1342" spans="1:14" x14ac:dyDescent="0.25">
      <c r="A1342" s="4" t="s">
        <v>2320</v>
      </c>
      <c r="B1342" s="4" t="s">
        <v>4967</v>
      </c>
      <c r="C1342" s="4" t="s">
        <v>2344</v>
      </c>
      <c r="D1342" s="4" t="s">
        <v>237</v>
      </c>
      <c r="E1342" s="4" t="s">
        <v>4811</v>
      </c>
      <c r="F1342" s="4" t="s">
        <v>2565</v>
      </c>
      <c r="G1342" s="4" t="s">
        <v>2263</v>
      </c>
      <c r="H1342" s="9" t="s">
        <v>2263</v>
      </c>
      <c r="I1342" s="4" t="s">
        <v>2263</v>
      </c>
      <c r="J1342" s="4" t="s">
        <v>2263</v>
      </c>
      <c r="K1342" s="4" t="s">
        <v>2564</v>
      </c>
      <c r="L1342" s="10">
        <v>3</v>
      </c>
      <c r="M1342" s="5">
        <v>-115.94615384615383</v>
      </c>
      <c r="N1342" s="5">
        <v>-347.83846153846002</v>
      </c>
    </row>
    <row r="1343" spans="1:14" x14ac:dyDescent="0.25">
      <c r="A1343" s="4" t="s">
        <v>2653</v>
      </c>
      <c r="B1343" s="4" t="s">
        <v>3226</v>
      </c>
      <c r="C1343" s="4" t="s">
        <v>3107</v>
      </c>
      <c r="D1343" s="4" t="s">
        <v>1105</v>
      </c>
      <c r="E1343" s="4" t="s">
        <v>3741</v>
      </c>
      <c r="F1343" s="4" t="s">
        <v>3740</v>
      </c>
      <c r="G1343" s="4" t="s">
        <v>2263</v>
      </c>
      <c r="H1343" s="9" t="s">
        <v>2263</v>
      </c>
      <c r="I1343" s="4" t="s">
        <v>2317</v>
      </c>
      <c r="J1343" s="4" t="s">
        <v>2316</v>
      </c>
      <c r="K1343" s="4" t="s">
        <v>2263</v>
      </c>
      <c r="L1343" s="10">
        <v>3</v>
      </c>
      <c r="M1343" s="5">
        <v>56.726666666666667</v>
      </c>
      <c r="N1343" s="5">
        <v>170.18</v>
      </c>
    </row>
    <row r="1344" spans="1:14" x14ac:dyDescent="0.25">
      <c r="A1344" s="4" t="s">
        <v>2320</v>
      </c>
      <c r="B1344" s="4" t="s">
        <v>4967</v>
      </c>
      <c r="C1344" s="4" t="s">
        <v>2320</v>
      </c>
      <c r="D1344" s="4" t="s">
        <v>242</v>
      </c>
      <c r="E1344" s="4" t="s">
        <v>5109</v>
      </c>
      <c r="F1344" s="4" t="s">
        <v>5108</v>
      </c>
      <c r="G1344" s="4" t="s">
        <v>2263</v>
      </c>
      <c r="H1344" s="9" t="s">
        <v>2263</v>
      </c>
      <c r="I1344" s="4" t="s">
        <v>2317</v>
      </c>
      <c r="J1344" s="4" t="s">
        <v>2316</v>
      </c>
      <c r="K1344" s="4" t="s">
        <v>2263</v>
      </c>
      <c r="L1344" s="10">
        <v>3</v>
      </c>
      <c r="M1344" s="5">
        <v>197.52</v>
      </c>
      <c r="N1344" s="5">
        <v>592.55999999999995</v>
      </c>
    </row>
    <row r="1345" spans="1:14" x14ac:dyDescent="0.25">
      <c r="A1345" s="4" t="s">
        <v>2344</v>
      </c>
      <c r="B1345" s="4" t="s">
        <v>5154</v>
      </c>
      <c r="C1345" s="4" t="s">
        <v>2344</v>
      </c>
      <c r="D1345" s="4" t="s">
        <v>237</v>
      </c>
      <c r="E1345" s="4" t="s">
        <v>5475</v>
      </c>
      <c r="F1345" s="4" t="s">
        <v>5474</v>
      </c>
      <c r="G1345" s="4" t="s">
        <v>2263</v>
      </c>
      <c r="H1345" s="9" t="s">
        <v>2263</v>
      </c>
      <c r="I1345" s="4" t="s">
        <v>2263</v>
      </c>
      <c r="J1345" s="4" t="s">
        <v>2263</v>
      </c>
      <c r="K1345" s="4" t="s">
        <v>2520</v>
      </c>
      <c r="L1345" s="10">
        <v>3</v>
      </c>
      <c r="M1345" s="5">
        <v>200</v>
      </c>
      <c r="N1345" s="5">
        <v>600</v>
      </c>
    </row>
    <row r="1346" spans="1:14" x14ac:dyDescent="0.25">
      <c r="A1346" s="4" t="s">
        <v>2930</v>
      </c>
      <c r="B1346" s="4" t="s">
        <v>2929</v>
      </c>
      <c r="C1346" s="4" t="s">
        <v>2320</v>
      </c>
      <c r="D1346" s="4" t="s">
        <v>242</v>
      </c>
      <c r="E1346" s="4" t="s">
        <v>2360</v>
      </c>
      <c r="F1346" s="4" t="s">
        <v>2359</v>
      </c>
      <c r="G1346" s="4" t="s">
        <v>2263</v>
      </c>
      <c r="H1346" s="9" t="s">
        <v>2263</v>
      </c>
      <c r="I1346" s="4" t="s">
        <v>2317</v>
      </c>
      <c r="J1346" s="4" t="s">
        <v>2316</v>
      </c>
      <c r="K1346" s="4" t="s">
        <v>2263</v>
      </c>
      <c r="L1346" s="10">
        <v>3</v>
      </c>
      <c r="M1346" s="5">
        <v>261.77091875138365</v>
      </c>
      <c r="N1346" s="5">
        <v>785.31275625415003</v>
      </c>
    </row>
    <row r="1347" spans="1:14" x14ac:dyDescent="0.25">
      <c r="A1347" s="4" t="s">
        <v>2930</v>
      </c>
      <c r="B1347" s="4" t="s">
        <v>2929</v>
      </c>
      <c r="C1347" s="4" t="s">
        <v>2344</v>
      </c>
      <c r="D1347" s="4" t="s">
        <v>237</v>
      </c>
      <c r="E1347" s="4" t="s">
        <v>2469</v>
      </c>
      <c r="F1347" s="4" t="s">
        <v>2468</v>
      </c>
      <c r="G1347" s="4" t="s">
        <v>2263</v>
      </c>
      <c r="H1347" s="9" t="s">
        <v>2263</v>
      </c>
      <c r="I1347" s="4" t="s">
        <v>2263</v>
      </c>
      <c r="J1347" s="4" t="s">
        <v>2263</v>
      </c>
      <c r="K1347" s="4" t="s">
        <v>2376</v>
      </c>
      <c r="L1347" s="10">
        <v>3</v>
      </c>
      <c r="M1347" s="5">
        <v>407.26055555555558</v>
      </c>
      <c r="N1347" s="5">
        <v>1221.7816666666699</v>
      </c>
    </row>
    <row r="1348" spans="1:14" x14ac:dyDescent="0.25">
      <c r="A1348" s="4" t="s">
        <v>2344</v>
      </c>
      <c r="B1348" s="4" t="s">
        <v>5154</v>
      </c>
      <c r="C1348" s="4" t="s">
        <v>2320</v>
      </c>
      <c r="D1348" s="4" t="s">
        <v>242</v>
      </c>
      <c r="E1348" s="4" t="s">
        <v>5302</v>
      </c>
      <c r="F1348" s="4" t="s">
        <v>5301</v>
      </c>
      <c r="G1348" s="4" t="s">
        <v>2263</v>
      </c>
      <c r="H1348" s="9" t="s">
        <v>2263</v>
      </c>
      <c r="I1348" s="4" t="s">
        <v>2317</v>
      </c>
      <c r="J1348" s="4" t="s">
        <v>2316</v>
      </c>
      <c r="K1348" s="4" t="s">
        <v>2263</v>
      </c>
      <c r="L1348" s="10">
        <v>3</v>
      </c>
      <c r="M1348" s="5">
        <v>488</v>
      </c>
      <c r="N1348" s="5">
        <v>1464</v>
      </c>
    </row>
    <row r="1349" spans="1:14" x14ac:dyDescent="0.25">
      <c r="A1349" s="4" t="s">
        <v>3174</v>
      </c>
      <c r="B1349" s="4" t="s">
        <v>3173</v>
      </c>
      <c r="C1349" s="4" t="s">
        <v>2344</v>
      </c>
      <c r="D1349" s="4" t="s">
        <v>237</v>
      </c>
      <c r="E1349" s="4" t="s">
        <v>3186</v>
      </c>
      <c r="F1349" s="4" t="s">
        <v>2452</v>
      </c>
      <c r="G1349" s="4" t="s">
        <v>2263</v>
      </c>
      <c r="H1349" s="9" t="s">
        <v>2263</v>
      </c>
      <c r="I1349" s="4" t="s">
        <v>2263</v>
      </c>
      <c r="J1349" s="4" t="s">
        <v>2263</v>
      </c>
      <c r="K1349" s="4" t="s">
        <v>2451</v>
      </c>
      <c r="L1349" s="10">
        <v>3</v>
      </c>
      <c r="M1349" s="5">
        <v>559.97333333333336</v>
      </c>
      <c r="N1349" s="5">
        <v>1679.92</v>
      </c>
    </row>
    <row r="1350" spans="1:14" x14ac:dyDescent="0.25">
      <c r="A1350" s="4" t="s">
        <v>2320</v>
      </c>
      <c r="B1350" s="4" t="s">
        <v>4967</v>
      </c>
      <c r="C1350" s="4" t="s">
        <v>2320</v>
      </c>
      <c r="D1350" s="4" t="s">
        <v>242</v>
      </c>
      <c r="E1350" s="4" t="s">
        <v>3057</v>
      </c>
      <c r="F1350" s="4" t="s">
        <v>3056</v>
      </c>
      <c r="G1350" s="4" t="s">
        <v>2263</v>
      </c>
      <c r="H1350" s="9" t="s">
        <v>2263</v>
      </c>
      <c r="I1350" s="4" t="s">
        <v>2317</v>
      </c>
      <c r="J1350" s="4" t="s">
        <v>2316</v>
      </c>
      <c r="K1350" s="4" t="s">
        <v>2263</v>
      </c>
      <c r="L1350" s="10">
        <v>3</v>
      </c>
      <c r="M1350" s="5">
        <v>574.28377990430624</v>
      </c>
      <c r="N1350" s="5">
        <v>1722.85133971292</v>
      </c>
    </row>
    <row r="1351" spans="1:14" x14ac:dyDescent="0.25">
      <c r="A1351" s="4" t="s">
        <v>2344</v>
      </c>
      <c r="B1351" s="4" t="s">
        <v>5154</v>
      </c>
      <c r="C1351" s="4" t="s">
        <v>2279</v>
      </c>
      <c r="D1351" s="4" t="s">
        <v>2278</v>
      </c>
      <c r="E1351" s="4" t="s">
        <v>2288</v>
      </c>
      <c r="F1351" s="4" t="s">
        <v>2287</v>
      </c>
      <c r="G1351" s="4" t="s">
        <v>2263</v>
      </c>
      <c r="H1351" s="9" t="s">
        <v>2263</v>
      </c>
      <c r="I1351" s="4" t="s">
        <v>2263</v>
      </c>
      <c r="J1351" s="4" t="s">
        <v>2263</v>
      </c>
      <c r="K1351" s="4" t="s">
        <v>2286</v>
      </c>
      <c r="L1351" s="10">
        <v>3</v>
      </c>
      <c r="M1351" s="5">
        <v>843</v>
      </c>
      <c r="N1351" s="5">
        <v>2529</v>
      </c>
    </row>
    <row r="1352" spans="1:14" x14ac:dyDescent="0.25">
      <c r="A1352" s="4" t="s">
        <v>3051</v>
      </c>
      <c r="B1352" s="4" t="s">
        <v>3050</v>
      </c>
      <c r="C1352" s="4" t="s">
        <v>2344</v>
      </c>
      <c r="D1352" s="4" t="s">
        <v>237</v>
      </c>
      <c r="E1352" s="4" t="s">
        <v>2472</v>
      </c>
      <c r="F1352" s="4" t="s">
        <v>2471</v>
      </c>
      <c r="G1352" s="4" t="s">
        <v>2263</v>
      </c>
      <c r="H1352" s="9" t="s">
        <v>2263</v>
      </c>
      <c r="I1352" s="4" t="s">
        <v>2263</v>
      </c>
      <c r="J1352" s="4" t="s">
        <v>2263</v>
      </c>
      <c r="K1352" s="4" t="s">
        <v>2470</v>
      </c>
      <c r="L1352" s="10">
        <v>3</v>
      </c>
      <c r="M1352" s="5">
        <v>958.57</v>
      </c>
      <c r="N1352" s="5">
        <v>2875.71</v>
      </c>
    </row>
    <row r="1353" spans="1:14" x14ac:dyDescent="0.25">
      <c r="A1353" s="4" t="s">
        <v>3024</v>
      </c>
      <c r="B1353" s="4" t="s">
        <v>3023</v>
      </c>
      <c r="C1353" s="4" t="s">
        <v>2320</v>
      </c>
      <c r="D1353" s="4" t="s">
        <v>242</v>
      </c>
      <c r="E1353" s="4" t="s">
        <v>2733</v>
      </c>
      <c r="F1353" s="4" t="s">
        <v>2732</v>
      </c>
      <c r="G1353" s="4" t="s">
        <v>2263</v>
      </c>
      <c r="H1353" s="9" t="s">
        <v>2263</v>
      </c>
      <c r="I1353" s="4" t="s">
        <v>2317</v>
      </c>
      <c r="J1353" s="4" t="s">
        <v>2316</v>
      </c>
      <c r="K1353" s="4" t="s">
        <v>2263</v>
      </c>
      <c r="L1353" s="10">
        <v>3</v>
      </c>
      <c r="M1353" s="5">
        <v>1014.9652030456853</v>
      </c>
      <c r="N1353" s="5">
        <v>3044.8956091370601</v>
      </c>
    </row>
    <row r="1354" spans="1:14" x14ac:dyDescent="0.25">
      <c r="A1354" s="4" t="s">
        <v>3157</v>
      </c>
      <c r="B1354" s="4" t="s">
        <v>3156</v>
      </c>
      <c r="C1354" s="4" t="s">
        <v>2320</v>
      </c>
      <c r="D1354" s="4" t="s">
        <v>242</v>
      </c>
      <c r="E1354" s="4" t="s">
        <v>2737</v>
      </c>
      <c r="F1354" s="4" t="s">
        <v>2736</v>
      </c>
      <c r="G1354" s="4" t="s">
        <v>2263</v>
      </c>
      <c r="H1354" s="9" t="s">
        <v>2263</v>
      </c>
      <c r="I1354" s="4" t="s">
        <v>2317</v>
      </c>
      <c r="J1354" s="4" t="s">
        <v>2316</v>
      </c>
      <c r="K1354" s="4" t="s">
        <v>2263</v>
      </c>
      <c r="L1354" s="10">
        <v>3</v>
      </c>
      <c r="M1354" s="5">
        <v>1017.2755338691159</v>
      </c>
      <c r="N1354" s="5">
        <v>3051.8266016073499</v>
      </c>
    </row>
    <row r="1355" spans="1:14" x14ac:dyDescent="0.25">
      <c r="A1355" s="4" t="s">
        <v>3174</v>
      </c>
      <c r="B1355" s="4" t="s">
        <v>3173</v>
      </c>
      <c r="C1355" s="4" t="s">
        <v>2320</v>
      </c>
      <c r="D1355" s="4" t="s">
        <v>242</v>
      </c>
      <c r="E1355" s="4" t="s">
        <v>2739</v>
      </c>
      <c r="F1355" s="4" t="s">
        <v>2738</v>
      </c>
      <c r="G1355" s="4" t="s">
        <v>2263</v>
      </c>
      <c r="H1355" s="9" t="s">
        <v>2263</v>
      </c>
      <c r="I1355" s="4" t="s">
        <v>2317</v>
      </c>
      <c r="J1355" s="4" t="s">
        <v>2316</v>
      </c>
      <c r="K1355" s="4" t="s">
        <v>2263</v>
      </c>
      <c r="L1355" s="10">
        <v>3</v>
      </c>
      <c r="M1355" s="5">
        <v>1018.0292795883362</v>
      </c>
      <c r="N1355" s="5">
        <v>3054.08783876501</v>
      </c>
    </row>
    <row r="1356" spans="1:14" x14ac:dyDescent="0.25">
      <c r="A1356" s="4" t="s">
        <v>2320</v>
      </c>
      <c r="B1356" s="4" t="s">
        <v>4967</v>
      </c>
      <c r="C1356" s="4" t="s">
        <v>2320</v>
      </c>
      <c r="D1356" s="4" t="s">
        <v>242</v>
      </c>
      <c r="E1356" s="4" t="s">
        <v>2388</v>
      </c>
      <c r="F1356" s="4" t="s">
        <v>2387</v>
      </c>
      <c r="G1356" s="4" t="s">
        <v>2263</v>
      </c>
      <c r="H1356" s="9" t="s">
        <v>2263</v>
      </c>
      <c r="I1356" s="4" t="s">
        <v>2317</v>
      </c>
      <c r="J1356" s="4" t="s">
        <v>2316</v>
      </c>
      <c r="K1356" s="4" t="s">
        <v>2263</v>
      </c>
      <c r="L1356" s="10">
        <v>3</v>
      </c>
      <c r="M1356" s="5">
        <v>1061.3860465116279</v>
      </c>
      <c r="N1356" s="5">
        <v>3184.1581395348799</v>
      </c>
    </row>
    <row r="1357" spans="1:14" x14ac:dyDescent="0.25">
      <c r="A1357" s="4" t="s">
        <v>2317</v>
      </c>
      <c r="B1357" s="4" t="s">
        <v>3839</v>
      </c>
      <c r="C1357" s="4" t="s">
        <v>2320</v>
      </c>
      <c r="D1357" s="4" t="s">
        <v>242</v>
      </c>
      <c r="E1357" s="4" t="s">
        <v>3851</v>
      </c>
      <c r="F1357" s="4" t="s">
        <v>3850</v>
      </c>
      <c r="G1357" s="4" t="s">
        <v>2263</v>
      </c>
      <c r="H1357" s="9" t="s">
        <v>2263</v>
      </c>
      <c r="I1357" s="4" t="s">
        <v>2317</v>
      </c>
      <c r="J1357" s="4" t="s">
        <v>2316</v>
      </c>
      <c r="K1357" s="4" t="s">
        <v>2263</v>
      </c>
      <c r="L1357" s="10">
        <v>3</v>
      </c>
      <c r="M1357" s="5">
        <v>1125</v>
      </c>
      <c r="N1357" s="5">
        <v>3375</v>
      </c>
    </row>
    <row r="1358" spans="1:14" x14ac:dyDescent="0.25">
      <c r="A1358" s="4" t="s">
        <v>2274</v>
      </c>
      <c r="B1358" s="4" t="s">
        <v>4348</v>
      </c>
      <c r="C1358" s="4" t="s">
        <v>2344</v>
      </c>
      <c r="D1358" s="4" t="s">
        <v>237</v>
      </c>
      <c r="E1358" s="4" t="s">
        <v>4876</v>
      </c>
      <c r="F1358" s="4" t="s">
        <v>4875</v>
      </c>
      <c r="G1358" s="4" t="s">
        <v>2263</v>
      </c>
      <c r="H1358" s="9" t="s">
        <v>2263</v>
      </c>
      <c r="I1358" s="4" t="s">
        <v>2263</v>
      </c>
      <c r="J1358" s="4" t="s">
        <v>2263</v>
      </c>
      <c r="K1358" s="4" t="s">
        <v>4619</v>
      </c>
      <c r="L1358" s="10">
        <v>3</v>
      </c>
      <c r="M1358" s="5">
        <v>1188</v>
      </c>
      <c r="N1358" s="5">
        <v>3564</v>
      </c>
    </row>
    <row r="1359" spans="1:14" x14ac:dyDescent="0.25">
      <c r="A1359" s="4" t="s">
        <v>2320</v>
      </c>
      <c r="B1359" s="4" t="s">
        <v>4967</v>
      </c>
      <c r="C1359" s="4" t="s">
        <v>2320</v>
      </c>
      <c r="D1359" s="4" t="s">
        <v>242</v>
      </c>
      <c r="E1359" s="4" t="s">
        <v>4187</v>
      </c>
      <c r="F1359" s="4" t="s">
        <v>4186</v>
      </c>
      <c r="G1359" s="4" t="s">
        <v>2263</v>
      </c>
      <c r="H1359" s="9" t="s">
        <v>2263</v>
      </c>
      <c r="I1359" s="4" t="s">
        <v>2317</v>
      </c>
      <c r="J1359" s="4" t="s">
        <v>2316</v>
      </c>
      <c r="K1359" s="4" t="s">
        <v>2263</v>
      </c>
      <c r="L1359" s="10">
        <v>3</v>
      </c>
      <c r="M1359" s="5">
        <v>1199.452380952381</v>
      </c>
      <c r="N1359" s="5">
        <v>3598.3571428571399</v>
      </c>
    </row>
    <row r="1360" spans="1:14" x14ac:dyDescent="0.25">
      <c r="A1360" s="4" t="s">
        <v>3157</v>
      </c>
      <c r="B1360" s="4" t="s">
        <v>3156</v>
      </c>
      <c r="C1360" s="4" t="s">
        <v>2320</v>
      </c>
      <c r="D1360" s="4" t="s">
        <v>242</v>
      </c>
      <c r="E1360" s="4" t="s">
        <v>2735</v>
      </c>
      <c r="F1360" s="4" t="s">
        <v>2734</v>
      </c>
      <c r="G1360" s="4" t="s">
        <v>2263</v>
      </c>
      <c r="H1360" s="9" t="s">
        <v>2263</v>
      </c>
      <c r="I1360" s="4" t="s">
        <v>2317</v>
      </c>
      <c r="J1360" s="4" t="s">
        <v>2316</v>
      </c>
      <c r="K1360" s="4" t="s">
        <v>2263</v>
      </c>
      <c r="L1360" s="10">
        <v>3</v>
      </c>
      <c r="M1360" s="5">
        <v>1204.1314579901152</v>
      </c>
      <c r="N1360" s="5">
        <v>3612.39437397035</v>
      </c>
    </row>
    <row r="1361" spans="1:14" x14ac:dyDescent="0.25">
      <c r="A1361" s="4" t="s">
        <v>2673</v>
      </c>
      <c r="B1361" s="4" t="s">
        <v>2672</v>
      </c>
      <c r="C1361" s="4" t="s">
        <v>2344</v>
      </c>
      <c r="D1361" s="4" t="s">
        <v>237</v>
      </c>
      <c r="E1361" s="4" t="s">
        <v>2447</v>
      </c>
      <c r="F1361" s="4" t="s">
        <v>2446</v>
      </c>
      <c r="G1361" s="4" t="s">
        <v>2263</v>
      </c>
      <c r="H1361" s="9" t="s">
        <v>2263</v>
      </c>
      <c r="I1361" s="4" t="s">
        <v>2263</v>
      </c>
      <c r="J1361" s="4" t="s">
        <v>2263</v>
      </c>
      <c r="K1361" s="4" t="s">
        <v>2445</v>
      </c>
      <c r="L1361" s="10">
        <v>3</v>
      </c>
      <c r="M1361" s="5">
        <v>1287.0478666666668</v>
      </c>
      <c r="N1361" s="5">
        <v>3861.1435999999999</v>
      </c>
    </row>
    <row r="1362" spans="1:14" x14ac:dyDescent="0.25">
      <c r="A1362" s="4" t="s">
        <v>2279</v>
      </c>
      <c r="B1362" s="4" t="s">
        <v>4963</v>
      </c>
      <c r="C1362" s="4" t="s">
        <v>2344</v>
      </c>
      <c r="D1362" s="4" t="s">
        <v>237</v>
      </c>
      <c r="E1362" s="4" t="s">
        <v>2757</v>
      </c>
      <c r="F1362" s="4" t="s">
        <v>2756</v>
      </c>
      <c r="G1362" s="4" t="s">
        <v>2263</v>
      </c>
      <c r="H1362" s="9" t="s">
        <v>2263</v>
      </c>
      <c r="I1362" s="4" t="s">
        <v>2263</v>
      </c>
      <c r="J1362" s="4" t="s">
        <v>2263</v>
      </c>
      <c r="K1362" s="4" t="s">
        <v>2755</v>
      </c>
      <c r="L1362" s="10">
        <v>3</v>
      </c>
      <c r="M1362" s="5">
        <v>1486.123103448276</v>
      </c>
      <c r="N1362" s="5">
        <v>4458.3693103448304</v>
      </c>
    </row>
    <row r="1363" spans="1:14" x14ac:dyDescent="0.25">
      <c r="A1363" s="4" t="s">
        <v>2481</v>
      </c>
      <c r="B1363" s="4" t="s">
        <v>3217</v>
      </c>
      <c r="C1363" s="4" t="s">
        <v>2344</v>
      </c>
      <c r="D1363" s="4" t="s">
        <v>237</v>
      </c>
      <c r="E1363" s="4" t="s">
        <v>2757</v>
      </c>
      <c r="F1363" s="4" t="s">
        <v>2756</v>
      </c>
      <c r="G1363" s="4" t="s">
        <v>2263</v>
      </c>
      <c r="H1363" s="9" t="s">
        <v>2263</v>
      </c>
      <c r="I1363" s="4" t="s">
        <v>2263</v>
      </c>
      <c r="J1363" s="4" t="s">
        <v>2263</v>
      </c>
      <c r="K1363" s="4" t="s">
        <v>2755</v>
      </c>
      <c r="L1363" s="10">
        <v>3</v>
      </c>
      <c r="M1363" s="5">
        <v>1486.123103448276</v>
      </c>
      <c r="N1363" s="5">
        <v>4458.3693103448304</v>
      </c>
    </row>
    <row r="1364" spans="1:14" x14ac:dyDescent="0.25">
      <c r="A1364" s="4" t="s">
        <v>2384</v>
      </c>
      <c r="B1364" s="4" t="s">
        <v>3187</v>
      </c>
      <c r="C1364" s="4" t="s">
        <v>2344</v>
      </c>
      <c r="D1364" s="4" t="s">
        <v>237</v>
      </c>
      <c r="E1364" s="4" t="s">
        <v>2757</v>
      </c>
      <c r="F1364" s="4" t="s">
        <v>2756</v>
      </c>
      <c r="G1364" s="4" t="s">
        <v>2263</v>
      </c>
      <c r="H1364" s="9" t="s">
        <v>2263</v>
      </c>
      <c r="I1364" s="4" t="s">
        <v>2263</v>
      </c>
      <c r="J1364" s="4" t="s">
        <v>2263</v>
      </c>
      <c r="K1364" s="4" t="s">
        <v>2755</v>
      </c>
      <c r="L1364" s="10">
        <v>3</v>
      </c>
      <c r="M1364" s="5">
        <v>1486.123103448276</v>
      </c>
      <c r="N1364" s="5">
        <v>4458.3693103448304</v>
      </c>
    </row>
    <row r="1365" spans="1:14" x14ac:dyDescent="0.25">
      <c r="A1365" s="4" t="s">
        <v>3157</v>
      </c>
      <c r="B1365" s="4" t="s">
        <v>3156</v>
      </c>
      <c r="C1365" s="4" t="s">
        <v>2344</v>
      </c>
      <c r="D1365" s="4" t="s">
        <v>237</v>
      </c>
      <c r="E1365" s="4" t="s">
        <v>2757</v>
      </c>
      <c r="F1365" s="4" t="s">
        <v>2756</v>
      </c>
      <c r="G1365" s="4" t="s">
        <v>2263</v>
      </c>
      <c r="H1365" s="9" t="s">
        <v>2263</v>
      </c>
      <c r="I1365" s="4" t="s">
        <v>2263</v>
      </c>
      <c r="J1365" s="4" t="s">
        <v>2263</v>
      </c>
      <c r="K1365" s="4" t="s">
        <v>2755</v>
      </c>
      <c r="L1365" s="10">
        <v>3</v>
      </c>
      <c r="M1365" s="5">
        <v>1486.123103448276</v>
      </c>
      <c r="N1365" s="5">
        <v>4458.3693103448304</v>
      </c>
    </row>
    <row r="1366" spans="1:14" x14ac:dyDescent="0.25">
      <c r="A1366" s="4" t="s">
        <v>3104</v>
      </c>
      <c r="B1366" s="4" t="s">
        <v>3103</v>
      </c>
      <c r="C1366" s="4" t="s">
        <v>2344</v>
      </c>
      <c r="D1366" s="4" t="s">
        <v>237</v>
      </c>
      <c r="E1366" s="4" t="s">
        <v>2757</v>
      </c>
      <c r="F1366" s="4" t="s">
        <v>2756</v>
      </c>
      <c r="G1366" s="4" t="s">
        <v>2263</v>
      </c>
      <c r="H1366" s="9" t="s">
        <v>2263</v>
      </c>
      <c r="I1366" s="4" t="s">
        <v>2263</v>
      </c>
      <c r="J1366" s="4" t="s">
        <v>2263</v>
      </c>
      <c r="K1366" s="4" t="s">
        <v>2755</v>
      </c>
      <c r="L1366" s="10">
        <v>3</v>
      </c>
      <c r="M1366" s="5">
        <v>1486.123103448276</v>
      </c>
      <c r="N1366" s="5">
        <v>4458.3693103448304</v>
      </c>
    </row>
    <row r="1367" spans="1:14" x14ac:dyDescent="0.25">
      <c r="A1367" s="4" t="s">
        <v>3063</v>
      </c>
      <c r="B1367" s="4" t="s">
        <v>3062</v>
      </c>
      <c r="C1367" s="4" t="s">
        <v>2344</v>
      </c>
      <c r="D1367" s="4" t="s">
        <v>237</v>
      </c>
      <c r="E1367" s="4" t="s">
        <v>2757</v>
      </c>
      <c r="F1367" s="4" t="s">
        <v>2756</v>
      </c>
      <c r="G1367" s="4" t="s">
        <v>2263</v>
      </c>
      <c r="H1367" s="9" t="s">
        <v>2263</v>
      </c>
      <c r="I1367" s="4" t="s">
        <v>2263</v>
      </c>
      <c r="J1367" s="4" t="s">
        <v>2263</v>
      </c>
      <c r="K1367" s="4" t="s">
        <v>2755</v>
      </c>
      <c r="L1367" s="10">
        <v>3</v>
      </c>
      <c r="M1367" s="5">
        <v>1486.123103448276</v>
      </c>
      <c r="N1367" s="5">
        <v>4458.3693103448304</v>
      </c>
    </row>
    <row r="1368" spans="1:14" x14ac:dyDescent="0.25">
      <c r="A1368" s="4" t="s">
        <v>3051</v>
      </c>
      <c r="B1368" s="4" t="s">
        <v>3050</v>
      </c>
      <c r="C1368" s="4" t="s">
        <v>2344</v>
      </c>
      <c r="D1368" s="4" t="s">
        <v>237</v>
      </c>
      <c r="E1368" s="4" t="s">
        <v>2757</v>
      </c>
      <c r="F1368" s="4" t="s">
        <v>2756</v>
      </c>
      <c r="G1368" s="4" t="s">
        <v>2263</v>
      </c>
      <c r="H1368" s="9" t="s">
        <v>2263</v>
      </c>
      <c r="I1368" s="4" t="s">
        <v>2263</v>
      </c>
      <c r="J1368" s="4" t="s">
        <v>2263</v>
      </c>
      <c r="K1368" s="4" t="s">
        <v>2755</v>
      </c>
      <c r="L1368" s="10">
        <v>3</v>
      </c>
      <c r="M1368" s="5">
        <v>1486.123103448276</v>
      </c>
      <c r="N1368" s="5">
        <v>4458.3693103448304</v>
      </c>
    </row>
    <row r="1369" spans="1:14" x14ac:dyDescent="0.25">
      <c r="A1369" s="4" t="s">
        <v>3024</v>
      </c>
      <c r="B1369" s="4" t="s">
        <v>3023</v>
      </c>
      <c r="C1369" s="4" t="s">
        <v>2344</v>
      </c>
      <c r="D1369" s="4" t="s">
        <v>237</v>
      </c>
      <c r="E1369" s="4" t="s">
        <v>2757</v>
      </c>
      <c r="F1369" s="4" t="s">
        <v>2756</v>
      </c>
      <c r="G1369" s="4" t="s">
        <v>2263</v>
      </c>
      <c r="H1369" s="9" t="s">
        <v>2263</v>
      </c>
      <c r="I1369" s="4" t="s">
        <v>2263</v>
      </c>
      <c r="J1369" s="4" t="s">
        <v>2263</v>
      </c>
      <c r="K1369" s="4" t="s">
        <v>2755</v>
      </c>
      <c r="L1369" s="10">
        <v>3</v>
      </c>
      <c r="M1369" s="5">
        <v>1486.123103448276</v>
      </c>
      <c r="N1369" s="5">
        <v>4458.3693103448304</v>
      </c>
    </row>
    <row r="1370" spans="1:14" x14ac:dyDescent="0.25">
      <c r="A1370" s="4" t="s">
        <v>2673</v>
      </c>
      <c r="B1370" s="4" t="s">
        <v>2672</v>
      </c>
      <c r="C1370" s="4" t="s">
        <v>2344</v>
      </c>
      <c r="D1370" s="4" t="s">
        <v>237</v>
      </c>
      <c r="E1370" s="4" t="s">
        <v>2757</v>
      </c>
      <c r="F1370" s="4" t="s">
        <v>2756</v>
      </c>
      <c r="G1370" s="4" t="s">
        <v>2263</v>
      </c>
      <c r="H1370" s="9" t="s">
        <v>2263</v>
      </c>
      <c r="I1370" s="4" t="s">
        <v>2263</v>
      </c>
      <c r="J1370" s="4" t="s">
        <v>2263</v>
      </c>
      <c r="K1370" s="4" t="s">
        <v>2755</v>
      </c>
      <c r="L1370" s="10">
        <v>3</v>
      </c>
      <c r="M1370" s="5">
        <v>1486.123103448276</v>
      </c>
      <c r="N1370" s="5">
        <v>4458.3693103448304</v>
      </c>
    </row>
    <row r="1371" spans="1:14" x14ac:dyDescent="0.25">
      <c r="A1371" s="4" t="s">
        <v>2344</v>
      </c>
      <c r="B1371" s="4" t="s">
        <v>5154</v>
      </c>
      <c r="C1371" s="4" t="s">
        <v>2320</v>
      </c>
      <c r="D1371" s="4" t="s">
        <v>242</v>
      </c>
      <c r="E1371" s="4" t="s">
        <v>4337</v>
      </c>
      <c r="F1371" s="4" t="s">
        <v>4336</v>
      </c>
      <c r="G1371" s="4" t="s">
        <v>2263</v>
      </c>
      <c r="H1371" s="9" t="s">
        <v>2263</v>
      </c>
      <c r="I1371" s="4" t="s">
        <v>2317</v>
      </c>
      <c r="J1371" s="4" t="s">
        <v>2316</v>
      </c>
      <c r="K1371" s="4" t="s">
        <v>2263</v>
      </c>
      <c r="L1371" s="10">
        <v>3</v>
      </c>
      <c r="M1371" s="5">
        <v>1500</v>
      </c>
      <c r="N1371" s="5">
        <v>4500</v>
      </c>
    </row>
    <row r="1372" spans="1:14" x14ac:dyDescent="0.25">
      <c r="A1372" s="4" t="s">
        <v>2320</v>
      </c>
      <c r="B1372" s="4" t="s">
        <v>4967</v>
      </c>
      <c r="C1372" s="4" t="s">
        <v>2344</v>
      </c>
      <c r="D1372" s="4" t="s">
        <v>237</v>
      </c>
      <c r="E1372" s="4" t="s">
        <v>4734</v>
      </c>
      <c r="F1372" s="4" t="s">
        <v>4733</v>
      </c>
      <c r="G1372" s="4" t="s">
        <v>2263</v>
      </c>
      <c r="H1372" s="9" t="s">
        <v>2263</v>
      </c>
      <c r="I1372" s="4" t="s">
        <v>2263</v>
      </c>
      <c r="J1372" s="4" t="s">
        <v>2263</v>
      </c>
      <c r="K1372" s="4" t="s">
        <v>2520</v>
      </c>
      <c r="L1372" s="10">
        <v>3</v>
      </c>
      <c r="M1372" s="5">
        <v>1616.088181818182</v>
      </c>
      <c r="N1372" s="5">
        <v>4848.26454545455</v>
      </c>
    </row>
    <row r="1373" spans="1:14" x14ac:dyDescent="0.25">
      <c r="A1373" s="4" t="s">
        <v>2481</v>
      </c>
      <c r="B1373" s="4" t="s">
        <v>3217</v>
      </c>
      <c r="C1373" s="4" t="s">
        <v>2320</v>
      </c>
      <c r="D1373" s="4" t="s">
        <v>242</v>
      </c>
      <c r="E1373" s="4" t="s">
        <v>2412</v>
      </c>
      <c r="F1373" s="4" t="s">
        <v>2411</v>
      </c>
      <c r="G1373" s="4" t="s">
        <v>2263</v>
      </c>
      <c r="H1373" s="9" t="s">
        <v>2263</v>
      </c>
      <c r="I1373" s="4" t="s">
        <v>2317</v>
      </c>
      <c r="J1373" s="4" t="s">
        <v>2316</v>
      </c>
      <c r="K1373" s="4" t="s">
        <v>2263</v>
      </c>
      <c r="L1373" s="10">
        <v>3</v>
      </c>
      <c r="M1373" s="5">
        <v>1999.3788311688313</v>
      </c>
      <c r="N1373" s="5">
        <v>5998.1364935064903</v>
      </c>
    </row>
    <row r="1374" spans="1:14" x14ac:dyDescent="0.25">
      <c r="A1374" s="4" t="s">
        <v>2384</v>
      </c>
      <c r="B1374" s="4" t="s">
        <v>3187</v>
      </c>
      <c r="C1374" s="4" t="s">
        <v>2344</v>
      </c>
      <c r="D1374" s="4" t="s">
        <v>237</v>
      </c>
      <c r="E1374" s="4" t="s">
        <v>3060</v>
      </c>
      <c r="F1374" s="4" t="s">
        <v>2449</v>
      </c>
      <c r="G1374" s="4" t="s">
        <v>2263</v>
      </c>
      <c r="H1374" s="9" t="s">
        <v>2263</v>
      </c>
      <c r="I1374" s="4" t="s">
        <v>2263</v>
      </c>
      <c r="J1374" s="4" t="s">
        <v>2263</v>
      </c>
      <c r="K1374" s="4" t="s">
        <v>2448</v>
      </c>
      <c r="L1374" s="10">
        <v>3</v>
      </c>
      <c r="M1374" s="5">
        <v>2115.7913513513513</v>
      </c>
      <c r="N1374" s="5">
        <v>6347.3740540540502</v>
      </c>
    </row>
    <row r="1375" spans="1:14" x14ac:dyDescent="0.25">
      <c r="A1375" s="4" t="s">
        <v>2269</v>
      </c>
      <c r="B1375" s="4" t="s">
        <v>2268</v>
      </c>
      <c r="C1375" s="4" t="s">
        <v>2279</v>
      </c>
      <c r="D1375" s="4" t="s">
        <v>2278</v>
      </c>
      <c r="E1375" s="4" t="s">
        <v>2289</v>
      </c>
      <c r="F1375" s="4" t="s">
        <v>2281</v>
      </c>
      <c r="G1375" s="4" t="s">
        <v>2263</v>
      </c>
      <c r="H1375" s="9" t="s">
        <v>2263</v>
      </c>
      <c r="I1375" s="4" t="s">
        <v>2263</v>
      </c>
      <c r="J1375" s="4" t="s">
        <v>2263</v>
      </c>
      <c r="K1375" s="4" t="s">
        <v>2280</v>
      </c>
      <c r="L1375" s="10">
        <v>3</v>
      </c>
      <c r="M1375" s="5">
        <v>2192.666666666667</v>
      </c>
      <c r="N1375" s="5">
        <v>6578</v>
      </c>
    </row>
    <row r="1376" spans="1:14" x14ac:dyDescent="0.25">
      <c r="A1376" s="4" t="s">
        <v>2673</v>
      </c>
      <c r="B1376" s="4" t="s">
        <v>2672</v>
      </c>
      <c r="C1376" s="4" t="s">
        <v>2344</v>
      </c>
      <c r="D1376" s="4" t="s">
        <v>237</v>
      </c>
      <c r="E1376" s="4" t="s">
        <v>2381</v>
      </c>
      <c r="F1376" s="4" t="s">
        <v>2380</v>
      </c>
      <c r="G1376" s="4" t="s">
        <v>2263</v>
      </c>
      <c r="H1376" s="9" t="s">
        <v>2263</v>
      </c>
      <c r="I1376" s="4" t="s">
        <v>2263</v>
      </c>
      <c r="J1376" s="4" t="s">
        <v>2263</v>
      </c>
      <c r="K1376" s="4" t="s">
        <v>2379</v>
      </c>
      <c r="L1376" s="10">
        <v>3</v>
      </c>
      <c r="M1376" s="5">
        <v>2206.7211700182816</v>
      </c>
      <c r="N1376" s="5">
        <v>6620.1635100548401</v>
      </c>
    </row>
    <row r="1377" spans="1:14" x14ac:dyDescent="0.25">
      <c r="A1377" s="4" t="s">
        <v>3801</v>
      </c>
      <c r="B1377" s="4" t="s">
        <v>4965</v>
      </c>
      <c r="C1377" s="4" t="s">
        <v>2279</v>
      </c>
      <c r="D1377" s="4" t="s">
        <v>2278</v>
      </c>
      <c r="E1377" s="4" t="s">
        <v>2285</v>
      </c>
      <c r="F1377" s="4" t="s">
        <v>2284</v>
      </c>
      <c r="G1377" s="4" t="s">
        <v>2263</v>
      </c>
      <c r="H1377" s="9" t="s">
        <v>2263</v>
      </c>
      <c r="I1377" s="4" t="s">
        <v>2263</v>
      </c>
      <c r="J1377" s="4" t="s">
        <v>2263</v>
      </c>
      <c r="K1377" s="4" t="s">
        <v>2283</v>
      </c>
      <c r="L1377" s="10">
        <v>3</v>
      </c>
      <c r="M1377" s="5">
        <v>2235.065979532164</v>
      </c>
      <c r="N1377" s="5">
        <v>6705.1979385964896</v>
      </c>
    </row>
    <row r="1378" spans="1:14" x14ac:dyDescent="0.25">
      <c r="A1378" s="4" t="s">
        <v>2384</v>
      </c>
      <c r="B1378" s="4" t="s">
        <v>3187</v>
      </c>
      <c r="C1378" s="4" t="s">
        <v>2279</v>
      </c>
      <c r="D1378" s="4" t="s">
        <v>2278</v>
      </c>
      <c r="E1378" s="4" t="s">
        <v>2285</v>
      </c>
      <c r="F1378" s="4" t="s">
        <v>2284</v>
      </c>
      <c r="G1378" s="4" t="s">
        <v>2263</v>
      </c>
      <c r="H1378" s="9" t="s">
        <v>2263</v>
      </c>
      <c r="I1378" s="4" t="s">
        <v>2263</v>
      </c>
      <c r="J1378" s="4" t="s">
        <v>2263</v>
      </c>
      <c r="K1378" s="4" t="s">
        <v>2283</v>
      </c>
      <c r="L1378" s="10">
        <v>3</v>
      </c>
      <c r="M1378" s="5">
        <v>2235.065979532164</v>
      </c>
      <c r="N1378" s="5">
        <v>6705.1979385964896</v>
      </c>
    </row>
    <row r="1379" spans="1:14" x14ac:dyDescent="0.25">
      <c r="A1379" s="4" t="s">
        <v>3051</v>
      </c>
      <c r="B1379" s="4" t="s">
        <v>3050</v>
      </c>
      <c r="C1379" s="4" t="s">
        <v>2344</v>
      </c>
      <c r="D1379" s="4" t="s">
        <v>237</v>
      </c>
      <c r="E1379" s="4" t="s">
        <v>3043</v>
      </c>
      <c r="F1379" s="4" t="s">
        <v>2458</v>
      </c>
      <c r="G1379" s="4" t="s">
        <v>2263</v>
      </c>
      <c r="H1379" s="9" t="s">
        <v>2263</v>
      </c>
      <c r="I1379" s="4" t="s">
        <v>2263</v>
      </c>
      <c r="J1379" s="4" t="s">
        <v>2263</v>
      </c>
      <c r="K1379" s="4" t="s">
        <v>2457</v>
      </c>
      <c r="L1379" s="10">
        <v>3</v>
      </c>
      <c r="M1379" s="5">
        <v>2256.593404255319</v>
      </c>
      <c r="N1379" s="5">
        <v>6769.7802127659597</v>
      </c>
    </row>
    <row r="1380" spans="1:14" x14ac:dyDescent="0.25">
      <c r="A1380" s="4" t="s">
        <v>2269</v>
      </c>
      <c r="B1380" s="4" t="s">
        <v>2268</v>
      </c>
      <c r="C1380" s="4" t="s">
        <v>2279</v>
      </c>
      <c r="D1380" s="4" t="s">
        <v>2278</v>
      </c>
      <c r="E1380" s="4" t="s">
        <v>2309</v>
      </c>
      <c r="F1380" s="4" t="s">
        <v>2284</v>
      </c>
      <c r="G1380" s="4" t="s">
        <v>2263</v>
      </c>
      <c r="H1380" s="9" t="s">
        <v>2263</v>
      </c>
      <c r="I1380" s="4" t="s">
        <v>2263</v>
      </c>
      <c r="J1380" s="4" t="s">
        <v>2263</v>
      </c>
      <c r="K1380" s="4" t="s">
        <v>2283</v>
      </c>
      <c r="L1380" s="10">
        <v>3</v>
      </c>
      <c r="M1380" s="5">
        <v>2291</v>
      </c>
      <c r="N1380" s="5">
        <v>6873</v>
      </c>
    </row>
    <row r="1381" spans="1:14" x14ac:dyDescent="0.25">
      <c r="A1381" s="4" t="s">
        <v>3801</v>
      </c>
      <c r="B1381" s="4" t="s">
        <v>4965</v>
      </c>
      <c r="C1381" s="4" t="s">
        <v>2344</v>
      </c>
      <c r="D1381" s="4" t="s">
        <v>237</v>
      </c>
      <c r="E1381" s="4" t="s">
        <v>3198</v>
      </c>
      <c r="F1381" s="4" t="s">
        <v>2756</v>
      </c>
      <c r="G1381" s="4" t="s">
        <v>2263</v>
      </c>
      <c r="H1381" s="9" t="s">
        <v>2263</v>
      </c>
      <c r="I1381" s="4" t="s">
        <v>2263</v>
      </c>
      <c r="J1381" s="4" t="s">
        <v>2263</v>
      </c>
      <c r="K1381" s="4" t="s">
        <v>2755</v>
      </c>
      <c r="L1381" s="10">
        <v>3</v>
      </c>
      <c r="M1381" s="5">
        <v>2378.6666666666665</v>
      </c>
      <c r="N1381" s="5">
        <v>7136</v>
      </c>
    </row>
    <row r="1382" spans="1:14" x14ac:dyDescent="0.25">
      <c r="A1382" s="4" t="s">
        <v>3196</v>
      </c>
      <c r="B1382" s="4" t="s">
        <v>3195</v>
      </c>
      <c r="C1382" s="4" t="s">
        <v>2344</v>
      </c>
      <c r="D1382" s="4" t="s">
        <v>237</v>
      </c>
      <c r="E1382" s="4" t="s">
        <v>3198</v>
      </c>
      <c r="F1382" s="4" t="s">
        <v>2756</v>
      </c>
      <c r="G1382" s="4" t="s">
        <v>2263</v>
      </c>
      <c r="H1382" s="9" t="s">
        <v>2263</v>
      </c>
      <c r="I1382" s="4" t="s">
        <v>2263</v>
      </c>
      <c r="J1382" s="4" t="s">
        <v>2263</v>
      </c>
      <c r="K1382" s="4" t="s">
        <v>2755</v>
      </c>
      <c r="L1382" s="10">
        <v>3</v>
      </c>
      <c r="M1382" s="5">
        <v>2378.6666666666665</v>
      </c>
      <c r="N1382" s="5">
        <v>7136</v>
      </c>
    </row>
    <row r="1383" spans="1:14" x14ac:dyDescent="0.25">
      <c r="A1383" s="4" t="s">
        <v>2481</v>
      </c>
      <c r="B1383" s="4" t="s">
        <v>3217</v>
      </c>
      <c r="C1383" s="4" t="s">
        <v>2279</v>
      </c>
      <c r="D1383" s="4" t="s">
        <v>2278</v>
      </c>
      <c r="E1383" s="4" t="s">
        <v>3109</v>
      </c>
      <c r="F1383" s="4" t="s">
        <v>2284</v>
      </c>
      <c r="G1383" s="4" t="s">
        <v>2263</v>
      </c>
      <c r="H1383" s="9" t="s">
        <v>2263</v>
      </c>
      <c r="I1383" s="4" t="s">
        <v>2263</v>
      </c>
      <c r="J1383" s="4" t="s">
        <v>2263</v>
      </c>
      <c r="K1383" s="4" t="s">
        <v>2283</v>
      </c>
      <c r="L1383" s="10">
        <v>3</v>
      </c>
      <c r="M1383" s="5">
        <v>2383.6783333333333</v>
      </c>
      <c r="N1383" s="5">
        <v>7151.0349999999999</v>
      </c>
    </row>
    <row r="1384" spans="1:14" x14ac:dyDescent="0.25">
      <c r="A1384" s="4" t="s">
        <v>3104</v>
      </c>
      <c r="B1384" s="4" t="s">
        <v>3103</v>
      </c>
      <c r="C1384" s="4" t="s">
        <v>2279</v>
      </c>
      <c r="D1384" s="4" t="s">
        <v>2278</v>
      </c>
      <c r="E1384" s="4" t="s">
        <v>3109</v>
      </c>
      <c r="F1384" s="4" t="s">
        <v>2284</v>
      </c>
      <c r="G1384" s="4" t="s">
        <v>2263</v>
      </c>
      <c r="H1384" s="9" t="s">
        <v>2263</v>
      </c>
      <c r="I1384" s="4" t="s">
        <v>2263</v>
      </c>
      <c r="J1384" s="4" t="s">
        <v>2263</v>
      </c>
      <c r="K1384" s="4" t="s">
        <v>2283</v>
      </c>
      <c r="L1384" s="10">
        <v>3</v>
      </c>
      <c r="M1384" s="5">
        <v>2383.6783333333333</v>
      </c>
      <c r="N1384" s="5">
        <v>7151.0349999999999</v>
      </c>
    </row>
    <row r="1385" spans="1:14" x14ac:dyDescent="0.25">
      <c r="A1385" s="4" t="s">
        <v>2344</v>
      </c>
      <c r="B1385" s="4" t="s">
        <v>5154</v>
      </c>
      <c r="C1385" s="4" t="s">
        <v>2320</v>
      </c>
      <c r="D1385" s="4" t="s">
        <v>242</v>
      </c>
      <c r="E1385" s="4" t="s">
        <v>3867</v>
      </c>
      <c r="F1385" s="4" t="s">
        <v>3866</v>
      </c>
      <c r="G1385" s="4" t="s">
        <v>2263</v>
      </c>
      <c r="H1385" s="9" t="s">
        <v>2263</v>
      </c>
      <c r="I1385" s="4" t="s">
        <v>2317</v>
      </c>
      <c r="J1385" s="4" t="s">
        <v>2316</v>
      </c>
      <c r="K1385" s="4" t="s">
        <v>2263</v>
      </c>
      <c r="L1385" s="10">
        <v>3</v>
      </c>
      <c r="M1385" s="5">
        <v>2546.1666666666665</v>
      </c>
      <c r="N1385" s="5">
        <v>7638.5</v>
      </c>
    </row>
    <row r="1386" spans="1:14" x14ac:dyDescent="0.25">
      <c r="A1386" s="4" t="s">
        <v>2344</v>
      </c>
      <c r="B1386" s="4" t="s">
        <v>5154</v>
      </c>
      <c r="C1386" s="4" t="s">
        <v>2344</v>
      </c>
      <c r="D1386" s="4" t="s">
        <v>237</v>
      </c>
      <c r="E1386" s="4" t="s">
        <v>5433</v>
      </c>
      <c r="F1386" s="4" t="s">
        <v>5432</v>
      </c>
      <c r="G1386" s="4" t="s">
        <v>2263</v>
      </c>
      <c r="H1386" s="9" t="s">
        <v>2263</v>
      </c>
      <c r="I1386" s="4" t="s">
        <v>2263</v>
      </c>
      <c r="J1386" s="4" t="s">
        <v>2263</v>
      </c>
      <c r="K1386" s="4" t="s">
        <v>5431</v>
      </c>
      <c r="L1386" s="10">
        <v>3</v>
      </c>
      <c r="M1386" s="5">
        <v>2590</v>
      </c>
      <c r="N1386" s="5">
        <v>7770</v>
      </c>
    </row>
    <row r="1387" spans="1:14" x14ac:dyDescent="0.25">
      <c r="A1387" s="4" t="s">
        <v>2320</v>
      </c>
      <c r="B1387" s="4" t="s">
        <v>4967</v>
      </c>
      <c r="C1387" s="4" t="s">
        <v>2344</v>
      </c>
      <c r="D1387" s="4" t="s">
        <v>237</v>
      </c>
      <c r="E1387" s="4" t="s">
        <v>2747</v>
      </c>
      <c r="F1387" s="4" t="s">
        <v>2640</v>
      </c>
      <c r="G1387" s="4" t="s">
        <v>2263</v>
      </c>
      <c r="H1387" s="9" t="s">
        <v>2263</v>
      </c>
      <c r="I1387" s="4" t="s">
        <v>2263</v>
      </c>
      <c r="J1387" s="4" t="s">
        <v>2263</v>
      </c>
      <c r="K1387" s="4" t="s">
        <v>2557</v>
      </c>
      <c r="L1387" s="10">
        <v>3</v>
      </c>
      <c r="M1387" s="5">
        <v>2745.2384554455443</v>
      </c>
      <c r="N1387" s="5">
        <v>8235.7153663366298</v>
      </c>
    </row>
    <row r="1388" spans="1:14" x14ac:dyDescent="0.25">
      <c r="A1388" s="4" t="s">
        <v>3104</v>
      </c>
      <c r="B1388" s="4" t="s">
        <v>3103</v>
      </c>
      <c r="C1388" s="4" t="s">
        <v>2344</v>
      </c>
      <c r="D1388" s="4" t="s">
        <v>237</v>
      </c>
      <c r="E1388" s="4" t="s">
        <v>2747</v>
      </c>
      <c r="F1388" s="4" t="s">
        <v>2640</v>
      </c>
      <c r="G1388" s="4" t="s">
        <v>2263</v>
      </c>
      <c r="H1388" s="9" t="s">
        <v>2263</v>
      </c>
      <c r="I1388" s="4" t="s">
        <v>2263</v>
      </c>
      <c r="J1388" s="4" t="s">
        <v>2263</v>
      </c>
      <c r="K1388" s="4" t="s">
        <v>2557</v>
      </c>
      <c r="L1388" s="10">
        <v>3</v>
      </c>
      <c r="M1388" s="5">
        <v>2745.2384554455443</v>
      </c>
      <c r="N1388" s="5">
        <v>8235.7153663366298</v>
      </c>
    </row>
    <row r="1389" spans="1:14" x14ac:dyDescent="0.25">
      <c r="A1389" s="4" t="s">
        <v>2481</v>
      </c>
      <c r="B1389" s="4" t="s">
        <v>3217</v>
      </c>
      <c r="C1389" s="4" t="s">
        <v>2344</v>
      </c>
      <c r="D1389" s="4" t="s">
        <v>237</v>
      </c>
      <c r="E1389" s="4" t="s">
        <v>3222</v>
      </c>
      <c r="F1389" s="4" t="s">
        <v>3045</v>
      </c>
      <c r="G1389" s="4" t="s">
        <v>2263</v>
      </c>
      <c r="H1389" s="9" t="s">
        <v>2263</v>
      </c>
      <c r="I1389" s="4" t="s">
        <v>2263</v>
      </c>
      <c r="J1389" s="4" t="s">
        <v>2263</v>
      </c>
      <c r="K1389" s="4" t="s">
        <v>2376</v>
      </c>
      <c r="L1389" s="10">
        <v>3</v>
      </c>
      <c r="M1389" s="5">
        <v>2778.67</v>
      </c>
      <c r="N1389" s="5">
        <v>8336.01</v>
      </c>
    </row>
    <row r="1390" spans="1:14" x14ac:dyDescent="0.25">
      <c r="A1390" s="4" t="s">
        <v>2320</v>
      </c>
      <c r="B1390" s="4" t="s">
        <v>4967</v>
      </c>
      <c r="C1390" s="4" t="s">
        <v>2320</v>
      </c>
      <c r="D1390" s="4" t="s">
        <v>242</v>
      </c>
      <c r="E1390" s="4" t="s">
        <v>4093</v>
      </c>
      <c r="F1390" s="4" t="s">
        <v>4092</v>
      </c>
      <c r="G1390" s="4" t="s">
        <v>2263</v>
      </c>
      <c r="H1390" s="9" t="s">
        <v>2263</v>
      </c>
      <c r="I1390" s="4" t="s">
        <v>2317</v>
      </c>
      <c r="J1390" s="4" t="s">
        <v>2316</v>
      </c>
      <c r="K1390" s="4" t="s">
        <v>2263</v>
      </c>
      <c r="L1390" s="10">
        <v>3</v>
      </c>
      <c r="M1390" s="5">
        <v>2841.516984126984</v>
      </c>
      <c r="N1390" s="5">
        <v>8524.5509523809505</v>
      </c>
    </row>
    <row r="1391" spans="1:14" x14ac:dyDescent="0.25">
      <c r="A1391" s="4" t="s">
        <v>2344</v>
      </c>
      <c r="B1391" s="4" t="s">
        <v>5154</v>
      </c>
      <c r="C1391" s="4" t="s">
        <v>2344</v>
      </c>
      <c r="D1391" s="4" t="s">
        <v>237</v>
      </c>
      <c r="E1391" s="4" t="s">
        <v>4701</v>
      </c>
      <c r="F1391" s="4" t="s">
        <v>2601</v>
      </c>
      <c r="G1391" s="4" t="s">
        <v>2263</v>
      </c>
      <c r="H1391" s="9" t="s">
        <v>2263</v>
      </c>
      <c r="I1391" s="4" t="s">
        <v>2263</v>
      </c>
      <c r="J1391" s="4" t="s">
        <v>2263</v>
      </c>
      <c r="K1391" s="4" t="s">
        <v>2600</v>
      </c>
      <c r="L1391" s="10">
        <v>3</v>
      </c>
      <c r="M1391" s="5">
        <v>3067</v>
      </c>
      <c r="N1391" s="5">
        <v>9201</v>
      </c>
    </row>
    <row r="1392" spans="1:14" x14ac:dyDescent="0.25">
      <c r="A1392" s="4" t="s">
        <v>2344</v>
      </c>
      <c r="B1392" s="4" t="s">
        <v>5154</v>
      </c>
      <c r="C1392" s="4" t="s">
        <v>2267</v>
      </c>
      <c r="D1392" s="4" t="s">
        <v>2266</v>
      </c>
      <c r="E1392" s="4" t="s">
        <v>5199</v>
      </c>
      <c r="F1392" s="4" t="s">
        <v>5198</v>
      </c>
      <c r="G1392" s="4" t="s">
        <v>2263</v>
      </c>
      <c r="H1392" s="9" t="s">
        <v>2263</v>
      </c>
      <c r="I1392" s="4" t="s">
        <v>2263</v>
      </c>
      <c r="J1392" s="4" t="s">
        <v>2263</v>
      </c>
      <c r="K1392" s="4" t="s">
        <v>5197</v>
      </c>
      <c r="L1392" s="10">
        <v>3</v>
      </c>
      <c r="M1392" s="5">
        <v>3449.6666666666665</v>
      </c>
      <c r="N1392" s="5">
        <v>10349</v>
      </c>
    </row>
    <row r="1393" spans="1:14" x14ac:dyDescent="0.25">
      <c r="A1393" s="4" t="s">
        <v>3024</v>
      </c>
      <c r="B1393" s="4" t="s">
        <v>3023</v>
      </c>
      <c r="C1393" s="4" t="s">
        <v>2344</v>
      </c>
      <c r="D1393" s="4" t="s">
        <v>237</v>
      </c>
      <c r="E1393" s="4" t="s">
        <v>2461</v>
      </c>
      <c r="F1393" s="4" t="s">
        <v>2460</v>
      </c>
      <c r="G1393" s="4" t="s">
        <v>2263</v>
      </c>
      <c r="H1393" s="9" t="s">
        <v>2263</v>
      </c>
      <c r="I1393" s="4" t="s">
        <v>2263</v>
      </c>
      <c r="J1393" s="4" t="s">
        <v>2263</v>
      </c>
      <c r="K1393" s="4" t="s">
        <v>2421</v>
      </c>
      <c r="L1393" s="10">
        <v>3</v>
      </c>
      <c r="M1393" s="5">
        <v>3894.9839393939396</v>
      </c>
      <c r="N1393" s="5">
        <v>11684.95181818182</v>
      </c>
    </row>
    <row r="1394" spans="1:14" x14ac:dyDescent="0.25">
      <c r="A1394" s="4" t="s">
        <v>2320</v>
      </c>
      <c r="B1394" s="4" t="s">
        <v>4967</v>
      </c>
      <c r="C1394" s="4" t="s">
        <v>2320</v>
      </c>
      <c r="D1394" s="4" t="s">
        <v>242</v>
      </c>
      <c r="E1394" s="4" t="s">
        <v>2400</v>
      </c>
      <c r="F1394" s="4" t="s">
        <v>2399</v>
      </c>
      <c r="G1394" s="4" t="s">
        <v>2263</v>
      </c>
      <c r="H1394" s="9" t="s">
        <v>2263</v>
      </c>
      <c r="I1394" s="4" t="s">
        <v>2317</v>
      </c>
      <c r="J1394" s="4" t="s">
        <v>2316</v>
      </c>
      <c r="K1394" s="4" t="s">
        <v>2263</v>
      </c>
      <c r="L1394" s="10">
        <v>3</v>
      </c>
      <c r="M1394" s="5">
        <v>4187</v>
      </c>
      <c r="N1394" s="5">
        <v>12561</v>
      </c>
    </row>
    <row r="1395" spans="1:14" x14ac:dyDescent="0.25">
      <c r="A1395" s="4" t="s">
        <v>2320</v>
      </c>
      <c r="B1395" s="4" t="s">
        <v>4967</v>
      </c>
      <c r="C1395" s="4" t="s">
        <v>2320</v>
      </c>
      <c r="D1395" s="4" t="s">
        <v>242</v>
      </c>
      <c r="E1395" s="4" t="s">
        <v>2695</v>
      </c>
      <c r="F1395" s="4" t="s">
        <v>2694</v>
      </c>
      <c r="G1395" s="4" t="s">
        <v>2263</v>
      </c>
      <c r="H1395" s="9" t="s">
        <v>2263</v>
      </c>
      <c r="I1395" s="4" t="s">
        <v>2317</v>
      </c>
      <c r="J1395" s="4" t="s">
        <v>2316</v>
      </c>
      <c r="K1395" s="4" t="s">
        <v>2263</v>
      </c>
      <c r="L1395" s="10">
        <v>3</v>
      </c>
      <c r="M1395" s="5">
        <v>4259.3705405405408</v>
      </c>
      <c r="N1395" s="5">
        <v>12778.11162162162</v>
      </c>
    </row>
    <row r="1396" spans="1:14" x14ac:dyDescent="0.25">
      <c r="A1396" s="4" t="s">
        <v>2320</v>
      </c>
      <c r="B1396" s="4" t="s">
        <v>4967</v>
      </c>
      <c r="C1396" s="4" t="s">
        <v>2320</v>
      </c>
      <c r="D1396" s="4" t="s">
        <v>242</v>
      </c>
      <c r="E1396" s="4" t="s">
        <v>3847</v>
      </c>
      <c r="F1396" s="4" t="s">
        <v>3846</v>
      </c>
      <c r="G1396" s="4" t="s">
        <v>2263</v>
      </c>
      <c r="H1396" s="9" t="s">
        <v>2263</v>
      </c>
      <c r="I1396" s="4" t="s">
        <v>2317</v>
      </c>
      <c r="J1396" s="4" t="s">
        <v>2316</v>
      </c>
      <c r="K1396" s="4" t="s">
        <v>2263</v>
      </c>
      <c r="L1396" s="10">
        <v>3</v>
      </c>
      <c r="M1396" s="5">
        <v>4369.3103448275861</v>
      </c>
      <c r="N1396" s="5">
        <v>13107.931034482761</v>
      </c>
    </row>
    <row r="1397" spans="1:14" x14ac:dyDescent="0.25">
      <c r="A1397" s="4" t="s">
        <v>2320</v>
      </c>
      <c r="B1397" s="4" t="s">
        <v>4967</v>
      </c>
      <c r="C1397" s="4" t="s">
        <v>2320</v>
      </c>
      <c r="D1397" s="4" t="s">
        <v>242</v>
      </c>
      <c r="E1397" s="4" t="s">
        <v>2811</v>
      </c>
      <c r="F1397" s="4" t="s">
        <v>2810</v>
      </c>
      <c r="G1397" s="4" t="s">
        <v>2263</v>
      </c>
      <c r="H1397" s="9" t="s">
        <v>2263</v>
      </c>
      <c r="I1397" s="4" t="s">
        <v>2317</v>
      </c>
      <c r="J1397" s="4" t="s">
        <v>2316</v>
      </c>
      <c r="K1397" s="4" t="s">
        <v>2263</v>
      </c>
      <c r="L1397" s="10">
        <v>3</v>
      </c>
      <c r="M1397" s="5">
        <v>4384.0202857142858</v>
      </c>
      <c r="N1397" s="5">
        <v>13152.06085714286</v>
      </c>
    </row>
    <row r="1398" spans="1:14" x14ac:dyDescent="0.25">
      <c r="A1398" s="4" t="s">
        <v>2344</v>
      </c>
      <c r="B1398" s="4" t="s">
        <v>5154</v>
      </c>
      <c r="C1398" s="4" t="s">
        <v>2344</v>
      </c>
      <c r="D1398" s="4" t="s">
        <v>237</v>
      </c>
      <c r="E1398" s="4" t="s">
        <v>4814</v>
      </c>
      <c r="F1398" s="4" t="s">
        <v>4813</v>
      </c>
      <c r="G1398" s="4" t="s">
        <v>2263</v>
      </c>
      <c r="H1398" s="9" t="s">
        <v>2263</v>
      </c>
      <c r="I1398" s="4" t="s">
        <v>2263</v>
      </c>
      <c r="J1398" s="4" t="s">
        <v>2263</v>
      </c>
      <c r="K1398" s="4" t="s">
        <v>4812</v>
      </c>
      <c r="L1398" s="10">
        <v>3</v>
      </c>
      <c r="M1398" s="5">
        <v>4386.9977777777776</v>
      </c>
      <c r="N1398" s="5">
        <v>13160.99333333333</v>
      </c>
    </row>
    <row r="1399" spans="1:14" x14ac:dyDescent="0.25">
      <c r="A1399" s="4" t="s">
        <v>2344</v>
      </c>
      <c r="B1399" s="4" t="s">
        <v>5154</v>
      </c>
      <c r="C1399" s="4" t="s">
        <v>2320</v>
      </c>
      <c r="D1399" s="4" t="s">
        <v>242</v>
      </c>
      <c r="E1399" s="4" t="s">
        <v>3875</v>
      </c>
      <c r="F1399" s="4" t="s">
        <v>3874</v>
      </c>
      <c r="G1399" s="4" t="s">
        <v>2263</v>
      </c>
      <c r="H1399" s="9" t="s">
        <v>2263</v>
      </c>
      <c r="I1399" s="4" t="s">
        <v>2317</v>
      </c>
      <c r="J1399" s="4" t="s">
        <v>2316</v>
      </c>
      <c r="K1399" s="4" t="s">
        <v>2263</v>
      </c>
      <c r="L1399" s="10">
        <v>3</v>
      </c>
      <c r="M1399" s="5">
        <v>4519.7368421052633</v>
      </c>
      <c r="N1399" s="5">
        <v>13559.21052631579</v>
      </c>
    </row>
    <row r="1400" spans="1:14" x14ac:dyDescent="0.25">
      <c r="A1400" s="4" t="s">
        <v>2320</v>
      </c>
      <c r="B1400" s="4" t="s">
        <v>4967</v>
      </c>
      <c r="C1400" s="4" t="s">
        <v>2344</v>
      </c>
      <c r="D1400" s="4" t="s">
        <v>237</v>
      </c>
      <c r="E1400" s="4" t="s">
        <v>4891</v>
      </c>
      <c r="F1400" s="4" t="s">
        <v>4890</v>
      </c>
      <c r="G1400" s="4" t="s">
        <v>2263</v>
      </c>
      <c r="H1400" s="9" t="s">
        <v>2263</v>
      </c>
      <c r="I1400" s="4" t="s">
        <v>2263</v>
      </c>
      <c r="J1400" s="4" t="s">
        <v>2263</v>
      </c>
      <c r="K1400" s="4" t="s">
        <v>4889</v>
      </c>
      <c r="L1400" s="10">
        <v>3</v>
      </c>
      <c r="M1400" s="5">
        <v>4750.867631578948</v>
      </c>
      <c r="N1400" s="5">
        <v>14252.60289473684</v>
      </c>
    </row>
    <row r="1401" spans="1:14" x14ac:dyDescent="0.25">
      <c r="A1401" s="4" t="s">
        <v>2269</v>
      </c>
      <c r="B1401" s="4" t="s">
        <v>2268</v>
      </c>
      <c r="C1401" s="4" t="s">
        <v>2279</v>
      </c>
      <c r="D1401" s="4" t="s">
        <v>2278</v>
      </c>
      <c r="E1401" s="4" t="s">
        <v>2295</v>
      </c>
      <c r="F1401" s="4" t="s">
        <v>2294</v>
      </c>
      <c r="G1401" s="4" t="s">
        <v>2263</v>
      </c>
      <c r="H1401" s="9" t="s">
        <v>2263</v>
      </c>
      <c r="I1401" s="4" t="s">
        <v>2263</v>
      </c>
      <c r="J1401" s="4" t="s">
        <v>2263</v>
      </c>
      <c r="K1401" s="4" t="s">
        <v>2293</v>
      </c>
      <c r="L1401" s="10">
        <v>3</v>
      </c>
      <c r="M1401" s="5">
        <v>4812.416766370251</v>
      </c>
      <c r="N1401" s="5">
        <v>14437.25029911075</v>
      </c>
    </row>
    <row r="1402" spans="1:14" x14ac:dyDescent="0.25">
      <c r="A1402" s="4" t="s">
        <v>2320</v>
      </c>
      <c r="B1402" s="4" t="s">
        <v>4967</v>
      </c>
      <c r="C1402" s="4" t="s">
        <v>2320</v>
      </c>
      <c r="D1402" s="4" t="s">
        <v>242</v>
      </c>
      <c r="E1402" s="4" t="s">
        <v>3835</v>
      </c>
      <c r="F1402" s="4" t="s">
        <v>3834</v>
      </c>
      <c r="G1402" s="4" t="s">
        <v>2263</v>
      </c>
      <c r="H1402" s="9" t="s">
        <v>2263</v>
      </c>
      <c r="I1402" s="4" t="s">
        <v>2317</v>
      </c>
      <c r="J1402" s="4" t="s">
        <v>2316</v>
      </c>
      <c r="K1402" s="4" t="s">
        <v>2263</v>
      </c>
      <c r="L1402" s="10">
        <v>3</v>
      </c>
      <c r="M1402" s="5">
        <v>5041.3560273972607</v>
      </c>
      <c r="N1402" s="5">
        <v>15124.068082191779</v>
      </c>
    </row>
    <row r="1403" spans="1:14" x14ac:dyDescent="0.25">
      <c r="A1403" s="4" t="s">
        <v>3196</v>
      </c>
      <c r="B1403" s="4" t="s">
        <v>3195</v>
      </c>
      <c r="C1403" s="4" t="s">
        <v>2279</v>
      </c>
      <c r="D1403" s="4" t="s">
        <v>2278</v>
      </c>
      <c r="E1403" s="4" t="s">
        <v>3197</v>
      </c>
      <c r="F1403" s="4" t="s">
        <v>2284</v>
      </c>
      <c r="G1403" s="4" t="s">
        <v>2263</v>
      </c>
      <c r="H1403" s="9" t="s">
        <v>2263</v>
      </c>
      <c r="I1403" s="4" t="s">
        <v>2263</v>
      </c>
      <c r="J1403" s="4" t="s">
        <v>2263</v>
      </c>
      <c r="K1403" s="4" t="s">
        <v>2283</v>
      </c>
      <c r="L1403" s="10">
        <v>3</v>
      </c>
      <c r="M1403" s="5">
        <v>5500</v>
      </c>
      <c r="N1403" s="5">
        <v>16500</v>
      </c>
    </row>
    <row r="1404" spans="1:14" x14ac:dyDescent="0.25">
      <c r="A1404" s="4" t="s">
        <v>2344</v>
      </c>
      <c r="B1404" s="4" t="s">
        <v>5154</v>
      </c>
      <c r="C1404" s="4" t="s">
        <v>2344</v>
      </c>
      <c r="D1404" s="4" t="s">
        <v>237</v>
      </c>
      <c r="E1404" s="4" t="s">
        <v>4524</v>
      </c>
      <c r="F1404" s="4" t="s">
        <v>4523</v>
      </c>
      <c r="G1404" s="4" t="s">
        <v>2263</v>
      </c>
      <c r="H1404" s="9" t="s">
        <v>2263</v>
      </c>
      <c r="I1404" s="4" t="s">
        <v>2263</v>
      </c>
      <c r="J1404" s="4" t="s">
        <v>2263</v>
      </c>
      <c r="K1404" s="4" t="s">
        <v>4522</v>
      </c>
      <c r="L1404" s="10">
        <v>3</v>
      </c>
      <c r="M1404" s="5">
        <v>6012.7747826086952</v>
      </c>
      <c r="N1404" s="5">
        <v>18038.324347826088</v>
      </c>
    </row>
    <row r="1405" spans="1:14" x14ac:dyDescent="0.25">
      <c r="A1405" s="4" t="s">
        <v>2320</v>
      </c>
      <c r="B1405" s="4" t="s">
        <v>4967</v>
      </c>
      <c r="C1405" s="4" t="s">
        <v>2320</v>
      </c>
      <c r="D1405" s="4" t="s">
        <v>242</v>
      </c>
      <c r="E1405" s="4" t="s">
        <v>2932</v>
      </c>
      <c r="F1405" s="4" t="s">
        <v>2931</v>
      </c>
      <c r="G1405" s="4" t="s">
        <v>2263</v>
      </c>
      <c r="H1405" s="9" t="s">
        <v>2263</v>
      </c>
      <c r="I1405" s="4" t="s">
        <v>2317</v>
      </c>
      <c r="J1405" s="4" t="s">
        <v>2316</v>
      </c>
      <c r="K1405" s="4" t="s">
        <v>2263</v>
      </c>
      <c r="L1405" s="10">
        <v>3</v>
      </c>
      <c r="M1405" s="5">
        <v>6068.0211111111103</v>
      </c>
      <c r="N1405" s="5">
        <v>18204.063333333332</v>
      </c>
    </row>
    <row r="1406" spans="1:14" x14ac:dyDescent="0.25">
      <c r="A1406" s="4" t="s">
        <v>3063</v>
      </c>
      <c r="B1406" s="4" t="s">
        <v>3062</v>
      </c>
      <c r="C1406" s="4" t="s">
        <v>2279</v>
      </c>
      <c r="D1406" s="4" t="s">
        <v>2278</v>
      </c>
      <c r="E1406" s="4" t="s">
        <v>2684</v>
      </c>
      <c r="F1406" s="4" t="s">
        <v>2281</v>
      </c>
      <c r="G1406" s="4" t="s">
        <v>2263</v>
      </c>
      <c r="H1406" s="9" t="s">
        <v>2263</v>
      </c>
      <c r="I1406" s="4" t="s">
        <v>2263</v>
      </c>
      <c r="J1406" s="4" t="s">
        <v>2263</v>
      </c>
      <c r="K1406" s="4" t="s">
        <v>2280</v>
      </c>
      <c r="L1406" s="10">
        <v>3</v>
      </c>
      <c r="M1406" s="5">
        <v>6808.1310000000003</v>
      </c>
      <c r="N1406" s="5">
        <v>20424.393</v>
      </c>
    </row>
    <row r="1407" spans="1:14" x14ac:dyDescent="0.25">
      <c r="A1407" s="4" t="s">
        <v>2317</v>
      </c>
      <c r="B1407" s="4" t="s">
        <v>3839</v>
      </c>
      <c r="C1407" s="4" t="s">
        <v>2320</v>
      </c>
      <c r="D1407" s="4" t="s">
        <v>242</v>
      </c>
      <c r="E1407" s="4" t="s">
        <v>4033</v>
      </c>
      <c r="F1407" s="4" t="s">
        <v>4032</v>
      </c>
      <c r="G1407" s="4" t="s">
        <v>2263</v>
      </c>
      <c r="H1407" s="9" t="s">
        <v>2263</v>
      </c>
      <c r="I1407" s="4" t="s">
        <v>2317</v>
      </c>
      <c r="J1407" s="4" t="s">
        <v>2316</v>
      </c>
      <c r="K1407" s="4" t="s">
        <v>2263</v>
      </c>
      <c r="L1407" s="10">
        <v>3</v>
      </c>
      <c r="M1407" s="5">
        <v>7000</v>
      </c>
      <c r="N1407" s="5">
        <v>21000</v>
      </c>
    </row>
    <row r="1408" spans="1:14" x14ac:dyDescent="0.25">
      <c r="A1408" s="4" t="s">
        <v>2344</v>
      </c>
      <c r="B1408" s="4" t="s">
        <v>5154</v>
      </c>
      <c r="C1408" s="4" t="s">
        <v>2320</v>
      </c>
      <c r="D1408" s="4" t="s">
        <v>242</v>
      </c>
      <c r="E1408" s="4" t="s">
        <v>3929</v>
      </c>
      <c r="F1408" s="4" t="s">
        <v>3928</v>
      </c>
      <c r="G1408" s="4" t="s">
        <v>2263</v>
      </c>
      <c r="H1408" s="9" t="s">
        <v>2263</v>
      </c>
      <c r="I1408" s="4" t="s">
        <v>2317</v>
      </c>
      <c r="J1408" s="4" t="s">
        <v>2316</v>
      </c>
      <c r="K1408" s="4" t="s">
        <v>2263</v>
      </c>
      <c r="L1408" s="10">
        <v>3</v>
      </c>
      <c r="M1408" s="5">
        <v>7309.142045454546</v>
      </c>
      <c r="N1408" s="5">
        <v>21927.42613636364</v>
      </c>
    </row>
    <row r="1409" spans="1:14" x14ac:dyDescent="0.25">
      <c r="A1409" s="4" t="s">
        <v>2320</v>
      </c>
      <c r="B1409" s="4" t="s">
        <v>4967</v>
      </c>
      <c r="C1409" s="4" t="s">
        <v>2344</v>
      </c>
      <c r="D1409" s="4" t="s">
        <v>237</v>
      </c>
      <c r="E1409" s="4" t="s">
        <v>5149</v>
      </c>
      <c r="F1409" s="4" t="s">
        <v>5148</v>
      </c>
      <c r="G1409" s="4" t="s">
        <v>2263</v>
      </c>
      <c r="H1409" s="9" t="s">
        <v>2263</v>
      </c>
      <c r="I1409" s="4" t="s">
        <v>2263</v>
      </c>
      <c r="J1409" s="4" t="s">
        <v>2263</v>
      </c>
      <c r="K1409" s="4" t="s">
        <v>5147</v>
      </c>
      <c r="L1409" s="10">
        <v>3</v>
      </c>
      <c r="M1409" s="5">
        <v>8706.6</v>
      </c>
      <c r="N1409" s="5">
        <v>26119.8</v>
      </c>
    </row>
    <row r="1410" spans="1:14" x14ac:dyDescent="0.25">
      <c r="A1410" s="4" t="s">
        <v>2317</v>
      </c>
      <c r="B1410" s="4" t="s">
        <v>3839</v>
      </c>
      <c r="C1410" s="4" t="s">
        <v>2320</v>
      </c>
      <c r="D1410" s="4" t="s">
        <v>242</v>
      </c>
      <c r="E1410" s="4" t="s">
        <v>3953</v>
      </c>
      <c r="F1410" s="4" t="s">
        <v>3952</v>
      </c>
      <c r="G1410" s="4" t="s">
        <v>2263</v>
      </c>
      <c r="H1410" s="9" t="s">
        <v>2263</v>
      </c>
      <c r="I1410" s="4" t="s">
        <v>2317</v>
      </c>
      <c r="J1410" s="4" t="s">
        <v>2316</v>
      </c>
      <c r="K1410" s="4" t="s">
        <v>2263</v>
      </c>
      <c r="L1410" s="10">
        <v>3</v>
      </c>
      <c r="M1410" s="5">
        <v>9188.3127499999991</v>
      </c>
      <c r="N1410" s="5">
        <v>27564.938249999999</v>
      </c>
    </row>
    <row r="1411" spans="1:14" x14ac:dyDescent="0.25">
      <c r="A1411" s="4" t="s">
        <v>2344</v>
      </c>
      <c r="B1411" s="4" t="s">
        <v>5154</v>
      </c>
      <c r="C1411" s="4" t="s">
        <v>2320</v>
      </c>
      <c r="D1411" s="4" t="s">
        <v>242</v>
      </c>
      <c r="E1411" s="4" t="s">
        <v>4081</v>
      </c>
      <c r="F1411" s="4" t="s">
        <v>4080</v>
      </c>
      <c r="G1411" s="4" t="s">
        <v>2263</v>
      </c>
      <c r="H1411" s="9" t="s">
        <v>2263</v>
      </c>
      <c r="I1411" s="4" t="s">
        <v>2317</v>
      </c>
      <c r="J1411" s="4" t="s">
        <v>2316</v>
      </c>
      <c r="K1411" s="4" t="s">
        <v>2263</v>
      </c>
      <c r="L1411" s="10">
        <v>3</v>
      </c>
      <c r="M1411" s="5">
        <v>9752.0057333333316</v>
      </c>
      <c r="N1411" s="5">
        <v>29256.017199999998</v>
      </c>
    </row>
    <row r="1412" spans="1:14" x14ac:dyDescent="0.25">
      <c r="A1412" s="4" t="s">
        <v>3174</v>
      </c>
      <c r="B1412" s="4" t="s">
        <v>3173</v>
      </c>
      <c r="C1412" s="4" t="s">
        <v>2344</v>
      </c>
      <c r="D1412" s="4" t="s">
        <v>237</v>
      </c>
      <c r="E1412" s="4" t="s">
        <v>2753</v>
      </c>
      <c r="F1412" s="4" t="s">
        <v>2752</v>
      </c>
      <c r="G1412" s="4" t="s">
        <v>2263</v>
      </c>
      <c r="H1412" s="9" t="s">
        <v>2263</v>
      </c>
      <c r="I1412" s="4" t="s">
        <v>2263</v>
      </c>
      <c r="J1412" s="4" t="s">
        <v>2263</v>
      </c>
      <c r="K1412" s="4" t="s">
        <v>2751</v>
      </c>
      <c r="L1412" s="10">
        <v>3</v>
      </c>
      <c r="M1412" s="5">
        <v>10080.152592592593</v>
      </c>
      <c r="N1412" s="5">
        <v>30240.457777777781</v>
      </c>
    </row>
    <row r="1413" spans="1:14" x14ac:dyDescent="0.25">
      <c r="A1413" s="4" t="s">
        <v>2344</v>
      </c>
      <c r="B1413" s="4" t="s">
        <v>5154</v>
      </c>
      <c r="C1413" s="4" t="s">
        <v>2344</v>
      </c>
      <c r="D1413" s="4" t="s">
        <v>237</v>
      </c>
      <c r="E1413" s="4" t="s">
        <v>5446</v>
      </c>
      <c r="F1413" s="4" t="s">
        <v>5445</v>
      </c>
      <c r="G1413" s="4" t="s">
        <v>2263</v>
      </c>
      <c r="H1413" s="9" t="s">
        <v>2263</v>
      </c>
      <c r="I1413" s="4" t="s">
        <v>2263</v>
      </c>
      <c r="J1413" s="4" t="s">
        <v>2263</v>
      </c>
      <c r="K1413" s="4" t="s">
        <v>5444</v>
      </c>
      <c r="L1413" s="10">
        <v>3</v>
      </c>
      <c r="M1413" s="5">
        <v>10130.283333333333</v>
      </c>
      <c r="N1413" s="5">
        <v>30390.85</v>
      </c>
    </row>
    <row r="1414" spans="1:14" x14ac:dyDescent="0.25">
      <c r="A1414" s="4" t="s">
        <v>2320</v>
      </c>
      <c r="B1414" s="4" t="s">
        <v>4967</v>
      </c>
      <c r="C1414" s="4" t="s">
        <v>2344</v>
      </c>
      <c r="D1414" s="4" t="s">
        <v>237</v>
      </c>
      <c r="E1414" s="4" t="s">
        <v>4656</v>
      </c>
      <c r="F1414" s="4" t="s">
        <v>2428</v>
      </c>
      <c r="G1414" s="4" t="s">
        <v>2263</v>
      </c>
      <c r="H1414" s="9" t="s">
        <v>2263</v>
      </c>
      <c r="I1414" s="4" t="s">
        <v>2263</v>
      </c>
      <c r="J1414" s="4" t="s">
        <v>2263</v>
      </c>
      <c r="K1414" s="4" t="s">
        <v>2427</v>
      </c>
      <c r="L1414" s="10">
        <v>3</v>
      </c>
      <c r="M1414" s="5">
        <v>12500</v>
      </c>
      <c r="N1414" s="5">
        <v>37500</v>
      </c>
    </row>
    <row r="1415" spans="1:14" x14ac:dyDescent="0.25">
      <c r="A1415" s="4" t="s">
        <v>2317</v>
      </c>
      <c r="B1415" s="4" t="s">
        <v>3839</v>
      </c>
      <c r="C1415" s="4" t="s">
        <v>2320</v>
      </c>
      <c r="D1415" s="4" t="s">
        <v>242</v>
      </c>
      <c r="E1415" s="4" t="s">
        <v>3849</v>
      </c>
      <c r="F1415" s="4" t="s">
        <v>3848</v>
      </c>
      <c r="G1415" s="4" t="s">
        <v>2263</v>
      </c>
      <c r="H1415" s="9" t="s">
        <v>2263</v>
      </c>
      <c r="I1415" s="4" t="s">
        <v>2317</v>
      </c>
      <c r="J1415" s="4" t="s">
        <v>2316</v>
      </c>
      <c r="K1415" s="4" t="s">
        <v>2263</v>
      </c>
      <c r="L1415" s="10">
        <v>3</v>
      </c>
      <c r="M1415" s="5">
        <v>12677.174999999999</v>
      </c>
      <c r="N1415" s="5">
        <v>38031.525000000001</v>
      </c>
    </row>
    <row r="1416" spans="1:14" x14ac:dyDescent="0.25">
      <c r="A1416" s="4" t="s">
        <v>2317</v>
      </c>
      <c r="B1416" s="4" t="s">
        <v>3839</v>
      </c>
      <c r="C1416" s="4" t="s">
        <v>2320</v>
      </c>
      <c r="D1416" s="4" t="s">
        <v>242</v>
      </c>
      <c r="E1416" s="4" t="s">
        <v>4023</v>
      </c>
      <c r="F1416" s="4" t="s">
        <v>4022</v>
      </c>
      <c r="G1416" s="4" t="s">
        <v>2263</v>
      </c>
      <c r="H1416" s="9" t="s">
        <v>2263</v>
      </c>
      <c r="I1416" s="4" t="s">
        <v>2317</v>
      </c>
      <c r="J1416" s="4" t="s">
        <v>2316</v>
      </c>
      <c r="K1416" s="4" t="s">
        <v>2263</v>
      </c>
      <c r="L1416" s="10">
        <v>3</v>
      </c>
      <c r="M1416" s="5">
        <v>13300</v>
      </c>
      <c r="N1416" s="5">
        <v>39900</v>
      </c>
    </row>
    <row r="1417" spans="1:14" x14ac:dyDescent="0.25">
      <c r="A1417" s="4" t="s">
        <v>2344</v>
      </c>
      <c r="B1417" s="4" t="s">
        <v>5154</v>
      </c>
      <c r="C1417" s="4" t="s">
        <v>2344</v>
      </c>
      <c r="D1417" s="4" t="s">
        <v>237</v>
      </c>
      <c r="E1417" s="4" t="s">
        <v>5380</v>
      </c>
      <c r="F1417" s="4" t="s">
        <v>2752</v>
      </c>
      <c r="G1417" s="4" t="s">
        <v>2263</v>
      </c>
      <c r="H1417" s="9" t="s">
        <v>2263</v>
      </c>
      <c r="I1417" s="4" t="s">
        <v>2263</v>
      </c>
      <c r="J1417" s="4" t="s">
        <v>2263</v>
      </c>
      <c r="K1417" s="4" t="s">
        <v>2751</v>
      </c>
      <c r="L1417" s="10">
        <v>3</v>
      </c>
      <c r="M1417" s="5">
        <v>13750</v>
      </c>
      <c r="N1417" s="5">
        <v>41250</v>
      </c>
    </row>
    <row r="1418" spans="1:14" x14ac:dyDescent="0.25">
      <c r="A1418" s="4" t="s">
        <v>2653</v>
      </c>
      <c r="B1418" s="4" t="s">
        <v>3226</v>
      </c>
      <c r="C1418" s="4" t="s">
        <v>2384</v>
      </c>
      <c r="D1418" s="4" t="s">
        <v>262</v>
      </c>
      <c r="E1418" s="4" t="s">
        <v>3484</v>
      </c>
      <c r="F1418" s="4" t="s">
        <v>3483</v>
      </c>
      <c r="G1418" s="4" t="s">
        <v>2263</v>
      </c>
      <c r="H1418" s="9" t="s">
        <v>2263</v>
      </c>
      <c r="I1418" s="4" t="s">
        <v>2317</v>
      </c>
      <c r="J1418" s="4" t="s">
        <v>2316</v>
      </c>
      <c r="K1418" s="4" t="s">
        <v>2263</v>
      </c>
      <c r="L1418" s="10">
        <v>3</v>
      </c>
      <c r="M1418" s="5">
        <v>14280</v>
      </c>
      <c r="N1418" s="5">
        <v>42840</v>
      </c>
    </row>
    <row r="1419" spans="1:14" x14ac:dyDescent="0.25">
      <c r="A1419" s="4" t="s">
        <v>2344</v>
      </c>
      <c r="B1419" s="4" t="s">
        <v>5154</v>
      </c>
      <c r="C1419" s="4" t="s">
        <v>2320</v>
      </c>
      <c r="D1419" s="4" t="s">
        <v>242</v>
      </c>
      <c r="E1419" s="4" t="s">
        <v>3172</v>
      </c>
      <c r="F1419" s="4" t="s">
        <v>3171</v>
      </c>
      <c r="G1419" s="4" t="s">
        <v>2263</v>
      </c>
      <c r="H1419" s="9" t="s">
        <v>2263</v>
      </c>
      <c r="I1419" s="4" t="s">
        <v>2317</v>
      </c>
      <c r="J1419" s="4" t="s">
        <v>2316</v>
      </c>
      <c r="K1419" s="4" t="s">
        <v>2263</v>
      </c>
      <c r="L1419" s="10">
        <v>3</v>
      </c>
      <c r="M1419" s="5">
        <v>14544.142857142857</v>
      </c>
      <c r="N1419" s="5">
        <v>43632.428571428572</v>
      </c>
    </row>
    <row r="1420" spans="1:14" x14ac:dyDescent="0.25">
      <c r="A1420" s="4" t="s">
        <v>2317</v>
      </c>
      <c r="B1420" s="4" t="s">
        <v>3839</v>
      </c>
      <c r="C1420" s="4" t="s">
        <v>2320</v>
      </c>
      <c r="D1420" s="4" t="s">
        <v>242</v>
      </c>
      <c r="E1420" s="4" t="s">
        <v>3172</v>
      </c>
      <c r="F1420" s="4" t="s">
        <v>3171</v>
      </c>
      <c r="G1420" s="4" t="s">
        <v>2263</v>
      </c>
      <c r="H1420" s="9" t="s">
        <v>2263</v>
      </c>
      <c r="I1420" s="4" t="s">
        <v>2317</v>
      </c>
      <c r="J1420" s="4" t="s">
        <v>2316</v>
      </c>
      <c r="K1420" s="4" t="s">
        <v>2263</v>
      </c>
      <c r="L1420" s="10">
        <v>3</v>
      </c>
      <c r="M1420" s="5">
        <v>14544.142857142857</v>
      </c>
      <c r="N1420" s="5">
        <v>43632.428571428572</v>
      </c>
    </row>
    <row r="1421" spans="1:14" x14ac:dyDescent="0.25">
      <c r="A1421" s="4" t="s">
        <v>2317</v>
      </c>
      <c r="B1421" s="4" t="s">
        <v>3839</v>
      </c>
      <c r="C1421" s="4" t="s">
        <v>2320</v>
      </c>
      <c r="D1421" s="4" t="s">
        <v>242</v>
      </c>
      <c r="E1421" s="4" t="s">
        <v>4063</v>
      </c>
      <c r="F1421" s="4" t="s">
        <v>4062</v>
      </c>
      <c r="G1421" s="4" t="s">
        <v>2263</v>
      </c>
      <c r="H1421" s="9" t="s">
        <v>2263</v>
      </c>
      <c r="I1421" s="4" t="s">
        <v>2317</v>
      </c>
      <c r="J1421" s="4" t="s">
        <v>2316</v>
      </c>
      <c r="K1421" s="4" t="s">
        <v>2263</v>
      </c>
      <c r="L1421" s="10">
        <v>3</v>
      </c>
      <c r="M1421" s="5">
        <v>15098.718000000001</v>
      </c>
      <c r="N1421" s="5">
        <v>45296.154000000002</v>
      </c>
    </row>
    <row r="1422" spans="1:14" x14ac:dyDescent="0.25">
      <c r="A1422" s="4" t="s">
        <v>2344</v>
      </c>
      <c r="B1422" s="4" t="s">
        <v>5154</v>
      </c>
      <c r="C1422" s="4" t="s">
        <v>2320</v>
      </c>
      <c r="D1422" s="4" t="s">
        <v>242</v>
      </c>
      <c r="E1422" s="4" t="s">
        <v>3971</v>
      </c>
      <c r="F1422" s="4" t="s">
        <v>3970</v>
      </c>
      <c r="G1422" s="4" t="s">
        <v>2263</v>
      </c>
      <c r="H1422" s="9" t="s">
        <v>2263</v>
      </c>
      <c r="I1422" s="4" t="s">
        <v>2317</v>
      </c>
      <c r="J1422" s="4" t="s">
        <v>2316</v>
      </c>
      <c r="K1422" s="4" t="s">
        <v>2263</v>
      </c>
      <c r="L1422" s="10">
        <v>3</v>
      </c>
      <c r="M1422" s="5">
        <v>15750</v>
      </c>
      <c r="N1422" s="5">
        <v>47250</v>
      </c>
    </row>
    <row r="1423" spans="1:14" x14ac:dyDescent="0.25">
      <c r="A1423" s="4" t="s">
        <v>2344</v>
      </c>
      <c r="B1423" s="4" t="s">
        <v>5154</v>
      </c>
      <c r="C1423" s="4" t="s">
        <v>2320</v>
      </c>
      <c r="D1423" s="4" t="s">
        <v>242</v>
      </c>
      <c r="E1423" s="4" t="s">
        <v>2936</v>
      </c>
      <c r="F1423" s="4" t="s">
        <v>2935</v>
      </c>
      <c r="G1423" s="4" t="s">
        <v>2263</v>
      </c>
      <c r="H1423" s="9" t="s">
        <v>2263</v>
      </c>
      <c r="I1423" s="4" t="s">
        <v>2317</v>
      </c>
      <c r="J1423" s="4" t="s">
        <v>2316</v>
      </c>
      <c r="K1423" s="4" t="s">
        <v>2263</v>
      </c>
      <c r="L1423" s="10">
        <v>3</v>
      </c>
      <c r="M1423" s="5">
        <v>15864.732647058823</v>
      </c>
      <c r="N1423" s="5">
        <v>47594.19794117647</v>
      </c>
    </row>
    <row r="1424" spans="1:14" x14ac:dyDescent="0.25">
      <c r="A1424" s="4" t="s">
        <v>2279</v>
      </c>
      <c r="B1424" s="4" t="s">
        <v>4963</v>
      </c>
      <c r="C1424" s="4" t="s">
        <v>2344</v>
      </c>
      <c r="D1424" s="4" t="s">
        <v>237</v>
      </c>
      <c r="E1424" s="4" t="s">
        <v>2444</v>
      </c>
      <c r="F1424" s="4" t="s">
        <v>2443</v>
      </c>
      <c r="G1424" s="4" t="s">
        <v>2263</v>
      </c>
      <c r="H1424" s="9" t="s">
        <v>2263</v>
      </c>
      <c r="I1424" s="4" t="s">
        <v>2263</v>
      </c>
      <c r="J1424" s="4" t="s">
        <v>2263</v>
      </c>
      <c r="K1424" s="4" t="s">
        <v>2442</v>
      </c>
      <c r="L1424" s="10">
        <v>3</v>
      </c>
      <c r="M1424" s="5">
        <v>17324.682926829268</v>
      </c>
      <c r="N1424" s="5">
        <v>51974.048780487799</v>
      </c>
    </row>
    <row r="1425" spans="1:14" x14ac:dyDescent="0.25">
      <c r="A1425" s="4" t="s">
        <v>2481</v>
      </c>
      <c r="B1425" s="4" t="s">
        <v>3217</v>
      </c>
      <c r="C1425" s="4" t="s">
        <v>2344</v>
      </c>
      <c r="D1425" s="4" t="s">
        <v>237</v>
      </c>
      <c r="E1425" s="4" t="s">
        <v>2444</v>
      </c>
      <c r="F1425" s="4" t="s">
        <v>2443</v>
      </c>
      <c r="G1425" s="4" t="s">
        <v>2263</v>
      </c>
      <c r="H1425" s="9" t="s">
        <v>2263</v>
      </c>
      <c r="I1425" s="4" t="s">
        <v>2263</v>
      </c>
      <c r="J1425" s="4" t="s">
        <v>2263</v>
      </c>
      <c r="K1425" s="4" t="s">
        <v>2442</v>
      </c>
      <c r="L1425" s="10">
        <v>3</v>
      </c>
      <c r="M1425" s="5">
        <v>17324.682926829268</v>
      </c>
      <c r="N1425" s="5">
        <v>51974.048780487799</v>
      </c>
    </row>
    <row r="1426" spans="1:14" x14ac:dyDescent="0.25">
      <c r="A1426" s="4" t="s">
        <v>3196</v>
      </c>
      <c r="B1426" s="4" t="s">
        <v>3195</v>
      </c>
      <c r="C1426" s="4" t="s">
        <v>2344</v>
      </c>
      <c r="D1426" s="4" t="s">
        <v>237</v>
      </c>
      <c r="E1426" s="4" t="s">
        <v>2444</v>
      </c>
      <c r="F1426" s="4" t="s">
        <v>2443</v>
      </c>
      <c r="G1426" s="4" t="s">
        <v>2263</v>
      </c>
      <c r="H1426" s="9" t="s">
        <v>2263</v>
      </c>
      <c r="I1426" s="4" t="s">
        <v>2263</v>
      </c>
      <c r="J1426" s="4" t="s">
        <v>2263</v>
      </c>
      <c r="K1426" s="4" t="s">
        <v>2442</v>
      </c>
      <c r="L1426" s="10">
        <v>3</v>
      </c>
      <c r="M1426" s="5">
        <v>17324.682926829268</v>
      </c>
      <c r="N1426" s="5">
        <v>51974.048780487799</v>
      </c>
    </row>
    <row r="1427" spans="1:14" x14ac:dyDescent="0.25">
      <c r="A1427" s="4" t="s">
        <v>2384</v>
      </c>
      <c r="B1427" s="4" t="s">
        <v>3187</v>
      </c>
      <c r="C1427" s="4" t="s">
        <v>2344</v>
      </c>
      <c r="D1427" s="4" t="s">
        <v>237</v>
      </c>
      <c r="E1427" s="4" t="s">
        <v>2444</v>
      </c>
      <c r="F1427" s="4" t="s">
        <v>2443</v>
      </c>
      <c r="G1427" s="4" t="s">
        <v>2263</v>
      </c>
      <c r="H1427" s="9" t="s">
        <v>2263</v>
      </c>
      <c r="I1427" s="4" t="s">
        <v>2263</v>
      </c>
      <c r="J1427" s="4" t="s">
        <v>2263</v>
      </c>
      <c r="K1427" s="4" t="s">
        <v>2442</v>
      </c>
      <c r="L1427" s="10">
        <v>3</v>
      </c>
      <c r="M1427" s="5">
        <v>17324.682926829268</v>
      </c>
      <c r="N1427" s="5">
        <v>51974.048780487799</v>
      </c>
    </row>
    <row r="1428" spans="1:14" x14ac:dyDescent="0.25">
      <c r="A1428" s="4" t="s">
        <v>3174</v>
      </c>
      <c r="B1428" s="4" t="s">
        <v>3173</v>
      </c>
      <c r="C1428" s="4" t="s">
        <v>2344</v>
      </c>
      <c r="D1428" s="4" t="s">
        <v>237</v>
      </c>
      <c r="E1428" s="4" t="s">
        <v>2444</v>
      </c>
      <c r="F1428" s="4" t="s">
        <v>2443</v>
      </c>
      <c r="G1428" s="4" t="s">
        <v>2263</v>
      </c>
      <c r="H1428" s="9" t="s">
        <v>2263</v>
      </c>
      <c r="I1428" s="4" t="s">
        <v>2263</v>
      </c>
      <c r="J1428" s="4" t="s">
        <v>2263</v>
      </c>
      <c r="K1428" s="4" t="s">
        <v>2442</v>
      </c>
      <c r="L1428" s="10">
        <v>3</v>
      </c>
      <c r="M1428" s="5">
        <v>17324.682926829268</v>
      </c>
      <c r="N1428" s="5">
        <v>51974.048780487799</v>
      </c>
    </row>
    <row r="1429" spans="1:14" x14ac:dyDescent="0.25">
      <c r="A1429" s="4" t="s">
        <v>3104</v>
      </c>
      <c r="B1429" s="4" t="s">
        <v>3103</v>
      </c>
      <c r="C1429" s="4" t="s">
        <v>2344</v>
      </c>
      <c r="D1429" s="4" t="s">
        <v>237</v>
      </c>
      <c r="E1429" s="4" t="s">
        <v>2444</v>
      </c>
      <c r="F1429" s="4" t="s">
        <v>2443</v>
      </c>
      <c r="G1429" s="4" t="s">
        <v>2263</v>
      </c>
      <c r="H1429" s="9" t="s">
        <v>2263</v>
      </c>
      <c r="I1429" s="4" t="s">
        <v>2263</v>
      </c>
      <c r="J1429" s="4" t="s">
        <v>2263</v>
      </c>
      <c r="K1429" s="4" t="s">
        <v>2442</v>
      </c>
      <c r="L1429" s="10">
        <v>3</v>
      </c>
      <c r="M1429" s="5">
        <v>17324.682926829268</v>
      </c>
      <c r="N1429" s="5">
        <v>51974.048780487799</v>
      </c>
    </row>
    <row r="1430" spans="1:14" x14ac:dyDescent="0.25">
      <c r="A1430" s="4" t="s">
        <v>3063</v>
      </c>
      <c r="B1430" s="4" t="s">
        <v>3062</v>
      </c>
      <c r="C1430" s="4" t="s">
        <v>2344</v>
      </c>
      <c r="D1430" s="4" t="s">
        <v>237</v>
      </c>
      <c r="E1430" s="4" t="s">
        <v>2444</v>
      </c>
      <c r="F1430" s="4" t="s">
        <v>2443</v>
      </c>
      <c r="G1430" s="4" t="s">
        <v>2263</v>
      </c>
      <c r="H1430" s="9" t="s">
        <v>2263</v>
      </c>
      <c r="I1430" s="4" t="s">
        <v>2263</v>
      </c>
      <c r="J1430" s="4" t="s">
        <v>2263</v>
      </c>
      <c r="K1430" s="4" t="s">
        <v>2442</v>
      </c>
      <c r="L1430" s="10">
        <v>3</v>
      </c>
      <c r="M1430" s="5">
        <v>17324.682926829268</v>
      </c>
      <c r="N1430" s="5">
        <v>51974.048780487799</v>
      </c>
    </row>
    <row r="1431" spans="1:14" x14ac:dyDescent="0.25">
      <c r="A1431" s="4" t="s">
        <v>3051</v>
      </c>
      <c r="B1431" s="4" t="s">
        <v>3050</v>
      </c>
      <c r="C1431" s="4" t="s">
        <v>2344</v>
      </c>
      <c r="D1431" s="4" t="s">
        <v>237</v>
      </c>
      <c r="E1431" s="4" t="s">
        <v>2444</v>
      </c>
      <c r="F1431" s="4" t="s">
        <v>2443</v>
      </c>
      <c r="G1431" s="4" t="s">
        <v>2263</v>
      </c>
      <c r="H1431" s="9" t="s">
        <v>2263</v>
      </c>
      <c r="I1431" s="4" t="s">
        <v>2263</v>
      </c>
      <c r="J1431" s="4" t="s">
        <v>2263</v>
      </c>
      <c r="K1431" s="4" t="s">
        <v>2442</v>
      </c>
      <c r="L1431" s="10">
        <v>3</v>
      </c>
      <c r="M1431" s="5">
        <v>17324.682926829268</v>
      </c>
      <c r="N1431" s="5">
        <v>51974.048780487799</v>
      </c>
    </row>
    <row r="1432" spans="1:14" x14ac:dyDescent="0.25">
      <c r="A1432" s="4" t="s">
        <v>3024</v>
      </c>
      <c r="B1432" s="4" t="s">
        <v>3023</v>
      </c>
      <c r="C1432" s="4" t="s">
        <v>2344</v>
      </c>
      <c r="D1432" s="4" t="s">
        <v>237</v>
      </c>
      <c r="E1432" s="4" t="s">
        <v>2444</v>
      </c>
      <c r="F1432" s="4" t="s">
        <v>2443</v>
      </c>
      <c r="G1432" s="4" t="s">
        <v>2263</v>
      </c>
      <c r="H1432" s="9" t="s">
        <v>2263</v>
      </c>
      <c r="I1432" s="4" t="s">
        <v>2263</v>
      </c>
      <c r="J1432" s="4" t="s">
        <v>2263</v>
      </c>
      <c r="K1432" s="4" t="s">
        <v>2442</v>
      </c>
      <c r="L1432" s="10">
        <v>3</v>
      </c>
      <c r="M1432" s="5">
        <v>17324.682926829268</v>
      </c>
      <c r="N1432" s="5">
        <v>51974.048780487799</v>
      </c>
    </row>
    <row r="1433" spans="1:14" x14ac:dyDescent="0.25">
      <c r="A1433" s="4" t="s">
        <v>2386</v>
      </c>
      <c r="B1433" s="4" t="s">
        <v>2385</v>
      </c>
      <c r="C1433" s="4" t="s">
        <v>2344</v>
      </c>
      <c r="D1433" s="4" t="s">
        <v>237</v>
      </c>
      <c r="E1433" s="4" t="s">
        <v>2444</v>
      </c>
      <c r="F1433" s="4" t="s">
        <v>2443</v>
      </c>
      <c r="G1433" s="4" t="s">
        <v>2263</v>
      </c>
      <c r="H1433" s="9" t="s">
        <v>2263</v>
      </c>
      <c r="I1433" s="4" t="s">
        <v>2263</v>
      </c>
      <c r="J1433" s="4" t="s">
        <v>2263</v>
      </c>
      <c r="K1433" s="4" t="s">
        <v>2442</v>
      </c>
      <c r="L1433" s="10">
        <v>3</v>
      </c>
      <c r="M1433" s="5">
        <v>17324.682926829268</v>
      </c>
      <c r="N1433" s="5">
        <v>51974.048780487799</v>
      </c>
    </row>
    <row r="1434" spans="1:14" x14ac:dyDescent="0.25">
      <c r="A1434" s="4" t="s">
        <v>2279</v>
      </c>
      <c r="B1434" s="4" t="s">
        <v>4963</v>
      </c>
      <c r="C1434" s="4" t="s">
        <v>2344</v>
      </c>
      <c r="D1434" s="4" t="s">
        <v>237</v>
      </c>
      <c r="E1434" s="4" t="s">
        <v>2429</v>
      </c>
      <c r="F1434" s="4" t="s">
        <v>2428</v>
      </c>
      <c r="G1434" s="4" t="s">
        <v>2263</v>
      </c>
      <c r="H1434" s="9" t="s">
        <v>2263</v>
      </c>
      <c r="I1434" s="4" t="s">
        <v>2263</v>
      </c>
      <c r="J1434" s="4" t="s">
        <v>2263</v>
      </c>
      <c r="K1434" s="4" t="s">
        <v>2427</v>
      </c>
      <c r="L1434" s="10">
        <v>3</v>
      </c>
      <c r="M1434" s="5">
        <v>17751.05</v>
      </c>
      <c r="N1434" s="5">
        <v>53253.15</v>
      </c>
    </row>
    <row r="1435" spans="1:14" x14ac:dyDescent="0.25">
      <c r="A1435" s="4" t="s">
        <v>3196</v>
      </c>
      <c r="B1435" s="4" t="s">
        <v>3195</v>
      </c>
      <c r="C1435" s="4" t="s">
        <v>2344</v>
      </c>
      <c r="D1435" s="4" t="s">
        <v>237</v>
      </c>
      <c r="E1435" s="4" t="s">
        <v>2429</v>
      </c>
      <c r="F1435" s="4" t="s">
        <v>2428</v>
      </c>
      <c r="G1435" s="4" t="s">
        <v>2263</v>
      </c>
      <c r="H1435" s="9" t="s">
        <v>2263</v>
      </c>
      <c r="I1435" s="4" t="s">
        <v>2263</v>
      </c>
      <c r="J1435" s="4" t="s">
        <v>2263</v>
      </c>
      <c r="K1435" s="4" t="s">
        <v>2427</v>
      </c>
      <c r="L1435" s="10">
        <v>3</v>
      </c>
      <c r="M1435" s="5">
        <v>17751.05</v>
      </c>
      <c r="N1435" s="5">
        <v>53253.15</v>
      </c>
    </row>
    <row r="1436" spans="1:14" x14ac:dyDescent="0.25">
      <c r="A1436" s="4" t="s">
        <v>2384</v>
      </c>
      <c r="B1436" s="4" t="s">
        <v>3187</v>
      </c>
      <c r="C1436" s="4" t="s">
        <v>2344</v>
      </c>
      <c r="D1436" s="4" t="s">
        <v>237</v>
      </c>
      <c r="E1436" s="4" t="s">
        <v>2429</v>
      </c>
      <c r="F1436" s="4" t="s">
        <v>2428</v>
      </c>
      <c r="G1436" s="4" t="s">
        <v>2263</v>
      </c>
      <c r="H1436" s="9" t="s">
        <v>2263</v>
      </c>
      <c r="I1436" s="4" t="s">
        <v>2263</v>
      </c>
      <c r="J1436" s="4" t="s">
        <v>2263</v>
      </c>
      <c r="K1436" s="4" t="s">
        <v>2427</v>
      </c>
      <c r="L1436" s="10">
        <v>3</v>
      </c>
      <c r="M1436" s="5">
        <v>17751.05</v>
      </c>
      <c r="N1436" s="5">
        <v>53253.15</v>
      </c>
    </row>
    <row r="1437" spans="1:14" x14ac:dyDescent="0.25">
      <c r="A1437" s="4" t="s">
        <v>3157</v>
      </c>
      <c r="B1437" s="4" t="s">
        <v>3156</v>
      </c>
      <c r="C1437" s="4" t="s">
        <v>2344</v>
      </c>
      <c r="D1437" s="4" t="s">
        <v>237</v>
      </c>
      <c r="E1437" s="4" t="s">
        <v>2429</v>
      </c>
      <c r="F1437" s="4" t="s">
        <v>2428</v>
      </c>
      <c r="G1437" s="4" t="s">
        <v>2263</v>
      </c>
      <c r="H1437" s="9" t="s">
        <v>2263</v>
      </c>
      <c r="I1437" s="4" t="s">
        <v>2263</v>
      </c>
      <c r="J1437" s="4" t="s">
        <v>2263</v>
      </c>
      <c r="K1437" s="4" t="s">
        <v>2427</v>
      </c>
      <c r="L1437" s="10">
        <v>3</v>
      </c>
      <c r="M1437" s="5">
        <v>17751.05</v>
      </c>
      <c r="N1437" s="5">
        <v>53253.15</v>
      </c>
    </row>
    <row r="1438" spans="1:14" x14ac:dyDescent="0.25">
      <c r="A1438" s="4" t="s">
        <v>3104</v>
      </c>
      <c r="B1438" s="4" t="s">
        <v>3103</v>
      </c>
      <c r="C1438" s="4" t="s">
        <v>2344</v>
      </c>
      <c r="D1438" s="4" t="s">
        <v>237</v>
      </c>
      <c r="E1438" s="4" t="s">
        <v>2429</v>
      </c>
      <c r="F1438" s="4" t="s">
        <v>2428</v>
      </c>
      <c r="G1438" s="4" t="s">
        <v>2263</v>
      </c>
      <c r="H1438" s="9" t="s">
        <v>2263</v>
      </c>
      <c r="I1438" s="4" t="s">
        <v>2263</v>
      </c>
      <c r="J1438" s="4" t="s">
        <v>2263</v>
      </c>
      <c r="K1438" s="4" t="s">
        <v>2427</v>
      </c>
      <c r="L1438" s="10">
        <v>3</v>
      </c>
      <c r="M1438" s="5">
        <v>17751.05</v>
      </c>
      <c r="N1438" s="5">
        <v>53253.15</v>
      </c>
    </row>
    <row r="1439" spans="1:14" x14ac:dyDescent="0.25">
      <c r="A1439" s="4" t="s">
        <v>3063</v>
      </c>
      <c r="B1439" s="4" t="s">
        <v>3062</v>
      </c>
      <c r="C1439" s="4" t="s">
        <v>2344</v>
      </c>
      <c r="D1439" s="4" t="s">
        <v>237</v>
      </c>
      <c r="E1439" s="4" t="s">
        <v>2429</v>
      </c>
      <c r="F1439" s="4" t="s">
        <v>2428</v>
      </c>
      <c r="G1439" s="4" t="s">
        <v>2263</v>
      </c>
      <c r="H1439" s="9" t="s">
        <v>2263</v>
      </c>
      <c r="I1439" s="4" t="s">
        <v>2263</v>
      </c>
      <c r="J1439" s="4" t="s">
        <v>2263</v>
      </c>
      <c r="K1439" s="4" t="s">
        <v>2427</v>
      </c>
      <c r="L1439" s="10">
        <v>3</v>
      </c>
      <c r="M1439" s="5">
        <v>17751.05</v>
      </c>
      <c r="N1439" s="5">
        <v>53253.15</v>
      </c>
    </row>
    <row r="1440" spans="1:14" x14ac:dyDescent="0.25">
      <c r="A1440" s="4" t="s">
        <v>3051</v>
      </c>
      <c r="B1440" s="4" t="s">
        <v>3050</v>
      </c>
      <c r="C1440" s="4" t="s">
        <v>2344</v>
      </c>
      <c r="D1440" s="4" t="s">
        <v>237</v>
      </c>
      <c r="E1440" s="4" t="s">
        <v>2429</v>
      </c>
      <c r="F1440" s="4" t="s">
        <v>2428</v>
      </c>
      <c r="G1440" s="4" t="s">
        <v>2263</v>
      </c>
      <c r="H1440" s="9" t="s">
        <v>2263</v>
      </c>
      <c r="I1440" s="4" t="s">
        <v>2263</v>
      </c>
      <c r="J1440" s="4" t="s">
        <v>2263</v>
      </c>
      <c r="K1440" s="4" t="s">
        <v>2427</v>
      </c>
      <c r="L1440" s="10">
        <v>3</v>
      </c>
      <c r="M1440" s="5">
        <v>17751.05</v>
      </c>
      <c r="N1440" s="5">
        <v>53253.15</v>
      </c>
    </row>
    <row r="1441" spans="1:14" x14ac:dyDescent="0.25">
      <c r="A1441" s="4" t="s">
        <v>3024</v>
      </c>
      <c r="B1441" s="4" t="s">
        <v>3023</v>
      </c>
      <c r="C1441" s="4" t="s">
        <v>2344</v>
      </c>
      <c r="D1441" s="4" t="s">
        <v>237</v>
      </c>
      <c r="E1441" s="4" t="s">
        <v>2429</v>
      </c>
      <c r="F1441" s="4" t="s">
        <v>2428</v>
      </c>
      <c r="G1441" s="4" t="s">
        <v>2263</v>
      </c>
      <c r="H1441" s="9" t="s">
        <v>2263</v>
      </c>
      <c r="I1441" s="4" t="s">
        <v>2263</v>
      </c>
      <c r="J1441" s="4" t="s">
        <v>2263</v>
      </c>
      <c r="K1441" s="4" t="s">
        <v>2427</v>
      </c>
      <c r="L1441" s="10">
        <v>3</v>
      </c>
      <c r="M1441" s="5">
        <v>17751.05</v>
      </c>
      <c r="N1441" s="5">
        <v>53253.15</v>
      </c>
    </row>
    <row r="1442" spans="1:14" x14ac:dyDescent="0.25">
      <c r="A1442" s="4" t="s">
        <v>2317</v>
      </c>
      <c r="B1442" s="4" t="s">
        <v>3839</v>
      </c>
      <c r="C1442" s="4" t="s">
        <v>2320</v>
      </c>
      <c r="D1442" s="4" t="s">
        <v>242</v>
      </c>
      <c r="E1442" s="4" t="s">
        <v>4017</v>
      </c>
      <c r="F1442" s="4" t="s">
        <v>4016</v>
      </c>
      <c r="G1442" s="4" t="s">
        <v>2263</v>
      </c>
      <c r="H1442" s="9" t="s">
        <v>2263</v>
      </c>
      <c r="I1442" s="4" t="s">
        <v>2317</v>
      </c>
      <c r="J1442" s="4" t="s">
        <v>2316</v>
      </c>
      <c r="K1442" s="4" t="s">
        <v>2263</v>
      </c>
      <c r="L1442" s="10">
        <v>3</v>
      </c>
      <c r="M1442" s="5">
        <v>18000</v>
      </c>
      <c r="N1442" s="5">
        <v>54000</v>
      </c>
    </row>
    <row r="1443" spans="1:14" x14ac:dyDescent="0.25">
      <c r="A1443" s="4" t="s">
        <v>2344</v>
      </c>
      <c r="B1443" s="4" t="s">
        <v>5154</v>
      </c>
      <c r="C1443" s="4" t="s">
        <v>2344</v>
      </c>
      <c r="D1443" s="4" t="s">
        <v>237</v>
      </c>
      <c r="E1443" s="4" t="s">
        <v>4878</v>
      </c>
      <c r="F1443" s="4" t="s">
        <v>4576</v>
      </c>
      <c r="G1443" s="4" t="s">
        <v>2263</v>
      </c>
      <c r="H1443" s="9" t="s">
        <v>2263</v>
      </c>
      <c r="I1443" s="4" t="s">
        <v>2263</v>
      </c>
      <c r="J1443" s="4" t="s">
        <v>2263</v>
      </c>
      <c r="K1443" s="4" t="s">
        <v>2554</v>
      </c>
      <c r="L1443" s="10">
        <v>3</v>
      </c>
      <c r="M1443" s="5">
        <v>19312.63109090909</v>
      </c>
      <c r="N1443" s="5">
        <v>57937.89327272727</v>
      </c>
    </row>
    <row r="1444" spans="1:14" x14ac:dyDescent="0.25">
      <c r="A1444" s="4" t="s">
        <v>2344</v>
      </c>
      <c r="B1444" s="4" t="s">
        <v>5154</v>
      </c>
      <c r="C1444" s="4" t="s">
        <v>2320</v>
      </c>
      <c r="D1444" s="4" t="s">
        <v>242</v>
      </c>
      <c r="E1444" s="4" t="s">
        <v>4133</v>
      </c>
      <c r="F1444" s="4" t="s">
        <v>4132</v>
      </c>
      <c r="G1444" s="4" t="s">
        <v>2263</v>
      </c>
      <c r="H1444" s="9" t="s">
        <v>2263</v>
      </c>
      <c r="I1444" s="4" t="s">
        <v>2317</v>
      </c>
      <c r="J1444" s="4" t="s">
        <v>2316</v>
      </c>
      <c r="K1444" s="4" t="s">
        <v>2263</v>
      </c>
      <c r="L1444" s="10">
        <v>3</v>
      </c>
      <c r="M1444" s="5">
        <v>20132.750175438599</v>
      </c>
      <c r="N1444" s="5">
        <v>60398.250526315787</v>
      </c>
    </row>
    <row r="1445" spans="1:14" x14ac:dyDescent="0.25">
      <c r="A1445" s="4" t="s">
        <v>3125</v>
      </c>
      <c r="B1445" s="4" t="s">
        <v>3124</v>
      </c>
      <c r="C1445" s="4" t="s">
        <v>2320</v>
      </c>
      <c r="D1445" s="4" t="s">
        <v>242</v>
      </c>
      <c r="E1445" s="4" t="s">
        <v>3131</v>
      </c>
      <c r="F1445" s="4" t="s">
        <v>3130</v>
      </c>
      <c r="G1445" s="4" t="s">
        <v>2263</v>
      </c>
      <c r="H1445" s="9" t="s">
        <v>2263</v>
      </c>
      <c r="I1445" s="4" t="s">
        <v>2317</v>
      </c>
      <c r="J1445" s="4" t="s">
        <v>2316</v>
      </c>
      <c r="K1445" s="4" t="s">
        <v>2263</v>
      </c>
      <c r="L1445" s="10">
        <v>3</v>
      </c>
      <c r="M1445" s="5">
        <v>20298.25</v>
      </c>
      <c r="N1445" s="5">
        <v>60894.75</v>
      </c>
    </row>
    <row r="1446" spans="1:14" x14ac:dyDescent="0.25">
      <c r="A1446" s="4" t="s">
        <v>2344</v>
      </c>
      <c r="B1446" s="4" t="s">
        <v>5154</v>
      </c>
      <c r="C1446" s="4" t="s">
        <v>2274</v>
      </c>
      <c r="D1446" s="4" t="s">
        <v>2273</v>
      </c>
      <c r="E1446" s="4" t="s">
        <v>5271</v>
      </c>
      <c r="F1446" s="4" t="s">
        <v>5270</v>
      </c>
      <c r="G1446" s="4" t="s">
        <v>2263</v>
      </c>
      <c r="H1446" s="9" t="s">
        <v>2263</v>
      </c>
      <c r="I1446" s="4" t="s">
        <v>2263</v>
      </c>
      <c r="J1446" s="4" t="s">
        <v>2263</v>
      </c>
      <c r="K1446" s="4" t="s">
        <v>2531</v>
      </c>
      <c r="L1446" s="10">
        <v>3</v>
      </c>
      <c r="M1446" s="5">
        <v>20941.7</v>
      </c>
      <c r="N1446" s="5">
        <v>62825.1</v>
      </c>
    </row>
    <row r="1447" spans="1:14" x14ac:dyDescent="0.25">
      <c r="A1447" s="4" t="s">
        <v>2344</v>
      </c>
      <c r="B1447" s="4" t="s">
        <v>5154</v>
      </c>
      <c r="C1447" s="4" t="s">
        <v>2344</v>
      </c>
      <c r="D1447" s="4" t="s">
        <v>237</v>
      </c>
      <c r="E1447" s="4" t="s">
        <v>2746</v>
      </c>
      <c r="F1447" s="4" t="s">
        <v>2745</v>
      </c>
      <c r="G1447" s="4" t="s">
        <v>2263</v>
      </c>
      <c r="H1447" s="9" t="s">
        <v>2263</v>
      </c>
      <c r="I1447" s="4" t="s">
        <v>2263</v>
      </c>
      <c r="J1447" s="4" t="s">
        <v>2263</v>
      </c>
      <c r="K1447" s="4" t="s">
        <v>2744</v>
      </c>
      <c r="L1447" s="10">
        <v>3</v>
      </c>
      <c r="M1447" s="5">
        <v>22077.166666666668</v>
      </c>
      <c r="N1447" s="5">
        <v>66231.5</v>
      </c>
    </row>
    <row r="1448" spans="1:14" x14ac:dyDescent="0.25">
      <c r="A1448" s="4" t="s">
        <v>2320</v>
      </c>
      <c r="B1448" s="4" t="s">
        <v>4967</v>
      </c>
      <c r="C1448" s="4" t="s">
        <v>2320</v>
      </c>
      <c r="D1448" s="4" t="s">
        <v>242</v>
      </c>
      <c r="E1448" s="4" t="s">
        <v>4283</v>
      </c>
      <c r="F1448" s="4" t="s">
        <v>4282</v>
      </c>
      <c r="G1448" s="4" t="s">
        <v>2263</v>
      </c>
      <c r="H1448" s="9" t="s">
        <v>2263</v>
      </c>
      <c r="I1448" s="4" t="s">
        <v>2317</v>
      </c>
      <c r="J1448" s="4" t="s">
        <v>2316</v>
      </c>
      <c r="K1448" s="4" t="s">
        <v>2263</v>
      </c>
      <c r="L1448" s="10">
        <v>3</v>
      </c>
      <c r="M1448" s="5">
        <v>22541.057142857142</v>
      </c>
      <c r="N1448" s="5">
        <v>67623.171428571426</v>
      </c>
    </row>
    <row r="1449" spans="1:14" x14ac:dyDescent="0.25">
      <c r="A1449" s="4" t="s">
        <v>3801</v>
      </c>
      <c r="B1449" s="4" t="s">
        <v>4965</v>
      </c>
      <c r="C1449" s="4" t="s">
        <v>2320</v>
      </c>
      <c r="D1449" s="4" t="s">
        <v>242</v>
      </c>
      <c r="E1449" s="4" t="s">
        <v>2414</v>
      </c>
      <c r="F1449" s="4" t="s">
        <v>2413</v>
      </c>
      <c r="G1449" s="4" t="s">
        <v>2263</v>
      </c>
      <c r="H1449" s="9" t="s">
        <v>2263</v>
      </c>
      <c r="I1449" s="4" t="s">
        <v>2317</v>
      </c>
      <c r="J1449" s="4" t="s">
        <v>2316</v>
      </c>
      <c r="K1449" s="4" t="s">
        <v>2263</v>
      </c>
      <c r="L1449" s="10">
        <v>3</v>
      </c>
      <c r="M1449" s="5">
        <v>24641.383614744351</v>
      </c>
      <c r="N1449" s="5">
        <v>73924.150844233067</v>
      </c>
    </row>
    <row r="1450" spans="1:14" x14ac:dyDescent="0.25">
      <c r="A1450" s="4" t="s">
        <v>2279</v>
      </c>
      <c r="B1450" s="4" t="s">
        <v>4963</v>
      </c>
      <c r="C1450" s="4" t="s">
        <v>2320</v>
      </c>
      <c r="D1450" s="4" t="s">
        <v>242</v>
      </c>
      <c r="E1450" s="4" t="s">
        <v>2414</v>
      </c>
      <c r="F1450" s="4" t="s">
        <v>2413</v>
      </c>
      <c r="G1450" s="4" t="s">
        <v>2263</v>
      </c>
      <c r="H1450" s="9" t="s">
        <v>2263</v>
      </c>
      <c r="I1450" s="4" t="s">
        <v>2317</v>
      </c>
      <c r="J1450" s="4" t="s">
        <v>2316</v>
      </c>
      <c r="K1450" s="4" t="s">
        <v>2263</v>
      </c>
      <c r="L1450" s="10">
        <v>3</v>
      </c>
      <c r="M1450" s="5">
        <v>24641.383614744351</v>
      </c>
      <c r="N1450" s="5">
        <v>73924.150844233067</v>
      </c>
    </row>
    <row r="1451" spans="1:14" x14ac:dyDescent="0.25">
      <c r="A1451" s="4" t="s">
        <v>2481</v>
      </c>
      <c r="B1451" s="4" t="s">
        <v>3217</v>
      </c>
      <c r="C1451" s="4" t="s">
        <v>2320</v>
      </c>
      <c r="D1451" s="4" t="s">
        <v>242</v>
      </c>
      <c r="E1451" s="4" t="s">
        <v>2414</v>
      </c>
      <c r="F1451" s="4" t="s">
        <v>2413</v>
      </c>
      <c r="G1451" s="4" t="s">
        <v>2263</v>
      </c>
      <c r="H1451" s="9" t="s">
        <v>2263</v>
      </c>
      <c r="I1451" s="4" t="s">
        <v>2317</v>
      </c>
      <c r="J1451" s="4" t="s">
        <v>2316</v>
      </c>
      <c r="K1451" s="4" t="s">
        <v>2263</v>
      </c>
      <c r="L1451" s="10">
        <v>3</v>
      </c>
      <c r="M1451" s="5">
        <v>24641.383614744351</v>
      </c>
      <c r="N1451" s="5">
        <v>73924.150844233067</v>
      </c>
    </row>
    <row r="1452" spans="1:14" x14ac:dyDescent="0.25">
      <c r="A1452" s="4" t="s">
        <v>3196</v>
      </c>
      <c r="B1452" s="4" t="s">
        <v>3195</v>
      </c>
      <c r="C1452" s="4" t="s">
        <v>2320</v>
      </c>
      <c r="D1452" s="4" t="s">
        <v>242</v>
      </c>
      <c r="E1452" s="4" t="s">
        <v>2414</v>
      </c>
      <c r="F1452" s="4" t="s">
        <v>2413</v>
      </c>
      <c r="G1452" s="4" t="s">
        <v>2263</v>
      </c>
      <c r="H1452" s="9" t="s">
        <v>2263</v>
      </c>
      <c r="I1452" s="4" t="s">
        <v>2317</v>
      </c>
      <c r="J1452" s="4" t="s">
        <v>2316</v>
      </c>
      <c r="K1452" s="4" t="s">
        <v>2263</v>
      </c>
      <c r="L1452" s="10">
        <v>3</v>
      </c>
      <c r="M1452" s="5">
        <v>24641.383614744351</v>
      </c>
      <c r="N1452" s="5">
        <v>73924.150844233067</v>
      </c>
    </row>
    <row r="1453" spans="1:14" x14ac:dyDescent="0.25">
      <c r="A1453" s="4" t="s">
        <v>2384</v>
      </c>
      <c r="B1453" s="4" t="s">
        <v>3187</v>
      </c>
      <c r="C1453" s="4" t="s">
        <v>2320</v>
      </c>
      <c r="D1453" s="4" t="s">
        <v>242</v>
      </c>
      <c r="E1453" s="4" t="s">
        <v>2414</v>
      </c>
      <c r="F1453" s="4" t="s">
        <v>2413</v>
      </c>
      <c r="G1453" s="4" t="s">
        <v>2263</v>
      </c>
      <c r="H1453" s="9" t="s">
        <v>2263</v>
      </c>
      <c r="I1453" s="4" t="s">
        <v>2317</v>
      </c>
      <c r="J1453" s="4" t="s">
        <v>2316</v>
      </c>
      <c r="K1453" s="4" t="s">
        <v>2263</v>
      </c>
      <c r="L1453" s="10">
        <v>3</v>
      </c>
      <c r="M1453" s="5">
        <v>24641.383614744351</v>
      </c>
      <c r="N1453" s="5">
        <v>73924.150844233067</v>
      </c>
    </row>
    <row r="1454" spans="1:14" x14ac:dyDescent="0.25">
      <c r="A1454" s="4" t="s">
        <v>2344</v>
      </c>
      <c r="B1454" s="4" t="s">
        <v>5154</v>
      </c>
      <c r="C1454" s="4" t="s">
        <v>2320</v>
      </c>
      <c r="D1454" s="4" t="s">
        <v>242</v>
      </c>
      <c r="E1454" s="4" t="s">
        <v>2938</v>
      </c>
      <c r="F1454" s="4" t="s">
        <v>2937</v>
      </c>
      <c r="G1454" s="4" t="s">
        <v>2263</v>
      </c>
      <c r="H1454" s="9" t="s">
        <v>2263</v>
      </c>
      <c r="I1454" s="4" t="s">
        <v>2317</v>
      </c>
      <c r="J1454" s="4" t="s">
        <v>2316</v>
      </c>
      <c r="K1454" s="4" t="s">
        <v>2263</v>
      </c>
      <c r="L1454" s="10">
        <v>3</v>
      </c>
      <c r="M1454" s="5">
        <v>29199.5</v>
      </c>
      <c r="N1454" s="5">
        <v>87598.5</v>
      </c>
    </row>
    <row r="1455" spans="1:14" x14ac:dyDescent="0.25">
      <c r="A1455" s="4" t="s">
        <v>2317</v>
      </c>
      <c r="B1455" s="4" t="s">
        <v>3839</v>
      </c>
      <c r="C1455" s="4" t="s">
        <v>2320</v>
      </c>
      <c r="D1455" s="4" t="s">
        <v>242</v>
      </c>
      <c r="E1455" s="4" t="s">
        <v>4257</v>
      </c>
      <c r="F1455" s="4" t="s">
        <v>4256</v>
      </c>
      <c r="G1455" s="4" t="s">
        <v>2263</v>
      </c>
      <c r="H1455" s="9" t="s">
        <v>2263</v>
      </c>
      <c r="I1455" s="4" t="s">
        <v>2317</v>
      </c>
      <c r="J1455" s="4" t="s">
        <v>2316</v>
      </c>
      <c r="K1455" s="4" t="s">
        <v>2263</v>
      </c>
      <c r="L1455" s="10">
        <v>3</v>
      </c>
      <c r="M1455" s="5">
        <v>30096.657999999999</v>
      </c>
      <c r="N1455" s="5">
        <v>90289.974000000002</v>
      </c>
    </row>
    <row r="1456" spans="1:14" x14ac:dyDescent="0.25">
      <c r="A1456" s="4" t="s">
        <v>2317</v>
      </c>
      <c r="B1456" s="4" t="s">
        <v>3839</v>
      </c>
      <c r="C1456" s="4" t="s">
        <v>2320</v>
      </c>
      <c r="D1456" s="4" t="s">
        <v>242</v>
      </c>
      <c r="E1456" s="4" t="s">
        <v>4113</v>
      </c>
      <c r="F1456" s="4" t="s">
        <v>4112</v>
      </c>
      <c r="G1456" s="4" t="s">
        <v>2263</v>
      </c>
      <c r="H1456" s="9" t="s">
        <v>2263</v>
      </c>
      <c r="I1456" s="4" t="s">
        <v>2317</v>
      </c>
      <c r="J1456" s="4" t="s">
        <v>2316</v>
      </c>
      <c r="K1456" s="4" t="s">
        <v>2263</v>
      </c>
      <c r="L1456" s="10">
        <v>3</v>
      </c>
      <c r="M1456" s="5">
        <v>33100</v>
      </c>
      <c r="N1456" s="5">
        <v>99300</v>
      </c>
    </row>
    <row r="1457" spans="1:14" x14ac:dyDescent="0.25">
      <c r="A1457" s="4" t="s">
        <v>2317</v>
      </c>
      <c r="B1457" s="4" t="s">
        <v>3839</v>
      </c>
      <c r="C1457" s="4" t="s">
        <v>2320</v>
      </c>
      <c r="D1457" s="4" t="s">
        <v>242</v>
      </c>
      <c r="E1457" s="4" t="s">
        <v>4031</v>
      </c>
      <c r="F1457" s="4" t="s">
        <v>4030</v>
      </c>
      <c r="G1457" s="4" t="s">
        <v>2263</v>
      </c>
      <c r="H1457" s="9" t="s">
        <v>2263</v>
      </c>
      <c r="I1457" s="4" t="s">
        <v>2317</v>
      </c>
      <c r="J1457" s="4" t="s">
        <v>2316</v>
      </c>
      <c r="K1457" s="4" t="s">
        <v>2263</v>
      </c>
      <c r="L1457" s="10">
        <v>3</v>
      </c>
      <c r="M1457" s="5">
        <v>33250</v>
      </c>
      <c r="N1457" s="5">
        <v>99750</v>
      </c>
    </row>
    <row r="1458" spans="1:14" x14ac:dyDescent="0.25">
      <c r="A1458" s="4" t="s">
        <v>2344</v>
      </c>
      <c r="B1458" s="4" t="s">
        <v>5154</v>
      </c>
      <c r="C1458" s="4" t="s">
        <v>2320</v>
      </c>
      <c r="D1458" s="4" t="s">
        <v>242</v>
      </c>
      <c r="E1458" s="4" t="s">
        <v>4251</v>
      </c>
      <c r="F1458" s="4" t="s">
        <v>4250</v>
      </c>
      <c r="G1458" s="4" t="s">
        <v>2263</v>
      </c>
      <c r="H1458" s="9" t="s">
        <v>2263</v>
      </c>
      <c r="I1458" s="4" t="s">
        <v>2317</v>
      </c>
      <c r="J1458" s="4" t="s">
        <v>2316</v>
      </c>
      <c r="K1458" s="4" t="s">
        <v>2263</v>
      </c>
      <c r="L1458" s="10">
        <v>3</v>
      </c>
      <c r="M1458" s="5">
        <v>35363.481200000002</v>
      </c>
      <c r="N1458" s="5">
        <v>106090.4436</v>
      </c>
    </row>
    <row r="1459" spans="1:14" x14ac:dyDescent="0.25">
      <c r="A1459" s="4" t="s">
        <v>3063</v>
      </c>
      <c r="B1459" s="4" t="s">
        <v>3062</v>
      </c>
      <c r="C1459" s="4" t="s">
        <v>2279</v>
      </c>
      <c r="D1459" s="4" t="s">
        <v>2278</v>
      </c>
      <c r="E1459" s="4" t="s">
        <v>2685</v>
      </c>
      <c r="F1459" s="4" t="s">
        <v>2284</v>
      </c>
      <c r="G1459" s="4" t="s">
        <v>2263</v>
      </c>
      <c r="H1459" s="9" t="s">
        <v>2263</v>
      </c>
      <c r="I1459" s="4" t="s">
        <v>2263</v>
      </c>
      <c r="J1459" s="4" t="s">
        <v>2263</v>
      </c>
      <c r="K1459" s="4" t="s">
        <v>2283</v>
      </c>
      <c r="L1459" s="10">
        <v>3</v>
      </c>
      <c r="M1459" s="5">
        <v>38030.017500000002</v>
      </c>
      <c r="N1459" s="5">
        <v>114090.05250000001</v>
      </c>
    </row>
    <row r="1460" spans="1:14" x14ac:dyDescent="0.25">
      <c r="A1460" s="4" t="s">
        <v>3051</v>
      </c>
      <c r="B1460" s="4" t="s">
        <v>3050</v>
      </c>
      <c r="C1460" s="4" t="s">
        <v>2279</v>
      </c>
      <c r="D1460" s="4" t="s">
        <v>2278</v>
      </c>
      <c r="E1460" s="4" t="s">
        <v>2685</v>
      </c>
      <c r="F1460" s="4" t="s">
        <v>2284</v>
      </c>
      <c r="G1460" s="4" t="s">
        <v>2263</v>
      </c>
      <c r="H1460" s="9" t="s">
        <v>2263</v>
      </c>
      <c r="I1460" s="4" t="s">
        <v>2263</v>
      </c>
      <c r="J1460" s="4" t="s">
        <v>2263</v>
      </c>
      <c r="K1460" s="4" t="s">
        <v>2283</v>
      </c>
      <c r="L1460" s="10">
        <v>3</v>
      </c>
      <c r="M1460" s="5">
        <v>38030.017500000002</v>
      </c>
      <c r="N1460" s="5">
        <v>114090.05250000001</v>
      </c>
    </row>
    <row r="1461" spans="1:14" x14ac:dyDescent="0.25">
      <c r="A1461" s="4" t="s">
        <v>3024</v>
      </c>
      <c r="B1461" s="4" t="s">
        <v>3023</v>
      </c>
      <c r="C1461" s="4" t="s">
        <v>2279</v>
      </c>
      <c r="D1461" s="4" t="s">
        <v>2278</v>
      </c>
      <c r="E1461" s="4" t="s">
        <v>2685</v>
      </c>
      <c r="F1461" s="4" t="s">
        <v>2284</v>
      </c>
      <c r="G1461" s="4" t="s">
        <v>2263</v>
      </c>
      <c r="H1461" s="9" t="s">
        <v>2263</v>
      </c>
      <c r="I1461" s="4" t="s">
        <v>2263</v>
      </c>
      <c r="J1461" s="4" t="s">
        <v>2263</v>
      </c>
      <c r="K1461" s="4" t="s">
        <v>2283</v>
      </c>
      <c r="L1461" s="10">
        <v>3</v>
      </c>
      <c r="M1461" s="5">
        <v>38030.017500000002</v>
      </c>
      <c r="N1461" s="5">
        <v>114090.05250000001</v>
      </c>
    </row>
    <row r="1462" spans="1:14" x14ac:dyDescent="0.25">
      <c r="A1462" s="4" t="s">
        <v>2673</v>
      </c>
      <c r="B1462" s="4" t="s">
        <v>2672</v>
      </c>
      <c r="C1462" s="4" t="s">
        <v>2279</v>
      </c>
      <c r="D1462" s="4" t="s">
        <v>2278</v>
      </c>
      <c r="E1462" s="4" t="s">
        <v>2685</v>
      </c>
      <c r="F1462" s="4" t="s">
        <v>2284</v>
      </c>
      <c r="G1462" s="4" t="s">
        <v>2263</v>
      </c>
      <c r="H1462" s="9" t="s">
        <v>2263</v>
      </c>
      <c r="I1462" s="4" t="s">
        <v>2263</v>
      </c>
      <c r="J1462" s="4" t="s">
        <v>2263</v>
      </c>
      <c r="K1462" s="4" t="s">
        <v>2283</v>
      </c>
      <c r="L1462" s="10">
        <v>3</v>
      </c>
      <c r="M1462" s="5">
        <v>38030.017500000002</v>
      </c>
      <c r="N1462" s="5">
        <v>114090.05250000001</v>
      </c>
    </row>
    <row r="1463" spans="1:14" x14ac:dyDescent="0.25">
      <c r="A1463" s="4" t="s">
        <v>2320</v>
      </c>
      <c r="B1463" s="4" t="s">
        <v>4967</v>
      </c>
      <c r="C1463" s="4" t="s">
        <v>2344</v>
      </c>
      <c r="D1463" s="4" t="s">
        <v>237</v>
      </c>
      <c r="E1463" s="4" t="s">
        <v>4763</v>
      </c>
      <c r="F1463" s="4" t="s">
        <v>4762</v>
      </c>
      <c r="G1463" s="4" t="s">
        <v>2263</v>
      </c>
      <c r="H1463" s="9" t="s">
        <v>2263</v>
      </c>
      <c r="I1463" s="4" t="s">
        <v>2263</v>
      </c>
      <c r="J1463" s="4" t="s">
        <v>2263</v>
      </c>
      <c r="K1463" s="4" t="s">
        <v>4761</v>
      </c>
      <c r="L1463" s="10">
        <v>3</v>
      </c>
      <c r="M1463" s="5">
        <v>43328.285714285717</v>
      </c>
      <c r="N1463" s="5">
        <v>129984.85714285714</v>
      </c>
    </row>
    <row r="1464" spans="1:14" x14ac:dyDescent="0.25">
      <c r="A1464" s="4" t="s">
        <v>2344</v>
      </c>
      <c r="B1464" s="4" t="s">
        <v>5154</v>
      </c>
      <c r="C1464" s="4" t="s">
        <v>2320</v>
      </c>
      <c r="D1464" s="4" t="s">
        <v>242</v>
      </c>
      <c r="E1464" s="4" t="s">
        <v>2928</v>
      </c>
      <c r="F1464" s="4" t="s">
        <v>2927</v>
      </c>
      <c r="G1464" s="4" t="s">
        <v>2263</v>
      </c>
      <c r="H1464" s="9" t="s">
        <v>2263</v>
      </c>
      <c r="I1464" s="4" t="s">
        <v>2317</v>
      </c>
      <c r="J1464" s="4" t="s">
        <v>2316</v>
      </c>
      <c r="K1464" s="4" t="s">
        <v>2263</v>
      </c>
      <c r="L1464" s="10">
        <v>3</v>
      </c>
      <c r="M1464" s="5">
        <v>45610.277777777781</v>
      </c>
      <c r="N1464" s="5">
        <v>136830.83333333331</v>
      </c>
    </row>
    <row r="1465" spans="1:14" x14ac:dyDescent="0.25">
      <c r="A1465" s="4" t="s">
        <v>2317</v>
      </c>
      <c r="B1465" s="4" t="s">
        <v>3839</v>
      </c>
      <c r="C1465" s="4" t="s">
        <v>2320</v>
      </c>
      <c r="D1465" s="4" t="s">
        <v>242</v>
      </c>
      <c r="E1465" s="4" t="s">
        <v>2928</v>
      </c>
      <c r="F1465" s="4" t="s">
        <v>2927</v>
      </c>
      <c r="G1465" s="4" t="s">
        <v>2263</v>
      </c>
      <c r="H1465" s="9" t="s">
        <v>2263</v>
      </c>
      <c r="I1465" s="4" t="s">
        <v>2317</v>
      </c>
      <c r="J1465" s="4" t="s">
        <v>2316</v>
      </c>
      <c r="K1465" s="4" t="s">
        <v>2263</v>
      </c>
      <c r="L1465" s="10">
        <v>3</v>
      </c>
      <c r="M1465" s="5">
        <v>45610.277777777781</v>
      </c>
      <c r="N1465" s="5">
        <v>136830.83333333331</v>
      </c>
    </row>
    <row r="1466" spans="1:14" x14ac:dyDescent="0.25">
      <c r="A1466" s="4" t="s">
        <v>2930</v>
      </c>
      <c r="B1466" s="4" t="s">
        <v>2929</v>
      </c>
      <c r="C1466" s="4" t="s">
        <v>2320</v>
      </c>
      <c r="D1466" s="4" t="s">
        <v>242</v>
      </c>
      <c r="E1466" s="4" t="s">
        <v>2928</v>
      </c>
      <c r="F1466" s="4" t="s">
        <v>2927</v>
      </c>
      <c r="G1466" s="4" t="s">
        <v>2263</v>
      </c>
      <c r="H1466" s="9" t="s">
        <v>2263</v>
      </c>
      <c r="I1466" s="4" t="s">
        <v>2317</v>
      </c>
      <c r="J1466" s="4" t="s">
        <v>2316</v>
      </c>
      <c r="K1466" s="4" t="s">
        <v>2263</v>
      </c>
      <c r="L1466" s="10">
        <v>3</v>
      </c>
      <c r="M1466" s="5">
        <v>45610.277777777781</v>
      </c>
      <c r="N1466" s="5">
        <v>136830.83333333331</v>
      </c>
    </row>
    <row r="1467" spans="1:14" x14ac:dyDescent="0.25">
      <c r="A1467" s="4" t="s">
        <v>2344</v>
      </c>
      <c r="B1467" s="4" t="s">
        <v>5154</v>
      </c>
      <c r="C1467" s="4" t="s">
        <v>2320</v>
      </c>
      <c r="D1467" s="4" t="s">
        <v>242</v>
      </c>
      <c r="E1467" s="4" t="s">
        <v>3014</v>
      </c>
      <c r="F1467" s="4" t="s">
        <v>3013</v>
      </c>
      <c r="G1467" s="4" t="s">
        <v>2263</v>
      </c>
      <c r="H1467" s="9" t="s">
        <v>2263</v>
      </c>
      <c r="I1467" s="4" t="s">
        <v>2317</v>
      </c>
      <c r="J1467" s="4" t="s">
        <v>2316</v>
      </c>
      <c r="K1467" s="4" t="s">
        <v>2263</v>
      </c>
      <c r="L1467" s="10">
        <v>3</v>
      </c>
      <c r="M1467" s="5">
        <v>45932.162499999999</v>
      </c>
      <c r="N1467" s="5">
        <v>137796.48749999999</v>
      </c>
    </row>
    <row r="1468" spans="1:14" x14ac:dyDescent="0.25">
      <c r="A1468" s="4" t="s">
        <v>2317</v>
      </c>
      <c r="B1468" s="4" t="s">
        <v>3839</v>
      </c>
      <c r="C1468" s="4" t="s">
        <v>2320</v>
      </c>
      <c r="D1468" s="4" t="s">
        <v>242</v>
      </c>
      <c r="E1468" s="4" t="s">
        <v>2944</v>
      </c>
      <c r="F1468" s="4" t="s">
        <v>2943</v>
      </c>
      <c r="G1468" s="4" t="s">
        <v>2263</v>
      </c>
      <c r="H1468" s="9" t="s">
        <v>2263</v>
      </c>
      <c r="I1468" s="4" t="s">
        <v>2317</v>
      </c>
      <c r="J1468" s="4" t="s">
        <v>2316</v>
      </c>
      <c r="K1468" s="4" t="s">
        <v>2263</v>
      </c>
      <c r="L1468" s="10">
        <v>3</v>
      </c>
      <c r="M1468" s="5">
        <v>49001.453750000001</v>
      </c>
      <c r="N1468" s="5">
        <v>147004.36124999999</v>
      </c>
    </row>
    <row r="1469" spans="1:14" x14ac:dyDescent="0.25">
      <c r="A1469" s="4" t="s">
        <v>2344</v>
      </c>
      <c r="B1469" s="4" t="s">
        <v>5154</v>
      </c>
      <c r="C1469" s="4" t="s">
        <v>2481</v>
      </c>
      <c r="D1469" s="4" t="s">
        <v>2480</v>
      </c>
      <c r="E1469" s="4" t="s">
        <v>4353</v>
      </c>
      <c r="F1469" s="4" t="s">
        <v>4352</v>
      </c>
      <c r="G1469" s="4" t="s">
        <v>2263</v>
      </c>
      <c r="H1469" s="9" t="s">
        <v>2263</v>
      </c>
      <c r="I1469" s="4" t="s">
        <v>2263</v>
      </c>
      <c r="J1469" s="4" t="s">
        <v>2263</v>
      </c>
      <c r="K1469" s="4" t="s">
        <v>2483</v>
      </c>
      <c r="L1469" s="10">
        <v>3</v>
      </c>
      <c r="M1469" s="5">
        <v>58397.996842105269</v>
      </c>
      <c r="N1469" s="5">
        <v>175193.99052631581</v>
      </c>
    </row>
    <row r="1470" spans="1:14" x14ac:dyDescent="0.25">
      <c r="A1470" s="4" t="s">
        <v>2344</v>
      </c>
      <c r="B1470" s="4" t="s">
        <v>5154</v>
      </c>
      <c r="C1470" s="4" t="s">
        <v>2481</v>
      </c>
      <c r="D1470" s="4" t="s">
        <v>2480</v>
      </c>
      <c r="E1470" s="4" t="s">
        <v>5171</v>
      </c>
      <c r="F1470" s="4" t="s">
        <v>5170</v>
      </c>
      <c r="G1470" s="4" t="s">
        <v>2263</v>
      </c>
      <c r="H1470" s="9" t="s">
        <v>2263</v>
      </c>
      <c r="I1470" s="4" t="s">
        <v>2263</v>
      </c>
      <c r="J1470" s="4" t="s">
        <v>2263</v>
      </c>
      <c r="K1470" s="4" t="s">
        <v>5169</v>
      </c>
      <c r="L1470" s="10">
        <v>3</v>
      </c>
      <c r="M1470" s="5">
        <v>64018.403333333335</v>
      </c>
      <c r="N1470" s="5">
        <v>192055.21</v>
      </c>
    </row>
    <row r="1471" spans="1:14" x14ac:dyDescent="0.25">
      <c r="A1471" s="4" t="s">
        <v>2344</v>
      </c>
      <c r="B1471" s="4" t="s">
        <v>5154</v>
      </c>
      <c r="C1471" s="4" t="s">
        <v>2274</v>
      </c>
      <c r="D1471" s="4" t="s">
        <v>2273</v>
      </c>
      <c r="E1471" s="4" t="s">
        <v>4512</v>
      </c>
      <c r="F1471" s="4" t="s">
        <v>4511</v>
      </c>
      <c r="G1471" s="4" t="s">
        <v>2263</v>
      </c>
      <c r="H1471" s="9" t="s">
        <v>2263</v>
      </c>
      <c r="I1471" s="4" t="s">
        <v>2263</v>
      </c>
      <c r="J1471" s="4" t="s">
        <v>2263</v>
      </c>
      <c r="K1471" s="4" t="s">
        <v>4510</v>
      </c>
      <c r="L1471" s="10">
        <v>3</v>
      </c>
      <c r="M1471" s="5">
        <v>66642.182499999995</v>
      </c>
      <c r="N1471" s="5">
        <v>199926.54749999999</v>
      </c>
    </row>
    <row r="1472" spans="1:14" x14ac:dyDescent="0.25">
      <c r="A1472" s="4" t="s">
        <v>2653</v>
      </c>
      <c r="B1472" s="4" t="s">
        <v>3226</v>
      </c>
      <c r="C1472" s="4" t="s">
        <v>2384</v>
      </c>
      <c r="D1472" s="4" t="s">
        <v>262</v>
      </c>
      <c r="E1472" s="4" t="s">
        <v>3328</v>
      </c>
      <c r="F1472" s="4" t="s">
        <v>3327</v>
      </c>
      <c r="G1472" s="4" t="s">
        <v>2263</v>
      </c>
      <c r="H1472" s="9" t="s">
        <v>2263</v>
      </c>
      <c r="I1472" s="4" t="s">
        <v>2317</v>
      </c>
      <c r="J1472" s="4" t="s">
        <v>2316</v>
      </c>
      <c r="K1472" s="4" t="s">
        <v>2263</v>
      </c>
      <c r="L1472" s="10">
        <v>3</v>
      </c>
      <c r="M1472" s="5">
        <v>71800</v>
      </c>
      <c r="N1472" s="5">
        <v>215400</v>
      </c>
    </row>
    <row r="1473" spans="1:14" x14ac:dyDescent="0.25">
      <c r="A1473" s="4" t="s">
        <v>2653</v>
      </c>
      <c r="B1473" s="4" t="s">
        <v>3226</v>
      </c>
      <c r="C1473" s="4" t="s">
        <v>3107</v>
      </c>
      <c r="D1473" s="4" t="s">
        <v>1105</v>
      </c>
      <c r="E1473" s="4" t="s">
        <v>3773</v>
      </c>
      <c r="F1473" s="4" t="s">
        <v>3772</v>
      </c>
      <c r="G1473" s="4" t="s">
        <v>2263</v>
      </c>
      <c r="H1473" s="9" t="s">
        <v>2263</v>
      </c>
      <c r="I1473" s="4" t="s">
        <v>2317</v>
      </c>
      <c r="J1473" s="4" t="s">
        <v>2316</v>
      </c>
      <c r="K1473" s="4" t="s">
        <v>2263</v>
      </c>
      <c r="L1473" s="10">
        <v>3</v>
      </c>
      <c r="M1473" s="5">
        <v>72001.666666666657</v>
      </c>
      <c r="N1473" s="5">
        <v>216005</v>
      </c>
    </row>
    <row r="1474" spans="1:14" x14ac:dyDescent="0.25">
      <c r="A1474" s="4" t="s">
        <v>2344</v>
      </c>
      <c r="B1474" s="4" t="s">
        <v>5154</v>
      </c>
      <c r="C1474" s="4" t="s">
        <v>2320</v>
      </c>
      <c r="D1474" s="4" t="s">
        <v>242</v>
      </c>
      <c r="E1474" s="4" t="s">
        <v>4161</v>
      </c>
      <c r="F1474" s="4" t="s">
        <v>4160</v>
      </c>
      <c r="G1474" s="4" t="s">
        <v>2263</v>
      </c>
      <c r="H1474" s="9" t="s">
        <v>2263</v>
      </c>
      <c r="I1474" s="4" t="s">
        <v>2317</v>
      </c>
      <c r="J1474" s="4" t="s">
        <v>2316</v>
      </c>
      <c r="K1474" s="4" t="s">
        <v>2263</v>
      </c>
      <c r="L1474" s="10">
        <v>3</v>
      </c>
      <c r="M1474" s="5">
        <v>76377.713793103452</v>
      </c>
      <c r="N1474" s="5">
        <v>229133.14137931031</v>
      </c>
    </row>
    <row r="1475" spans="1:14" x14ac:dyDescent="0.25">
      <c r="A1475" s="4" t="s">
        <v>3157</v>
      </c>
      <c r="B1475" s="4" t="s">
        <v>3156</v>
      </c>
      <c r="C1475" s="4" t="s">
        <v>2384</v>
      </c>
      <c r="D1475" s="4" t="s">
        <v>262</v>
      </c>
      <c r="E1475" s="4" t="s">
        <v>2679</v>
      </c>
      <c r="F1475" s="4" t="s">
        <v>2678</v>
      </c>
      <c r="G1475" s="4" t="s">
        <v>2263</v>
      </c>
      <c r="H1475" s="9" t="s">
        <v>2263</v>
      </c>
      <c r="I1475" s="4" t="s">
        <v>2317</v>
      </c>
      <c r="J1475" s="4" t="s">
        <v>2316</v>
      </c>
      <c r="K1475" s="4" t="s">
        <v>2263</v>
      </c>
      <c r="L1475" s="10">
        <v>3</v>
      </c>
      <c r="M1475" s="5">
        <v>76942.326774193556</v>
      </c>
      <c r="N1475" s="5">
        <v>230826.98032258064</v>
      </c>
    </row>
    <row r="1476" spans="1:14" x14ac:dyDescent="0.25">
      <c r="A1476" s="4" t="s">
        <v>2837</v>
      </c>
      <c r="B1476" s="4" t="s">
        <v>2836</v>
      </c>
      <c r="C1476" s="4" t="s">
        <v>2320</v>
      </c>
      <c r="D1476" s="4" t="s">
        <v>242</v>
      </c>
      <c r="E1476" s="4" t="s">
        <v>2841</v>
      </c>
      <c r="F1476" s="4" t="s">
        <v>2840</v>
      </c>
      <c r="G1476" s="4" t="s">
        <v>2263</v>
      </c>
      <c r="H1476" s="9" t="s">
        <v>2263</v>
      </c>
      <c r="I1476" s="4" t="s">
        <v>2317</v>
      </c>
      <c r="J1476" s="4" t="s">
        <v>2316</v>
      </c>
      <c r="K1476" s="4" t="s">
        <v>2263</v>
      </c>
      <c r="L1476" s="10">
        <v>3</v>
      </c>
      <c r="M1476" s="5">
        <v>77300</v>
      </c>
      <c r="N1476" s="5">
        <v>231900</v>
      </c>
    </row>
    <row r="1477" spans="1:14" x14ac:dyDescent="0.25">
      <c r="A1477" s="4" t="s">
        <v>2344</v>
      </c>
      <c r="B1477" s="4" t="s">
        <v>5154</v>
      </c>
      <c r="C1477" s="4" t="s">
        <v>2344</v>
      </c>
      <c r="D1477" s="4" t="s">
        <v>237</v>
      </c>
      <c r="E1477" s="4" t="s">
        <v>5375</v>
      </c>
      <c r="F1477" s="4" t="s">
        <v>5374</v>
      </c>
      <c r="G1477" s="4" t="s">
        <v>2263</v>
      </c>
      <c r="H1477" s="9" t="s">
        <v>2263</v>
      </c>
      <c r="I1477" s="4" t="s">
        <v>2263</v>
      </c>
      <c r="J1477" s="4" t="s">
        <v>2263</v>
      </c>
      <c r="K1477" s="4" t="s">
        <v>5373</v>
      </c>
      <c r="L1477" s="10">
        <v>3</v>
      </c>
      <c r="M1477" s="5">
        <v>78893</v>
      </c>
      <c r="N1477" s="5">
        <v>236679</v>
      </c>
    </row>
    <row r="1478" spans="1:14" x14ac:dyDescent="0.25">
      <c r="A1478" s="4" t="s">
        <v>2653</v>
      </c>
      <c r="B1478" s="4" t="s">
        <v>3226</v>
      </c>
      <c r="C1478" s="4" t="s">
        <v>2384</v>
      </c>
      <c r="D1478" s="4" t="s">
        <v>262</v>
      </c>
      <c r="E1478" s="4" t="s">
        <v>3430</v>
      </c>
      <c r="F1478" s="4" t="s">
        <v>3429</v>
      </c>
      <c r="G1478" s="4" t="s">
        <v>2263</v>
      </c>
      <c r="H1478" s="9" t="s">
        <v>2263</v>
      </c>
      <c r="I1478" s="4" t="s">
        <v>2317</v>
      </c>
      <c r="J1478" s="4" t="s">
        <v>2316</v>
      </c>
      <c r="K1478" s="4" t="s">
        <v>2263</v>
      </c>
      <c r="L1478" s="10">
        <v>3</v>
      </c>
      <c r="M1478" s="5">
        <v>96152</v>
      </c>
      <c r="N1478" s="5">
        <v>288456</v>
      </c>
    </row>
    <row r="1479" spans="1:14" x14ac:dyDescent="0.25">
      <c r="A1479" s="4" t="s">
        <v>2317</v>
      </c>
      <c r="B1479" s="4" t="s">
        <v>3839</v>
      </c>
      <c r="C1479" s="4" t="s">
        <v>2320</v>
      </c>
      <c r="D1479" s="4" t="s">
        <v>242</v>
      </c>
      <c r="E1479" s="4" t="s">
        <v>4225</v>
      </c>
      <c r="F1479" s="4" t="s">
        <v>4224</v>
      </c>
      <c r="G1479" s="4" t="s">
        <v>2263</v>
      </c>
      <c r="H1479" s="9" t="s">
        <v>2263</v>
      </c>
      <c r="I1479" s="4" t="s">
        <v>2317</v>
      </c>
      <c r="J1479" s="4" t="s">
        <v>2316</v>
      </c>
      <c r="K1479" s="4" t="s">
        <v>2263</v>
      </c>
      <c r="L1479" s="10">
        <v>3</v>
      </c>
      <c r="M1479" s="5">
        <v>100900.44333333333</v>
      </c>
      <c r="N1479" s="5">
        <v>302701.33</v>
      </c>
    </row>
    <row r="1480" spans="1:14" x14ac:dyDescent="0.25">
      <c r="A1480" s="4" t="s">
        <v>2653</v>
      </c>
      <c r="B1480" s="4" t="s">
        <v>3226</v>
      </c>
      <c r="C1480" s="4" t="s">
        <v>2384</v>
      </c>
      <c r="D1480" s="4" t="s">
        <v>262</v>
      </c>
      <c r="E1480" s="4" t="s">
        <v>3408</v>
      </c>
      <c r="F1480" s="4" t="s">
        <v>3407</v>
      </c>
      <c r="G1480" s="4" t="s">
        <v>2263</v>
      </c>
      <c r="H1480" s="9" t="s">
        <v>2263</v>
      </c>
      <c r="I1480" s="4" t="s">
        <v>2317</v>
      </c>
      <c r="J1480" s="4" t="s">
        <v>2316</v>
      </c>
      <c r="K1480" s="4" t="s">
        <v>2263</v>
      </c>
      <c r="L1480" s="10">
        <v>3</v>
      </c>
      <c r="M1480" s="5">
        <v>103530</v>
      </c>
      <c r="N1480" s="5">
        <v>310590</v>
      </c>
    </row>
    <row r="1481" spans="1:14" x14ac:dyDescent="0.25">
      <c r="A1481" s="4" t="s">
        <v>2344</v>
      </c>
      <c r="B1481" s="4" t="s">
        <v>5154</v>
      </c>
      <c r="C1481" s="4" t="s">
        <v>2274</v>
      </c>
      <c r="D1481" s="4" t="s">
        <v>2273</v>
      </c>
      <c r="E1481" s="4" t="s">
        <v>5229</v>
      </c>
      <c r="F1481" s="4" t="s">
        <v>5228</v>
      </c>
      <c r="G1481" s="4" t="s">
        <v>2263</v>
      </c>
      <c r="H1481" s="9" t="s">
        <v>2263</v>
      </c>
      <c r="I1481" s="4" t="s">
        <v>2263</v>
      </c>
      <c r="J1481" s="4" t="s">
        <v>2263</v>
      </c>
      <c r="K1481" s="4" t="s">
        <v>5227</v>
      </c>
      <c r="L1481" s="10">
        <v>3</v>
      </c>
      <c r="M1481" s="5">
        <v>104137</v>
      </c>
      <c r="N1481" s="5">
        <v>312411</v>
      </c>
    </row>
    <row r="1482" spans="1:14" x14ac:dyDescent="0.25">
      <c r="A1482" s="4" t="s">
        <v>2653</v>
      </c>
      <c r="B1482" s="4" t="s">
        <v>3226</v>
      </c>
      <c r="C1482" s="4" t="s">
        <v>3107</v>
      </c>
      <c r="D1482" s="4" t="s">
        <v>1105</v>
      </c>
      <c r="E1482" s="4" t="s">
        <v>3681</v>
      </c>
      <c r="F1482" s="4" t="s">
        <v>3680</v>
      </c>
      <c r="G1482" s="4" t="s">
        <v>2263</v>
      </c>
      <c r="H1482" s="9" t="s">
        <v>2263</v>
      </c>
      <c r="I1482" s="4" t="s">
        <v>2317</v>
      </c>
      <c r="J1482" s="4" t="s">
        <v>2316</v>
      </c>
      <c r="K1482" s="4" t="s">
        <v>2263</v>
      </c>
      <c r="L1482" s="10">
        <v>3</v>
      </c>
      <c r="M1482" s="5">
        <v>111018.86</v>
      </c>
      <c r="N1482" s="5">
        <v>333056.58</v>
      </c>
    </row>
    <row r="1483" spans="1:14" x14ac:dyDescent="0.25">
      <c r="A1483" s="4" t="s">
        <v>2653</v>
      </c>
      <c r="B1483" s="4" t="s">
        <v>3226</v>
      </c>
      <c r="C1483" s="4" t="s">
        <v>2384</v>
      </c>
      <c r="D1483" s="4" t="s">
        <v>262</v>
      </c>
      <c r="E1483" s="4" t="s">
        <v>3502</v>
      </c>
      <c r="F1483" s="4" t="s">
        <v>3501</v>
      </c>
      <c r="G1483" s="4" t="s">
        <v>2263</v>
      </c>
      <c r="H1483" s="9" t="s">
        <v>2263</v>
      </c>
      <c r="I1483" s="4" t="s">
        <v>2317</v>
      </c>
      <c r="J1483" s="4" t="s">
        <v>2316</v>
      </c>
      <c r="K1483" s="4" t="s">
        <v>2263</v>
      </c>
      <c r="L1483" s="10">
        <v>3</v>
      </c>
      <c r="M1483" s="5">
        <v>113407</v>
      </c>
      <c r="N1483" s="5">
        <v>340221</v>
      </c>
    </row>
    <row r="1484" spans="1:14" x14ac:dyDescent="0.25">
      <c r="A1484" s="4" t="s">
        <v>2320</v>
      </c>
      <c r="B1484" s="4" t="s">
        <v>4967</v>
      </c>
      <c r="C1484" s="4" t="s">
        <v>2274</v>
      </c>
      <c r="D1484" s="4" t="s">
        <v>2273</v>
      </c>
      <c r="E1484" s="4" t="s">
        <v>4985</v>
      </c>
      <c r="F1484" s="4" t="s">
        <v>4984</v>
      </c>
      <c r="G1484" s="4" t="s">
        <v>2263</v>
      </c>
      <c r="H1484" s="9" t="s">
        <v>2263</v>
      </c>
      <c r="I1484" s="4" t="s">
        <v>2263</v>
      </c>
      <c r="J1484" s="4" t="s">
        <v>2263</v>
      </c>
      <c r="K1484" s="4" t="s">
        <v>2534</v>
      </c>
      <c r="L1484" s="10">
        <v>3</v>
      </c>
      <c r="M1484" s="5">
        <v>114428.79285714285</v>
      </c>
      <c r="N1484" s="5">
        <v>343286.37857142853</v>
      </c>
    </row>
    <row r="1485" spans="1:14" x14ac:dyDescent="0.25">
      <c r="A1485" s="4" t="s">
        <v>2344</v>
      </c>
      <c r="B1485" s="4" t="s">
        <v>5154</v>
      </c>
      <c r="C1485" s="4" t="s">
        <v>2320</v>
      </c>
      <c r="D1485" s="4" t="s">
        <v>242</v>
      </c>
      <c r="E1485" s="4" t="s">
        <v>3170</v>
      </c>
      <c r="F1485" s="4" t="s">
        <v>3169</v>
      </c>
      <c r="G1485" s="4" t="s">
        <v>2263</v>
      </c>
      <c r="H1485" s="9" t="s">
        <v>2263</v>
      </c>
      <c r="I1485" s="4" t="s">
        <v>2317</v>
      </c>
      <c r="J1485" s="4" t="s">
        <v>2316</v>
      </c>
      <c r="K1485" s="4" t="s">
        <v>2263</v>
      </c>
      <c r="L1485" s="10">
        <v>3</v>
      </c>
      <c r="M1485" s="5">
        <v>119623.89538461539</v>
      </c>
      <c r="N1485" s="5">
        <v>358871.68615384615</v>
      </c>
    </row>
    <row r="1486" spans="1:14" x14ac:dyDescent="0.25">
      <c r="A1486" s="4" t="s">
        <v>2320</v>
      </c>
      <c r="B1486" s="4" t="s">
        <v>4967</v>
      </c>
      <c r="C1486" s="4" t="s">
        <v>2320</v>
      </c>
      <c r="D1486" s="4" t="s">
        <v>242</v>
      </c>
      <c r="E1486" s="4" t="s">
        <v>2807</v>
      </c>
      <c r="F1486" s="4" t="s">
        <v>2806</v>
      </c>
      <c r="G1486" s="4" t="s">
        <v>2263</v>
      </c>
      <c r="H1486" s="9" t="s">
        <v>2263</v>
      </c>
      <c r="I1486" s="4" t="s">
        <v>2317</v>
      </c>
      <c r="J1486" s="4" t="s">
        <v>2316</v>
      </c>
      <c r="K1486" s="4" t="s">
        <v>2263</v>
      </c>
      <c r="L1486" s="10">
        <v>3</v>
      </c>
      <c r="M1486" s="5">
        <v>122762.89513513514</v>
      </c>
      <c r="N1486" s="5">
        <v>368288.68540540541</v>
      </c>
    </row>
    <row r="1487" spans="1:14" x14ac:dyDescent="0.25">
      <c r="A1487" s="4" t="s">
        <v>2930</v>
      </c>
      <c r="B1487" s="4" t="s">
        <v>2929</v>
      </c>
      <c r="C1487" s="4" t="s">
        <v>2320</v>
      </c>
      <c r="D1487" s="4" t="s">
        <v>242</v>
      </c>
      <c r="E1487" s="4" t="s">
        <v>2982</v>
      </c>
      <c r="F1487" s="4" t="s">
        <v>2981</v>
      </c>
      <c r="G1487" s="4" t="s">
        <v>2263</v>
      </c>
      <c r="H1487" s="9" t="s">
        <v>2263</v>
      </c>
      <c r="I1487" s="4" t="s">
        <v>2317</v>
      </c>
      <c r="J1487" s="4" t="s">
        <v>2316</v>
      </c>
      <c r="K1487" s="4" t="s">
        <v>2263</v>
      </c>
      <c r="L1487" s="10">
        <v>3</v>
      </c>
      <c r="M1487" s="5">
        <v>124027.62773584906</v>
      </c>
      <c r="N1487" s="5">
        <v>372082.88320754719</v>
      </c>
    </row>
    <row r="1488" spans="1:14" x14ac:dyDescent="0.25">
      <c r="A1488" s="4" t="s">
        <v>2344</v>
      </c>
      <c r="B1488" s="4" t="s">
        <v>5154</v>
      </c>
      <c r="C1488" s="4" t="s">
        <v>2320</v>
      </c>
      <c r="D1488" s="4" t="s">
        <v>242</v>
      </c>
      <c r="E1488" s="4" t="s">
        <v>5334</v>
      </c>
      <c r="F1488" s="4" t="s">
        <v>5333</v>
      </c>
      <c r="G1488" s="4" t="s">
        <v>2263</v>
      </c>
      <c r="H1488" s="9" t="s">
        <v>2263</v>
      </c>
      <c r="I1488" s="4" t="s">
        <v>2317</v>
      </c>
      <c r="J1488" s="4" t="s">
        <v>2316</v>
      </c>
      <c r="K1488" s="4" t="s">
        <v>2263</v>
      </c>
      <c r="L1488" s="10">
        <v>3</v>
      </c>
      <c r="M1488" s="5">
        <v>124667.33333333333</v>
      </c>
      <c r="N1488" s="5">
        <v>374002</v>
      </c>
    </row>
    <row r="1489" spans="1:14" x14ac:dyDescent="0.25">
      <c r="A1489" s="4" t="s">
        <v>2653</v>
      </c>
      <c r="B1489" s="4" t="s">
        <v>3226</v>
      </c>
      <c r="C1489" s="4" t="s">
        <v>2384</v>
      </c>
      <c r="D1489" s="4" t="s">
        <v>262</v>
      </c>
      <c r="E1489" s="4" t="s">
        <v>3416</v>
      </c>
      <c r="F1489" s="4" t="s">
        <v>3415</v>
      </c>
      <c r="G1489" s="4" t="s">
        <v>2263</v>
      </c>
      <c r="H1489" s="9" t="s">
        <v>2263</v>
      </c>
      <c r="I1489" s="4" t="s">
        <v>2317</v>
      </c>
      <c r="J1489" s="4" t="s">
        <v>2316</v>
      </c>
      <c r="K1489" s="4" t="s">
        <v>2263</v>
      </c>
      <c r="L1489" s="10">
        <v>3</v>
      </c>
      <c r="M1489" s="5">
        <v>129639.1</v>
      </c>
      <c r="N1489" s="5">
        <v>388917.3</v>
      </c>
    </row>
    <row r="1490" spans="1:14" x14ac:dyDescent="0.25">
      <c r="A1490" s="4" t="s">
        <v>2317</v>
      </c>
      <c r="B1490" s="4" t="s">
        <v>3839</v>
      </c>
      <c r="C1490" s="4" t="s">
        <v>2320</v>
      </c>
      <c r="D1490" s="4" t="s">
        <v>242</v>
      </c>
      <c r="E1490" s="4" t="s">
        <v>4331</v>
      </c>
      <c r="F1490" s="4" t="s">
        <v>4330</v>
      </c>
      <c r="G1490" s="4" t="s">
        <v>2263</v>
      </c>
      <c r="H1490" s="9" t="s">
        <v>2263</v>
      </c>
      <c r="I1490" s="4" t="s">
        <v>2317</v>
      </c>
      <c r="J1490" s="4" t="s">
        <v>2316</v>
      </c>
      <c r="K1490" s="4" t="s">
        <v>2263</v>
      </c>
      <c r="L1490" s="10">
        <v>3</v>
      </c>
      <c r="M1490" s="5">
        <v>137408.67333333334</v>
      </c>
      <c r="N1490" s="5">
        <v>412226.02</v>
      </c>
    </row>
    <row r="1491" spans="1:14" x14ac:dyDescent="0.25">
      <c r="A1491" s="4" t="s">
        <v>2344</v>
      </c>
      <c r="B1491" s="4" t="s">
        <v>5154</v>
      </c>
      <c r="C1491" s="4" t="s">
        <v>2320</v>
      </c>
      <c r="D1491" s="4" t="s">
        <v>242</v>
      </c>
      <c r="E1491" s="4" t="s">
        <v>5131</v>
      </c>
      <c r="F1491" s="4" t="s">
        <v>5130</v>
      </c>
      <c r="G1491" s="4" t="s">
        <v>2263</v>
      </c>
      <c r="H1491" s="9" t="s">
        <v>2263</v>
      </c>
      <c r="I1491" s="4" t="s">
        <v>2317</v>
      </c>
      <c r="J1491" s="4" t="s">
        <v>2316</v>
      </c>
      <c r="K1491" s="4" t="s">
        <v>2263</v>
      </c>
      <c r="L1491" s="10">
        <v>3</v>
      </c>
      <c r="M1491" s="5">
        <v>141140.79999999999</v>
      </c>
      <c r="N1491" s="5">
        <v>423422.4</v>
      </c>
    </row>
    <row r="1492" spans="1:14" x14ac:dyDescent="0.25">
      <c r="A1492" s="4" t="s">
        <v>2274</v>
      </c>
      <c r="B1492" s="4" t="s">
        <v>4348</v>
      </c>
      <c r="C1492" s="4" t="s">
        <v>2344</v>
      </c>
      <c r="D1492" s="4" t="s">
        <v>237</v>
      </c>
      <c r="E1492" s="4" t="s">
        <v>4920</v>
      </c>
      <c r="F1492" s="4" t="s">
        <v>4919</v>
      </c>
      <c r="G1492" s="4" t="s">
        <v>2263</v>
      </c>
      <c r="H1492" s="9" t="s">
        <v>2263</v>
      </c>
      <c r="I1492" s="4" t="s">
        <v>2263</v>
      </c>
      <c r="J1492" s="4" t="s">
        <v>2263</v>
      </c>
      <c r="K1492" s="4" t="s">
        <v>4918</v>
      </c>
      <c r="L1492" s="10">
        <v>3</v>
      </c>
      <c r="M1492" s="5">
        <v>151400</v>
      </c>
      <c r="N1492" s="5">
        <v>454200</v>
      </c>
    </row>
    <row r="1493" spans="1:14" x14ac:dyDescent="0.25">
      <c r="A1493" s="4" t="s">
        <v>2653</v>
      </c>
      <c r="B1493" s="4" t="s">
        <v>3226</v>
      </c>
      <c r="C1493" s="4" t="s">
        <v>2384</v>
      </c>
      <c r="D1493" s="4" t="s">
        <v>262</v>
      </c>
      <c r="E1493" s="4" t="s">
        <v>3370</v>
      </c>
      <c r="F1493" s="4" t="s">
        <v>3369</v>
      </c>
      <c r="G1493" s="4" t="s">
        <v>2263</v>
      </c>
      <c r="H1493" s="9" t="s">
        <v>2263</v>
      </c>
      <c r="I1493" s="4" t="s">
        <v>2317</v>
      </c>
      <c r="J1493" s="4" t="s">
        <v>2316</v>
      </c>
      <c r="K1493" s="4" t="s">
        <v>2263</v>
      </c>
      <c r="L1493" s="10">
        <v>3</v>
      </c>
      <c r="M1493" s="5">
        <v>154700</v>
      </c>
      <c r="N1493" s="5">
        <v>464100</v>
      </c>
    </row>
    <row r="1494" spans="1:14" x14ac:dyDescent="0.25">
      <c r="A1494" s="4" t="s">
        <v>2653</v>
      </c>
      <c r="B1494" s="4" t="s">
        <v>3226</v>
      </c>
      <c r="C1494" s="4" t="s">
        <v>2384</v>
      </c>
      <c r="D1494" s="4" t="s">
        <v>262</v>
      </c>
      <c r="E1494" s="4" t="s">
        <v>3394</v>
      </c>
      <c r="F1494" s="4" t="s">
        <v>3393</v>
      </c>
      <c r="G1494" s="4" t="s">
        <v>2263</v>
      </c>
      <c r="H1494" s="9" t="s">
        <v>2263</v>
      </c>
      <c r="I1494" s="4" t="s">
        <v>2317</v>
      </c>
      <c r="J1494" s="4" t="s">
        <v>2316</v>
      </c>
      <c r="K1494" s="4" t="s">
        <v>2263</v>
      </c>
      <c r="L1494" s="10">
        <v>3</v>
      </c>
      <c r="M1494" s="5">
        <v>159460</v>
      </c>
      <c r="N1494" s="5">
        <v>478380</v>
      </c>
    </row>
    <row r="1495" spans="1:14" x14ac:dyDescent="0.25">
      <c r="A1495" s="4" t="s">
        <v>2317</v>
      </c>
      <c r="B1495" s="4" t="s">
        <v>3839</v>
      </c>
      <c r="C1495" s="4" t="s">
        <v>2320</v>
      </c>
      <c r="D1495" s="4" t="s">
        <v>242</v>
      </c>
      <c r="E1495" s="4" t="s">
        <v>2332</v>
      </c>
      <c r="F1495" s="4" t="s">
        <v>2331</v>
      </c>
      <c r="G1495" s="4" t="s">
        <v>2263</v>
      </c>
      <c r="H1495" s="9" t="s">
        <v>2263</v>
      </c>
      <c r="I1495" s="4" t="s">
        <v>2317</v>
      </c>
      <c r="J1495" s="4" t="s">
        <v>2316</v>
      </c>
      <c r="K1495" s="4" t="s">
        <v>2263</v>
      </c>
      <c r="L1495" s="10">
        <v>3</v>
      </c>
      <c r="M1495" s="5">
        <v>161641.84333333332</v>
      </c>
      <c r="N1495" s="5">
        <v>484925.53</v>
      </c>
    </row>
    <row r="1496" spans="1:14" x14ac:dyDescent="0.25">
      <c r="A1496" s="4" t="s">
        <v>2269</v>
      </c>
      <c r="B1496" s="4" t="s">
        <v>2268</v>
      </c>
      <c r="C1496" s="4" t="s">
        <v>2320</v>
      </c>
      <c r="D1496" s="4" t="s">
        <v>242</v>
      </c>
      <c r="E1496" s="4" t="s">
        <v>2332</v>
      </c>
      <c r="F1496" s="4" t="s">
        <v>2331</v>
      </c>
      <c r="G1496" s="4" t="s">
        <v>2263</v>
      </c>
      <c r="H1496" s="9" t="s">
        <v>2263</v>
      </c>
      <c r="I1496" s="4" t="s">
        <v>2317</v>
      </c>
      <c r="J1496" s="4" t="s">
        <v>2316</v>
      </c>
      <c r="K1496" s="4" t="s">
        <v>2263</v>
      </c>
      <c r="L1496" s="10">
        <v>3</v>
      </c>
      <c r="M1496" s="5">
        <v>161641.84333333332</v>
      </c>
      <c r="N1496" s="5">
        <v>484925.53</v>
      </c>
    </row>
    <row r="1497" spans="1:14" x14ac:dyDescent="0.25">
      <c r="A1497" s="4" t="s">
        <v>2761</v>
      </c>
      <c r="B1497" s="4" t="s">
        <v>2760</v>
      </c>
      <c r="C1497" s="4" t="s">
        <v>2320</v>
      </c>
      <c r="D1497" s="4" t="s">
        <v>242</v>
      </c>
      <c r="E1497" s="4" t="s">
        <v>2791</v>
      </c>
      <c r="F1497" s="4" t="s">
        <v>2790</v>
      </c>
      <c r="G1497" s="4" t="s">
        <v>2263</v>
      </c>
      <c r="H1497" s="9" t="s">
        <v>2263</v>
      </c>
      <c r="I1497" s="4" t="s">
        <v>2317</v>
      </c>
      <c r="J1497" s="4" t="s">
        <v>2316</v>
      </c>
      <c r="K1497" s="4" t="s">
        <v>2263</v>
      </c>
      <c r="L1497" s="10">
        <v>3</v>
      </c>
      <c r="M1497" s="5">
        <v>168893.85</v>
      </c>
      <c r="N1497" s="5">
        <v>506681.55</v>
      </c>
    </row>
    <row r="1498" spans="1:14" x14ac:dyDescent="0.25">
      <c r="A1498" s="4" t="s">
        <v>2653</v>
      </c>
      <c r="B1498" s="4" t="s">
        <v>3226</v>
      </c>
      <c r="C1498" s="4" t="s">
        <v>3203</v>
      </c>
      <c r="D1498" s="4" t="s">
        <v>256</v>
      </c>
      <c r="E1498" s="4" t="s">
        <v>3614</v>
      </c>
      <c r="F1498" s="4" t="s">
        <v>3613</v>
      </c>
      <c r="G1498" s="4" t="s">
        <v>2263</v>
      </c>
      <c r="H1498" s="9" t="s">
        <v>2263</v>
      </c>
      <c r="I1498" s="4" t="s">
        <v>2317</v>
      </c>
      <c r="J1498" s="4" t="s">
        <v>2316</v>
      </c>
      <c r="K1498" s="4" t="s">
        <v>2263</v>
      </c>
      <c r="L1498" s="10">
        <v>3</v>
      </c>
      <c r="M1498" s="5">
        <v>175000</v>
      </c>
      <c r="N1498" s="5">
        <v>525000</v>
      </c>
    </row>
    <row r="1499" spans="1:14" x14ac:dyDescent="0.25">
      <c r="A1499" s="4" t="s">
        <v>2317</v>
      </c>
      <c r="B1499" s="4" t="s">
        <v>3839</v>
      </c>
      <c r="C1499" s="4" t="s">
        <v>2320</v>
      </c>
      <c r="D1499" s="4" t="s">
        <v>242</v>
      </c>
      <c r="E1499" s="4" t="s">
        <v>4305</v>
      </c>
      <c r="F1499" s="4" t="s">
        <v>4304</v>
      </c>
      <c r="G1499" s="4" t="s">
        <v>2263</v>
      </c>
      <c r="H1499" s="9" t="s">
        <v>2263</v>
      </c>
      <c r="I1499" s="4" t="s">
        <v>2317</v>
      </c>
      <c r="J1499" s="4" t="s">
        <v>2316</v>
      </c>
      <c r="K1499" s="4" t="s">
        <v>2263</v>
      </c>
      <c r="L1499" s="10">
        <v>3</v>
      </c>
      <c r="M1499" s="5">
        <v>197500</v>
      </c>
      <c r="N1499" s="5">
        <v>592500</v>
      </c>
    </row>
    <row r="1500" spans="1:14" x14ac:dyDescent="0.25">
      <c r="A1500" s="4" t="s">
        <v>2653</v>
      </c>
      <c r="B1500" s="4" t="s">
        <v>3226</v>
      </c>
      <c r="C1500" s="4" t="s">
        <v>2384</v>
      </c>
      <c r="D1500" s="4" t="s">
        <v>262</v>
      </c>
      <c r="E1500" s="4" t="s">
        <v>3490</v>
      </c>
      <c r="F1500" s="4" t="s">
        <v>3489</v>
      </c>
      <c r="G1500" s="4" t="s">
        <v>2263</v>
      </c>
      <c r="H1500" s="9" t="s">
        <v>2263</v>
      </c>
      <c r="I1500" s="4" t="s">
        <v>2317</v>
      </c>
      <c r="J1500" s="4" t="s">
        <v>2316</v>
      </c>
      <c r="K1500" s="4" t="s">
        <v>2263</v>
      </c>
      <c r="L1500" s="10">
        <v>3</v>
      </c>
      <c r="M1500" s="5">
        <v>202300.33333333334</v>
      </c>
      <c r="N1500" s="5">
        <v>606901</v>
      </c>
    </row>
    <row r="1501" spans="1:14" x14ac:dyDescent="0.25">
      <c r="A1501" s="4" t="s">
        <v>2320</v>
      </c>
      <c r="B1501" s="4" t="s">
        <v>4967</v>
      </c>
      <c r="C1501" s="4" t="s">
        <v>2320</v>
      </c>
      <c r="D1501" s="4" t="s">
        <v>242</v>
      </c>
      <c r="E1501" s="4" t="s">
        <v>4289</v>
      </c>
      <c r="F1501" s="4" t="s">
        <v>4288</v>
      </c>
      <c r="G1501" s="4" t="s">
        <v>2263</v>
      </c>
      <c r="H1501" s="9" t="s">
        <v>2263</v>
      </c>
      <c r="I1501" s="4" t="s">
        <v>2317</v>
      </c>
      <c r="J1501" s="4" t="s">
        <v>2316</v>
      </c>
      <c r="K1501" s="4" t="s">
        <v>2263</v>
      </c>
      <c r="L1501" s="10">
        <v>3</v>
      </c>
      <c r="M1501" s="5">
        <v>205427.83333333331</v>
      </c>
      <c r="N1501" s="5">
        <v>616283.5</v>
      </c>
    </row>
    <row r="1502" spans="1:14" x14ac:dyDescent="0.25">
      <c r="A1502" s="4" t="s">
        <v>2320</v>
      </c>
      <c r="B1502" s="4" t="s">
        <v>4967</v>
      </c>
      <c r="C1502" s="4" t="s">
        <v>2320</v>
      </c>
      <c r="D1502" s="4" t="s">
        <v>242</v>
      </c>
      <c r="E1502" s="4" t="s">
        <v>4149</v>
      </c>
      <c r="F1502" s="4" t="s">
        <v>4148</v>
      </c>
      <c r="G1502" s="4" t="s">
        <v>2263</v>
      </c>
      <c r="H1502" s="9" t="s">
        <v>2263</v>
      </c>
      <c r="I1502" s="4" t="s">
        <v>2317</v>
      </c>
      <c r="J1502" s="4" t="s">
        <v>2316</v>
      </c>
      <c r="K1502" s="4" t="s">
        <v>2263</v>
      </c>
      <c r="L1502" s="10">
        <v>3</v>
      </c>
      <c r="M1502" s="5">
        <v>223420.47857142857</v>
      </c>
      <c r="N1502" s="5">
        <v>670261.4357142857</v>
      </c>
    </row>
    <row r="1503" spans="1:14" x14ac:dyDescent="0.25">
      <c r="A1503" s="4" t="s">
        <v>2317</v>
      </c>
      <c r="B1503" s="4" t="s">
        <v>3839</v>
      </c>
      <c r="C1503" s="4" t="s">
        <v>2320</v>
      </c>
      <c r="D1503" s="4" t="s">
        <v>242</v>
      </c>
      <c r="E1503" s="4" t="s">
        <v>4311</v>
      </c>
      <c r="F1503" s="4" t="s">
        <v>4310</v>
      </c>
      <c r="G1503" s="4" t="s">
        <v>2263</v>
      </c>
      <c r="H1503" s="9" t="s">
        <v>2263</v>
      </c>
      <c r="I1503" s="4" t="s">
        <v>2317</v>
      </c>
      <c r="J1503" s="4" t="s">
        <v>2316</v>
      </c>
      <c r="K1503" s="4" t="s">
        <v>2263</v>
      </c>
      <c r="L1503" s="10">
        <v>3</v>
      </c>
      <c r="M1503" s="5">
        <v>246484.2</v>
      </c>
      <c r="N1503" s="5">
        <v>739452.6</v>
      </c>
    </row>
    <row r="1504" spans="1:14" x14ac:dyDescent="0.25">
      <c r="A1504" s="4" t="s">
        <v>2320</v>
      </c>
      <c r="B1504" s="4" t="s">
        <v>4967</v>
      </c>
      <c r="C1504" s="4" t="s">
        <v>2320</v>
      </c>
      <c r="D1504" s="4" t="s">
        <v>242</v>
      </c>
      <c r="E1504" s="4" t="s">
        <v>4175</v>
      </c>
      <c r="F1504" s="4" t="s">
        <v>4174</v>
      </c>
      <c r="G1504" s="4" t="s">
        <v>2263</v>
      </c>
      <c r="H1504" s="9" t="s">
        <v>2263</v>
      </c>
      <c r="I1504" s="4" t="s">
        <v>2317</v>
      </c>
      <c r="J1504" s="4" t="s">
        <v>2316</v>
      </c>
      <c r="K1504" s="4" t="s">
        <v>2263</v>
      </c>
      <c r="L1504" s="10">
        <v>3</v>
      </c>
      <c r="M1504" s="5">
        <v>262484.39545454545</v>
      </c>
      <c r="N1504" s="5">
        <v>787453.18636363628</v>
      </c>
    </row>
    <row r="1505" spans="1:14" x14ac:dyDescent="0.25">
      <c r="A1505" s="4" t="s">
        <v>2344</v>
      </c>
      <c r="B1505" s="4" t="s">
        <v>5154</v>
      </c>
      <c r="C1505" s="4" t="s">
        <v>2320</v>
      </c>
      <c r="D1505" s="4" t="s">
        <v>242</v>
      </c>
      <c r="E1505" s="4" t="s">
        <v>3191</v>
      </c>
      <c r="F1505" s="4" t="s">
        <v>3190</v>
      </c>
      <c r="G1505" s="4" t="s">
        <v>2263</v>
      </c>
      <c r="H1505" s="9" t="s">
        <v>2263</v>
      </c>
      <c r="I1505" s="4" t="s">
        <v>2317</v>
      </c>
      <c r="J1505" s="4" t="s">
        <v>2316</v>
      </c>
      <c r="K1505" s="4" t="s">
        <v>2263</v>
      </c>
      <c r="L1505" s="10">
        <v>3</v>
      </c>
      <c r="M1505" s="5">
        <v>262587.625</v>
      </c>
      <c r="N1505" s="5">
        <v>787762.875</v>
      </c>
    </row>
    <row r="1506" spans="1:14" x14ac:dyDescent="0.25">
      <c r="A1506" s="4" t="s">
        <v>3072</v>
      </c>
      <c r="B1506" s="4" t="s">
        <v>3071</v>
      </c>
      <c r="C1506" s="4" t="s">
        <v>3070</v>
      </c>
      <c r="D1506" s="4" t="s">
        <v>248</v>
      </c>
      <c r="E1506" s="4" t="s">
        <v>3090</v>
      </c>
      <c r="F1506" s="4" t="s">
        <v>3089</v>
      </c>
      <c r="G1506" s="4" t="s">
        <v>2263</v>
      </c>
      <c r="H1506" s="9" t="s">
        <v>2263</v>
      </c>
      <c r="I1506" s="4" t="s">
        <v>2317</v>
      </c>
      <c r="J1506" s="4" t="s">
        <v>2316</v>
      </c>
      <c r="K1506" s="4" t="s">
        <v>2263</v>
      </c>
      <c r="L1506" s="10">
        <v>3</v>
      </c>
      <c r="M1506" s="5">
        <v>267969</v>
      </c>
      <c r="N1506" s="5">
        <v>803907</v>
      </c>
    </row>
    <row r="1507" spans="1:14" x14ac:dyDescent="0.25">
      <c r="A1507" s="4" t="s">
        <v>3174</v>
      </c>
      <c r="B1507" s="4" t="s">
        <v>3173</v>
      </c>
      <c r="C1507" s="4" t="s">
        <v>2384</v>
      </c>
      <c r="D1507" s="4" t="s">
        <v>262</v>
      </c>
      <c r="E1507" s="4" t="s">
        <v>2383</v>
      </c>
      <c r="F1507" s="4" t="s">
        <v>2382</v>
      </c>
      <c r="G1507" s="4" t="s">
        <v>2263</v>
      </c>
      <c r="H1507" s="9" t="s">
        <v>2263</v>
      </c>
      <c r="I1507" s="4" t="s">
        <v>2317</v>
      </c>
      <c r="J1507" s="4" t="s">
        <v>2316</v>
      </c>
      <c r="K1507" s="4" t="s">
        <v>2263</v>
      </c>
      <c r="L1507" s="10">
        <v>3</v>
      </c>
      <c r="M1507" s="5">
        <v>282984.17235294118</v>
      </c>
      <c r="N1507" s="5">
        <v>848952.51705882349</v>
      </c>
    </row>
    <row r="1508" spans="1:14" x14ac:dyDescent="0.25">
      <c r="A1508" s="4" t="s">
        <v>3157</v>
      </c>
      <c r="B1508" s="4" t="s">
        <v>3156</v>
      </c>
      <c r="C1508" s="4" t="s">
        <v>2384</v>
      </c>
      <c r="D1508" s="4" t="s">
        <v>262</v>
      </c>
      <c r="E1508" s="4" t="s">
        <v>2383</v>
      </c>
      <c r="F1508" s="4" t="s">
        <v>2382</v>
      </c>
      <c r="G1508" s="4" t="s">
        <v>2263</v>
      </c>
      <c r="H1508" s="9" t="s">
        <v>2263</v>
      </c>
      <c r="I1508" s="4" t="s">
        <v>2317</v>
      </c>
      <c r="J1508" s="4" t="s">
        <v>2316</v>
      </c>
      <c r="K1508" s="4" t="s">
        <v>2263</v>
      </c>
      <c r="L1508" s="10">
        <v>3</v>
      </c>
      <c r="M1508" s="5">
        <v>282984.17235294118</v>
      </c>
      <c r="N1508" s="5">
        <v>848952.51705882349</v>
      </c>
    </row>
    <row r="1509" spans="1:14" x14ac:dyDescent="0.25">
      <c r="A1509" s="4" t="s">
        <v>3104</v>
      </c>
      <c r="B1509" s="4" t="s">
        <v>3103</v>
      </c>
      <c r="C1509" s="4" t="s">
        <v>2384</v>
      </c>
      <c r="D1509" s="4" t="s">
        <v>262</v>
      </c>
      <c r="E1509" s="4" t="s">
        <v>2383</v>
      </c>
      <c r="F1509" s="4" t="s">
        <v>2382</v>
      </c>
      <c r="G1509" s="4" t="s">
        <v>2263</v>
      </c>
      <c r="H1509" s="9" t="s">
        <v>2263</v>
      </c>
      <c r="I1509" s="4" t="s">
        <v>2317</v>
      </c>
      <c r="J1509" s="4" t="s">
        <v>2316</v>
      </c>
      <c r="K1509" s="4" t="s">
        <v>2263</v>
      </c>
      <c r="L1509" s="10">
        <v>3</v>
      </c>
      <c r="M1509" s="5">
        <v>282984.17235294118</v>
      </c>
      <c r="N1509" s="5">
        <v>848952.51705882349</v>
      </c>
    </row>
    <row r="1510" spans="1:14" x14ac:dyDescent="0.25">
      <c r="A1510" s="4" t="s">
        <v>3063</v>
      </c>
      <c r="B1510" s="4" t="s">
        <v>3062</v>
      </c>
      <c r="C1510" s="4" t="s">
        <v>2384</v>
      </c>
      <c r="D1510" s="4" t="s">
        <v>262</v>
      </c>
      <c r="E1510" s="4" t="s">
        <v>2383</v>
      </c>
      <c r="F1510" s="4" t="s">
        <v>2382</v>
      </c>
      <c r="G1510" s="4" t="s">
        <v>2263</v>
      </c>
      <c r="H1510" s="9" t="s">
        <v>2263</v>
      </c>
      <c r="I1510" s="4" t="s">
        <v>2317</v>
      </c>
      <c r="J1510" s="4" t="s">
        <v>2316</v>
      </c>
      <c r="K1510" s="4" t="s">
        <v>2263</v>
      </c>
      <c r="L1510" s="10">
        <v>3</v>
      </c>
      <c r="M1510" s="5">
        <v>282984.17235294118</v>
      </c>
      <c r="N1510" s="5">
        <v>848952.51705882349</v>
      </c>
    </row>
    <row r="1511" spans="1:14" x14ac:dyDescent="0.25">
      <c r="A1511" s="4" t="s">
        <v>3051</v>
      </c>
      <c r="B1511" s="4" t="s">
        <v>3050</v>
      </c>
      <c r="C1511" s="4" t="s">
        <v>2384</v>
      </c>
      <c r="D1511" s="4" t="s">
        <v>262</v>
      </c>
      <c r="E1511" s="4" t="s">
        <v>2383</v>
      </c>
      <c r="F1511" s="4" t="s">
        <v>2382</v>
      </c>
      <c r="G1511" s="4" t="s">
        <v>2263</v>
      </c>
      <c r="H1511" s="9" t="s">
        <v>2263</v>
      </c>
      <c r="I1511" s="4" t="s">
        <v>2317</v>
      </c>
      <c r="J1511" s="4" t="s">
        <v>2316</v>
      </c>
      <c r="K1511" s="4" t="s">
        <v>2263</v>
      </c>
      <c r="L1511" s="10">
        <v>3</v>
      </c>
      <c r="M1511" s="5">
        <v>282984.17235294118</v>
      </c>
      <c r="N1511" s="5">
        <v>848952.51705882349</v>
      </c>
    </row>
    <row r="1512" spans="1:14" x14ac:dyDescent="0.25">
      <c r="A1512" s="4" t="s">
        <v>2673</v>
      </c>
      <c r="B1512" s="4" t="s">
        <v>2672</v>
      </c>
      <c r="C1512" s="4" t="s">
        <v>2384</v>
      </c>
      <c r="D1512" s="4" t="s">
        <v>262</v>
      </c>
      <c r="E1512" s="4" t="s">
        <v>2383</v>
      </c>
      <c r="F1512" s="4" t="s">
        <v>2382</v>
      </c>
      <c r="G1512" s="4" t="s">
        <v>2263</v>
      </c>
      <c r="H1512" s="9" t="s">
        <v>2263</v>
      </c>
      <c r="I1512" s="4" t="s">
        <v>2317</v>
      </c>
      <c r="J1512" s="4" t="s">
        <v>2316</v>
      </c>
      <c r="K1512" s="4" t="s">
        <v>2263</v>
      </c>
      <c r="L1512" s="10">
        <v>3</v>
      </c>
      <c r="M1512" s="5">
        <v>282984.17235294118</v>
      </c>
      <c r="N1512" s="5">
        <v>848952.51705882349</v>
      </c>
    </row>
    <row r="1513" spans="1:14" x14ac:dyDescent="0.25">
      <c r="A1513" s="4" t="s">
        <v>2653</v>
      </c>
      <c r="B1513" s="4" t="s">
        <v>3226</v>
      </c>
      <c r="C1513" s="4" t="s">
        <v>2384</v>
      </c>
      <c r="D1513" s="4" t="s">
        <v>262</v>
      </c>
      <c r="E1513" s="4" t="s">
        <v>3530</v>
      </c>
      <c r="F1513" s="4" t="s">
        <v>3529</v>
      </c>
      <c r="G1513" s="4" t="s">
        <v>2263</v>
      </c>
      <c r="H1513" s="9" t="s">
        <v>2263</v>
      </c>
      <c r="I1513" s="4" t="s">
        <v>2317</v>
      </c>
      <c r="J1513" s="4" t="s">
        <v>2316</v>
      </c>
      <c r="K1513" s="4" t="s">
        <v>2263</v>
      </c>
      <c r="L1513" s="10">
        <v>3</v>
      </c>
      <c r="M1513" s="5">
        <v>287978.33333333337</v>
      </c>
      <c r="N1513" s="5">
        <v>863935</v>
      </c>
    </row>
    <row r="1514" spans="1:14" x14ac:dyDescent="0.25">
      <c r="A1514" s="4" t="s">
        <v>2320</v>
      </c>
      <c r="B1514" s="4" t="s">
        <v>4967</v>
      </c>
      <c r="C1514" s="4" t="s">
        <v>2274</v>
      </c>
      <c r="D1514" s="4" t="s">
        <v>2273</v>
      </c>
      <c r="E1514" s="4" t="s">
        <v>4459</v>
      </c>
      <c r="F1514" s="4" t="s">
        <v>4458</v>
      </c>
      <c r="G1514" s="4" t="s">
        <v>2263</v>
      </c>
      <c r="H1514" s="9" t="s">
        <v>2263</v>
      </c>
      <c r="I1514" s="4" t="s">
        <v>2263</v>
      </c>
      <c r="J1514" s="4" t="s">
        <v>2263</v>
      </c>
      <c r="K1514" s="4" t="s">
        <v>4457</v>
      </c>
      <c r="L1514" s="10">
        <v>3</v>
      </c>
      <c r="M1514" s="5">
        <v>315220.08333333331</v>
      </c>
      <c r="N1514" s="5">
        <v>945660.25</v>
      </c>
    </row>
    <row r="1515" spans="1:14" x14ac:dyDescent="0.25">
      <c r="A1515" s="4" t="s">
        <v>2320</v>
      </c>
      <c r="B1515" s="4" t="s">
        <v>4967</v>
      </c>
      <c r="C1515" s="4" t="s">
        <v>2320</v>
      </c>
      <c r="D1515" s="4" t="s">
        <v>242</v>
      </c>
      <c r="E1515" s="4" t="s">
        <v>4151</v>
      </c>
      <c r="F1515" s="4" t="s">
        <v>4150</v>
      </c>
      <c r="G1515" s="4" t="s">
        <v>2263</v>
      </c>
      <c r="H1515" s="9" t="s">
        <v>2263</v>
      </c>
      <c r="I1515" s="4" t="s">
        <v>2317</v>
      </c>
      <c r="J1515" s="4" t="s">
        <v>2316</v>
      </c>
      <c r="K1515" s="4" t="s">
        <v>2263</v>
      </c>
      <c r="L1515" s="10">
        <v>3</v>
      </c>
      <c r="M1515" s="5">
        <v>320339.66666666663</v>
      </c>
      <c r="N1515" s="5">
        <v>961019</v>
      </c>
    </row>
    <row r="1516" spans="1:14" x14ac:dyDescent="0.25">
      <c r="A1516" s="4" t="s">
        <v>2320</v>
      </c>
      <c r="B1516" s="4" t="s">
        <v>4967</v>
      </c>
      <c r="C1516" s="4" t="s">
        <v>2320</v>
      </c>
      <c r="D1516" s="4" t="s">
        <v>242</v>
      </c>
      <c r="E1516" s="4" t="s">
        <v>4191</v>
      </c>
      <c r="F1516" s="4" t="s">
        <v>4190</v>
      </c>
      <c r="G1516" s="4" t="s">
        <v>2263</v>
      </c>
      <c r="H1516" s="9" t="s">
        <v>2263</v>
      </c>
      <c r="I1516" s="4" t="s">
        <v>2317</v>
      </c>
      <c r="J1516" s="4" t="s">
        <v>2316</v>
      </c>
      <c r="K1516" s="4" t="s">
        <v>2263</v>
      </c>
      <c r="L1516" s="10">
        <v>3</v>
      </c>
      <c r="M1516" s="5">
        <v>365844.99999999994</v>
      </c>
      <c r="N1516" s="5">
        <v>1097535</v>
      </c>
    </row>
    <row r="1517" spans="1:14" x14ac:dyDescent="0.25">
      <c r="A1517" s="4" t="s">
        <v>2653</v>
      </c>
      <c r="B1517" s="4" t="s">
        <v>3226</v>
      </c>
      <c r="C1517" s="4" t="s">
        <v>2384</v>
      </c>
      <c r="D1517" s="4" t="s">
        <v>262</v>
      </c>
      <c r="E1517" s="4" t="s">
        <v>3460</v>
      </c>
      <c r="F1517" s="4" t="s">
        <v>3459</v>
      </c>
      <c r="G1517" s="4" t="s">
        <v>2263</v>
      </c>
      <c r="H1517" s="9" t="s">
        <v>2263</v>
      </c>
      <c r="I1517" s="4" t="s">
        <v>2317</v>
      </c>
      <c r="J1517" s="4" t="s">
        <v>2316</v>
      </c>
      <c r="K1517" s="4" t="s">
        <v>2263</v>
      </c>
      <c r="L1517" s="10">
        <v>3</v>
      </c>
      <c r="M1517" s="5">
        <v>388652.66666666669</v>
      </c>
      <c r="N1517" s="5">
        <v>1165958</v>
      </c>
    </row>
    <row r="1518" spans="1:14" x14ac:dyDescent="0.25">
      <c r="A1518" s="4" t="s">
        <v>2317</v>
      </c>
      <c r="B1518" s="4" t="s">
        <v>3839</v>
      </c>
      <c r="C1518" s="4" t="s">
        <v>2320</v>
      </c>
      <c r="D1518" s="4" t="s">
        <v>242</v>
      </c>
      <c r="E1518" s="4" t="s">
        <v>4169</v>
      </c>
      <c r="F1518" s="4" t="s">
        <v>4168</v>
      </c>
      <c r="G1518" s="4" t="s">
        <v>2263</v>
      </c>
      <c r="H1518" s="9" t="s">
        <v>2263</v>
      </c>
      <c r="I1518" s="4" t="s">
        <v>2317</v>
      </c>
      <c r="J1518" s="4" t="s">
        <v>2316</v>
      </c>
      <c r="K1518" s="4" t="s">
        <v>2263</v>
      </c>
      <c r="L1518" s="10">
        <v>3</v>
      </c>
      <c r="M1518" s="5">
        <v>389199.25</v>
      </c>
      <c r="N1518" s="5">
        <v>1167597.75</v>
      </c>
    </row>
    <row r="1519" spans="1:14" x14ac:dyDescent="0.25">
      <c r="A1519" s="4" t="s">
        <v>2761</v>
      </c>
      <c r="B1519" s="4" t="s">
        <v>2760</v>
      </c>
      <c r="C1519" s="4" t="s">
        <v>2384</v>
      </c>
      <c r="D1519" s="4" t="s">
        <v>262</v>
      </c>
      <c r="E1519" s="4" t="s">
        <v>2759</v>
      </c>
      <c r="F1519" s="4" t="s">
        <v>2758</v>
      </c>
      <c r="G1519" s="4" t="s">
        <v>2263</v>
      </c>
      <c r="H1519" s="9" t="s">
        <v>2263</v>
      </c>
      <c r="I1519" s="4" t="s">
        <v>2317</v>
      </c>
      <c r="J1519" s="4" t="s">
        <v>2316</v>
      </c>
      <c r="K1519" s="4" t="s">
        <v>2263</v>
      </c>
      <c r="L1519" s="10">
        <v>3</v>
      </c>
      <c r="M1519" s="5">
        <v>396306.6</v>
      </c>
      <c r="N1519" s="5">
        <v>1188919.8</v>
      </c>
    </row>
    <row r="1520" spans="1:14" x14ac:dyDescent="0.25">
      <c r="A1520" s="4" t="s">
        <v>2653</v>
      </c>
      <c r="B1520" s="4" t="s">
        <v>3226</v>
      </c>
      <c r="C1520" s="4" t="s">
        <v>2384</v>
      </c>
      <c r="D1520" s="4" t="s">
        <v>262</v>
      </c>
      <c r="E1520" s="4" t="s">
        <v>3386</v>
      </c>
      <c r="F1520" s="4" t="s">
        <v>3385</v>
      </c>
      <c r="G1520" s="4" t="s">
        <v>2263</v>
      </c>
      <c r="H1520" s="9" t="s">
        <v>2263</v>
      </c>
      <c r="I1520" s="4" t="s">
        <v>2317</v>
      </c>
      <c r="J1520" s="4" t="s">
        <v>2316</v>
      </c>
      <c r="K1520" s="4" t="s">
        <v>2263</v>
      </c>
      <c r="L1520" s="10">
        <v>3</v>
      </c>
      <c r="M1520" s="5">
        <v>434350</v>
      </c>
      <c r="N1520" s="5">
        <v>1303050</v>
      </c>
    </row>
    <row r="1521" spans="1:14" x14ac:dyDescent="0.25">
      <c r="A1521" s="4" t="s">
        <v>2320</v>
      </c>
      <c r="B1521" s="4" t="s">
        <v>4967</v>
      </c>
      <c r="C1521" s="4" t="s">
        <v>2320</v>
      </c>
      <c r="D1521" s="4" t="s">
        <v>242</v>
      </c>
      <c r="E1521" s="4" t="s">
        <v>3983</v>
      </c>
      <c r="F1521" s="4" t="s">
        <v>3982</v>
      </c>
      <c r="G1521" s="4" t="s">
        <v>2263</v>
      </c>
      <c r="H1521" s="9" t="s">
        <v>2263</v>
      </c>
      <c r="I1521" s="4" t="s">
        <v>2317</v>
      </c>
      <c r="J1521" s="4" t="s">
        <v>2316</v>
      </c>
      <c r="K1521" s="4" t="s">
        <v>2263</v>
      </c>
      <c r="L1521" s="10">
        <v>3</v>
      </c>
      <c r="M1521" s="5">
        <v>449425.76142857142</v>
      </c>
      <c r="N1521" s="5">
        <v>1348277.2842857142</v>
      </c>
    </row>
    <row r="1522" spans="1:14" x14ac:dyDescent="0.25">
      <c r="A1522" s="4" t="s">
        <v>2317</v>
      </c>
      <c r="B1522" s="4" t="s">
        <v>3839</v>
      </c>
      <c r="C1522" s="4" t="s">
        <v>2320</v>
      </c>
      <c r="D1522" s="4" t="s">
        <v>242</v>
      </c>
      <c r="E1522" s="4" t="s">
        <v>3905</v>
      </c>
      <c r="F1522" s="4" t="s">
        <v>3904</v>
      </c>
      <c r="G1522" s="4" t="s">
        <v>2263</v>
      </c>
      <c r="H1522" s="9" t="s">
        <v>2263</v>
      </c>
      <c r="I1522" s="4" t="s">
        <v>2317</v>
      </c>
      <c r="J1522" s="4" t="s">
        <v>2316</v>
      </c>
      <c r="K1522" s="4" t="s">
        <v>2263</v>
      </c>
      <c r="L1522" s="10">
        <v>3</v>
      </c>
      <c r="M1522" s="5">
        <v>489545.64999999997</v>
      </c>
      <c r="N1522" s="5">
        <v>1468636.95</v>
      </c>
    </row>
    <row r="1523" spans="1:14" x14ac:dyDescent="0.25">
      <c r="A1523" s="4" t="s">
        <v>2320</v>
      </c>
      <c r="B1523" s="4" t="s">
        <v>4967</v>
      </c>
      <c r="C1523" s="4" t="s">
        <v>2320</v>
      </c>
      <c r="D1523" s="4" t="s">
        <v>242</v>
      </c>
      <c r="E1523" s="4" t="s">
        <v>5099</v>
      </c>
      <c r="F1523" s="4" t="s">
        <v>5098</v>
      </c>
      <c r="G1523" s="4" t="s">
        <v>2263</v>
      </c>
      <c r="H1523" s="9" t="s">
        <v>2263</v>
      </c>
      <c r="I1523" s="4" t="s">
        <v>2317</v>
      </c>
      <c r="J1523" s="4" t="s">
        <v>2316</v>
      </c>
      <c r="K1523" s="4" t="s">
        <v>2263</v>
      </c>
      <c r="L1523" s="10">
        <v>3</v>
      </c>
      <c r="M1523" s="5">
        <v>543017.23</v>
      </c>
      <c r="N1523" s="5">
        <v>1629051.69</v>
      </c>
    </row>
    <row r="1524" spans="1:14" x14ac:dyDescent="0.25">
      <c r="A1524" s="4" t="s">
        <v>2837</v>
      </c>
      <c r="B1524" s="4" t="s">
        <v>2836</v>
      </c>
      <c r="C1524" s="4" t="s">
        <v>2320</v>
      </c>
      <c r="D1524" s="4" t="s">
        <v>242</v>
      </c>
      <c r="E1524" s="4" t="s">
        <v>2839</v>
      </c>
      <c r="F1524" s="4" t="s">
        <v>2838</v>
      </c>
      <c r="G1524" s="4" t="s">
        <v>2263</v>
      </c>
      <c r="H1524" s="9" t="s">
        <v>2263</v>
      </c>
      <c r="I1524" s="4" t="s">
        <v>2317</v>
      </c>
      <c r="J1524" s="4" t="s">
        <v>2316</v>
      </c>
      <c r="K1524" s="4" t="s">
        <v>2263</v>
      </c>
      <c r="L1524" s="10">
        <v>3</v>
      </c>
      <c r="M1524" s="5">
        <v>666750.00000000012</v>
      </c>
      <c r="N1524" s="5">
        <v>2000250</v>
      </c>
    </row>
    <row r="1525" spans="1:14" x14ac:dyDescent="0.25">
      <c r="A1525" s="4" t="s">
        <v>2320</v>
      </c>
      <c r="B1525" s="4" t="s">
        <v>4967</v>
      </c>
      <c r="C1525" s="4" t="s">
        <v>2320</v>
      </c>
      <c r="D1525" s="4" t="s">
        <v>242</v>
      </c>
      <c r="E1525" s="4" t="s">
        <v>4265</v>
      </c>
      <c r="F1525" s="4" t="s">
        <v>4264</v>
      </c>
      <c r="G1525" s="4" t="s">
        <v>2263</v>
      </c>
      <c r="H1525" s="9" t="s">
        <v>2263</v>
      </c>
      <c r="I1525" s="4" t="s">
        <v>2317</v>
      </c>
      <c r="J1525" s="4" t="s">
        <v>2316</v>
      </c>
      <c r="K1525" s="4" t="s">
        <v>2263</v>
      </c>
      <c r="L1525" s="10">
        <v>3</v>
      </c>
      <c r="M1525" s="5">
        <v>716205.17142857146</v>
      </c>
      <c r="N1525" s="5">
        <v>2148615.5142857144</v>
      </c>
    </row>
    <row r="1526" spans="1:14" x14ac:dyDescent="0.25">
      <c r="A1526" s="4" t="s">
        <v>2320</v>
      </c>
      <c r="B1526" s="4" t="s">
        <v>4967</v>
      </c>
      <c r="C1526" s="4" t="s">
        <v>2320</v>
      </c>
      <c r="D1526" s="4" t="s">
        <v>242</v>
      </c>
      <c r="E1526" s="4" t="s">
        <v>2809</v>
      </c>
      <c r="F1526" s="4" t="s">
        <v>2808</v>
      </c>
      <c r="G1526" s="4" t="s">
        <v>2263</v>
      </c>
      <c r="H1526" s="9" t="s">
        <v>2263</v>
      </c>
      <c r="I1526" s="4" t="s">
        <v>2317</v>
      </c>
      <c r="J1526" s="4" t="s">
        <v>2316</v>
      </c>
      <c r="K1526" s="4" t="s">
        <v>2263</v>
      </c>
      <c r="L1526" s="10">
        <v>3</v>
      </c>
      <c r="M1526" s="5">
        <v>813809.10399999993</v>
      </c>
      <c r="N1526" s="5">
        <v>2441427.3119999999</v>
      </c>
    </row>
    <row r="1527" spans="1:14" x14ac:dyDescent="0.25">
      <c r="A1527" s="4" t="s">
        <v>2320</v>
      </c>
      <c r="B1527" s="4" t="s">
        <v>4967</v>
      </c>
      <c r="C1527" s="4" t="s">
        <v>2320</v>
      </c>
      <c r="D1527" s="4" t="s">
        <v>242</v>
      </c>
      <c r="E1527" s="4" t="s">
        <v>2805</v>
      </c>
      <c r="F1527" s="4" t="s">
        <v>2804</v>
      </c>
      <c r="G1527" s="4" t="s">
        <v>2263</v>
      </c>
      <c r="H1527" s="9" t="s">
        <v>2263</v>
      </c>
      <c r="I1527" s="4" t="s">
        <v>2317</v>
      </c>
      <c r="J1527" s="4" t="s">
        <v>2316</v>
      </c>
      <c r="K1527" s="4" t="s">
        <v>2263</v>
      </c>
      <c r="L1527" s="10">
        <v>3</v>
      </c>
      <c r="M1527" s="5">
        <v>1190616.0428571429</v>
      </c>
      <c r="N1527" s="5">
        <v>3571848.1285714284</v>
      </c>
    </row>
    <row r="1528" spans="1:14" x14ac:dyDescent="0.25">
      <c r="A1528" s="4" t="s">
        <v>2761</v>
      </c>
      <c r="B1528" s="4" t="s">
        <v>2760</v>
      </c>
      <c r="C1528" s="4" t="s">
        <v>2320</v>
      </c>
      <c r="D1528" s="4" t="s">
        <v>242</v>
      </c>
      <c r="E1528" s="4" t="s">
        <v>2805</v>
      </c>
      <c r="F1528" s="4" t="s">
        <v>2804</v>
      </c>
      <c r="G1528" s="4" t="s">
        <v>2263</v>
      </c>
      <c r="H1528" s="9" t="s">
        <v>2263</v>
      </c>
      <c r="I1528" s="4" t="s">
        <v>2317</v>
      </c>
      <c r="J1528" s="4" t="s">
        <v>2316</v>
      </c>
      <c r="K1528" s="4" t="s">
        <v>2263</v>
      </c>
      <c r="L1528" s="10">
        <v>3</v>
      </c>
      <c r="M1528" s="5">
        <v>1190616.0428571429</v>
      </c>
      <c r="N1528" s="5">
        <v>3571848.1285714284</v>
      </c>
    </row>
    <row r="1529" spans="1:14" x14ac:dyDescent="0.25">
      <c r="A1529" s="4" t="s">
        <v>2761</v>
      </c>
      <c r="B1529" s="4" t="s">
        <v>2760</v>
      </c>
      <c r="C1529" s="4" t="s">
        <v>2320</v>
      </c>
      <c r="D1529" s="4" t="s">
        <v>242</v>
      </c>
      <c r="E1529" s="4" t="s">
        <v>2799</v>
      </c>
      <c r="F1529" s="4" t="s">
        <v>2798</v>
      </c>
      <c r="G1529" s="4" t="s">
        <v>2263</v>
      </c>
      <c r="H1529" s="9" t="s">
        <v>2263</v>
      </c>
      <c r="I1529" s="4" t="s">
        <v>2317</v>
      </c>
      <c r="J1529" s="4" t="s">
        <v>2316</v>
      </c>
      <c r="K1529" s="4" t="s">
        <v>2263</v>
      </c>
      <c r="L1529" s="10">
        <v>3</v>
      </c>
      <c r="M1529" s="5">
        <v>1585595.6525000001</v>
      </c>
      <c r="N1529" s="5">
        <v>4756786.9574999996</v>
      </c>
    </row>
    <row r="1530" spans="1:14" x14ac:dyDescent="0.25">
      <c r="A1530" s="4" t="s">
        <v>2653</v>
      </c>
      <c r="B1530" s="4" t="s">
        <v>3226</v>
      </c>
      <c r="C1530" s="4" t="s">
        <v>2384</v>
      </c>
      <c r="D1530" s="4" t="s">
        <v>262</v>
      </c>
      <c r="E1530" s="4" t="s">
        <v>3382</v>
      </c>
      <c r="F1530" s="4" t="s">
        <v>3381</v>
      </c>
      <c r="G1530" s="4" t="s">
        <v>2263</v>
      </c>
      <c r="H1530" s="9" t="s">
        <v>2263</v>
      </c>
      <c r="I1530" s="4" t="s">
        <v>2317</v>
      </c>
      <c r="J1530" s="4" t="s">
        <v>2316</v>
      </c>
      <c r="K1530" s="4" t="s">
        <v>2263</v>
      </c>
      <c r="L1530" s="10">
        <v>3</v>
      </c>
      <c r="M1530" s="5">
        <v>1893668.6666666667</v>
      </c>
      <c r="N1530" s="5">
        <v>5681006</v>
      </c>
    </row>
    <row r="1531" spans="1:14" x14ac:dyDescent="0.25">
      <c r="A1531" s="4" t="s">
        <v>3157</v>
      </c>
      <c r="B1531" s="4" t="s">
        <v>3156</v>
      </c>
      <c r="C1531" s="4" t="s">
        <v>2279</v>
      </c>
      <c r="D1531" s="4" t="s">
        <v>2278</v>
      </c>
      <c r="E1531" s="4" t="s">
        <v>3158</v>
      </c>
      <c r="F1531" s="4" t="s">
        <v>2284</v>
      </c>
      <c r="G1531" s="4" t="s">
        <v>2263</v>
      </c>
      <c r="H1531" s="9" t="s">
        <v>2263</v>
      </c>
      <c r="I1531" s="4" t="s">
        <v>2263</v>
      </c>
      <c r="J1531" s="4" t="s">
        <v>2263</v>
      </c>
      <c r="K1531" s="4" t="s">
        <v>2283</v>
      </c>
      <c r="L1531" s="10">
        <v>4</v>
      </c>
      <c r="M1531" s="5">
        <v>-41006.857142857145</v>
      </c>
      <c r="N1531" s="5">
        <v>-164027.42857142855</v>
      </c>
    </row>
    <row r="1532" spans="1:14" x14ac:dyDescent="0.25">
      <c r="A1532" s="4" t="s">
        <v>3104</v>
      </c>
      <c r="B1532" s="4" t="s">
        <v>3103</v>
      </c>
      <c r="C1532" s="4" t="s">
        <v>2320</v>
      </c>
      <c r="D1532" s="4" t="s">
        <v>242</v>
      </c>
      <c r="E1532" s="4" t="s">
        <v>2707</v>
      </c>
      <c r="F1532" s="4" t="s">
        <v>2706</v>
      </c>
      <c r="G1532" s="4" t="s">
        <v>2263</v>
      </c>
      <c r="H1532" s="9" t="s">
        <v>2263</v>
      </c>
      <c r="I1532" s="4" t="s">
        <v>2317</v>
      </c>
      <c r="J1532" s="4" t="s">
        <v>2316</v>
      </c>
      <c r="K1532" s="4" t="s">
        <v>2263</v>
      </c>
      <c r="L1532" s="10">
        <v>4</v>
      </c>
      <c r="M1532" s="5">
        <v>-18687.463351548267</v>
      </c>
      <c r="N1532" s="5">
        <v>-74749.853406193084</v>
      </c>
    </row>
    <row r="1533" spans="1:14" x14ac:dyDescent="0.25">
      <c r="A1533" s="4" t="s">
        <v>2653</v>
      </c>
      <c r="B1533" s="4" t="s">
        <v>3226</v>
      </c>
      <c r="C1533" s="4" t="s">
        <v>2353</v>
      </c>
      <c r="D1533" s="4" t="s">
        <v>258</v>
      </c>
      <c r="E1533" s="4" t="s">
        <v>3260</v>
      </c>
      <c r="F1533" s="4" t="s">
        <v>3259</v>
      </c>
      <c r="G1533" s="4" t="s">
        <v>2263</v>
      </c>
      <c r="H1533" s="9" t="s">
        <v>2263</v>
      </c>
      <c r="I1533" s="4" t="s">
        <v>2317</v>
      </c>
      <c r="J1533" s="4" t="s">
        <v>2316</v>
      </c>
      <c r="K1533" s="4" t="s">
        <v>2263</v>
      </c>
      <c r="L1533" s="10">
        <v>4</v>
      </c>
      <c r="M1533" s="5">
        <v>-15548.055</v>
      </c>
      <c r="N1533" s="5">
        <v>-62192.22</v>
      </c>
    </row>
    <row r="1534" spans="1:14" x14ac:dyDescent="0.25">
      <c r="A1534" s="4" t="s">
        <v>2344</v>
      </c>
      <c r="B1534" s="4" t="s">
        <v>5154</v>
      </c>
      <c r="C1534" s="4" t="s">
        <v>2344</v>
      </c>
      <c r="D1534" s="4" t="s">
        <v>237</v>
      </c>
      <c r="E1534" s="4" t="s">
        <v>5493</v>
      </c>
      <c r="F1534" s="4" t="s">
        <v>4961</v>
      </c>
      <c r="G1534" s="4" t="s">
        <v>2263</v>
      </c>
      <c r="H1534" s="9" t="s">
        <v>2263</v>
      </c>
      <c r="I1534" s="4" t="s">
        <v>2263</v>
      </c>
      <c r="J1534" s="4" t="s">
        <v>2263</v>
      </c>
      <c r="K1534" s="4" t="s">
        <v>2547</v>
      </c>
      <c r="L1534" s="10">
        <v>4</v>
      </c>
      <c r="M1534" s="5">
        <v>24.75</v>
      </c>
      <c r="N1534" s="5">
        <v>99</v>
      </c>
    </row>
    <row r="1535" spans="1:14" x14ac:dyDescent="0.25">
      <c r="A1535" s="4" t="s">
        <v>2344</v>
      </c>
      <c r="B1535" s="4" t="s">
        <v>5154</v>
      </c>
      <c r="C1535" s="4" t="s">
        <v>2344</v>
      </c>
      <c r="D1535" s="4" t="s">
        <v>237</v>
      </c>
      <c r="E1535" s="4" t="s">
        <v>5499</v>
      </c>
      <c r="F1535" s="4" t="s">
        <v>2548</v>
      </c>
      <c r="G1535" s="4" t="s">
        <v>2263</v>
      </c>
      <c r="H1535" s="9" t="s">
        <v>2263</v>
      </c>
      <c r="I1535" s="4" t="s">
        <v>2263</v>
      </c>
      <c r="J1535" s="4" t="s">
        <v>2263</v>
      </c>
      <c r="K1535" s="4" t="s">
        <v>2547</v>
      </c>
      <c r="L1535" s="10">
        <v>4</v>
      </c>
      <c r="M1535" s="5">
        <v>102.755</v>
      </c>
      <c r="N1535" s="5">
        <v>411.02</v>
      </c>
    </row>
    <row r="1536" spans="1:14" x14ac:dyDescent="0.25">
      <c r="A1536" s="4" t="s">
        <v>2344</v>
      </c>
      <c r="B1536" s="4" t="s">
        <v>5154</v>
      </c>
      <c r="C1536" s="4" t="s">
        <v>2344</v>
      </c>
      <c r="D1536" s="4" t="s">
        <v>237</v>
      </c>
      <c r="E1536" s="4" t="s">
        <v>4867</v>
      </c>
      <c r="F1536" s="4" t="s">
        <v>4866</v>
      </c>
      <c r="G1536" s="4" t="s">
        <v>2263</v>
      </c>
      <c r="H1536" s="9" t="s">
        <v>2263</v>
      </c>
      <c r="I1536" s="4" t="s">
        <v>2263</v>
      </c>
      <c r="J1536" s="4" t="s">
        <v>2263</v>
      </c>
      <c r="K1536" s="4" t="s">
        <v>2462</v>
      </c>
      <c r="L1536" s="10">
        <v>4</v>
      </c>
      <c r="M1536" s="5">
        <v>309.70238095238091</v>
      </c>
      <c r="N1536" s="5">
        <v>1238.80952380952</v>
      </c>
    </row>
    <row r="1537" spans="1:14" x14ac:dyDescent="0.25">
      <c r="A1537" s="4" t="s">
        <v>3104</v>
      </c>
      <c r="B1537" s="4" t="s">
        <v>3103</v>
      </c>
      <c r="C1537" s="4" t="s">
        <v>2320</v>
      </c>
      <c r="D1537" s="4" t="s">
        <v>242</v>
      </c>
      <c r="E1537" s="4" t="s">
        <v>2741</v>
      </c>
      <c r="F1537" s="4" t="s">
        <v>2740</v>
      </c>
      <c r="G1537" s="4" t="s">
        <v>2263</v>
      </c>
      <c r="H1537" s="9" t="s">
        <v>2263</v>
      </c>
      <c r="I1537" s="4" t="s">
        <v>2317</v>
      </c>
      <c r="J1537" s="4" t="s">
        <v>2316</v>
      </c>
      <c r="K1537" s="4" t="s">
        <v>2263</v>
      </c>
      <c r="L1537" s="10">
        <v>4</v>
      </c>
      <c r="M1537" s="5">
        <v>454.76405146618788</v>
      </c>
      <c r="N1537" s="5">
        <v>1819.0562058647499</v>
      </c>
    </row>
    <row r="1538" spans="1:14" x14ac:dyDescent="0.25">
      <c r="A1538" s="4" t="s">
        <v>3801</v>
      </c>
      <c r="B1538" s="4" t="s">
        <v>4965</v>
      </c>
      <c r="C1538" s="4" t="s">
        <v>2344</v>
      </c>
      <c r="D1538" s="4" t="s">
        <v>237</v>
      </c>
      <c r="E1538" s="4" t="s">
        <v>2453</v>
      </c>
      <c r="F1538" s="4" t="s">
        <v>2452</v>
      </c>
      <c r="G1538" s="4" t="s">
        <v>2263</v>
      </c>
      <c r="H1538" s="9" t="s">
        <v>2263</v>
      </c>
      <c r="I1538" s="4" t="s">
        <v>2263</v>
      </c>
      <c r="J1538" s="4" t="s">
        <v>2263</v>
      </c>
      <c r="K1538" s="4" t="s">
        <v>2451</v>
      </c>
      <c r="L1538" s="10">
        <v>4</v>
      </c>
      <c r="M1538" s="5">
        <v>480.11012658227844</v>
      </c>
      <c r="N1538" s="5">
        <v>1920.4405063291099</v>
      </c>
    </row>
    <row r="1539" spans="1:14" x14ac:dyDescent="0.25">
      <c r="A1539" s="4" t="s">
        <v>2279</v>
      </c>
      <c r="B1539" s="4" t="s">
        <v>4963</v>
      </c>
      <c r="C1539" s="4" t="s">
        <v>2344</v>
      </c>
      <c r="D1539" s="4" t="s">
        <v>237</v>
      </c>
      <c r="E1539" s="4" t="s">
        <v>2453</v>
      </c>
      <c r="F1539" s="4" t="s">
        <v>2452</v>
      </c>
      <c r="G1539" s="4" t="s">
        <v>2263</v>
      </c>
      <c r="H1539" s="9" t="s">
        <v>2263</v>
      </c>
      <c r="I1539" s="4" t="s">
        <v>2263</v>
      </c>
      <c r="J1539" s="4" t="s">
        <v>2263</v>
      </c>
      <c r="K1539" s="4" t="s">
        <v>2451</v>
      </c>
      <c r="L1539" s="10">
        <v>4</v>
      </c>
      <c r="M1539" s="5">
        <v>480.11012658227844</v>
      </c>
      <c r="N1539" s="5">
        <v>1920.4405063291099</v>
      </c>
    </row>
    <row r="1540" spans="1:14" x14ac:dyDescent="0.25">
      <c r="A1540" s="4" t="s">
        <v>2481</v>
      </c>
      <c r="B1540" s="4" t="s">
        <v>3217</v>
      </c>
      <c r="C1540" s="4" t="s">
        <v>2344</v>
      </c>
      <c r="D1540" s="4" t="s">
        <v>237</v>
      </c>
      <c r="E1540" s="4" t="s">
        <v>2453</v>
      </c>
      <c r="F1540" s="4" t="s">
        <v>2452</v>
      </c>
      <c r="G1540" s="4" t="s">
        <v>2263</v>
      </c>
      <c r="H1540" s="9" t="s">
        <v>2263</v>
      </c>
      <c r="I1540" s="4" t="s">
        <v>2263</v>
      </c>
      <c r="J1540" s="4" t="s">
        <v>2263</v>
      </c>
      <c r="K1540" s="4" t="s">
        <v>2451</v>
      </c>
      <c r="L1540" s="10">
        <v>4</v>
      </c>
      <c r="M1540" s="5">
        <v>480.11012658227844</v>
      </c>
      <c r="N1540" s="5">
        <v>1920.4405063291099</v>
      </c>
    </row>
    <row r="1541" spans="1:14" x14ac:dyDescent="0.25">
      <c r="A1541" s="4" t="s">
        <v>3196</v>
      </c>
      <c r="B1541" s="4" t="s">
        <v>3195</v>
      </c>
      <c r="C1541" s="4" t="s">
        <v>2344</v>
      </c>
      <c r="D1541" s="4" t="s">
        <v>237</v>
      </c>
      <c r="E1541" s="4" t="s">
        <v>2453</v>
      </c>
      <c r="F1541" s="4" t="s">
        <v>2452</v>
      </c>
      <c r="G1541" s="4" t="s">
        <v>2263</v>
      </c>
      <c r="H1541" s="9" t="s">
        <v>2263</v>
      </c>
      <c r="I1541" s="4" t="s">
        <v>2263</v>
      </c>
      <c r="J1541" s="4" t="s">
        <v>2263</v>
      </c>
      <c r="K1541" s="4" t="s">
        <v>2451</v>
      </c>
      <c r="L1541" s="10">
        <v>4</v>
      </c>
      <c r="M1541" s="5">
        <v>480.11012658227844</v>
      </c>
      <c r="N1541" s="5">
        <v>1920.4405063291099</v>
      </c>
    </row>
    <row r="1542" spans="1:14" x14ac:dyDescent="0.25">
      <c r="A1542" s="4" t="s">
        <v>2384</v>
      </c>
      <c r="B1542" s="4" t="s">
        <v>3187</v>
      </c>
      <c r="C1542" s="4" t="s">
        <v>2344</v>
      </c>
      <c r="D1542" s="4" t="s">
        <v>237</v>
      </c>
      <c r="E1542" s="4" t="s">
        <v>2453</v>
      </c>
      <c r="F1542" s="4" t="s">
        <v>2452</v>
      </c>
      <c r="G1542" s="4" t="s">
        <v>2263</v>
      </c>
      <c r="H1542" s="9" t="s">
        <v>2263</v>
      </c>
      <c r="I1542" s="4" t="s">
        <v>2263</v>
      </c>
      <c r="J1542" s="4" t="s">
        <v>2263</v>
      </c>
      <c r="K1542" s="4" t="s">
        <v>2451</v>
      </c>
      <c r="L1542" s="10">
        <v>4</v>
      </c>
      <c r="M1542" s="5">
        <v>480.11012658227844</v>
      </c>
      <c r="N1542" s="5">
        <v>1920.4405063291099</v>
      </c>
    </row>
    <row r="1543" spans="1:14" x14ac:dyDescent="0.25">
      <c r="A1543" s="4" t="s">
        <v>3174</v>
      </c>
      <c r="B1543" s="4" t="s">
        <v>3173</v>
      </c>
      <c r="C1543" s="4" t="s">
        <v>2344</v>
      </c>
      <c r="D1543" s="4" t="s">
        <v>237</v>
      </c>
      <c r="E1543" s="4" t="s">
        <v>2453</v>
      </c>
      <c r="F1543" s="4" t="s">
        <v>2452</v>
      </c>
      <c r="G1543" s="4" t="s">
        <v>2263</v>
      </c>
      <c r="H1543" s="9" t="s">
        <v>2263</v>
      </c>
      <c r="I1543" s="4" t="s">
        <v>2263</v>
      </c>
      <c r="J1543" s="4" t="s">
        <v>2263</v>
      </c>
      <c r="K1543" s="4" t="s">
        <v>2451</v>
      </c>
      <c r="L1543" s="10">
        <v>4</v>
      </c>
      <c r="M1543" s="5">
        <v>480.11012658227844</v>
      </c>
      <c r="N1543" s="5">
        <v>1920.4405063291099</v>
      </c>
    </row>
    <row r="1544" spans="1:14" x14ac:dyDescent="0.25">
      <c r="A1544" s="4" t="s">
        <v>3104</v>
      </c>
      <c r="B1544" s="4" t="s">
        <v>3103</v>
      </c>
      <c r="C1544" s="4" t="s">
        <v>2344</v>
      </c>
      <c r="D1544" s="4" t="s">
        <v>237</v>
      </c>
      <c r="E1544" s="4" t="s">
        <v>2453</v>
      </c>
      <c r="F1544" s="4" t="s">
        <v>2452</v>
      </c>
      <c r="G1544" s="4" t="s">
        <v>2263</v>
      </c>
      <c r="H1544" s="9" t="s">
        <v>2263</v>
      </c>
      <c r="I1544" s="4" t="s">
        <v>2263</v>
      </c>
      <c r="J1544" s="4" t="s">
        <v>2263</v>
      </c>
      <c r="K1544" s="4" t="s">
        <v>2451</v>
      </c>
      <c r="L1544" s="10">
        <v>4</v>
      </c>
      <c r="M1544" s="5">
        <v>480.11012658227844</v>
      </c>
      <c r="N1544" s="5">
        <v>1920.4405063291099</v>
      </c>
    </row>
    <row r="1545" spans="1:14" x14ac:dyDescent="0.25">
      <c r="A1545" s="4" t="s">
        <v>3063</v>
      </c>
      <c r="B1545" s="4" t="s">
        <v>3062</v>
      </c>
      <c r="C1545" s="4" t="s">
        <v>2344</v>
      </c>
      <c r="D1545" s="4" t="s">
        <v>237</v>
      </c>
      <c r="E1545" s="4" t="s">
        <v>2453</v>
      </c>
      <c r="F1545" s="4" t="s">
        <v>2452</v>
      </c>
      <c r="G1545" s="4" t="s">
        <v>2263</v>
      </c>
      <c r="H1545" s="9" t="s">
        <v>2263</v>
      </c>
      <c r="I1545" s="4" t="s">
        <v>2263</v>
      </c>
      <c r="J1545" s="4" t="s">
        <v>2263</v>
      </c>
      <c r="K1545" s="4" t="s">
        <v>2451</v>
      </c>
      <c r="L1545" s="10">
        <v>4</v>
      </c>
      <c r="M1545" s="5">
        <v>480.11012658227844</v>
      </c>
      <c r="N1545" s="5">
        <v>1920.4405063291099</v>
      </c>
    </row>
    <row r="1546" spans="1:14" x14ac:dyDescent="0.25">
      <c r="A1546" s="4" t="s">
        <v>3051</v>
      </c>
      <c r="B1546" s="4" t="s">
        <v>3050</v>
      </c>
      <c r="C1546" s="4" t="s">
        <v>2344</v>
      </c>
      <c r="D1546" s="4" t="s">
        <v>237</v>
      </c>
      <c r="E1546" s="4" t="s">
        <v>2453</v>
      </c>
      <c r="F1546" s="4" t="s">
        <v>2452</v>
      </c>
      <c r="G1546" s="4" t="s">
        <v>2263</v>
      </c>
      <c r="H1546" s="9" t="s">
        <v>2263</v>
      </c>
      <c r="I1546" s="4" t="s">
        <v>2263</v>
      </c>
      <c r="J1546" s="4" t="s">
        <v>2263</v>
      </c>
      <c r="K1546" s="4" t="s">
        <v>2451</v>
      </c>
      <c r="L1546" s="10">
        <v>4</v>
      </c>
      <c r="M1546" s="5">
        <v>480.11012658227844</v>
      </c>
      <c r="N1546" s="5">
        <v>1920.4405063291099</v>
      </c>
    </row>
    <row r="1547" spans="1:14" x14ac:dyDescent="0.25">
      <c r="A1547" s="4" t="s">
        <v>3024</v>
      </c>
      <c r="B1547" s="4" t="s">
        <v>3023</v>
      </c>
      <c r="C1547" s="4" t="s">
        <v>2344</v>
      </c>
      <c r="D1547" s="4" t="s">
        <v>237</v>
      </c>
      <c r="E1547" s="4" t="s">
        <v>2453</v>
      </c>
      <c r="F1547" s="4" t="s">
        <v>2452</v>
      </c>
      <c r="G1547" s="4" t="s">
        <v>2263</v>
      </c>
      <c r="H1547" s="9" t="s">
        <v>2263</v>
      </c>
      <c r="I1547" s="4" t="s">
        <v>2263</v>
      </c>
      <c r="J1547" s="4" t="s">
        <v>2263</v>
      </c>
      <c r="K1547" s="4" t="s">
        <v>2451</v>
      </c>
      <c r="L1547" s="10">
        <v>4</v>
      </c>
      <c r="M1547" s="5">
        <v>480.11012658227844</v>
      </c>
      <c r="N1547" s="5">
        <v>1920.4405063291099</v>
      </c>
    </row>
    <row r="1548" spans="1:14" x14ac:dyDescent="0.25">
      <c r="A1548" s="4" t="s">
        <v>2673</v>
      </c>
      <c r="B1548" s="4" t="s">
        <v>2672</v>
      </c>
      <c r="C1548" s="4" t="s">
        <v>2344</v>
      </c>
      <c r="D1548" s="4" t="s">
        <v>237</v>
      </c>
      <c r="E1548" s="4" t="s">
        <v>2453</v>
      </c>
      <c r="F1548" s="4" t="s">
        <v>2452</v>
      </c>
      <c r="G1548" s="4" t="s">
        <v>2263</v>
      </c>
      <c r="H1548" s="9" t="s">
        <v>2263</v>
      </c>
      <c r="I1548" s="4" t="s">
        <v>2263</v>
      </c>
      <c r="J1548" s="4" t="s">
        <v>2263</v>
      </c>
      <c r="K1548" s="4" t="s">
        <v>2451</v>
      </c>
      <c r="L1548" s="10">
        <v>4</v>
      </c>
      <c r="M1548" s="5">
        <v>480.11012658227844</v>
      </c>
      <c r="N1548" s="5">
        <v>1920.4405063291099</v>
      </c>
    </row>
    <row r="1549" spans="1:14" x14ac:dyDescent="0.25">
      <c r="A1549" s="4" t="s">
        <v>2386</v>
      </c>
      <c r="B1549" s="4" t="s">
        <v>2385</v>
      </c>
      <c r="C1549" s="4" t="s">
        <v>2344</v>
      </c>
      <c r="D1549" s="4" t="s">
        <v>237</v>
      </c>
      <c r="E1549" s="4" t="s">
        <v>2453</v>
      </c>
      <c r="F1549" s="4" t="s">
        <v>2452</v>
      </c>
      <c r="G1549" s="4" t="s">
        <v>2263</v>
      </c>
      <c r="H1549" s="9" t="s">
        <v>2263</v>
      </c>
      <c r="I1549" s="4" t="s">
        <v>2263</v>
      </c>
      <c r="J1549" s="4" t="s">
        <v>2263</v>
      </c>
      <c r="K1549" s="4" t="s">
        <v>2451</v>
      </c>
      <c r="L1549" s="10">
        <v>4</v>
      </c>
      <c r="M1549" s="5">
        <v>480.11012658227844</v>
      </c>
      <c r="N1549" s="5">
        <v>1920.4405063291099</v>
      </c>
    </row>
    <row r="1550" spans="1:14" x14ac:dyDescent="0.25">
      <c r="A1550" s="4" t="s">
        <v>2344</v>
      </c>
      <c r="B1550" s="4" t="s">
        <v>5154</v>
      </c>
      <c r="C1550" s="4" t="s">
        <v>2320</v>
      </c>
      <c r="D1550" s="4" t="s">
        <v>242</v>
      </c>
      <c r="E1550" s="4" t="s">
        <v>3057</v>
      </c>
      <c r="F1550" s="4" t="s">
        <v>3056</v>
      </c>
      <c r="G1550" s="4" t="s">
        <v>2263</v>
      </c>
      <c r="H1550" s="9" t="s">
        <v>2263</v>
      </c>
      <c r="I1550" s="4" t="s">
        <v>2317</v>
      </c>
      <c r="J1550" s="4" t="s">
        <v>2316</v>
      </c>
      <c r="K1550" s="4" t="s">
        <v>2263</v>
      </c>
      <c r="L1550" s="10">
        <v>4</v>
      </c>
      <c r="M1550" s="5">
        <v>574.28377990430624</v>
      </c>
      <c r="N1550" s="5">
        <v>2297.13511961722</v>
      </c>
    </row>
    <row r="1551" spans="1:14" x14ac:dyDescent="0.25">
      <c r="A1551" s="4" t="s">
        <v>2320</v>
      </c>
      <c r="B1551" s="4" t="s">
        <v>4967</v>
      </c>
      <c r="C1551" s="4" t="s">
        <v>2320</v>
      </c>
      <c r="D1551" s="4" t="s">
        <v>242</v>
      </c>
      <c r="E1551" s="4" t="s">
        <v>2725</v>
      </c>
      <c r="F1551" s="4" t="s">
        <v>2724</v>
      </c>
      <c r="G1551" s="4" t="s">
        <v>2263</v>
      </c>
      <c r="H1551" s="9" t="s">
        <v>2263</v>
      </c>
      <c r="I1551" s="4" t="s">
        <v>2317</v>
      </c>
      <c r="J1551" s="4" t="s">
        <v>2316</v>
      </c>
      <c r="K1551" s="4" t="s">
        <v>2263</v>
      </c>
      <c r="L1551" s="10">
        <v>4</v>
      </c>
      <c r="M1551" s="5">
        <v>669.47519999999997</v>
      </c>
      <c r="N1551" s="5">
        <v>2677.9007999999999</v>
      </c>
    </row>
    <row r="1552" spans="1:14" x14ac:dyDescent="0.25">
      <c r="A1552" s="4" t="s">
        <v>2344</v>
      </c>
      <c r="B1552" s="4" t="s">
        <v>5154</v>
      </c>
      <c r="C1552" s="4" t="s">
        <v>2320</v>
      </c>
      <c r="D1552" s="4" t="s">
        <v>242</v>
      </c>
      <c r="E1552" s="4" t="s">
        <v>2388</v>
      </c>
      <c r="F1552" s="4" t="s">
        <v>2387</v>
      </c>
      <c r="G1552" s="4" t="s">
        <v>2263</v>
      </c>
      <c r="H1552" s="9" t="s">
        <v>2263</v>
      </c>
      <c r="I1552" s="4" t="s">
        <v>2317</v>
      </c>
      <c r="J1552" s="4" t="s">
        <v>2316</v>
      </c>
      <c r="K1552" s="4" t="s">
        <v>2263</v>
      </c>
      <c r="L1552" s="10">
        <v>4</v>
      </c>
      <c r="M1552" s="5">
        <v>1061.3860465116279</v>
      </c>
      <c r="N1552" s="5">
        <v>4245.5441860465098</v>
      </c>
    </row>
    <row r="1553" spans="1:14" x14ac:dyDescent="0.25">
      <c r="A1553" s="4" t="s">
        <v>2320</v>
      </c>
      <c r="B1553" s="4" t="s">
        <v>4967</v>
      </c>
      <c r="C1553" s="4" t="s">
        <v>2344</v>
      </c>
      <c r="D1553" s="4" t="s">
        <v>237</v>
      </c>
      <c r="E1553" s="4" t="s">
        <v>4938</v>
      </c>
      <c r="F1553" s="4" t="s">
        <v>4937</v>
      </c>
      <c r="G1553" s="4" t="s">
        <v>2263</v>
      </c>
      <c r="H1553" s="9" t="s">
        <v>2263</v>
      </c>
      <c r="I1553" s="4" t="s">
        <v>2263</v>
      </c>
      <c r="J1553" s="4" t="s">
        <v>2263</v>
      </c>
      <c r="K1553" s="4" t="s">
        <v>4936</v>
      </c>
      <c r="L1553" s="10">
        <v>4</v>
      </c>
      <c r="M1553" s="5">
        <v>1469.3718840579709</v>
      </c>
      <c r="N1553" s="5">
        <v>5877.4875362318799</v>
      </c>
    </row>
    <row r="1554" spans="1:14" x14ac:dyDescent="0.25">
      <c r="A1554" s="4" t="s">
        <v>3157</v>
      </c>
      <c r="B1554" s="4" t="s">
        <v>3156</v>
      </c>
      <c r="C1554" s="4" t="s">
        <v>2344</v>
      </c>
      <c r="D1554" s="4" t="s">
        <v>237</v>
      </c>
      <c r="E1554" s="4" t="s">
        <v>2435</v>
      </c>
      <c r="F1554" s="4" t="s">
        <v>2434</v>
      </c>
      <c r="G1554" s="4" t="s">
        <v>2263</v>
      </c>
      <c r="H1554" s="9" t="s">
        <v>2263</v>
      </c>
      <c r="I1554" s="4" t="s">
        <v>2263</v>
      </c>
      <c r="J1554" s="4" t="s">
        <v>2263</v>
      </c>
      <c r="K1554" s="4" t="s">
        <v>2433</v>
      </c>
      <c r="L1554" s="10">
        <v>4</v>
      </c>
      <c r="M1554" s="5">
        <v>1849.2706606606607</v>
      </c>
      <c r="N1554" s="5">
        <v>7397.0826426426402</v>
      </c>
    </row>
    <row r="1555" spans="1:14" x14ac:dyDescent="0.25">
      <c r="A1555" s="4" t="s">
        <v>3024</v>
      </c>
      <c r="B1555" s="4" t="s">
        <v>3023</v>
      </c>
      <c r="C1555" s="4" t="s">
        <v>2344</v>
      </c>
      <c r="D1555" s="4" t="s">
        <v>237</v>
      </c>
      <c r="E1555" s="4" t="s">
        <v>3042</v>
      </c>
      <c r="F1555" s="4" t="s">
        <v>2434</v>
      </c>
      <c r="G1555" s="4" t="s">
        <v>2263</v>
      </c>
      <c r="H1555" s="9" t="s">
        <v>2263</v>
      </c>
      <c r="I1555" s="4" t="s">
        <v>2263</v>
      </c>
      <c r="J1555" s="4" t="s">
        <v>2263</v>
      </c>
      <c r="K1555" s="4" t="s">
        <v>2433</v>
      </c>
      <c r="L1555" s="10">
        <v>4</v>
      </c>
      <c r="M1555" s="5">
        <v>1970.5454545454545</v>
      </c>
      <c r="N1555" s="5">
        <v>7882.1818181818198</v>
      </c>
    </row>
    <row r="1556" spans="1:14" x14ac:dyDescent="0.25">
      <c r="A1556" s="4" t="s">
        <v>2274</v>
      </c>
      <c r="B1556" s="4" t="s">
        <v>4348</v>
      </c>
      <c r="C1556" s="4" t="s">
        <v>2267</v>
      </c>
      <c r="D1556" s="4" t="s">
        <v>2266</v>
      </c>
      <c r="E1556" s="4" t="s">
        <v>4418</v>
      </c>
      <c r="F1556" s="4" t="s">
        <v>4417</v>
      </c>
      <c r="G1556" s="4" t="s">
        <v>2263</v>
      </c>
      <c r="H1556" s="9" t="s">
        <v>2263</v>
      </c>
      <c r="I1556" s="4" t="s">
        <v>2263</v>
      </c>
      <c r="J1556" s="4" t="s">
        <v>2263</v>
      </c>
      <c r="K1556" s="4" t="s">
        <v>4381</v>
      </c>
      <c r="L1556" s="10">
        <v>4</v>
      </c>
      <c r="M1556" s="5">
        <v>2004</v>
      </c>
      <c r="N1556" s="5">
        <v>8016</v>
      </c>
    </row>
    <row r="1557" spans="1:14" x14ac:dyDescent="0.25">
      <c r="A1557" s="4" t="s">
        <v>2320</v>
      </c>
      <c r="B1557" s="4" t="s">
        <v>4967</v>
      </c>
      <c r="C1557" s="4" t="s">
        <v>2267</v>
      </c>
      <c r="D1557" s="4" t="s">
        <v>2266</v>
      </c>
      <c r="E1557" s="4" t="s">
        <v>4402</v>
      </c>
      <c r="F1557" s="4" t="s">
        <v>4401</v>
      </c>
      <c r="G1557" s="4" t="s">
        <v>2263</v>
      </c>
      <c r="H1557" s="9" t="s">
        <v>2263</v>
      </c>
      <c r="I1557" s="4" t="s">
        <v>2263</v>
      </c>
      <c r="J1557" s="4" t="s">
        <v>2263</v>
      </c>
      <c r="K1557" s="4" t="s">
        <v>2494</v>
      </c>
      <c r="L1557" s="10">
        <v>4</v>
      </c>
      <c r="M1557" s="5">
        <v>2061.9522807017543</v>
      </c>
      <c r="N1557" s="5">
        <v>8247.8091228070207</v>
      </c>
    </row>
    <row r="1558" spans="1:14" x14ac:dyDescent="0.25">
      <c r="A1558" s="4" t="s">
        <v>2320</v>
      </c>
      <c r="B1558" s="4" t="s">
        <v>4967</v>
      </c>
      <c r="C1558" s="4" t="s">
        <v>2344</v>
      </c>
      <c r="D1558" s="4" t="s">
        <v>237</v>
      </c>
      <c r="E1558" s="4" t="s">
        <v>3060</v>
      </c>
      <c r="F1558" s="4" t="s">
        <v>2449</v>
      </c>
      <c r="G1558" s="4" t="s">
        <v>2263</v>
      </c>
      <c r="H1558" s="9" t="s">
        <v>2263</v>
      </c>
      <c r="I1558" s="4" t="s">
        <v>2263</v>
      </c>
      <c r="J1558" s="4" t="s">
        <v>2263</v>
      </c>
      <c r="K1558" s="4" t="s">
        <v>2448</v>
      </c>
      <c r="L1558" s="10">
        <v>4</v>
      </c>
      <c r="M1558" s="5">
        <v>2115.7913513513513</v>
      </c>
      <c r="N1558" s="5">
        <v>8463.1654054054106</v>
      </c>
    </row>
    <row r="1559" spans="1:14" x14ac:dyDescent="0.25">
      <c r="A1559" s="4" t="s">
        <v>2893</v>
      </c>
      <c r="B1559" s="4" t="s">
        <v>2892</v>
      </c>
      <c r="C1559" s="4" t="s">
        <v>2320</v>
      </c>
      <c r="D1559" s="4" t="s">
        <v>242</v>
      </c>
      <c r="E1559" s="4" t="s">
        <v>2895</v>
      </c>
      <c r="F1559" s="4" t="s">
        <v>2894</v>
      </c>
      <c r="G1559" s="4" t="s">
        <v>2263</v>
      </c>
      <c r="H1559" s="9" t="s">
        <v>2263</v>
      </c>
      <c r="I1559" s="4" t="s">
        <v>2317</v>
      </c>
      <c r="J1559" s="4" t="s">
        <v>2316</v>
      </c>
      <c r="K1559" s="4" t="s">
        <v>2263</v>
      </c>
      <c r="L1559" s="10">
        <v>4</v>
      </c>
      <c r="M1559" s="5">
        <v>2172.9377586206897</v>
      </c>
      <c r="N1559" s="5">
        <v>8691.7510344827606</v>
      </c>
    </row>
    <row r="1560" spans="1:14" x14ac:dyDescent="0.25">
      <c r="A1560" s="4" t="s">
        <v>3801</v>
      </c>
      <c r="B1560" s="4" t="s">
        <v>4965</v>
      </c>
      <c r="C1560" s="4" t="s">
        <v>2344</v>
      </c>
      <c r="D1560" s="4" t="s">
        <v>237</v>
      </c>
      <c r="E1560" s="4" t="s">
        <v>2459</v>
      </c>
      <c r="F1560" s="4" t="s">
        <v>2458</v>
      </c>
      <c r="G1560" s="4" t="s">
        <v>2263</v>
      </c>
      <c r="H1560" s="9" t="s">
        <v>2263</v>
      </c>
      <c r="I1560" s="4" t="s">
        <v>2263</v>
      </c>
      <c r="J1560" s="4" t="s">
        <v>2263</v>
      </c>
      <c r="K1560" s="4" t="s">
        <v>2457</v>
      </c>
      <c r="L1560" s="10">
        <v>4</v>
      </c>
      <c r="M1560" s="5">
        <v>2198.5294117647059</v>
      </c>
      <c r="N1560" s="5">
        <v>8794.1176470588198</v>
      </c>
    </row>
    <row r="1561" spans="1:14" x14ac:dyDescent="0.25">
      <c r="A1561" s="4" t="s">
        <v>3196</v>
      </c>
      <c r="B1561" s="4" t="s">
        <v>3195</v>
      </c>
      <c r="C1561" s="4" t="s">
        <v>2344</v>
      </c>
      <c r="D1561" s="4" t="s">
        <v>237</v>
      </c>
      <c r="E1561" s="4" t="s">
        <v>2459</v>
      </c>
      <c r="F1561" s="4" t="s">
        <v>2458</v>
      </c>
      <c r="G1561" s="4" t="s">
        <v>2263</v>
      </c>
      <c r="H1561" s="9" t="s">
        <v>2263</v>
      </c>
      <c r="I1561" s="4" t="s">
        <v>2263</v>
      </c>
      <c r="J1561" s="4" t="s">
        <v>2263</v>
      </c>
      <c r="K1561" s="4" t="s">
        <v>2457</v>
      </c>
      <c r="L1561" s="10">
        <v>4</v>
      </c>
      <c r="M1561" s="5">
        <v>2198.5294117647059</v>
      </c>
      <c r="N1561" s="5">
        <v>8794.1176470588198</v>
      </c>
    </row>
    <row r="1562" spans="1:14" x14ac:dyDescent="0.25">
      <c r="A1562" s="4" t="s">
        <v>2384</v>
      </c>
      <c r="B1562" s="4" t="s">
        <v>3187</v>
      </c>
      <c r="C1562" s="4" t="s">
        <v>2344</v>
      </c>
      <c r="D1562" s="4" t="s">
        <v>237</v>
      </c>
      <c r="E1562" s="4" t="s">
        <v>2459</v>
      </c>
      <c r="F1562" s="4" t="s">
        <v>2458</v>
      </c>
      <c r="G1562" s="4" t="s">
        <v>2263</v>
      </c>
      <c r="H1562" s="9" t="s">
        <v>2263</v>
      </c>
      <c r="I1562" s="4" t="s">
        <v>2263</v>
      </c>
      <c r="J1562" s="4" t="s">
        <v>2263</v>
      </c>
      <c r="K1562" s="4" t="s">
        <v>2457</v>
      </c>
      <c r="L1562" s="10">
        <v>4</v>
      </c>
      <c r="M1562" s="5">
        <v>2198.5294117647059</v>
      </c>
      <c r="N1562" s="5">
        <v>8794.1176470588198</v>
      </c>
    </row>
    <row r="1563" spans="1:14" x14ac:dyDescent="0.25">
      <c r="A1563" s="4" t="s">
        <v>2386</v>
      </c>
      <c r="B1563" s="4" t="s">
        <v>2385</v>
      </c>
      <c r="C1563" s="4" t="s">
        <v>2344</v>
      </c>
      <c r="D1563" s="4" t="s">
        <v>237</v>
      </c>
      <c r="E1563" s="4" t="s">
        <v>2459</v>
      </c>
      <c r="F1563" s="4" t="s">
        <v>2458</v>
      </c>
      <c r="G1563" s="4" t="s">
        <v>2263</v>
      </c>
      <c r="H1563" s="9" t="s">
        <v>2263</v>
      </c>
      <c r="I1563" s="4" t="s">
        <v>2263</v>
      </c>
      <c r="J1563" s="4" t="s">
        <v>2263</v>
      </c>
      <c r="K1563" s="4" t="s">
        <v>2457</v>
      </c>
      <c r="L1563" s="10">
        <v>4</v>
      </c>
      <c r="M1563" s="5">
        <v>2198.5294117647059</v>
      </c>
      <c r="N1563" s="5">
        <v>8794.1176470588198</v>
      </c>
    </row>
    <row r="1564" spans="1:14" x14ac:dyDescent="0.25">
      <c r="A1564" s="4" t="s">
        <v>2481</v>
      </c>
      <c r="B1564" s="4" t="s">
        <v>3217</v>
      </c>
      <c r="C1564" s="4" t="s">
        <v>2279</v>
      </c>
      <c r="D1564" s="4" t="s">
        <v>2278</v>
      </c>
      <c r="E1564" s="4" t="s">
        <v>3220</v>
      </c>
      <c r="F1564" s="4" t="s">
        <v>3219</v>
      </c>
      <c r="G1564" s="4" t="s">
        <v>2263</v>
      </c>
      <c r="H1564" s="9" t="s">
        <v>2263</v>
      </c>
      <c r="I1564" s="4" t="s">
        <v>2263</v>
      </c>
      <c r="J1564" s="4" t="s">
        <v>2263</v>
      </c>
      <c r="K1564" s="4" t="s">
        <v>3218</v>
      </c>
      <c r="L1564" s="10">
        <v>4</v>
      </c>
      <c r="M1564" s="5">
        <v>2200</v>
      </c>
      <c r="N1564" s="5">
        <v>8800</v>
      </c>
    </row>
    <row r="1565" spans="1:14" x14ac:dyDescent="0.25">
      <c r="A1565" s="4" t="s">
        <v>3157</v>
      </c>
      <c r="B1565" s="4" t="s">
        <v>3156</v>
      </c>
      <c r="C1565" s="4" t="s">
        <v>2344</v>
      </c>
      <c r="D1565" s="4" t="s">
        <v>237</v>
      </c>
      <c r="E1565" s="4" t="s">
        <v>2381</v>
      </c>
      <c r="F1565" s="4" t="s">
        <v>2380</v>
      </c>
      <c r="G1565" s="4" t="s">
        <v>2263</v>
      </c>
      <c r="H1565" s="9" t="s">
        <v>2263</v>
      </c>
      <c r="I1565" s="4" t="s">
        <v>2263</v>
      </c>
      <c r="J1565" s="4" t="s">
        <v>2263</v>
      </c>
      <c r="K1565" s="4" t="s">
        <v>2379</v>
      </c>
      <c r="L1565" s="10">
        <v>4</v>
      </c>
      <c r="M1565" s="5">
        <v>2206.7211700182816</v>
      </c>
      <c r="N1565" s="5">
        <v>8826.8846800731299</v>
      </c>
    </row>
    <row r="1566" spans="1:14" x14ac:dyDescent="0.25">
      <c r="A1566" s="4" t="s">
        <v>2320</v>
      </c>
      <c r="B1566" s="4" t="s">
        <v>4967</v>
      </c>
      <c r="C1566" s="4" t="s">
        <v>2320</v>
      </c>
      <c r="D1566" s="4" t="s">
        <v>242</v>
      </c>
      <c r="E1566" s="4" t="s">
        <v>5127</v>
      </c>
      <c r="F1566" s="4" t="s">
        <v>5126</v>
      </c>
      <c r="G1566" s="4" t="s">
        <v>2263</v>
      </c>
      <c r="H1566" s="9" t="s">
        <v>2263</v>
      </c>
      <c r="I1566" s="4" t="s">
        <v>2317</v>
      </c>
      <c r="J1566" s="4" t="s">
        <v>2316</v>
      </c>
      <c r="K1566" s="4" t="s">
        <v>2263</v>
      </c>
      <c r="L1566" s="10">
        <v>4</v>
      </c>
      <c r="M1566" s="5">
        <v>2245.0050000000001</v>
      </c>
      <c r="N1566" s="5">
        <v>8980.02</v>
      </c>
    </row>
    <row r="1567" spans="1:14" x14ac:dyDescent="0.25">
      <c r="A1567" s="4" t="s">
        <v>2320</v>
      </c>
      <c r="B1567" s="4" t="s">
        <v>4967</v>
      </c>
      <c r="C1567" s="4" t="s">
        <v>2344</v>
      </c>
      <c r="D1567" s="4" t="s">
        <v>237</v>
      </c>
      <c r="E1567" s="4" t="s">
        <v>4589</v>
      </c>
      <c r="F1567" s="4" t="s">
        <v>2756</v>
      </c>
      <c r="G1567" s="4" t="s">
        <v>2263</v>
      </c>
      <c r="H1567" s="9" t="s">
        <v>2263</v>
      </c>
      <c r="I1567" s="4" t="s">
        <v>2263</v>
      </c>
      <c r="J1567" s="4" t="s">
        <v>2263</v>
      </c>
      <c r="K1567" s="4" t="s">
        <v>2755</v>
      </c>
      <c r="L1567" s="10">
        <v>4</v>
      </c>
      <c r="M1567" s="5">
        <v>2250.2008641975308</v>
      </c>
      <c r="N1567" s="5">
        <v>9000.8034567901195</v>
      </c>
    </row>
    <row r="1568" spans="1:14" x14ac:dyDescent="0.25">
      <c r="A1568" s="4" t="s">
        <v>3174</v>
      </c>
      <c r="B1568" s="4" t="s">
        <v>3173</v>
      </c>
      <c r="C1568" s="4" t="s">
        <v>2344</v>
      </c>
      <c r="D1568" s="4" t="s">
        <v>237</v>
      </c>
      <c r="E1568" s="4" t="s">
        <v>3043</v>
      </c>
      <c r="F1568" s="4" t="s">
        <v>2458</v>
      </c>
      <c r="G1568" s="4" t="s">
        <v>2263</v>
      </c>
      <c r="H1568" s="9" t="s">
        <v>2263</v>
      </c>
      <c r="I1568" s="4" t="s">
        <v>2263</v>
      </c>
      <c r="J1568" s="4" t="s">
        <v>2263</v>
      </c>
      <c r="K1568" s="4" t="s">
        <v>2457</v>
      </c>
      <c r="L1568" s="10">
        <v>4</v>
      </c>
      <c r="M1568" s="5">
        <v>2256.593404255319</v>
      </c>
      <c r="N1568" s="5">
        <v>9026.3736170212796</v>
      </c>
    </row>
    <row r="1569" spans="1:14" x14ac:dyDescent="0.25">
      <c r="A1569" s="4" t="s">
        <v>3157</v>
      </c>
      <c r="B1569" s="4" t="s">
        <v>3156</v>
      </c>
      <c r="C1569" s="4" t="s">
        <v>2344</v>
      </c>
      <c r="D1569" s="4" t="s">
        <v>237</v>
      </c>
      <c r="E1569" s="4" t="s">
        <v>3043</v>
      </c>
      <c r="F1569" s="4" t="s">
        <v>2458</v>
      </c>
      <c r="G1569" s="4" t="s">
        <v>2263</v>
      </c>
      <c r="H1569" s="9" t="s">
        <v>2263</v>
      </c>
      <c r="I1569" s="4" t="s">
        <v>2263</v>
      </c>
      <c r="J1569" s="4" t="s">
        <v>2263</v>
      </c>
      <c r="K1569" s="4" t="s">
        <v>2457</v>
      </c>
      <c r="L1569" s="10">
        <v>4</v>
      </c>
      <c r="M1569" s="5">
        <v>2256.593404255319</v>
      </c>
      <c r="N1569" s="5">
        <v>9026.3736170212796</v>
      </c>
    </row>
    <row r="1570" spans="1:14" x14ac:dyDescent="0.25">
      <c r="A1570" s="4" t="s">
        <v>3024</v>
      </c>
      <c r="B1570" s="4" t="s">
        <v>3023</v>
      </c>
      <c r="C1570" s="4" t="s">
        <v>2344</v>
      </c>
      <c r="D1570" s="4" t="s">
        <v>237</v>
      </c>
      <c r="E1570" s="4" t="s">
        <v>3043</v>
      </c>
      <c r="F1570" s="4" t="s">
        <v>2458</v>
      </c>
      <c r="G1570" s="4" t="s">
        <v>2263</v>
      </c>
      <c r="H1570" s="9" t="s">
        <v>2263</v>
      </c>
      <c r="I1570" s="4" t="s">
        <v>2263</v>
      </c>
      <c r="J1570" s="4" t="s">
        <v>2263</v>
      </c>
      <c r="K1570" s="4" t="s">
        <v>2457</v>
      </c>
      <c r="L1570" s="10">
        <v>4</v>
      </c>
      <c r="M1570" s="5">
        <v>2256.593404255319</v>
      </c>
      <c r="N1570" s="5">
        <v>9026.3736170212796</v>
      </c>
    </row>
    <row r="1571" spans="1:14" x14ac:dyDescent="0.25">
      <c r="A1571" s="4" t="s">
        <v>2344</v>
      </c>
      <c r="B1571" s="4" t="s">
        <v>5154</v>
      </c>
      <c r="C1571" s="4" t="s">
        <v>2320</v>
      </c>
      <c r="D1571" s="4" t="s">
        <v>242</v>
      </c>
      <c r="E1571" s="4" t="s">
        <v>2891</v>
      </c>
      <c r="F1571" s="4" t="s">
        <v>2890</v>
      </c>
      <c r="G1571" s="4" t="s">
        <v>2263</v>
      </c>
      <c r="H1571" s="9" t="s">
        <v>2263</v>
      </c>
      <c r="I1571" s="4" t="s">
        <v>2317</v>
      </c>
      <c r="J1571" s="4" t="s">
        <v>2316</v>
      </c>
      <c r="K1571" s="4" t="s">
        <v>2263</v>
      </c>
      <c r="L1571" s="10">
        <v>4</v>
      </c>
      <c r="M1571" s="5">
        <v>2314.879117647059</v>
      </c>
      <c r="N1571" s="5">
        <v>9259.5164705882398</v>
      </c>
    </row>
    <row r="1572" spans="1:14" x14ac:dyDescent="0.25">
      <c r="A1572" s="4" t="s">
        <v>2320</v>
      </c>
      <c r="B1572" s="4" t="s">
        <v>4967</v>
      </c>
      <c r="C1572" s="4" t="s">
        <v>2344</v>
      </c>
      <c r="D1572" s="4" t="s">
        <v>237</v>
      </c>
      <c r="E1572" s="4" t="s">
        <v>4922</v>
      </c>
      <c r="F1572" s="4" t="s">
        <v>2463</v>
      </c>
      <c r="G1572" s="4" t="s">
        <v>2263</v>
      </c>
      <c r="H1572" s="9" t="s">
        <v>2263</v>
      </c>
      <c r="I1572" s="4" t="s">
        <v>2263</v>
      </c>
      <c r="J1572" s="4" t="s">
        <v>2263</v>
      </c>
      <c r="K1572" s="4" t="s">
        <v>2462</v>
      </c>
      <c r="L1572" s="10">
        <v>4</v>
      </c>
      <c r="M1572" s="5">
        <v>2420.6186170212768</v>
      </c>
      <c r="N1572" s="5">
        <v>9682.4744680851109</v>
      </c>
    </row>
    <row r="1573" spans="1:14" x14ac:dyDescent="0.25">
      <c r="A1573" s="4" t="s">
        <v>2320</v>
      </c>
      <c r="B1573" s="4" t="s">
        <v>4967</v>
      </c>
      <c r="C1573" s="4" t="s">
        <v>2320</v>
      </c>
      <c r="D1573" s="4" t="s">
        <v>242</v>
      </c>
      <c r="E1573" s="4" t="s">
        <v>4215</v>
      </c>
      <c r="F1573" s="4" t="s">
        <v>4214</v>
      </c>
      <c r="G1573" s="4" t="s">
        <v>2263</v>
      </c>
      <c r="H1573" s="9" t="s">
        <v>2263</v>
      </c>
      <c r="I1573" s="4" t="s">
        <v>2317</v>
      </c>
      <c r="J1573" s="4" t="s">
        <v>2316</v>
      </c>
      <c r="K1573" s="4" t="s">
        <v>2263</v>
      </c>
      <c r="L1573" s="10">
        <v>4</v>
      </c>
      <c r="M1573" s="5">
        <v>2525.5744680851062</v>
      </c>
      <c r="N1573" s="5">
        <v>10102.29787234043</v>
      </c>
    </row>
    <row r="1574" spans="1:14" x14ac:dyDescent="0.25">
      <c r="A1574" s="4" t="s">
        <v>2320</v>
      </c>
      <c r="B1574" s="4" t="s">
        <v>4967</v>
      </c>
      <c r="C1574" s="4" t="s">
        <v>2344</v>
      </c>
      <c r="D1574" s="4" t="s">
        <v>237</v>
      </c>
      <c r="E1574" s="4" t="s">
        <v>4601</v>
      </c>
      <c r="F1574" s="4" t="s">
        <v>4600</v>
      </c>
      <c r="G1574" s="4" t="s">
        <v>2263</v>
      </c>
      <c r="H1574" s="9" t="s">
        <v>2263</v>
      </c>
      <c r="I1574" s="4" t="s">
        <v>2263</v>
      </c>
      <c r="J1574" s="4" t="s">
        <v>2263</v>
      </c>
      <c r="K1574" s="4" t="s">
        <v>4599</v>
      </c>
      <c r="L1574" s="10">
        <v>4</v>
      </c>
      <c r="M1574" s="5">
        <v>2833.9621649484534</v>
      </c>
      <c r="N1574" s="5">
        <v>11335.84865979381</v>
      </c>
    </row>
    <row r="1575" spans="1:14" x14ac:dyDescent="0.25">
      <c r="A1575" s="4" t="s">
        <v>2344</v>
      </c>
      <c r="B1575" s="4" t="s">
        <v>5154</v>
      </c>
      <c r="C1575" s="4" t="s">
        <v>2344</v>
      </c>
      <c r="D1575" s="4" t="s">
        <v>237</v>
      </c>
      <c r="E1575" s="4" t="s">
        <v>5428</v>
      </c>
      <c r="F1575" s="4" t="s">
        <v>5427</v>
      </c>
      <c r="G1575" s="4" t="s">
        <v>2263</v>
      </c>
      <c r="H1575" s="9" t="s">
        <v>2263</v>
      </c>
      <c r="I1575" s="4" t="s">
        <v>2263</v>
      </c>
      <c r="J1575" s="4" t="s">
        <v>2263</v>
      </c>
      <c r="K1575" s="4" t="s">
        <v>5426</v>
      </c>
      <c r="L1575" s="10">
        <v>4</v>
      </c>
      <c r="M1575" s="5">
        <v>2922</v>
      </c>
      <c r="N1575" s="5">
        <v>11688</v>
      </c>
    </row>
    <row r="1576" spans="1:14" x14ac:dyDescent="0.25">
      <c r="A1576" s="4" t="s">
        <v>2320</v>
      </c>
      <c r="B1576" s="4" t="s">
        <v>4967</v>
      </c>
      <c r="C1576" s="4" t="s">
        <v>2267</v>
      </c>
      <c r="D1576" s="4" t="s">
        <v>2266</v>
      </c>
      <c r="E1576" s="4" t="s">
        <v>4970</v>
      </c>
      <c r="F1576" s="4" t="s">
        <v>2513</v>
      </c>
      <c r="G1576" s="4" t="s">
        <v>2263</v>
      </c>
      <c r="H1576" s="9" t="s">
        <v>2263</v>
      </c>
      <c r="I1576" s="4" t="s">
        <v>2263</v>
      </c>
      <c r="J1576" s="4" t="s">
        <v>2263</v>
      </c>
      <c r="K1576" s="4" t="s">
        <v>2512</v>
      </c>
      <c r="L1576" s="10">
        <v>4</v>
      </c>
      <c r="M1576" s="5">
        <v>2979</v>
      </c>
      <c r="N1576" s="5">
        <v>11916</v>
      </c>
    </row>
    <row r="1577" spans="1:14" x14ac:dyDescent="0.25">
      <c r="A1577" s="4" t="s">
        <v>2344</v>
      </c>
      <c r="B1577" s="4" t="s">
        <v>5154</v>
      </c>
      <c r="C1577" s="4" t="s">
        <v>2320</v>
      </c>
      <c r="D1577" s="4" t="s">
        <v>242</v>
      </c>
      <c r="E1577" s="4" t="s">
        <v>5330</v>
      </c>
      <c r="F1577" s="4" t="s">
        <v>5329</v>
      </c>
      <c r="G1577" s="4" t="s">
        <v>2263</v>
      </c>
      <c r="H1577" s="9" t="s">
        <v>2263</v>
      </c>
      <c r="I1577" s="4" t="s">
        <v>2317</v>
      </c>
      <c r="J1577" s="4" t="s">
        <v>2316</v>
      </c>
      <c r="K1577" s="4" t="s">
        <v>2263</v>
      </c>
      <c r="L1577" s="10">
        <v>4</v>
      </c>
      <c r="M1577" s="5">
        <v>2989</v>
      </c>
      <c r="N1577" s="5">
        <v>11956</v>
      </c>
    </row>
    <row r="1578" spans="1:14" x14ac:dyDescent="0.25">
      <c r="A1578" s="4" t="s">
        <v>2320</v>
      </c>
      <c r="B1578" s="4" t="s">
        <v>4967</v>
      </c>
      <c r="C1578" s="4" t="s">
        <v>2320</v>
      </c>
      <c r="D1578" s="4" t="s">
        <v>242</v>
      </c>
      <c r="E1578" s="4" t="s">
        <v>4213</v>
      </c>
      <c r="F1578" s="4" t="s">
        <v>4212</v>
      </c>
      <c r="G1578" s="4" t="s">
        <v>2263</v>
      </c>
      <c r="H1578" s="9" t="s">
        <v>2263</v>
      </c>
      <c r="I1578" s="4" t="s">
        <v>2317</v>
      </c>
      <c r="J1578" s="4" t="s">
        <v>2316</v>
      </c>
      <c r="K1578" s="4" t="s">
        <v>2263</v>
      </c>
      <c r="L1578" s="10">
        <v>4</v>
      </c>
      <c r="M1578" s="5">
        <v>3045.0532142857146</v>
      </c>
      <c r="N1578" s="5">
        <v>12180.21285714286</v>
      </c>
    </row>
    <row r="1579" spans="1:14" x14ac:dyDescent="0.25">
      <c r="A1579" s="4" t="s">
        <v>2344</v>
      </c>
      <c r="B1579" s="4" t="s">
        <v>5154</v>
      </c>
      <c r="C1579" s="4" t="s">
        <v>2320</v>
      </c>
      <c r="D1579" s="4" t="s">
        <v>242</v>
      </c>
      <c r="E1579" s="4" t="s">
        <v>4197</v>
      </c>
      <c r="F1579" s="4" t="s">
        <v>4196</v>
      </c>
      <c r="G1579" s="4" t="s">
        <v>2263</v>
      </c>
      <c r="H1579" s="9" t="s">
        <v>2263</v>
      </c>
      <c r="I1579" s="4" t="s">
        <v>2317</v>
      </c>
      <c r="J1579" s="4" t="s">
        <v>2316</v>
      </c>
      <c r="K1579" s="4" t="s">
        <v>2263</v>
      </c>
      <c r="L1579" s="10">
        <v>4</v>
      </c>
      <c r="M1579" s="5">
        <v>3100</v>
      </c>
      <c r="N1579" s="5">
        <v>12400</v>
      </c>
    </row>
    <row r="1580" spans="1:14" x14ac:dyDescent="0.25">
      <c r="A1580" s="4" t="s">
        <v>2344</v>
      </c>
      <c r="B1580" s="4" t="s">
        <v>5154</v>
      </c>
      <c r="C1580" s="4" t="s">
        <v>2320</v>
      </c>
      <c r="D1580" s="4" t="s">
        <v>242</v>
      </c>
      <c r="E1580" s="4" t="s">
        <v>5023</v>
      </c>
      <c r="F1580" s="4" t="s">
        <v>5022</v>
      </c>
      <c r="G1580" s="4" t="s">
        <v>2263</v>
      </c>
      <c r="H1580" s="9" t="s">
        <v>2263</v>
      </c>
      <c r="I1580" s="4" t="s">
        <v>2317</v>
      </c>
      <c r="J1580" s="4" t="s">
        <v>2316</v>
      </c>
      <c r="K1580" s="4" t="s">
        <v>2263</v>
      </c>
      <c r="L1580" s="10">
        <v>4</v>
      </c>
      <c r="M1580" s="5">
        <v>3412.6313333333337</v>
      </c>
      <c r="N1580" s="5">
        <v>13650.525333333329</v>
      </c>
    </row>
    <row r="1581" spans="1:14" x14ac:dyDescent="0.25">
      <c r="A1581" s="4" t="s">
        <v>2320</v>
      </c>
      <c r="B1581" s="4" t="s">
        <v>4967</v>
      </c>
      <c r="C1581" s="4" t="s">
        <v>2320</v>
      </c>
      <c r="D1581" s="4" t="s">
        <v>242</v>
      </c>
      <c r="E1581" s="4" t="s">
        <v>3877</v>
      </c>
      <c r="F1581" s="4" t="s">
        <v>3876</v>
      </c>
      <c r="G1581" s="4" t="s">
        <v>2263</v>
      </c>
      <c r="H1581" s="9" t="s">
        <v>2263</v>
      </c>
      <c r="I1581" s="4" t="s">
        <v>2317</v>
      </c>
      <c r="J1581" s="4" t="s">
        <v>2316</v>
      </c>
      <c r="K1581" s="4" t="s">
        <v>2263</v>
      </c>
      <c r="L1581" s="10">
        <v>4</v>
      </c>
      <c r="M1581" s="5">
        <v>3846.7933333333335</v>
      </c>
      <c r="N1581" s="5">
        <v>15387.17333333333</v>
      </c>
    </row>
    <row r="1582" spans="1:14" x14ac:dyDescent="0.25">
      <c r="A1582" s="4" t="s">
        <v>2317</v>
      </c>
      <c r="B1582" s="4" t="s">
        <v>3839</v>
      </c>
      <c r="C1582" s="4" t="s">
        <v>2320</v>
      </c>
      <c r="D1582" s="4" t="s">
        <v>242</v>
      </c>
      <c r="E1582" s="4" t="s">
        <v>3877</v>
      </c>
      <c r="F1582" s="4" t="s">
        <v>3876</v>
      </c>
      <c r="G1582" s="4" t="s">
        <v>2263</v>
      </c>
      <c r="H1582" s="9" t="s">
        <v>2263</v>
      </c>
      <c r="I1582" s="4" t="s">
        <v>2317</v>
      </c>
      <c r="J1582" s="4" t="s">
        <v>2316</v>
      </c>
      <c r="K1582" s="4" t="s">
        <v>2263</v>
      </c>
      <c r="L1582" s="10">
        <v>4</v>
      </c>
      <c r="M1582" s="5">
        <v>3846.7933333333335</v>
      </c>
      <c r="N1582" s="5">
        <v>15387.17333333333</v>
      </c>
    </row>
    <row r="1583" spans="1:14" x14ac:dyDescent="0.25">
      <c r="A1583" s="4" t="s">
        <v>2320</v>
      </c>
      <c r="B1583" s="4" t="s">
        <v>4967</v>
      </c>
      <c r="C1583" s="4" t="s">
        <v>2344</v>
      </c>
      <c r="D1583" s="4" t="s">
        <v>237</v>
      </c>
      <c r="E1583" s="4" t="s">
        <v>2461</v>
      </c>
      <c r="F1583" s="4" t="s">
        <v>2460</v>
      </c>
      <c r="G1583" s="4" t="s">
        <v>2263</v>
      </c>
      <c r="H1583" s="9" t="s">
        <v>2263</v>
      </c>
      <c r="I1583" s="4" t="s">
        <v>2263</v>
      </c>
      <c r="J1583" s="4" t="s">
        <v>2263</v>
      </c>
      <c r="K1583" s="4" t="s">
        <v>2421</v>
      </c>
      <c r="L1583" s="10">
        <v>4</v>
      </c>
      <c r="M1583" s="5">
        <v>3894.9839393939396</v>
      </c>
      <c r="N1583" s="5">
        <v>15579.93575757576</v>
      </c>
    </row>
    <row r="1584" spans="1:14" x14ac:dyDescent="0.25">
      <c r="A1584" s="4" t="s">
        <v>3051</v>
      </c>
      <c r="B1584" s="4" t="s">
        <v>3050</v>
      </c>
      <c r="C1584" s="4" t="s">
        <v>2344</v>
      </c>
      <c r="D1584" s="4" t="s">
        <v>237</v>
      </c>
      <c r="E1584" s="4" t="s">
        <v>2461</v>
      </c>
      <c r="F1584" s="4" t="s">
        <v>2460</v>
      </c>
      <c r="G1584" s="4" t="s">
        <v>2263</v>
      </c>
      <c r="H1584" s="9" t="s">
        <v>2263</v>
      </c>
      <c r="I1584" s="4" t="s">
        <v>2263</v>
      </c>
      <c r="J1584" s="4" t="s">
        <v>2263</v>
      </c>
      <c r="K1584" s="4" t="s">
        <v>2421</v>
      </c>
      <c r="L1584" s="10">
        <v>4</v>
      </c>
      <c r="M1584" s="5">
        <v>3894.9839393939396</v>
      </c>
      <c r="N1584" s="5">
        <v>15579.93575757576</v>
      </c>
    </row>
    <row r="1585" spans="1:14" x14ac:dyDescent="0.25">
      <c r="A1585" s="4" t="s">
        <v>2344</v>
      </c>
      <c r="B1585" s="4" t="s">
        <v>5154</v>
      </c>
      <c r="C1585" s="4" t="s">
        <v>2344</v>
      </c>
      <c r="D1585" s="4" t="s">
        <v>237</v>
      </c>
      <c r="E1585" s="4" t="s">
        <v>4852</v>
      </c>
      <c r="F1585" s="4" t="s">
        <v>4851</v>
      </c>
      <c r="G1585" s="4" t="s">
        <v>2263</v>
      </c>
      <c r="H1585" s="9" t="s">
        <v>2263</v>
      </c>
      <c r="I1585" s="4" t="s">
        <v>2263</v>
      </c>
      <c r="J1585" s="4" t="s">
        <v>2263</v>
      </c>
      <c r="K1585" s="4" t="s">
        <v>4850</v>
      </c>
      <c r="L1585" s="10">
        <v>4</v>
      </c>
      <c r="M1585" s="5">
        <v>4109.090909090909</v>
      </c>
      <c r="N1585" s="5">
        <v>16436.36363636364</v>
      </c>
    </row>
    <row r="1586" spans="1:14" x14ac:dyDescent="0.25">
      <c r="A1586" s="4" t="s">
        <v>2344</v>
      </c>
      <c r="B1586" s="4" t="s">
        <v>5154</v>
      </c>
      <c r="C1586" s="4" t="s">
        <v>2320</v>
      </c>
      <c r="D1586" s="4" t="s">
        <v>242</v>
      </c>
      <c r="E1586" s="4" t="s">
        <v>3883</v>
      </c>
      <c r="F1586" s="4" t="s">
        <v>3882</v>
      </c>
      <c r="G1586" s="4" t="s">
        <v>2263</v>
      </c>
      <c r="H1586" s="9" t="s">
        <v>2263</v>
      </c>
      <c r="I1586" s="4" t="s">
        <v>2317</v>
      </c>
      <c r="J1586" s="4" t="s">
        <v>2316</v>
      </c>
      <c r="K1586" s="4" t="s">
        <v>2263</v>
      </c>
      <c r="L1586" s="10">
        <v>4</v>
      </c>
      <c r="M1586" s="5">
        <v>4540.2125333333333</v>
      </c>
      <c r="N1586" s="5">
        <v>18160.85013333333</v>
      </c>
    </row>
    <row r="1587" spans="1:14" x14ac:dyDescent="0.25">
      <c r="A1587" s="4" t="s">
        <v>2320</v>
      </c>
      <c r="B1587" s="4" t="s">
        <v>4967</v>
      </c>
      <c r="C1587" s="4" t="s">
        <v>2320</v>
      </c>
      <c r="D1587" s="4" t="s">
        <v>242</v>
      </c>
      <c r="E1587" s="4" t="s">
        <v>3883</v>
      </c>
      <c r="F1587" s="4" t="s">
        <v>3882</v>
      </c>
      <c r="G1587" s="4" t="s">
        <v>2263</v>
      </c>
      <c r="H1587" s="9" t="s">
        <v>2263</v>
      </c>
      <c r="I1587" s="4" t="s">
        <v>2317</v>
      </c>
      <c r="J1587" s="4" t="s">
        <v>2316</v>
      </c>
      <c r="K1587" s="4" t="s">
        <v>2263</v>
      </c>
      <c r="L1587" s="10">
        <v>4</v>
      </c>
      <c r="M1587" s="5">
        <v>4540.2125333333333</v>
      </c>
      <c r="N1587" s="5">
        <v>18160.85013333333</v>
      </c>
    </row>
    <row r="1588" spans="1:14" x14ac:dyDescent="0.25">
      <c r="A1588" s="4" t="s">
        <v>2653</v>
      </c>
      <c r="B1588" s="4" t="s">
        <v>3226</v>
      </c>
      <c r="C1588" s="4" t="s">
        <v>2384</v>
      </c>
      <c r="D1588" s="4" t="s">
        <v>262</v>
      </c>
      <c r="E1588" s="4" t="s">
        <v>3414</v>
      </c>
      <c r="F1588" s="4" t="s">
        <v>3413</v>
      </c>
      <c r="G1588" s="4" t="s">
        <v>2263</v>
      </c>
      <c r="H1588" s="9" t="s">
        <v>2263</v>
      </c>
      <c r="I1588" s="4" t="s">
        <v>2317</v>
      </c>
      <c r="J1588" s="4" t="s">
        <v>2316</v>
      </c>
      <c r="K1588" s="4" t="s">
        <v>2263</v>
      </c>
      <c r="L1588" s="10">
        <v>4</v>
      </c>
      <c r="M1588" s="5">
        <v>4600</v>
      </c>
      <c r="N1588" s="5">
        <v>18400</v>
      </c>
    </row>
    <row r="1589" spans="1:14" x14ac:dyDescent="0.25">
      <c r="A1589" s="4" t="s">
        <v>2673</v>
      </c>
      <c r="B1589" s="4" t="s">
        <v>2672</v>
      </c>
      <c r="C1589" s="4" t="s">
        <v>2320</v>
      </c>
      <c r="D1589" s="4" t="s">
        <v>242</v>
      </c>
      <c r="E1589" s="4" t="s">
        <v>2697</v>
      </c>
      <c r="F1589" s="4" t="s">
        <v>2696</v>
      </c>
      <c r="G1589" s="4" t="s">
        <v>2263</v>
      </c>
      <c r="H1589" s="9" t="s">
        <v>2263</v>
      </c>
      <c r="I1589" s="4" t="s">
        <v>2317</v>
      </c>
      <c r="J1589" s="4" t="s">
        <v>2316</v>
      </c>
      <c r="K1589" s="4" t="s">
        <v>2263</v>
      </c>
      <c r="L1589" s="10">
        <v>4</v>
      </c>
      <c r="M1589" s="5">
        <v>4942.9965822784807</v>
      </c>
      <c r="N1589" s="5">
        <v>19771.986329113919</v>
      </c>
    </row>
    <row r="1590" spans="1:14" x14ac:dyDescent="0.25">
      <c r="A1590" s="4" t="s">
        <v>2653</v>
      </c>
      <c r="B1590" s="4" t="s">
        <v>3226</v>
      </c>
      <c r="C1590" s="4" t="s">
        <v>2384</v>
      </c>
      <c r="D1590" s="4" t="s">
        <v>262</v>
      </c>
      <c r="E1590" s="4" t="s">
        <v>3398</v>
      </c>
      <c r="F1590" s="4" t="s">
        <v>3397</v>
      </c>
      <c r="G1590" s="4" t="s">
        <v>2263</v>
      </c>
      <c r="H1590" s="9" t="s">
        <v>2263</v>
      </c>
      <c r="I1590" s="4" t="s">
        <v>2317</v>
      </c>
      <c r="J1590" s="4" t="s">
        <v>2316</v>
      </c>
      <c r="K1590" s="4" t="s">
        <v>2263</v>
      </c>
      <c r="L1590" s="10">
        <v>4</v>
      </c>
      <c r="M1590" s="5">
        <v>4984.0874999999996</v>
      </c>
      <c r="N1590" s="5">
        <v>19936.349999999999</v>
      </c>
    </row>
    <row r="1591" spans="1:14" x14ac:dyDescent="0.25">
      <c r="A1591" s="4" t="s">
        <v>2320</v>
      </c>
      <c r="B1591" s="4" t="s">
        <v>4967</v>
      </c>
      <c r="C1591" s="4" t="s">
        <v>2320</v>
      </c>
      <c r="D1591" s="4" t="s">
        <v>242</v>
      </c>
      <c r="E1591" s="4" t="s">
        <v>4217</v>
      </c>
      <c r="F1591" s="4" t="s">
        <v>4216</v>
      </c>
      <c r="G1591" s="4" t="s">
        <v>2263</v>
      </c>
      <c r="H1591" s="9" t="s">
        <v>2263</v>
      </c>
      <c r="I1591" s="4" t="s">
        <v>2317</v>
      </c>
      <c r="J1591" s="4" t="s">
        <v>2316</v>
      </c>
      <c r="K1591" s="4" t="s">
        <v>2263</v>
      </c>
      <c r="L1591" s="10">
        <v>4</v>
      </c>
      <c r="M1591" s="5">
        <v>5011.5231578947369</v>
      </c>
      <c r="N1591" s="5">
        <v>20046.092631578951</v>
      </c>
    </row>
    <row r="1592" spans="1:14" x14ac:dyDescent="0.25">
      <c r="A1592" s="4" t="s">
        <v>3051</v>
      </c>
      <c r="B1592" s="4" t="s">
        <v>3050</v>
      </c>
      <c r="C1592" s="4" t="s">
        <v>2384</v>
      </c>
      <c r="D1592" s="4" t="s">
        <v>262</v>
      </c>
      <c r="E1592" s="4" t="s">
        <v>3053</v>
      </c>
      <c r="F1592" s="4" t="s">
        <v>3052</v>
      </c>
      <c r="G1592" s="4" t="s">
        <v>2263</v>
      </c>
      <c r="H1592" s="9" t="s">
        <v>2263</v>
      </c>
      <c r="I1592" s="4" t="s">
        <v>2317</v>
      </c>
      <c r="J1592" s="4" t="s">
        <v>2316</v>
      </c>
      <c r="K1592" s="4" t="s">
        <v>2263</v>
      </c>
      <c r="L1592" s="10">
        <v>4</v>
      </c>
      <c r="M1592" s="5">
        <v>5237.6400000000003</v>
      </c>
      <c r="N1592" s="5">
        <v>20950.560000000001</v>
      </c>
    </row>
    <row r="1593" spans="1:14" x14ac:dyDescent="0.25">
      <c r="A1593" s="4" t="s">
        <v>2344</v>
      </c>
      <c r="B1593" s="4" t="s">
        <v>5154</v>
      </c>
      <c r="C1593" s="4" t="s">
        <v>2344</v>
      </c>
      <c r="D1593" s="4" t="s">
        <v>237</v>
      </c>
      <c r="E1593" s="4" t="s">
        <v>4877</v>
      </c>
      <c r="F1593" s="4" t="s">
        <v>2616</v>
      </c>
      <c r="G1593" s="4" t="s">
        <v>2263</v>
      </c>
      <c r="H1593" s="9" t="s">
        <v>2263</v>
      </c>
      <c r="I1593" s="4" t="s">
        <v>2263</v>
      </c>
      <c r="J1593" s="4" t="s">
        <v>2263</v>
      </c>
      <c r="K1593" s="4" t="s">
        <v>2615</v>
      </c>
      <c r="L1593" s="10">
        <v>4</v>
      </c>
      <c r="M1593" s="5">
        <v>5499.625</v>
      </c>
      <c r="N1593" s="5">
        <v>21998.5</v>
      </c>
    </row>
    <row r="1594" spans="1:14" x14ac:dyDescent="0.25">
      <c r="A1594" s="4" t="s">
        <v>2274</v>
      </c>
      <c r="B1594" s="4" t="s">
        <v>4348</v>
      </c>
      <c r="C1594" s="4" t="s">
        <v>2344</v>
      </c>
      <c r="D1594" s="4" t="s">
        <v>237</v>
      </c>
      <c r="E1594" s="4" t="s">
        <v>4877</v>
      </c>
      <c r="F1594" s="4" t="s">
        <v>2616</v>
      </c>
      <c r="G1594" s="4" t="s">
        <v>2263</v>
      </c>
      <c r="H1594" s="9" t="s">
        <v>2263</v>
      </c>
      <c r="I1594" s="4" t="s">
        <v>2263</v>
      </c>
      <c r="J1594" s="4" t="s">
        <v>2263</v>
      </c>
      <c r="K1594" s="4" t="s">
        <v>2615</v>
      </c>
      <c r="L1594" s="10">
        <v>4</v>
      </c>
      <c r="M1594" s="5">
        <v>5499.625</v>
      </c>
      <c r="N1594" s="5">
        <v>21998.5</v>
      </c>
    </row>
    <row r="1595" spans="1:14" x14ac:dyDescent="0.25">
      <c r="A1595" s="4" t="s">
        <v>2320</v>
      </c>
      <c r="B1595" s="4" t="s">
        <v>4967</v>
      </c>
      <c r="C1595" s="4" t="s">
        <v>2267</v>
      </c>
      <c r="D1595" s="4" t="s">
        <v>2266</v>
      </c>
      <c r="E1595" s="4" t="s">
        <v>2867</v>
      </c>
      <c r="F1595" s="4" t="s">
        <v>2866</v>
      </c>
      <c r="G1595" s="4" t="s">
        <v>2263</v>
      </c>
      <c r="H1595" s="9" t="s">
        <v>2263</v>
      </c>
      <c r="I1595" s="4" t="s">
        <v>2263</v>
      </c>
      <c r="J1595" s="4" t="s">
        <v>2263</v>
      </c>
      <c r="K1595" s="4" t="s">
        <v>2262</v>
      </c>
      <c r="L1595" s="10">
        <v>4</v>
      </c>
      <c r="M1595" s="5">
        <v>5874.1665745856362</v>
      </c>
      <c r="N1595" s="5">
        <v>23496.666298342541</v>
      </c>
    </row>
    <row r="1596" spans="1:14" x14ac:dyDescent="0.25">
      <c r="A1596" s="4" t="s">
        <v>2320</v>
      </c>
      <c r="B1596" s="4" t="s">
        <v>4967</v>
      </c>
      <c r="C1596" s="4" t="s">
        <v>2320</v>
      </c>
      <c r="D1596" s="4" t="s">
        <v>242</v>
      </c>
      <c r="E1596" s="4" t="s">
        <v>4083</v>
      </c>
      <c r="F1596" s="4" t="s">
        <v>4082</v>
      </c>
      <c r="G1596" s="4" t="s">
        <v>2263</v>
      </c>
      <c r="H1596" s="9" t="s">
        <v>2263</v>
      </c>
      <c r="I1596" s="4" t="s">
        <v>2317</v>
      </c>
      <c r="J1596" s="4" t="s">
        <v>2316</v>
      </c>
      <c r="K1596" s="4" t="s">
        <v>2263</v>
      </c>
      <c r="L1596" s="10">
        <v>4</v>
      </c>
      <c r="M1596" s="5">
        <v>6053.3708333333334</v>
      </c>
      <c r="N1596" s="5">
        <v>24213.48333333333</v>
      </c>
    </row>
    <row r="1597" spans="1:14" x14ac:dyDescent="0.25">
      <c r="A1597" s="4" t="s">
        <v>2320</v>
      </c>
      <c r="B1597" s="4" t="s">
        <v>4967</v>
      </c>
      <c r="C1597" s="4" t="s">
        <v>2320</v>
      </c>
      <c r="D1597" s="4" t="s">
        <v>242</v>
      </c>
      <c r="E1597" s="4" t="s">
        <v>4033</v>
      </c>
      <c r="F1597" s="4" t="s">
        <v>4032</v>
      </c>
      <c r="G1597" s="4" t="s">
        <v>2263</v>
      </c>
      <c r="H1597" s="9" t="s">
        <v>2263</v>
      </c>
      <c r="I1597" s="4" t="s">
        <v>2317</v>
      </c>
      <c r="J1597" s="4" t="s">
        <v>2316</v>
      </c>
      <c r="K1597" s="4" t="s">
        <v>2263</v>
      </c>
      <c r="L1597" s="10">
        <v>4</v>
      </c>
      <c r="M1597" s="5">
        <v>7000</v>
      </c>
      <c r="N1597" s="5">
        <v>28000</v>
      </c>
    </row>
    <row r="1598" spans="1:14" x14ac:dyDescent="0.25">
      <c r="A1598" s="4" t="s">
        <v>2344</v>
      </c>
      <c r="B1598" s="4" t="s">
        <v>5154</v>
      </c>
      <c r="C1598" s="4" t="s">
        <v>2320</v>
      </c>
      <c r="D1598" s="4" t="s">
        <v>242</v>
      </c>
      <c r="E1598" s="4" t="s">
        <v>4243</v>
      </c>
      <c r="F1598" s="4" t="s">
        <v>4242</v>
      </c>
      <c r="G1598" s="4" t="s">
        <v>2263</v>
      </c>
      <c r="H1598" s="9" t="s">
        <v>2263</v>
      </c>
      <c r="I1598" s="4" t="s">
        <v>2317</v>
      </c>
      <c r="J1598" s="4" t="s">
        <v>2316</v>
      </c>
      <c r="K1598" s="4" t="s">
        <v>2263</v>
      </c>
      <c r="L1598" s="10">
        <v>4</v>
      </c>
      <c r="M1598" s="5">
        <v>7737.0401089324614</v>
      </c>
      <c r="N1598" s="5">
        <v>30948.160435729849</v>
      </c>
    </row>
    <row r="1599" spans="1:14" x14ac:dyDescent="0.25">
      <c r="A1599" s="4" t="s">
        <v>2344</v>
      </c>
      <c r="B1599" s="4" t="s">
        <v>5154</v>
      </c>
      <c r="C1599" s="4" t="s">
        <v>2320</v>
      </c>
      <c r="D1599" s="4" t="s">
        <v>242</v>
      </c>
      <c r="E1599" s="4" t="s">
        <v>4021</v>
      </c>
      <c r="F1599" s="4" t="s">
        <v>4020</v>
      </c>
      <c r="G1599" s="4" t="s">
        <v>2263</v>
      </c>
      <c r="H1599" s="9" t="s">
        <v>2263</v>
      </c>
      <c r="I1599" s="4" t="s">
        <v>2317</v>
      </c>
      <c r="J1599" s="4" t="s">
        <v>2316</v>
      </c>
      <c r="K1599" s="4" t="s">
        <v>2263</v>
      </c>
      <c r="L1599" s="10">
        <v>4</v>
      </c>
      <c r="M1599" s="5">
        <v>7937.304347826087</v>
      </c>
      <c r="N1599" s="5">
        <v>31749.217391304352</v>
      </c>
    </row>
    <row r="1600" spans="1:14" x14ac:dyDescent="0.25">
      <c r="A1600" s="4" t="s">
        <v>2320</v>
      </c>
      <c r="B1600" s="4" t="s">
        <v>4967</v>
      </c>
      <c r="C1600" s="4" t="s">
        <v>2344</v>
      </c>
      <c r="D1600" s="4" t="s">
        <v>237</v>
      </c>
      <c r="E1600" s="4" t="s">
        <v>5135</v>
      </c>
      <c r="F1600" s="4" t="s">
        <v>4570</v>
      </c>
      <c r="G1600" s="4" t="s">
        <v>2263</v>
      </c>
      <c r="H1600" s="9" t="s">
        <v>2263</v>
      </c>
      <c r="I1600" s="4" t="s">
        <v>2263</v>
      </c>
      <c r="J1600" s="4" t="s">
        <v>2263</v>
      </c>
      <c r="K1600" s="4" t="s">
        <v>2290</v>
      </c>
      <c r="L1600" s="10">
        <v>4</v>
      </c>
      <c r="M1600" s="5">
        <v>8354</v>
      </c>
      <c r="N1600" s="5">
        <v>33416</v>
      </c>
    </row>
    <row r="1601" spans="1:14" x14ac:dyDescent="0.25">
      <c r="A1601" s="4" t="s">
        <v>2653</v>
      </c>
      <c r="B1601" s="4" t="s">
        <v>3226</v>
      </c>
      <c r="C1601" s="4" t="s">
        <v>2384</v>
      </c>
      <c r="D1601" s="4" t="s">
        <v>262</v>
      </c>
      <c r="E1601" s="4" t="s">
        <v>3494</v>
      </c>
      <c r="F1601" s="4" t="s">
        <v>3493</v>
      </c>
      <c r="G1601" s="4" t="s">
        <v>2263</v>
      </c>
      <c r="H1601" s="9" t="s">
        <v>2263</v>
      </c>
      <c r="I1601" s="4" t="s">
        <v>2317</v>
      </c>
      <c r="J1601" s="4" t="s">
        <v>2316</v>
      </c>
      <c r="K1601" s="4" t="s">
        <v>2263</v>
      </c>
      <c r="L1601" s="10">
        <v>4</v>
      </c>
      <c r="M1601" s="5">
        <v>9999.25</v>
      </c>
      <c r="N1601" s="5">
        <v>39997</v>
      </c>
    </row>
    <row r="1602" spans="1:14" x14ac:dyDescent="0.25">
      <c r="A1602" s="4" t="s">
        <v>2317</v>
      </c>
      <c r="B1602" s="4" t="s">
        <v>3839</v>
      </c>
      <c r="C1602" s="4" t="s">
        <v>2320</v>
      </c>
      <c r="D1602" s="4" t="s">
        <v>242</v>
      </c>
      <c r="E1602" s="4" t="s">
        <v>2833</v>
      </c>
      <c r="F1602" s="4" t="s">
        <v>2832</v>
      </c>
      <c r="G1602" s="4" t="s">
        <v>2263</v>
      </c>
      <c r="H1602" s="9" t="s">
        <v>2263</v>
      </c>
      <c r="I1602" s="4" t="s">
        <v>2317</v>
      </c>
      <c r="J1602" s="4" t="s">
        <v>2316</v>
      </c>
      <c r="K1602" s="4" t="s">
        <v>2263</v>
      </c>
      <c r="L1602" s="10">
        <v>4</v>
      </c>
      <c r="M1602" s="5">
        <v>10030.552222222221</v>
      </c>
      <c r="N1602" s="5">
        <v>40122.20888888889</v>
      </c>
    </row>
    <row r="1603" spans="1:14" x14ac:dyDescent="0.25">
      <c r="A1603" s="4" t="s">
        <v>2653</v>
      </c>
      <c r="B1603" s="4" t="s">
        <v>3226</v>
      </c>
      <c r="C1603" s="4" t="s">
        <v>2353</v>
      </c>
      <c r="D1603" s="4" t="s">
        <v>258</v>
      </c>
      <c r="E1603" s="4" t="s">
        <v>3278</v>
      </c>
      <c r="F1603" s="4" t="s">
        <v>3277</v>
      </c>
      <c r="G1603" s="4" t="s">
        <v>2263</v>
      </c>
      <c r="H1603" s="9" t="s">
        <v>2263</v>
      </c>
      <c r="I1603" s="4" t="s">
        <v>2317</v>
      </c>
      <c r="J1603" s="4" t="s">
        <v>2316</v>
      </c>
      <c r="K1603" s="4" t="s">
        <v>2263</v>
      </c>
      <c r="L1603" s="10">
        <v>4</v>
      </c>
      <c r="M1603" s="5">
        <v>11801.5</v>
      </c>
      <c r="N1603" s="5">
        <v>47206</v>
      </c>
    </row>
    <row r="1604" spans="1:14" x14ac:dyDescent="0.25">
      <c r="A1604" s="4" t="s">
        <v>2344</v>
      </c>
      <c r="B1604" s="4" t="s">
        <v>5154</v>
      </c>
      <c r="C1604" s="4" t="s">
        <v>2320</v>
      </c>
      <c r="D1604" s="4" t="s">
        <v>242</v>
      </c>
      <c r="E1604" s="4" t="s">
        <v>3955</v>
      </c>
      <c r="F1604" s="4" t="s">
        <v>3954</v>
      </c>
      <c r="G1604" s="4" t="s">
        <v>2263</v>
      </c>
      <c r="H1604" s="9" t="s">
        <v>2263</v>
      </c>
      <c r="I1604" s="4" t="s">
        <v>2317</v>
      </c>
      <c r="J1604" s="4" t="s">
        <v>2316</v>
      </c>
      <c r="K1604" s="4" t="s">
        <v>2263</v>
      </c>
      <c r="L1604" s="10">
        <v>4</v>
      </c>
      <c r="M1604" s="5">
        <v>12353.265681818182</v>
      </c>
      <c r="N1604" s="5">
        <v>49413.062727272729</v>
      </c>
    </row>
    <row r="1605" spans="1:14" x14ac:dyDescent="0.25">
      <c r="A1605" s="4" t="s">
        <v>2344</v>
      </c>
      <c r="B1605" s="4" t="s">
        <v>5154</v>
      </c>
      <c r="C1605" s="4" t="s">
        <v>2320</v>
      </c>
      <c r="D1605" s="4" t="s">
        <v>242</v>
      </c>
      <c r="E1605" s="4" t="s">
        <v>4233</v>
      </c>
      <c r="F1605" s="4" t="s">
        <v>4232</v>
      </c>
      <c r="G1605" s="4" t="s">
        <v>2263</v>
      </c>
      <c r="H1605" s="9" t="s">
        <v>2263</v>
      </c>
      <c r="I1605" s="4" t="s">
        <v>2317</v>
      </c>
      <c r="J1605" s="4" t="s">
        <v>2316</v>
      </c>
      <c r="K1605" s="4" t="s">
        <v>2263</v>
      </c>
      <c r="L1605" s="10">
        <v>4</v>
      </c>
      <c r="M1605" s="5">
        <v>12613.713373493978</v>
      </c>
      <c r="N1605" s="5">
        <v>50454.853493975897</v>
      </c>
    </row>
    <row r="1606" spans="1:14" x14ac:dyDescent="0.25">
      <c r="A1606" s="4" t="s">
        <v>2320</v>
      </c>
      <c r="B1606" s="4" t="s">
        <v>4967</v>
      </c>
      <c r="C1606" s="4" t="s">
        <v>2267</v>
      </c>
      <c r="D1606" s="4" t="s">
        <v>2266</v>
      </c>
      <c r="E1606" s="4" t="s">
        <v>4397</v>
      </c>
      <c r="F1606" s="4" t="s">
        <v>4396</v>
      </c>
      <c r="G1606" s="4" t="s">
        <v>2263</v>
      </c>
      <c r="H1606" s="9" t="s">
        <v>2263</v>
      </c>
      <c r="I1606" s="4" t="s">
        <v>2263</v>
      </c>
      <c r="J1606" s="4" t="s">
        <v>2263</v>
      </c>
      <c r="K1606" s="4" t="s">
        <v>2494</v>
      </c>
      <c r="L1606" s="10">
        <v>4</v>
      </c>
      <c r="M1606" s="5">
        <v>12681.622916666667</v>
      </c>
      <c r="N1606" s="5">
        <v>50726.491666666669</v>
      </c>
    </row>
    <row r="1607" spans="1:14" x14ac:dyDescent="0.25">
      <c r="A1607" s="4" t="s">
        <v>2274</v>
      </c>
      <c r="B1607" s="4" t="s">
        <v>4348</v>
      </c>
      <c r="C1607" s="4" t="s">
        <v>2274</v>
      </c>
      <c r="D1607" s="4" t="s">
        <v>2273</v>
      </c>
      <c r="E1607" s="4" t="s">
        <v>4509</v>
      </c>
      <c r="F1607" s="4" t="s">
        <v>4508</v>
      </c>
      <c r="G1607" s="4" t="s">
        <v>2263</v>
      </c>
      <c r="H1607" s="9" t="s">
        <v>2263</v>
      </c>
      <c r="I1607" s="4" t="s">
        <v>2263</v>
      </c>
      <c r="J1607" s="4" t="s">
        <v>2263</v>
      </c>
      <c r="K1607" s="4" t="s">
        <v>4507</v>
      </c>
      <c r="L1607" s="10">
        <v>4</v>
      </c>
      <c r="M1607" s="5">
        <v>13880.781818181818</v>
      </c>
      <c r="N1607" s="5">
        <v>55523.127272727274</v>
      </c>
    </row>
    <row r="1608" spans="1:14" x14ac:dyDescent="0.25">
      <c r="A1608" s="4" t="s">
        <v>2344</v>
      </c>
      <c r="B1608" s="4" t="s">
        <v>5154</v>
      </c>
      <c r="C1608" s="4" t="s">
        <v>2320</v>
      </c>
      <c r="D1608" s="4" t="s">
        <v>242</v>
      </c>
      <c r="E1608" s="4" t="s">
        <v>3935</v>
      </c>
      <c r="F1608" s="4" t="s">
        <v>3934</v>
      </c>
      <c r="G1608" s="4" t="s">
        <v>2263</v>
      </c>
      <c r="H1608" s="9" t="s">
        <v>2263</v>
      </c>
      <c r="I1608" s="4" t="s">
        <v>2317</v>
      </c>
      <c r="J1608" s="4" t="s">
        <v>2316</v>
      </c>
      <c r="K1608" s="4" t="s">
        <v>2263</v>
      </c>
      <c r="L1608" s="10">
        <v>4</v>
      </c>
      <c r="M1608" s="5">
        <v>14024.245185185186</v>
      </c>
      <c r="N1608" s="5">
        <v>56096.980740740742</v>
      </c>
    </row>
    <row r="1609" spans="1:14" x14ac:dyDescent="0.25">
      <c r="A1609" s="4" t="s">
        <v>2344</v>
      </c>
      <c r="B1609" s="4" t="s">
        <v>5154</v>
      </c>
      <c r="C1609" s="4" t="s">
        <v>2279</v>
      </c>
      <c r="D1609" s="4" t="s">
        <v>2278</v>
      </c>
      <c r="E1609" s="4" t="s">
        <v>2872</v>
      </c>
      <c r="F1609" s="4" t="s">
        <v>2276</v>
      </c>
      <c r="G1609" s="4" t="s">
        <v>2263</v>
      </c>
      <c r="H1609" s="9" t="s">
        <v>2263</v>
      </c>
      <c r="I1609" s="4" t="s">
        <v>2263</v>
      </c>
      <c r="J1609" s="4" t="s">
        <v>2263</v>
      </c>
      <c r="K1609" s="4" t="s">
        <v>2275</v>
      </c>
      <c r="L1609" s="10">
        <v>4</v>
      </c>
      <c r="M1609" s="5">
        <v>14380</v>
      </c>
      <c r="N1609" s="5">
        <v>57520</v>
      </c>
    </row>
    <row r="1610" spans="1:14" x14ac:dyDescent="0.25">
      <c r="A1610" s="4" t="s">
        <v>2344</v>
      </c>
      <c r="B1610" s="4" t="s">
        <v>5154</v>
      </c>
      <c r="C1610" s="4" t="s">
        <v>2344</v>
      </c>
      <c r="D1610" s="4" t="s">
        <v>237</v>
      </c>
      <c r="E1610" s="4" t="s">
        <v>4604</v>
      </c>
      <c r="F1610" s="4" t="s">
        <v>4603</v>
      </c>
      <c r="G1610" s="4" t="s">
        <v>2263</v>
      </c>
      <c r="H1610" s="9" t="s">
        <v>2263</v>
      </c>
      <c r="I1610" s="4" t="s">
        <v>2263</v>
      </c>
      <c r="J1610" s="4" t="s">
        <v>2263</v>
      </c>
      <c r="K1610" s="4" t="s">
        <v>4602</v>
      </c>
      <c r="L1610" s="10">
        <v>4</v>
      </c>
      <c r="M1610" s="5">
        <v>15909.861052631579</v>
      </c>
      <c r="N1610" s="5">
        <v>63639.444210526322</v>
      </c>
    </row>
    <row r="1611" spans="1:14" x14ac:dyDescent="0.25">
      <c r="A1611" s="4" t="s">
        <v>2344</v>
      </c>
      <c r="B1611" s="4" t="s">
        <v>5154</v>
      </c>
      <c r="C1611" s="4" t="s">
        <v>2320</v>
      </c>
      <c r="D1611" s="4" t="s">
        <v>242</v>
      </c>
      <c r="E1611" s="4" t="s">
        <v>4143</v>
      </c>
      <c r="F1611" s="4" t="s">
        <v>4142</v>
      </c>
      <c r="G1611" s="4" t="s">
        <v>2263</v>
      </c>
      <c r="H1611" s="9" t="s">
        <v>2263</v>
      </c>
      <c r="I1611" s="4" t="s">
        <v>2317</v>
      </c>
      <c r="J1611" s="4" t="s">
        <v>2316</v>
      </c>
      <c r="K1611" s="4" t="s">
        <v>2263</v>
      </c>
      <c r="L1611" s="10">
        <v>4</v>
      </c>
      <c r="M1611" s="5">
        <v>17307.370588235295</v>
      </c>
      <c r="N1611" s="5">
        <v>69229.482352941181</v>
      </c>
    </row>
    <row r="1612" spans="1:14" x14ac:dyDescent="0.25">
      <c r="A1612" s="4" t="s">
        <v>3801</v>
      </c>
      <c r="B1612" s="4" t="s">
        <v>4965</v>
      </c>
      <c r="C1612" s="4" t="s">
        <v>2344</v>
      </c>
      <c r="D1612" s="4" t="s">
        <v>237</v>
      </c>
      <c r="E1612" s="4" t="s">
        <v>2444</v>
      </c>
      <c r="F1612" s="4" t="s">
        <v>2443</v>
      </c>
      <c r="G1612" s="4" t="s">
        <v>2263</v>
      </c>
      <c r="H1612" s="9" t="s">
        <v>2263</v>
      </c>
      <c r="I1612" s="4" t="s">
        <v>2263</v>
      </c>
      <c r="J1612" s="4" t="s">
        <v>2263</v>
      </c>
      <c r="K1612" s="4" t="s">
        <v>2442</v>
      </c>
      <c r="L1612" s="10">
        <v>4</v>
      </c>
      <c r="M1612" s="5">
        <v>17324.682926829268</v>
      </c>
      <c r="N1612" s="5">
        <v>69298.731707317071</v>
      </c>
    </row>
    <row r="1613" spans="1:14" x14ac:dyDescent="0.25">
      <c r="A1613" s="4" t="s">
        <v>2673</v>
      </c>
      <c r="B1613" s="4" t="s">
        <v>2672</v>
      </c>
      <c r="C1613" s="4" t="s">
        <v>2344</v>
      </c>
      <c r="D1613" s="4" t="s">
        <v>237</v>
      </c>
      <c r="E1613" s="4" t="s">
        <v>2444</v>
      </c>
      <c r="F1613" s="4" t="s">
        <v>2443</v>
      </c>
      <c r="G1613" s="4" t="s">
        <v>2263</v>
      </c>
      <c r="H1613" s="9" t="s">
        <v>2263</v>
      </c>
      <c r="I1613" s="4" t="s">
        <v>2263</v>
      </c>
      <c r="J1613" s="4" t="s">
        <v>2263</v>
      </c>
      <c r="K1613" s="4" t="s">
        <v>2442</v>
      </c>
      <c r="L1613" s="10">
        <v>4</v>
      </c>
      <c r="M1613" s="5">
        <v>17324.682926829268</v>
      </c>
      <c r="N1613" s="5">
        <v>69298.731707317071</v>
      </c>
    </row>
    <row r="1614" spans="1:14" x14ac:dyDescent="0.25">
      <c r="A1614" s="4" t="s">
        <v>3801</v>
      </c>
      <c r="B1614" s="4" t="s">
        <v>4965</v>
      </c>
      <c r="C1614" s="4" t="s">
        <v>2344</v>
      </c>
      <c r="D1614" s="4" t="s">
        <v>237</v>
      </c>
      <c r="E1614" s="4" t="s">
        <v>2429</v>
      </c>
      <c r="F1614" s="4" t="s">
        <v>2428</v>
      </c>
      <c r="G1614" s="4" t="s">
        <v>2263</v>
      </c>
      <c r="H1614" s="9" t="s">
        <v>2263</v>
      </c>
      <c r="I1614" s="4" t="s">
        <v>2263</v>
      </c>
      <c r="J1614" s="4" t="s">
        <v>2263</v>
      </c>
      <c r="K1614" s="4" t="s">
        <v>2427</v>
      </c>
      <c r="L1614" s="10">
        <v>4</v>
      </c>
      <c r="M1614" s="5">
        <v>17751.05</v>
      </c>
      <c r="N1614" s="5">
        <v>71004.2</v>
      </c>
    </row>
    <row r="1615" spans="1:14" x14ac:dyDescent="0.25">
      <c r="A1615" s="4" t="s">
        <v>2481</v>
      </c>
      <c r="B1615" s="4" t="s">
        <v>3217</v>
      </c>
      <c r="C1615" s="4" t="s">
        <v>2344</v>
      </c>
      <c r="D1615" s="4" t="s">
        <v>237</v>
      </c>
      <c r="E1615" s="4" t="s">
        <v>2429</v>
      </c>
      <c r="F1615" s="4" t="s">
        <v>2428</v>
      </c>
      <c r="G1615" s="4" t="s">
        <v>2263</v>
      </c>
      <c r="H1615" s="9" t="s">
        <v>2263</v>
      </c>
      <c r="I1615" s="4" t="s">
        <v>2263</v>
      </c>
      <c r="J1615" s="4" t="s">
        <v>2263</v>
      </c>
      <c r="K1615" s="4" t="s">
        <v>2427</v>
      </c>
      <c r="L1615" s="10">
        <v>4</v>
      </c>
      <c r="M1615" s="5">
        <v>17751.05</v>
      </c>
      <c r="N1615" s="5">
        <v>71004.2</v>
      </c>
    </row>
    <row r="1616" spans="1:14" x14ac:dyDescent="0.25">
      <c r="A1616" s="4" t="s">
        <v>3174</v>
      </c>
      <c r="B1616" s="4" t="s">
        <v>3173</v>
      </c>
      <c r="C1616" s="4" t="s">
        <v>2344</v>
      </c>
      <c r="D1616" s="4" t="s">
        <v>237</v>
      </c>
      <c r="E1616" s="4" t="s">
        <v>2429</v>
      </c>
      <c r="F1616" s="4" t="s">
        <v>2428</v>
      </c>
      <c r="G1616" s="4" t="s">
        <v>2263</v>
      </c>
      <c r="H1616" s="9" t="s">
        <v>2263</v>
      </c>
      <c r="I1616" s="4" t="s">
        <v>2263</v>
      </c>
      <c r="J1616" s="4" t="s">
        <v>2263</v>
      </c>
      <c r="K1616" s="4" t="s">
        <v>2427</v>
      </c>
      <c r="L1616" s="10">
        <v>4</v>
      </c>
      <c r="M1616" s="5">
        <v>17751.05</v>
      </c>
      <c r="N1616" s="5">
        <v>71004.2</v>
      </c>
    </row>
    <row r="1617" spans="1:14" x14ac:dyDescent="0.25">
      <c r="A1617" s="4" t="s">
        <v>2344</v>
      </c>
      <c r="B1617" s="4" t="s">
        <v>5154</v>
      </c>
      <c r="C1617" s="4" t="s">
        <v>2320</v>
      </c>
      <c r="D1617" s="4" t="s">
        <v>242</v>
      </c>
      <c r="E1617" s="4" t="s">
        <v>3891</v>
      </c>
      <c r="F1617" s="4" t="s">
        <v>3890</v>
      </c>
      <c r="G1617" s="4" t="s">
        <v>2263</v>
      </c>
      <c r="H1617" s="9" t="s">
        <v>2263</v>
      </c>
      <c r="I1617" s="4" t="s">
        <v>2317</v>
      </c>
      <c r="J1617" s="4" t="s">
        <v>2316</v>
      </c>
      <c r="K1617" s="4" t="s">
        <v>2263</v>
      </c>
      <c r="L1617" s="10">
        <v>4</v>
      </c>
      <c r="M1617" s="5">
        <v>19967.312499999996</v>
      </c>
      <c r="N1617" s="5">
        <v>79869.25</v>
      </c>
    </row>
    <row r="1618" spans="1:14" x14ac:dyDescent="0.25">
      <c r="A1618" s="4" t="s">
        <v>2344</v>
      </c>
      <c r="B1618" s="4" t="s">
        <v>5154</v>
      </c>
      <c r="C1618" s="4" t="s">
        <v>2320</v>
      </c>
      <c r="D1618" s="4" t="s">
        <v>242</v>
      </c>
      <c r="E1618" s="4" t="s">
        <v>4189</v>
      </c>
      <c r="F1618" s="4" t="s">
        <v>4188</v>
      </c>
      <c r="G1618" s="4" t="s">
        <v>2263</v>
      </c>
      <c r="H1618" s="9" t="s">
        <v>2263</v>
      </c>
      <c r="I1618" s="4" t="s">
        <v>2317</v>
      </c>
      <c r="J1618" s="4" t="s">
        <v>2316</v>
      </c>
      <c r="K1618" s="4" t="s">
        <v>2263</v>
      </c>
      <c r="L1618" s="10">
        <v>4</v>
      </c>
      <c r="M1618" s="5">
        <v>20549.056666666667</v>
      </c>
      <c r="N1618" s="5">
        <v>82196.226666666669</v>
      </c>
    </row>
    <row r="1619" spans="1:14" x14ac:dyDescent="0.25">
      <c r="A1619" s="4" t="s">
        <v>2344</v>
      </c>
      <c r="B1619" s="4" t="s">
        <v>5154</v>
      </c>
      <c r="C1619" s="4" t="s">
        <v>2320</v>
      </c>
      <c r="D1619" s="4" t="s">
        <v>242</v>
      </c>
      <c r="E1619" s="4" t="s">
        <v>4171</v>
      </c>
      <c r="F1619" s="4" t="s">
        <v>4170</v>
      </c>
      <c r="G1619" s="4" t="s">
        <v>2263</v>
      </c>
      <c r="H1619" s="9" t="s">
        <v>2263</v>
      </c>
      <c r="I1619" s="4" t="s">
        <v>2317</v>
      </c>
      <c r="J1619" s="4" t="s">
        <v>2316</v>
      </c>
      <c r="K1619" s="4" t="s">
        <v>2263</v>
      </c>
      <c r="L1619" s="10">
        <v>4</v>
      </c>
      <c r="M1619" s="5">
        <v>20807.692631578946</v>
      </c>
      <c r="N1619" s="5">
        <v>83230.770526315784</v>
      </c>
    </row>
    <row r="1620" spans="1:14" x14ac:dyDescent="0.25">
      <c r="A1620" s="4" t="s">
        <v>2317</v>
      </c>
      <c r="B1620" s="4" t="s">
        <v>3839</v>
      </c>
      <c r="C1620" s="4" t="s">
        <v>2320</v>
      </c>
      <c r="D1620" s="4" t="s">
        <v>242</v>
      </c>
      <c r="E1620" s="4" t="s">
        <v>2964</v>
      </c>
      <c r="F1620" s="4" t="s">
        <v>2963</v>
      </c>
      <c r="G1620" s="4" t="s">
        <v>2263</v>
      </c>
      <c r="H1620" s="9" t="s">
        <v>2263</v>
      </c>
      <c r="I1620" s="4" t="s">
        <v>2317</v>
      </c>
      <c r="J1620" s="4" t="s">
        <v>2316</v>
      </c>
      <c r="K1620" s="4" t="s">
        <v>2263</v>
      </c>
      <c r="L1620" s="10">
        <v>4</v>
      </c>
      <c r="M1620" s="5">
        <v>25721</v>
      </c>
      <c r="N1620" s="5">
        <v>102884</v>
      </c>
    </row>
    <row r="1621" spans="1:14" x14ac:dyDescent="0.25">
      <c r="A1621" s="4" t="s">
        <v>2320</v>
      </c>
      <c r="B1621" s="4" t="s">
        <v>4967</v>
      </c>
      <c r="C1621" s="4" t="s">
        <v>2320</v>
      </c>
      <c r="D1621" s="4" t="s">
        <v>242</v>
      </c>
      <c r="E1621" s="4" t="s">
        <v>4137</v>
      </c>
      <c r="F1621" s="4" t="s">
        <v>4136</v>
      </c>
      <c r="G1621" s="4" t="s">
        <v>2263</v>
      </c>
      <c r="H1621" s="9" t="s">
        <v>2263</v>
      </c>
      <c r="I1621" s="4" t="s">
        <v>2317</v>
      </c>
      <c r="J1621" s="4" t="s">
        <v>2316</v>
      </c>
      <c r="K1621" s="4" t="s">
        <v>2263</v>
      </c>
      <c r="L1621" s="10">
        <v>4</v>
      </c>
      <c r="M1621" s="5">
        <v>26677.178571428569</v>
      </c>
      <c r="N1621" s="5">
        <v>106708.71428571428</v>
      </c>
    </row>
    <row r="1622" spans="1:14" x14ac:dyDescent="0.25">
      <c r="A1622" s="4" t="s">
        <v>2320</v>
      </c>
      <c r="B1622" s="4" t="s">
        <v>4967</v>
      </c>
      <c r="C1622" s="4" t="s">
        <v>2344</v>
      </c>
      <c r="D1622" s="4" t="s">
        <v>237</v>
      </c>
      <c r="E1622" s="4" t="s">
        <v>4568</v>
      </c>
      <c r="F1622" s="4" t="s">
        <v>4567</v>
      </c>
      <c r="G1622" s="4" t="s">
        <v>2263</v>
      </c>
      <c r="H1622" s="9" t="s">
        <v>2263</v>
      </c>
      <c r="I1622" s="4" t="s">
        <v>2263</v>
      </c>
      <c r="J1622" s="4" t="s">
        <v>2263</v>
      </c>
      <c r="K1622" s="4" t="s">
        <v>2536</v>
      </c>
      <c r="L1622" s="10">
        <v>4</v>
      </c>
      <c r="M1622" s="5">
        <v>30602.212499999998</v>
      </c>
      <c r="N1622" s="5">
        <v>122408.85</v>
      </c>
    </row>
    <row r="1623" spans="1:14" x14ac:dyDescent="0.25">
      <c r="A1623" s="4" t="s">
        <v>2653</v>
      </c>
      <c r="B1623" s="4" t="s">
        <v>3226</v>
      </c>
      <c r="C1623" s="4" t="s">
        <v>3203</v>
      </c>
      <c r="D1623" s="4" t="s">
        <v>256</v>
      </c>
      <c r="E1623" s="4" t="s">
        <v>3584</v>
      </c>
      <c r="F1623" s="4" t="s">
        <v>3583</v>
      </c>
      <c r="G1623" s="4" t="s">
        <v>2263</v>
      </c>
      <c r="H1623" s="9" t="s">
        <v>2263</v>
      </c>
      <c r="I1623" s="4" t="s">
        <v>2317</v>
      </c>
      <c r="J1623" s="4" t="s">
        <v>2316</v>
      </c>
      <c r="K1623" s="4" t="s">
        <v>2263</v>
      </c>
      <c r="L1623" s="10">
        <v>4</v>
      </c>
      <c r="M1623" s="5">
        <v>32492.9</v>
      </c>
      <c r="N1623" s="5">
        <v>129971.6</v>
      </c>
    </row>
    <row r="1624" spans="1:14" x14ac:dyDescent="0.25">
      <c r="A1624" s="4" t="s">
        <v>3125</v>
      </c>
      <c r="B1624" s="4" t="s">
        <v>3124</v>
      </c>
      <c r="C1624" s="4" t="s">
        <v>2320</v>
      </c>
      <c r="D1624" s="4" t="s">
        <v>242</v>
      </c>
      <c r="E1624" s="4" t="s">
        <v>3133</v>
      </c>
      <c r="F1624" s="4" t="s">
        <v>3132</v>
      </c>
      <c r="G1624" s="4" t="s">
        <v>2263</v>
      </c>
      <c r="H1624" s="9" t="s">
        <v>2263</v>
      </c>
      <c r="I1624" s="4" t="s">
        <v>2317</v>
      </c>
      <c r="J1624" s="4" t="s">
        <v>2316</v>
      </c>
      <c r="K1624" s="4" t="s">
        <v>2263</v>
      </c>
      <c r="L1624" s="10">
        <v>4</v>
      </c>
      <c r="M1624" s="5">
        <v>33962</v>
      </c>
      <c r="N1624" s="5">
        <v>135848</v>
      </c>
    </row>
    <row r="1625" spans="1:14" x14ac:dyDescent="0.25">
      <c r="A1625" s="4" t="s">
        <v>3125</v>
      </c>
      <c r="B1625" s="4" t="s">
        <v>3124</v>
      </c>
      <c r="C1625" s="4" t="s">
        <v>2320</v>
      </c>
      <c r="D1625" s="4" t="s">
        <v>242</v>
      </c>
      <c r="E1625" s="4" t="s">
        <v>3127</v>
      </c>
      <c r="F1625" s="4" t="s">
        <v>3126</v>
      </c>
      <c r="G1625" s="4" t="s">
        <v>2263</v>
      </c>
      <c r="H1625" s="9" t="s">
        <v>2263</v>
      </c>
      <c r="I1625" s="4" t="s">
        <v>2317</v>
      </c>
      <c r="J1625" s="4" t="s">
        <v>2316</v>
      </c>
      <c r="K1625" s="4" t="s">
        <v>2263</v>
      </c>
      <c r="L1625" s="10">
        <v>4</v>
      </c>
      <c r="M1625" s="5">
        <v>33962</v>
      </c>
      <c r="N1625" s="5">
        <v>135848</v>
      </c>
    </row>
    <row r="1626" spans="1:14" x14ac:dyDescent="0.25">
      <c r="A1626" s="4" t="s">
        <v>2344</v>
      </c>
      <c r="B1626" s="4" t="s">
        <v>5154</v>
      </c>
      <c r="C1626" s="4" t="s">
        <v>2481</v>
      </c>
      <c r="D1626" s="4" t="s">
        <v>2480</v>
      </c>
      <c r="E1626" s="4" t="s">
        <v>5175</v>
      </c>
      <c r="F1626" s="4" t="s">
        <v>5174</v>
      </c>
      <c r="G1626" s="4" t="s">
        <v>2263</v>
      </c>
      <c r="H1626" s="9" t="s">
        <v>2263</v>
      </c>
      <c r="I1626" s="4" t="s">
        <v>2263</v>
      </c>
      <c r="J1626" s="4" t="s">
        <v>2263</v>
      </c>
      <c r="K1626" s="4" t="s">
        <v>2482</v>
      </c>
      <c r="L1626" s="10">
        <v>4</v>
      </c>
      <c r="M1626" s="5">
        <v>34389.574999999997</v>
      </c>
      <c r="N1626" s="5">
        <v>137558.29999999999</v>
      </c>
    </row>
    <row r="1627" spans="1:14" x14ac:dyDescent="0.25">
      <c r="A1627" s="4" t="s">
        <v>2344</v>
      </c>
      <c r="B1627" s="4" t="s">
        <v>5154</v>
      </c>
      <c r="C1627" s="4" t="s">
        <v>2320</v>
      </c>
      <c r="D1627" s="4" t="s">
        <v>242</v>
      </c>
      <c r="E1627" s="4" t="s">
        <v>4279</v>
      </c>
      <c r="F1627" s="4" t="s">
        <v>4278</v>
      </c>
      <c r="G1627" s="4" t="s">
        <v>2263</v>
      </c>
      <c r="H1627" s="9" t="s">
        <v>2263</v>
      </c>
      <c r="I1627" s="4" t="s">
        <v>2317</v>
      </c>
      <c r="J1627" s="4" t="s">
        <v>2316</v>
      </c>
      <c r="K1627" s="4" t="s">
        <v>2263</v>
      </c>
      <c r="L1627" s="10">
        <v>4</v>
      </c>
      <c r="M1627" s="5">
        <v>34900.803023255816</v>
      </c>
      <c r="N1627" s="5">
        <v>139603.21209302326</v>
      </c>
    </row>
    <row r="1628" spans="1:14" x14ac:dyDescent="0.25">
      <c r="A1628" s="4" t="s">
        <v>2344</v>
      </c>
      <c r="B1628" s="4" t="s">
        <v>5154</v>
      </c>
      <c r="C1628" s="4" t="s">
        <v>2320</v>
      </c>
      <c r="D1628" s="4" t="s">
        <v>242</v>
      </c>
      <c r="E1628" s="4" t="s">
        <v>5316</v>
      </c>
      <c r="F1628" s="4" t="s">
        <v>5315</v>
      </c>
      <c r="G1628" s="4" t="s">
        <v>2263</v>
      </c>
      <c r="H1628" s="9" t="s">
        <v>2263</v>
      </c>
      <c r="I1628" s="4" t="s">
        <v>2317</v>
      </c>
      <c r="J1628" s="4" t="s">
        <v>2316</v>
      </c>
      <c r="K1628" s="4" t="s">
        <v>2263</v>
      </c>
      <c r="L1628" s="10">
        <v>4</v>
      </c>
      <c r="M1628" s="5">
        <v>35000.75</v>
      </c>
      <c r="N1628" s="5">
        <v>140003</v>
      </c>
    </row>
    <row r="1629" spans="1:14" x14ac:dyDescent="0.25">
      <c r="A1629" s="4" t="s">
        <v>2320</v>
      </c>
      <c r="B1629" s="4" t="s">
        <v>4967</v>
      </c>
      <c r="C1629" s="4" t="s">
        <v>2320</v>
      </c>
      <c r="D1629" s="4" t="s">
        <v>242</v>
      </c>
      <c r="E1629" s="4" t="s">
        <v>4185</v>
      </c>
      <c r="F1629" s="4" t="s">
        <v>4184</v>
      </c>
      <c r="G1629" s="4" t="s">
        <v>2263</v>
      </c>
      <c r="H1629" s="9" t="s">
        <v>2263</v>
      </c>
      <c r="I1629" s="4" t="s">
        <v>2317</v>
      </c>
      <c r="J1629" s="4" t="s">
        <v>2316</v>
      </c>
      <c r="K1629" s="4" t="s">
        <v>2263</v>
      </c>
      <c r="L1629" s="10">
        <v>4</v>
      </c>
      <c r="M1629" s="5">
        <v>35848.57894736842</v>
      </c>
      <c r="N1629" s="5">
        <v>143394.31578947368</v>
      </c>
    </row>
    <row r="1630" spans="1:14" x14ac:dyDescent="0.25">
      <c r="A1630" s="4" t="s">
        <v>2344</v>
      </c>
      <c r="B1630" s="4" t="s">
        <v>5154</v>
      </c>
      <c r="C1630" s="4" t="s">
        <v>2274</v>
      </c>
      <c r="D1630" s="4" t="s">
        <v>2273</v>
      </c>
      <c r="E1630" s="4" t="s">
        <v>4498</v>
      </c>
      <c r="F1630" s="4" t="s">
        <v>4497</v>
      </c>
      <c r="G1630" s="4" t="s">
        <v>2263</v>
      </c>
      <c r="H1630" s="9" t="s">
        <v>2263</v>
      </c>
      <c r="I1630" s="4" t="s">
        <v>2263</v>
      </c>
      <c r="J1630" s="4" t="s">
        <v>2263</v>
      </c>
      <c r="K1630" s="4" t="s">
        <v>4496</v>
      </c>
      <c r="L1630" s="10">
        <v>4</v>
      </c>
      <c r="M1630" s="5">
        <v>39483.4</v>
      </c>
      <c r="N1630" s="5">
        <v>157933.6</v>
      </c>
    </row>
    <row r="1631" spans="1:14" x14ac:dyDescent="0.25">
      <c r="A1631" s="4" t="s">
        <v>2269</v>
      </c>
      <c r="B1631" s="4" t="s">
        <v>2268</v>
      </c>
      <c r="C1631" s="4" t="s">
        <v>2279</v>
      </c>
      <c r="D1631" s="4" t="s">
        <v>2278</v>
      </c>
      <c r="E1631" s="4" t="s">
        <v>2301</v>
      </c>
      <c r="F1631" s="4" t="s">
        <v>2300</v>
      </c>
      <c r="G1631" s="4" t="s">
        <v>2263</v>
      </c>
      <c r="H1631" s="9" t="s">
        <v>2263</v>
      </c>
      <c r="I1631" s="4" t="s">
        <v>2263</v>
      </c>
      <c r="J1631" s="4" t="s">
        <v>2263</v>
      </c>
      <c r="K1631" s="4" t="s">
        <v>2299</v>
      </c>
      <c r="L1631" s="10">
        <v>4</v>
      </c>
      <c r="M1631" s="5">
        <v>40800</v>
      </c>
      <c r="N1631" s="5">
        <v>163200</v>
      </c>
    </row>
    <row r="1632" spans="1:14" x14ac:dyDescent="0.25">
      <c r="A1632" s="4" t="s">
        <v>2317</v>
      </c>
      <c r="B1632" s="4" t="s">
        <v>3839</v>
      </c>
      <c r="C1632" s="4" t="s">
        <v>2320</v>
      </c>
      <c r="D1632" s="4" t="s">
        <v>242</v>
      </c>
      <c r="E1632" s="4" t="s">
        <v>4043</v>
      </c>
      <c r="F1632" s="4" t="s">
        <v>4042</v>
      </c>
      <c r="G1632" s="4" t="s">
        <v>2263</v>
      </c>
      <c r="H1632" s="9" t="s">
        <v>2263</v>
      </c>
      <c r="I1632" s="4" t="s">
        <v>2317</v>
      </c>
      <c r="J1632" s="4" t="s">
        <v>2316</v>
      </c>
      <c r="K1632" s="4" t="s">
        <v>2263</v>
      </c>
      <c r="L1632" s="10">
        <v>4</v>
      </c>
      <c r="M1632" s="5">
        <v>42956.055000000008</v>
      </c>
      <c r="N1632" s="5">
        <v>171824.22</v>
      </c>
    </row>
    <row r="1633" spans="1:14" x14ac:dyDescent="0.25">
      <c r="A1633" s="4" t="s">
        <v>2653</v>
      </c>
      <c r="B1633" s="4" t="s">
        <v>3226</v>
      </c>
      <c r="C1633" s="4" t="s">
        <v>2384</v>
      </c>
      <c r="D1633" s="4" t="s">
        <v>262</v>
      </c>
      <c r="E1633" s="4" t="s">
        <v>3378</v>
      </c>
      <c r="F1633" s="4" t="s">
        <v>3377</v>
      </c>
      <c r="G1633" s="4" t="s">
        <v>2263</v>
      </c>
      <c r="H1633" s="9" t="s">
        <v>2263</v>
      </c>
      <c r="I1633" s="4" t="s">
        <v>2317</v>
      </c>
      <c r="J1633" s="4" t="s">
        <v>2316</v>
      </c>
      <c r="K1633" s="4" t="s">
        <v>2263</v>
      </c>
      <c r="L1633" s="10">
        <v>4</v>
      </c>
      <c r="M1633" s="5">
        <v>44268</v>
      </c>
      <c r="N1633" s="5">
        <v>177072</v>
      </c>
    </row>
    <row r="1634" spans="1:14" x14ac:dyDescent="0.25">
      <c r="A1634" s="4" t="s">
        <v>2317</v>
      </c>
      <c r="B1634" s="4" t="s">
        <v>3839</v>
      </c>
      <c r="C1634" s="4" t="s">
        <v>2320</v>
      </c>
      <c r="D1634" s="4" t="s">
        <v>242</v>
      </c>
      <c r="E1634" s="4" t="s">
        <v>2825</v>
      </c>
      <c r="F1634" s="4" t="s">
        <v>2824</v>
      </c>
      <c r="G1634" s="4" t="s">
        <v>2263</v>
      </c>
      <c r="H1634" s="9" t="s">
        <v>2263</v>
      </c>
      <c r="I1634" s="4" t="s">
        <v>2317</v>
      </c>
      <c r="J1634" s="4" t="s">
        <v>2316</v>
      </c>
      <c r="K1634" s="4" t="s">
        <v>2263</v>
      </c>
      <c r="L1634" s="10">
        <v>4</v>
      </c>
      <c r="M1634" s="5">
        <v>47361.481176470588</v>
      </c>
      <c r="N1634" s="5">
        <v>189445.92470588235</v>
      </c>
    </row>
    <row r="1635" spans="1:14" x14ac:dyDescent="0.25">
      <c r="A1635" s="4" t="s">
        <v>2653</v>
      </c>
      <c r="B1635" s="4" t="s">
        <v>3226</v>
      </c>
      <c r="C1635" s="4" t="s">
        <v>3196</v>
      </c>
      <c r="D1635" s="4" t="s">
        <v>254</v>
      </c>
      <c r="E1635" s="4" t="s">
        <v>3542</v>
      </c>
      <c r="F1635" s="4" t="s">
        <v>3541</v>
      </c>
      <c r="G1635" s="4" t="s">
        <v>2263</v>
      </c>
      <c r="H1635" s="9" t="s">
        <v>2263</v>
      </c>
      <c r="I1635" s="4" t="s">
        <v>2317</v>
      </c>
      <c r="J1635" s="4" t="s">
        <v>2316</v>
      </c>
      <c r="K1635" s="4" t="s">
        <v>2263</v>
      </c>
      <c r="L1635" s="10">
        <v>4</v>
      </c>
      <c r="M1635" s="5">
        <v>47603.05</v>
      </c>
      <c r="N1635" s="5">
        <v>190412.2</v>
      </c>
    </row>
    <row r="1636" spans="1:14" x14ac:dyDescent="0.25">
      <c r="A1636" s="4" t="s">
        <v>2344</v>
      </c>
      <c r="B1636" s="4" t="s">
        <v>5154</v>
      </c>
      <c r="C1636" s="4" t="s">
        <v>2320</v>
      </c>
      <c r="D1636" s="4" t="s">
        <v>242</v>
      </c>
      <c r="E1636" s="4" t="s">
        <v>2944</v>
      </c>
      <c r="F1636" s="4" t="s">
        <v>2943</v>
      </c>
      <c r="G1636" s="4" t="s">
        <v>2263</v>
      </c>
      <c r="H1636" s="9" t="s">
        <v>2263</v>
      </c>
      <c r="I1636" s="4" t="s">
        <v>2317</v>
      </c>
      <c r="J1636" s="4" t="s">
        <v>2316</v>
      </c>
      <c r="K1636" s="4" t="s">
        <v>2263</v>
      </c>
      <c r="L1636" s="10">
        <v>4</v>
      </c>
      <c r="M1636" s="5">
        <v>49001.453750000001</v>
      </c>
      <c r="N1636" s="5">
        <v>196005.815</v>
      </c>
    </row>
    <row r="1637" spans="1:14" x14ac:dyDescent="0.25">
      <c r="A1637" s="4" t="s">
        <v>2344</v>
      </c>
      <c r="B1637" s="4" t="s">
        <v>5154</v>
      </c>
      <c r="C1637" s="4" t="s">
        <v>2320</v>
      </c>
      <c r="D1637" s="4" t="s">
        <v>242</v>
      </c>
      <c r="E1637" s="4" t="s">
        <v>4231</v>
      </c>
      <c r="F1637" s="4" t="s">
        <v>4230</v>
      </c>
      <c r="G1637" s="4" t="s">
        <v>2263</v>
      </c>
      <c r="H1637" s="9" t="s">
        <v>2263</v>
      </c>
      <c r="I1637" s="4" t="s">
        <v>2317</v>
      </c>
      <c r="J1637" s="4" t="s">
        <v>2316</v>
      </c>
      <c r="K1637" s="4" t="s">
        <v>2263</v>
      </c>
      <c r="L1637" s="10">
        <v>4</v>
      </c>
      <c r="M1637" s="5">
        <v>53512.670810810807</v>
      </c>
      <c r="N1637" s="5">
        <v>214050.68324324323</v>
      </c>
    </row>
    <row r="1638" spans="1:14" x14ac:dyDescent="0.25">
      <c r="A1638" s="4" t="s">
        <v>2344</v>
      </c>
      <c r="B1638" s="4" t="s">
        <v>5154</v>
      </c>
      <c r="C1638" s="4" t="s">
        <v>2320</v>
      </c>
      <c r="D1638" s="4" t="s">
        <v>242</v>
      </c>
      <c r="E1638" s="4" t="s">
        <v>3889</v>
      </c>
      <c r="F1638" s="4" t="s">
        <v>3888</v>
      </c>
      <c r="G1638" s="4" t="s">
        <v>2263</v>
      </c>
      <c r="H1638" s="9" t="s">
        <v>2263</v>
      </c>
      <c r="I1638" s="4" t="s">
        <v>2317</v>
      </c>
      <c r="J1638" s="4" t="s">
        <v>2316</v>
      </c>
      <c r="K1638" s="4" t="s">
        <v>2263</v>
      </c>
      <c r="L1638" s="10">
        <v>4</v>
      </c>
      <c r="M1638" s="5">
        <v>54900.858947368419</v>
      </c>
      <c r="N1638" s="5">
        <v>219603.43578947367</v>
      </c>
    </row>
    <row r="1639" spans="1:14" x14ac:dyDescent="0.25">
      <c r="A1639" s="4" t="s">
        <v>2344</v>
      </c>
      <c r="B1639" s="4" t="s">
        <v>5154</v>
      </c>
      <c r="C1639" s="4" t="s">
        <v>2344</v>
      </c>
      <c r="D1639" s="4" t="s">
        <v>237</v>
      </c>
      <c r="E1639" s="4" t="s">
        <v>5462</v>
      </c>
      <c r="F1639" s="4" t="s">
        <v>5461</v>
      </c>
      <c r="G1639" s="4" t="s">
        <v>2263</v>
      </c>
      <c r="H1639" s="9" t="s">
        <v>2263</v>
      </c>
      <c r="I1639" s="4" t="s">
        <v>2263</v>
      </c>
      <c r="J1639" s="4" t="s">
        <v>2263</v>
      </c>
      <c r="K1639" s="4" t="s">
        <v>5460</v>
      </c>
      <c r="L1639" s="10">
        <v>4</v>
      </c>
      <c r="M1639" s="5">
        <v>57249.5</v>
      </c>
      <c r="N1639" s="5">
        <v>228998</v>
      </c>
    </row>
    <row r="1640" spans="1:14" x14ac:dyDescent="0.25">
      <c r="A1640" s="4" t="s">
        <v>2320</v>
      </c>
      <c r="B1640" s="4" t="s">
        <v>4967</v>
      </c>
      <c r="C1640" s="4" t="s">
        <v>2320</v>
      </c>
      <c r="D1640" s="4" t="s">
        <v>242</v>
      </c>
      <c r="E1640" s="4" t="s">
        <v>4193</v>
      </c>
      <c r="F1640" s="4" t="s">
        <v>4192</v>
      </c>
      <c r="G1640" s="4" t="s">
        <v>2263</v>
      </c>
      <c r="H1640" s="9" t="s">
        <v>2263</v>
      </c>
      <c r="I1640" s="4" t="s">
        <v>2317</v>
      </c>
      <c r="J1640" s="4" t="s">
        <v>2316</v>
      </c>
      <c r="K1640" s="4" t="s">
        <v>2263</v>
      </c>
      <c r="L1640" s="10">
        <v>4</v>
      </c>
      <c r="M1640" s="5">
        <v>62563.154444444444</v>
      </c>
      <c r="N1640" s="5">
        <v>250252.61777777775</v>
      </c>
    </row>
    <row r="1641" spans="1:14" x14ac:dyDescent="0.25">
      <c r="A1641" s="4" t="s">
        <v>2320</v>
      </c>
      <c r="B1641" s="4" t="s">
        <v>4967</v>
      </c>
      <c r="C1641" s="4" t="s">
        <v>2320</v>
      </c>
      <c r="D1641" s="4" t="s">
        <v>242</v>
      </c>
      <c r="E1641" s="4" t="s">
        <v>3993</v>
      </c>
      <c r="F1641" s="4" t="s">
        <v>3992</v>
      </c>
      <c r="G1641" s="4" t="s">
        <v>2263</v>
      </c>
      <c r="H1641" s="9" t="s">
        <v>2263</v>
      </c>
      <c r="I1641" s="4" t="s">
        <v>2317</v>
      </c>
      <c r="J1641" s="4" t="s">
        <v>2316</v>
      </c>
      <c r="K1641" s="4" t="s">
        <v>2263</v>
      </c>
      <c r="L1641" s="10">
        <v>4</v>
      </c>
      <c r="M1641" s="5">
        <v>63360.271000000001</v>
      </c>
      <c r="N1641" s="5">
        <v>253441.084</v>
      </c>
    </row>
    <row r="1642" spans="1:14" x14ac:dyDescent="0.25">
      <c r="A1642" s="4" t="s">
        <v>2344</v>
      </c>
      <c r="B1642" s="4" t="s">
        <v>5154</v>
      </c>
      <c r="C1642" s="4" t="s">
        <v>2274</v>
      </c>
      <c r="D1642" s="4" t="s">
        <v>2273</v>
      </c>
      <c r="E1642" s="4" t="s">
        <v>4491</v>
      </c>
      <c r="F1642" s="4" t="s">
        <v>4490</v>
      </c>
      <c r="G1642" s="4" t="s">
        <v>2263</v>
      </c>
      <c r="H1642" s="9" t="s">
        <v>2263</v>
      </c>
      <c r="I1642" s="4" t="s">
        <v>2263</v>
      </c>
      <c r="J1642" s="4" t="s">
        <v>2263</v>
      </c>
      <c r="K1642" s="4" t="s">
        <v>4489</v>
      </c>
      <c r="L1642" s="10">
        <v>4</v>
      </c>
      <c r="M1642" s="5">
        <v>64396.378888888896</v>
      </c>
      <c r="N1642" s="5">
        <v>257585.51555555555</v>
      </c>
    </row>
    <row r="1643" spans="1:14" x14ac:dyDescent="0.25">
      <c r="A1643" s="4" t="s">
        <v>2344</v>
      </c>
      <c r="B1643" s="4" t="s">
        <v>5154</v>
      </c>
      <c r="C1643" s="4" t="s">
        <v>2320</v>
      </c>
      <c r="D1643" s="4" t="s">
        <v>242</v>
      </c>
      <c r="E1643" s="4" t="s">
        <v>4291</v>
      </c>
      <c r="F1643" s="4" t="s">
        <v>4290</v>
      </c>
      <c r="G1643" s="4" t="s">
        <v>2263</v>
      </c>
      <c r="H1643" s="9" t="s">
        <v>2263</v>
      </c>
      <c r="I1643" s="4" t="s">
        <v>2317</v>
      </c>
      <c r="J1643" s="4" t="s">
        <v>2316</v>
      </c>
      <c r="K1643" s="4" t="s">
        <v>2263</v>
      </c>
      <c r="L1643" s="10">
        <v>4</v>
      </c>
      <c r="M1643" s="5">
        <v>65871.580535714282</v>
      </c>
      <c r="N1643" s="5">
        <v>263486.32214285713</v>
      </c>
    </row>
    <row r="1644" spans="1:14" x14ac:dyDescent="0.25">
      <c r="A1644" s="4" t="s">
        <v>2320</v>
      </c>
      <c r="B1644" s="4" t="s">
        <v>4967</v>
      </c>
      <c r="C1644" s="4" t="s">
        <v>2320</v>
      </c>
      <c r="D1644" s="4" t="s">
        <v>242</v>
      </c>
      <c r="E1644" s="4" t="s">
        <v>4291</v>
      </c>
      <c r="F1644" s="4" t="s">
        <v>4290</v>
      </c>
      <c r="G1644" s="4" t="s">
        <v>2263</v>
      </c>
      <c r="H1644" s="9" t="s">
        <v>2263</v>
      </c>
      <c r="I1644" s="4" t="s">
        <v>2317</v>
      </c>
      <c r="J1644" s="4" t="s">
        <v>2316</v>
      </c>
      <c r="K1644" s="4" t="s">
        <v>2263</v>
      </c>
      <c r="L1644" s="10">
        <v>4</v>
      </c>
      <c r="M1644" s="5">
        <v>65871.580535714282</v>
      </c>
      <c r="N1644" s="5">
        <v>263486.32214285713</v>
      </c>
    </row>
    <row r="1645" spans="1:14" x14ac:dyDescent="0.25">
      <c r="A1645" s="4" t="s">
        <v>2653</v>
      </c>
      <c r="B1645" s="4" t="s">
        <v>3226</v>
      </c>
      <c r="C1645" s="4" t="s">
        <v>2384</v>
      </c>
      <c r="D1645" s="4" t="s">
        <v>262</v>
      </c>
      <c r="E1645" s="4" t="s">
        <v>3498</v>
      </c>
      <c r="F1645" s="4" t="s">
        <v>3497</v>
      </c>
      <c r="G1645" s="4" t="s">
        <v>2263</v>
      </c>
      <c r="H1645" s="9" t="s">
        <v>2263</v>
      </c>
      <c r="I1645" s="4" t="s">
        <v>2317</v>
      </c>
      <c r="J1645" s="4" t="s">
        <v>2316</v>
      </c>
      <c r="K1645" s="4" t="s">
        <v>2263</v>
      </c>
      <c r="L1645" s="10">
        <v>4</v>
      </c>
      <c r="M1645" s="5">
        <v>78540</v>
      </c>
      <c r="N1645" s="5">
        <v>314160</v>
      </c>
    </row>
    <row r="1646" spans="1:14" x14ac:dyDescent="0.25">
      <c r="A1646" s="4" t="s">
        <v>2344</v>
      </c>
      <c r="B1646" s="4" t="s">
        <v>5154</v>
      </c>
      <c r="C1646" s="4" t="s">
        <v>2274</v>
      </c>
      <c r="D1646" s="4" t="s">
        <v>2273</v>
      </c>
      <c r="E1646" s="4" t="s">
        <v>4481</v>
      </c>
      <c r="F1646" s="4" t="s">
        <v>4480</v>
      </c>
      <c r="G1646" s="4" t="s">
        <v>2263</v>
      </c>
      <c r="H1646" s="9" t="s">
        <v>2263</v>
      </c>
      <c r="I1646" s="4" t="s">
        <v>2263</v>
      </c>
      <c r="J1646" s="4" t="s">
        <v>2263</v>
      </c>
      <c r="K1646" s="4" t="s">
        <v>4479</v>
      </c>
      <c r="L1646" s="10">
        <v>4</v>
      </c>
      <c r="M1646" s="5">
        <v>79836.133333333331</v>
      </c>
      <c r="N1646" s="5">
        <v>319344.53333333333</v>
      </c>
    </row>
    <row r="1647" spans="1:14" x14ac:dyDescent="0.25">
      <c r="A1647" s="4" t="s">
        <v>2320</v>
      </c>
      <c r="B1647" s="4" t="s">
        <v>4967</v>
      </c>
      <c r="C1647" s="4" t="s">
        <v>2320</v>
      </c>
      <c r="D1647" s="4" t="s">
        <v>242</v>
      </c>
      <c r="E1647" s="4" t="s">
        <v>2418</v>
      </c>
      <c r="F1647" s="4" t="s">
        <v>2417</v>
      </c>
      <c r="G1647" s="4" t="s">
        <v>2263</v>
      </c>
      <c r="H1647" s="9" t="s">
        <v>2263</v>
      </c>
      <c r="I1647" s="4" t="s">
        <v>2317</v>
      </c>
      <c r="J1647" s="4" t="s">
        <v>2316</v>
      </c>
      <c r="K1647" s="4" t="s">
        <v>2263</v>
      </c>
      <c r="L1647" s="10">
        <v>4</v>
      </c>
      <c r="M1647" s="5">
        <v>80197.548536585367</v>
      </c>
      <c r="N1647" s="5">
        <v>320790.19414634141</v>
      </c>
    </row>
    <row r="1648" spans="1:14" x14ac:dyDescent="0.25">
      <c r="A1648" s="4" t="s">
        <v>2317</v>
      </c>
      <c r="B1648" s="4" t="s">
        <v>3839</v>
      </c>
      <c r="C1648" s="4" t="s">
        <v>2320</v>
      </c>
      <c r="D1648" s="4" t="s">
        <v>242</v>
      </c>
      <c r="E1648" s="4" t="s">
        <v>4041</v>
      </c>
      <c r="F1648" s="4" t="s">
        <v>4040</v>
      </c>
      <c r="G1648" s="4" t="s">
        <v>2263</v>
      </c>
      <c r="H1648" s="9" t="s">
        <v>2263</v>
      </c>
      <c r="I1648" s="4" t="s">
        <v>2317</v>
      </c>
      <c r="J1648" s="4" t="s">
        <v>2316</v>
      </c>
      <c r="K1648" s="4" t="s">
        <v>2263</v>
      </c>
      <c r="L1648" s="10">
        <v>4</v>
      </c>
      <c r="M1648" s="5">
        <v>88039.510000000009</v>
      </c>
      <c r="N1648" s="5">
        <v>352158.04</v>
      </c>
    </row>
    <row r="1649" spans="1:14" x14ac:dyDescent="0.25">
      <c r="A1649" s="4" t="s">
        <v>2320</v>
      </c>
      <c r="B1649" s="4" t="s">
        <v>4967</v>
      </c>
      <c r="C1649" s="4" t="s">
        <v>2320</v>
      </c>
      <c r="D1649" s="4" t="s">
        <v>242</v>
      </c>
      <c r="E1649" s="4" t="s">
        <v>3903</v>
      </c>
      <c r="F1649" s="4" t="s">
        <v>3902</v>
      </c>
      <c r="G1649" s="4" t="s">
        <v>2263</v>
      </c>
      <c r="H1649" s="9" t="s">
        <v>2263</v>
      </c>
      <c r="I1649" s="4" t="s">
        <v>2317</v>
      </c>
      <c r="J1649" s="4" t="s">
        <v>2316</v>
      </c>
      <c r="K1649" s="4" t="s">
        <v>2263</v>
      </c>
      <c r="L1649" s="10">
        <v>4</v>
      </c>
      <c r="M1649" s="5">
        <v>110400</v>
      </c>
      <c r="N1649" s="5">
        <v>441600</v>
      </c>
    </row>
    <row r="1650" spans="1:14" x14ac:dyDescent="0.25">
      <c r="A1650" s="4" t="s">
        <v>2320</v>
      </c>
      <c r="B1650" s="4" t="s">
        <v>4967</v>
      </c>
      <c r="C1650" s="4" t="s">
        <v>2320</v>
      </c>
      <c r="D1650" s="4" t="s">
        <v>242</v>
      </c>
      <c r="E1650" s="4" t="s">
        <v>4009</v>
      </c>
      <c r="F1650" s="4" t="s">
        <v>4008</v>
      </c>
      <c r="G1650" s="4" t="s">
        <v>2263</v>
      </c>
      <c r="H1650" s="9" t="s">
        <v>2263</v>
      </c>
      <c r="I1650" s="4" t="s">
        <v>2317</v>
      </c>
      <c r="J1650" s="4" t="s">
        <v>2316</v>
      </c>
      <c r="K1650" s="4" t="s">
        <v>2263</v>
      </c>
      <c r="L1650" s="10">
        <v>4</v>
      </c>
      <c r="M1650" s="5">
        <v>111979.02</v>
      </c>
      <c r="N1650" s="5">
        <v>447916.08</v>
      </c>
    </row>
    <row r="1651" spans="1:14" x14ac:dyDescent="0.25">
      <c r="A1651" s="4" t="s">
        <v>2837</v>
      </c>
      <c r="B1651" s="4" t="s">
        <v>2836</v>
      </c>
      <c r="C1651" s="4" t="s">
        <v>2320</v>
      </c>
      <c r="D1651" s="4" t="s">
        <v>242</v>
      </c>
      <c r="E1651" s="4" t="s">
        <v>2843</v>
      </c>
      <c r="F1651" s="4" t="s">
        <v>2842</v>
      </c>
      <c r="G1651" s="4" t="s">
        <v>2263</v>
      </c>
      <c r="H1651" s="9" t="s">
        <v>2263</v>
      </c>
      <c r="I1651" s="4" t="s">
        <v>2317</v>
      </c>
      <c r="J1651" s="4" t="s">
        <v>2316</v>
      </c>
      <c r="K1651" s="4" t="s">
        <v>2263</v>
      </c>
      <c r="L1651" s="10">
        <v>4</v>
      </c>
      <c r="M1651" s="5">
        <v>113000</v>
      </c>
      <c r="N1651" s="5">
        <v>452000</v>
      </c>
    </row>
    <row r="1652" spans="1:14" x14ac:dyDescent="0.25">
      <c r="A1652" s="4" t="s">
        <v>2653</v>
      </c>
      <c r="B1652" s="4" t="s">
        <v>3226</v>
      </c>
      <c r="C1652" s="4" t="s">
        <v>2384</v>
      </c>
      <c r="D1652" s="4" t="s">
        <v>262</v>
      </c>
      <c r="E1652" s="4" t="s">
        <v>3352</v>
      </c>
      <c r="F1652" s="4" t="s">
        <v>3351</v>
      </c>
      <c r="G1652" s="4" t="s">
        <v>2263</v>
      </c>
      <c r="H1652" s="9" t="s">
        <v>2263</v>
      </c>
      <c r="I1652" s="4" t="s">
        <v>2317</v>
      </c>
      <c r="J1652" s="4" t="s">
        <v>2316</v>
      </c>
      <c r="K1652" s="4" t="s">
        <v>2263</v>
      </c>
      <c r="L1652" s="10">
        <v>4</v>
      </c>
      <c r="M1652" s="5">
        <v>113864.40999999999</v>
      </c>
      <c r="N1652" s="5">
        <v>455457.64</v>
      </c>
    </row>
    <row r="1653" spans="1:14" x14ac:dyDescent="0.25">
      <c r="A1653" s="4" t="s">
        <v>2344</v>
      </c>
      <c r="B1653" s="4" t="s">
        <v>5154</v>
      </c>
      <c r="C1653" s="4" t="s">
        <v>2320</v>
      </c>
      <c r="D1653" s="4" t="s">
        <v>242</v>
      </c>
      <c r="E1653" s="4" t="s">
        <v>4091</v>
      </c>
      <c r="F1653" s="4" t="s">
        <v>4090</v>
      </c>
      <c r="G1653" s="4" t="s">
        <v>2263</v>
      </c>
      <c r="H1653" s="9" t="s">
        <v>2263</v>
      </c>
      <c r="I1653" s="4" t="s">
        <v>2317</v>
      </c>
      <c r="J1653" s="4" t="s">
        <v>2316</v>
      </c>
      <c r="K1653" s="4" t="s">
        <v>2263</v>
      </c>
      <c r="L1653" s="10">
        <v>4</v>
      </c>
      <c r="M1653" s="5">
        <v>119288.09538461539</v>
      </c>
      <c r="N1653" s="5">
        <v>477152.38153846154</v>
      </c>
    </row>
    <row r="1654" spans="1:14" x14ac:dyDescent="0.25">
      <c r="A1654" s="4" t="s">
        <v>2653</v>
      </c>
      <c r="B1654" s="4" t="s">
        <v>3226</v>
      </c>
      <c r="C1654" s="4" t="s">
        <v>2384</v>
      </c>
      <c r="D1654" s="4" t="s">
        <v>262</v>
      </c>
      <c r="E1654" s="4" t="s">
        <v>3420</v>
      </c>
      <c r="F1654" s="4" t="s">
        <v>3419</v>
      </c>
      <c r="G1654" s="4" t="s">
        <v>2263</v>
      </c>
      <c r="H1654" s="9" t="s">
        <v>2263</v>
      </c>
      <c r="I1654" s="4" t="s">
        <v>2317</v>
      </c>
      <c r="J1654" s="4" t="s">
        <v>2316</v>
      </c>
      <c r="K1654" s="4" t="s">
        <v>2263</v>
      </c>
      <c r="L1654" s="10">
        <v>4</v>
      </c>
      <c r="M1654" s="5">
        <v>149674.49999999997</v>
      </c>
      <c r="N1654" s="5">
        <v>598698</v>
      </c>
    </row>
    <row r="1655" spans="1:14" x14ac:dyDescent="0.25">
      <c r="A1655" s="4" t="s">
        <v>2653</v>
      </c>
      <c r="B1655" s="4" t="s">
        <v>3226</v>
      </c>
      <c r="C1655" s="4" t="s">
        <v>2384</v>
      </c>
      <c r="D1655" s="4" t="s">
        <v>262</v>
      </c>
      <c r="E1655" s="4" t="s">
        <v>3402</v>
      </c>
      <c r="F1655" s="4" t="s">
        <v>3401</v>
      </c>
      <c r="G1655" s="4" t="s">
        <v>2263</v>
      </c>
      <c r="H1655" s="9" t="s">
        <v>2263</v>
      </c>
      <c r="I1655" s="4" t="s">
        <v>2317</v>
      </c>
      <c r="J1655" s="4" t="s">
        <v>2316</v>
      </c>
      <c r="K1655" s="4" t="s">
        <v>2263</v>
      </c>
      <c r="L1655" s="10">
        <v>4</v>
      </c>
      <c r="M1655" s="5">
        <v>154700</v>
      </c>
      <c r="N1655" s="5">
        <v>618800</v>
      </c>
    </row>
    <row r="1656" spans="1:14" x14ac:dyDescent="0.25">
      <c r="A1656" s="4" t="s">
        <v>2320</v>
      </c>
      <c r="B1656" s="4" t="s">
        <v>4967</v>
      </c>
      <c r="C1656" s="4" t="s">
        <v>2320</v>
      </c>
      <c r="D1656" s="4" t="s">
        <v>242</v>
      </c>
      <c r="E1656" s="4" t="s">
        <v>4179</v>
      </c>
      <c r="F1656" s="4" t="s">
        <v>4178</v>
      </c>
      <c r="G1656" s="4" t="s">
        <v>2263</v>
      </c>
      <c r="H1656" s="9" t="s">
        <v>2263</v>
      </c>
      <c r="I1656" s="4" t="s">
        <v>2317</v>
      </c>
      <c r="J1656" s="4" t="s">
        <v>2316</v>
      </c>
      <c r="K1656" s="4" t="s">
        <v>2263</v>
      </c>
      <c r="L1656" s="10">
        <v>4</v>
      </c>
      <c r="M1656" s="5">
        <v>162485.03093749998</v>
      </c>
      <c r="N1656" s="5">
        <v>649940.12375000003</v>
      </c>
    </row>
    <row r="1657" spans="1:14" x14ac:dyDescent="0.25">
      <c r="A1657" s="4" t="s">
        <v>2344</v>
      </c>
      <c r="B1657" s="4" t="s">
        <v>5154</v>
      </c>
      <c r="C1657" s="4" t="s">
        <v>2274</v>
      </c>
      <c r="D1657" s="4" t="s">
        <v>2273</v>
      </c>
      <c r="E1657" s="4" t="s">
        <v>5244</v>
      </c>
      <c r="F1657" s="4" t="s">
        <v>5243</v>
      </c>
      <c r="G1657" s="4" t="s">
        <v>2263</v>
      </c>
      <c r="H1657" s="9" t="s">
        <v>2263</v>
      </c>
      <c r="I1657" s="4" t="s">
        <v>2263</v>
      </c>
      <c r="J1657" s="4" t="s">
        <v>2263</v>
      </c>
      <c r="K1657" s="4" t="s">
        <v>2262</v>
      </c>
      <c r="L1657" s="10">
        <v>4</v>
      </c>
      <c r="M1657" s="5">
        <v>213700</v>
      </c>
      <c r="N1657" s="5">
        <v>854800</v>
      </c>
    </row>
    <row r="1658" spans="1:14" x14ac:dyDescent="0.25">
      <c r="A1658" s="4" t="s">
        <v>2317</v>
      </c>
      <c r="B1658" s="4" t="s">
        <v>3839</v>
      </c>
      <c r="C1658" s="4" t="s">
        <v>2320</v>
      </c>
      <c r="D1658" s="4" t="s">
        <v>242</v>
      </c>
      <c r="E1658" s="4" t="s">
        <v>4149</v>
      </c>
      <c r="F1658" s="4" t="s">
        <v>4148</v>
      </c>
      <c r="G1658" s="4" t="s">
        <v>2263</v>
      </c>
      <c r="H1658" s="9" t="s">
        <v>2263</v>
      </c>
      <c r="I1658" s="4" t="s">
        <v>2317</v>
      </c>
      <c r="J1658" s="4" t="s">
        <v>2316</v>
      </c>
      <c r="K1658" s="4" t="s">
        <v>2263</v>
      </c>
      <c r="L1658" s="10">
        <v>4</v>
      </c>
      <c r="M1658" s="5">
        <v>223420.47857142857</v>
      </c>
      <c r="N1658" s="5">
        <v>893681.91428571427</v>
      </c>
    </row>
    <row r="1659" spans="1:14" x14ac:dyDescent="0.25">
      <c r="A1659" s="4" t="s">
        <v>2837</v>
      </c>
      <c r="B1659" s="4" t="s">
        <v>2836</v>
      </c>
      <c r="C1659" s="4" t="s">
        <v>2320</v>
      </c>
      <c r="D1659" s="4" t="s">
        <v>242</v>
      </c>
      <c r="E1659" s="4" t="s">
        <v>2861</v>
      </c>
      <c r="F1659" s="4" t="s">
        <v>2860</v>
      </c>
      <c r="G1659" s="4" t="s">
        <v>2263</v>
      </c>
      <c r="H1659" s="9" t="s">
        <v>2263</v>
      </c>
      <c r="I1659" s="4" t="s">
        <v>2317</v>
      </c>
      <c r="J1659" s="4" t="s">
        <v>2316</v>
      </c>
      <c r="K1659" s="4" t="s">
        <v>2263</v>
      </c>
      <c r="L1659" s="10">
        <v>4</v>
      </c>
      <c r="M1659" s="5">
        <v>224000</v>
      </c>
      <c r="N1659" s="5">
        <v>896000</v>
      </c>
    </row>
    <row r="1660" spans="1:14" x14ac:dyDescent="0.25">
      <c r="A1660" s="4" t="s">
        <v>2653</v>
      </c>
      <c r="B1660" s="4" t="s">
        <v>3226</v>
      </c>
      <c r="C1660" s="4" t="s">
        <v>3801</v>
      </c>
      <c r="D1660" s="4" t="s">
        <v>3800</v>
      </c>
      <c r="E1660" s="4" t="s">
        <v>3811</v>
      </c>
      <c r="F1660" s="4" t="s">
        <v>3810</v>
      </c>
      <c r="G1660" s="4" t="s">
        <v>2263</v>
      </c>
      <c r="H1660" s="9" t="s">
        <v>2263</v>
      </c>
      <c r="I1660" s="4" t="s">
        <v>2317</v>
      </c>
      <c r="J1660" s="4" t="s">
        <v>2316</v>
      </c>
      <c r="K1660" s="4" t="s">
        <v>2263</v>
      </c>
      <c r="L1660" s="10">
        <v>4</v>
      </c>
      <c r="M1660" s="5">
        <v>224315</v>
      </c>
      <c r="N1660" s="5">
        <v>897260</v>
      </c>
    </row>
    <row r="1661" spans="1:14" x14ac:dyDescent="0.25">
      <c r="A1661" s="4" t="s">
        <v>2653</v>
      </c>
      <c r="B1661" s="4" t="s">
        <v>3226</v>
      </c>
      <c r="C1661" s="4" t="s">
        <v>2384</v>
      </c>
      <c r="D1661" s="4" t="s">
        <v>262</v>
      </c>
      <c r="E1661" s="4" t="s">
        <v>3508</v>
      </c>
      <c r="F1661" s="4" t="s">
        <v>3507</v>
      </c>
      <c r="G1661" s="4" t="s">
        <v>2263</v>
      </c>
      <c r="H1661" s="9" t="s">
        <v>2263</v>
      </c>
      <c r="I1661" s="4" t="s">
        <v>2317</v>
      </c>
      <c r="J1661" s="4" t="s">
        <v>2316</v>
      </c>
      <c r="K1661" s="4" t="s">
        <v>2263</v>
      </c>
      <c r="L1661" s="10">
        <v>4</v>
      </c>
      <c r="M1661" s="5">
        <v>232702.75</v>
      </c>
      <c r="N1661" s="5">
        <v>930811</v>
      </c>
    </row>
    <row r="1662" spans="1:14" x14ac:dyDescent="0.25">
      <c r="A1662" s="4" t="s">
        <v>2653</v>
      </c>
      <c r="B1662" s="4" t="s">
        <v>3226</v>
      </c>
      <c r="C1662" s="4" t="s">
        <v>2384</v>
      </c>
      <c r="D1662" s="4" t="s">
        <v>262</v>
      </c>
      <c r="E1662" s="4" t="s">
        <v>2683</v>
      </c>
      <c r="F1662" s="4" t="s">
        <v>2682</v>
      </c>
      <c r="G1662" s="4" t="s">
        <v>2263</v>
      </c>
      <c r="H1662" s="9" t="s">
        <v>2263</v>
      </c>
      <c r="I1662" s="4" t="s">
        <v>2317</v>
      </c>
      <c r="J1662" s="4" t="s">
        <v>2316</v>
      </c>
      <c r="K1662" s="4" t="s">
        <v>2263</v>
      </c>
      <c r="L1662" s="10">
        <v>4</v>
      </c>
      <c r="M1662" s="5">
        <v>248175.41076923074</v>
      </c>
      <c r="N1662" s="5">
        <v>992701.64307692309</v>
      </c>
    </row>
    <row r="1663" spans="1:14" x14ac:dyDescent="0.25">
      <c r="A1663" s="4" t="s">
        <v>2344</v>
      </c>
      <c r="B1663" s="4" t="s">
        <v>5154</v>
      </c>
      <c r="C1663" s="4" t="s">
        <v>2274</v>
      </c>
      <c r="D1663" s="4" t="s">
        <v>2273</v>
      </c>
      <c r="E1663" s="4" t="s">
        <v>4477</v>
      </c>
      <c r="F1663" s="4" t="s">
        <v>4476</v>
      </c>
      <c r="G1663" s="4" t="s">
        <v>2263</v>
      </c>
      <c r="H1663" s="9" t="s">
        <v>2263</v>
      </c>
      <c r="I1663" s="4" t="s">
        <v>2263</v>
      </c>
      <c r="J1663" s="4" t="s">
        <v>2263</v>
      </c>
      <c r="K1663" s="4" t="s">
        <v>4475</v>
      </c>
      <c r="L1663" s="10">
        <v>4</v>
      </c>
      <c r="M1663" s="5">
        <v>267904.11725000001</v>
      </c>
      <c r="N1663" s="5">
        <v>1071616.469</v>
      </c>
    </row>
    <row r="1664" spans="1:14" x14ac:dyDescent="0.25">
      <c r="A1664" s="4" t="s">
        <v>2320</v>
      </c>
      <c r="B1664" s="4" t="s">
        <v>4967</v>
      </c>
      <c r="C1664" s="4" t="s">
        <v>2320</v>
      </c>
      <c r="D1664" s="4" t="s">
        <v>242</v>
      </c>
      <c r="E1664" s="4" t="s">
        <v>4177</v>
      </c>
      <c r="F1664" s="4" t="s">
        <v>4176</v>
      </c>
      <c r="G1664" s="4" t="s">
        <v>2263</v>
      </c>
      <c r="H1664" s="9" t="s">
        <v>2263</v>
      </c>
      <c r="I1664" s="4" t="s">
        <v>2317</v>
      </c>
      <c r="J1664" s="4" t="s">
        <v>2316</v>
      </c>
      <c r="K1664" s="4" t="s">
        <v>2263</v>
      </c>
      <c r="L1664" s="10">
        <v>4</v>
      </c>
      <c r="M1664" s="5">
        <v>297657.86166666663</v>
      </c>
      <c r="N1664" s="5">
        <v>1190631.4466666668</v>
      </c>
    </row>
    <row r="1665" spans="1:14" x14ac:dyDescent="0.25">
      <c r="A1665" s="4" t="s">
        <v>2344</v>
      </c>
      <c r="B1665" s="4" t="s">
        <v>5154</v>
      </c>
      <c r="C1665" s="4" t="s">
        <v>2320</v>
      </c>
      <c r="D1665" s="4" t="s">
        <v>242</v>
      </c>
      <c r="E1665" s="4" t="s">
        <v>2789</v>
      </c>
      <c r="F1665" s="4" t="s">
        <v>2788</v>
      </c>
      <c r="G1665" s="4" t="s">
        <v>2263</v>
      </c>
      <c r="H1665" s="9" t="s">
        <v>2263</v>
      </c>
      <c r="I1665" s="4" t="s">
        <v>2317</v>
      </c>
      <c r="J1665" s="4" t="s">
        <v>2316</v>
      </c>
      <c r="K1665" s="4" t="s">
        <v>2263</v>
      </c>
      <c r="L1665" s="10">
        <v>4</v>
      </c>
      <c r="M1665" s="5">
        <v>298569.47162162163</v>
      </c>
      <c r="N1665" s="5">
        <v>1194277.8864864865</v>
      </c>
    </row>
    <row r="1666" spans="1:14" x14ac:dyDescent="0.25">
      <c r="A1666" s="4" t="s">
        <v>2320</v>
      </c>
      <c r="B1666" s="4" t="s">
        <v>4967</v>
      </c>
      <c r="C1666" s="4" t="s">
        <v>2320</v>
      </c>
      <c r="D1666" s="4" t="s">
        <v>242</v>
      </c>
      <c r="E1666" s="4" t="s">
        <v>2815</v>
      </c>
      <c r="F1666" s="4" t="s">
        <v>2814</v>
      </c>
      <c r="G1666" s="4" t="s">
        <v>2263</v>
      </c>
      <c r="H1666" s="9" t="s">
        <v>2263</v>
      </c>
      <c r="I1666" s="4" t="s">
        <v>2317</v>
      </c>
      <c r="J1666" s="4" t="s">
        <v>2316</v>
      </c>
      <c r="K1666" s="4" t="s">
        <v>2263</v>
      </c>
      <c r="L1666" s="10">
        <v>4</v>
      </c>
      <c r="M1666" s="5">
        <v>303183.3854545455</v>
      </c>
      <c r="N1666" s="5">
        <v>1212733.5418181818</v>
      </c>
    </row>
    <row r="1667" spans="1:14" x14ac:dyDescent="0.25">
      <c r="A1667" s="4" t="s">
        <v>2837</v>
      </c>
      <c r="B1667" s="4" t="s">
        <v>2836</v>
      </c>
      <c r="C1667" s="4" t="s">
        <v>2320</v>
      </c>
      <c r="D1667" s="4" t="s">
        <v>242</v>
      </c>
      <c r="E1667" s="4" t="s">
        <v>2849</v>
      </c>
      <c r="F1667" s="4" t="s">
        <v>2848</v>
      </c>
      <c r="G1667" s="4" t="s">
        <v>2263</v>
      </c>
      <c r="H1667" s="9" t="s">
        <v>2263</v>
      </c>
      <c r="I1667" s="4" t="s">
        <v>2317</v>
      </c>
      <c r="J1667" s="4" t="s">
        <v>2316</v>
      </c>
      <c r="K1667" s="4" t="s">
        <v>2263</v>
      </c>
      <c r="L1667" s="10">
        <v>4</v>
      </c>
      <c r="M1667" s="5">
        <v>349828.99999999994</v>
      </c>
      <c r="N1667" s="5">
        <v>1399316</v>
      </c>
    </row>
    <row r="1668" spans="1:14" x14ac:dyDescent="0.25">
      <c r="A1668" s="4" t="s">
        <v>2317</v>
      </c>
      <c r="B1668" s="4" t="s">
        <v>3839</v>
      </c>
      <c r="C1668" s="4" t="s">
        <v>2320</v>
      </c>
      <c r="D1668" s="4" t="s">
        <v>242</v>
      </c>
      <c r="E1668" s="4" t="s">
        <v>3987</v>
      </c>
      <c r="F1668" s="4" t="s">
        <v>3986</v>
      </c>
      <c r="G1668" s="4" t="s">
        <v>2263</v>
      </c>
      <c r="H1668" s="9" t="s">
        <v>2263</v>
      </c>
      <c r="I1668" s="4" t="s">
        <v>2317</v>
      </c>
      <c r="J1668" s="4" t="s">
        <v>2316</v>
      </c>
      <c r="K1668" s="4" t="s">
        <v>2263</v>
      </c>
      <c r="L1668" s="10">
        <v>4</v>
      </c>
      <c r="M1668" s="5">
        <v>357289.31899999996</v>
      </c>
      <c r="N1668" s="5">
        <v>1429157.2760000001</v>
      </c>
    </row>
    <row r="1669" spans="1:14" x14ac:dyDescent="0.25">
      <c r="A1669" s="4" t="s">
        <v>2269</v>
      </c>
      <c r="B1669" s="4" t="s">
        <v>2268</v>
      </c>
      <c r="C1669" s="4" t="s">
        <v>2320</v>
      </c>
      <c r="D1669" s="4" t="s">
        <v>242</v>
      </c>
      <c r="E1669" s="4" t="s">
        <v>2328</v>
      </c>
      <c r="F1669" s="4" t="s">
        <v>2327</v>
      </c>
      <c r="G1669" s="4" t="s">
        <v>2263</v>
      </c>
      <c r="H1669" s="9" t="s">
        <v>2263</v>
      </c>
      <c r="I1669" s="4" t="s">
        <v>2317</v>
      </c>
      <c r="J1669" s="4" t="s">
        <v>2316</v>
      </c>
      <c r="K1669" s="4" t="s">
        <v>2263</v>
      </c>
      <c r="L1669" s="10">
        <v>4</v>
      </c>
      <c r="M1669" s="5">
        <v>359127.72</v>
      </c>
      <c r="N1669" s="5">
        <v>1436510.88</v>
      </c>
    </row>
    <row r="1670" spans="1:14" x14ac:dyDescent="0.25">
      <c r="A1670" s="4" t="s">
        <v>2317</v>
      </c>
      <c r="B1670" s="4" t="s">
        <v>3839</v>
      </c>
      <c r="C1670" s="4" t="s">
        <v>2320</v>
      </c>
      <c r="D1670" s="4" t="s">
        <v>242</v>
      </c>
      <c r="E1670" s="4" t="s">
        <v>4191</v>
      </c>
      <c r="F1670" s="4" t="s">
        <v>4190</v>
      </c>
      <c r="G1670" s="4" t="s">
        <v>2263</v>
      </c>
      <c r="H1670" s="9" t="s">
        <v>2263</v>
      </c>
      <c r="I1670" s="4" t="s">
        <v>2317</v>
      </c>
      <c r="J1670" s="4" t="s">
        <v>2316</v>
      </c>
      <c r="K1670" s="4" t="s">
        <v>2263</v>
      </c>
      <c r="L1670" s="10">
        <v>4</v>
      </c>
      <c r="M1670" s="5">
        <v>365844.99999999994</v>
      </c>
      <c r="N1670" s="5">
        <v>1463380</v>
      </c>
    </row>
    <row r="1671" spans="1:14" x14ac:dyDescent="0.25">
      <c r="A1671" s="4" t="s">
        <v>2344</v>
      </c>
      <c r="B1671" s="4" t="s">
        <v>5154</v>
      </c>
      <c r="C1671" s="4" t="s">
        <v>2481</v>
      </c>
      <c r="D1671" s="4" t="s">
        <v>2480</v>
      </c>
      <c r="E1671" s="4" t="s">
        <v>5168</v>
      </c>
      <c r="F1671" s="4" t="s">
        <v>5167</v>
      </c>
      <c r="G1671" s="4" t="s">
        <v>2263</v>
      </c>
      <c r="H1671" s="9" t="s">
        <v>2263</v>
      </c>
      <c r="I1671" s="4" t="s">
        <v>2263</v>
      </c>
      <c r="J1671" s="4" t="s">
        <v>2263</v>
      </c>
      <c r="K1671" s="4" t="s">
        <v>5166</v>
      </c>
      <c r="L1671" s="10">
        <v>4</v>
      </c>
      <c r="M1671" s="5">
        <v>377842.88750000001</v>
      </c>
      <c r="N1671" s="5">
        <v>1511371.55</v>
      </c>
    </row>
    <row r="1672" spans="1:14" x14ac:dyDescent="0.25">
      <c r="A1672" s="4" t="s">
        <v>2344</v>
      </c>
      <c r="B1672" s="4" t="s">
        <v>5154</v>
      </c>
      <c r="C1672" s="4" t="s">
        <v>2274</v>
      </c>
      <c r="D1672" s="4" t="s">
        <v>2273</v>
      </c>
      <c r="E1672" s="4" t="s">
        <v>4484</v>
      </c>
      <c r="F1672" s="4" t="s">
        <v>4483</v>
      </c>
      <c r="G1672" s="4" t="s">
        <v>2263</v>
      </c>
      <c r="H1672" s="9" t="s">
        <v>2263</v>
      </c>
      <c r="I1672" s="4" t="s">
        <v>2263</v>
      </c>
      <c r="J1672" s="4" t="s">
        <v>2263</v>
      </c>
      <c r="K1672" s="4" t="s">
        <v>4482</v>
      </c>
      <c r="L1672" s="10">
        <v>4</v>
      </c>
      <c r="M1672" s="5">
        <v>394611.11111111107</v>
      </c>
      <c r="N1672" s="5">
        <v>1578444.4444444445</v>
      </c>
    </row>
    <row r="1673" spans="1:14" x14ac:dyDescent="0.25">
      <c r="A1673" s="4" t="s">
        <v>2653</v>
      </c>
      <c r="B1673" s="4" t="s">
        <v>3226</v>
      </c>
      <c r="C1673" s="4" t="s">
        <v>3196</v>
      </c>
      <c r="D1673" s="4" t="s">
        <v>254</v>
      </c>
      <c r="E1673" s="4" t="s">
        <v>3544</v>
      </c>
      <c r="F1673" s="4" t="s">
        <v>3543</v>
      </c>
      <c r="G1673" s="4" t="s">
        <v>2263</v>
      </c>
      <c r="H1673" s="9" t="s">
        <v>2263</v>
      </c>
      <c r="I1673" s="4" t="s">
        <v>2317</v>
      </c>
      <c r="J1673" s="4" t="s">
        <v>2316</v>
      </c>
      <c r="K1673" s="4" t="s">
        <v>2263</v>
      </c>
      <c r="L1673" s="10">
        <v>4</v>
      </c>
      <c r="M1673" s="5">
        <v>595000</v>
      </c>
      <c r="N1673" s="5">
        <v>2380000</v>
      </c>
    </row>
    <row r="1674" spans="1:14" x14ac:dyDescent="0.25">
      <c r="A1674" s="4" t="s">
        <v>2653</v>
      </c>
      <c r="B1674" s="4" t="s">
        <v>3226</v>
      </c>
      <c r="C1674" s="4" t="s">
        <v>2384</v>
      </c>
      <c r="D1674" s="4" t="s">
        <v>262</v>
      </c>
      <c r="E1674" s="4" t="s">
        <v>3348</v>
      </c>
      <c r="F1674" s="4" t="s">
        <v>3347</v>
      </c>
      <c r="G1674" s="4" t="s">
        <v>2263</v>
      </c>
      <c r="H1674" s="9" t="s">
        <v>2263</v>
      </c>
      <c r="I1674" s="4" t="s">
        <v>2317</v>
      </c>
      <c r="J1674" s="4" t="s">
        <v>2316</v>
      </c>
      <c r="K1674" s="4" t="s">
        <v>2263</v>
      </c>
      <c r="L1674" s="10">
        <v>4</v>
      </c>
      <c r="M1674" s="5">
        <v>600216.96</v>
      </c>
      <c r="N1674" s="5">
        <v>2400867.84</v>
      </c>
    </row>
    <row r="1675" spans="1:14" x14ac:dyDescent="0.25">
      <c r="A1675" s="4" t="s">
        <v>2317</v>
      </c>
      <c r="B1675" s="4" t="s">
        <v>3839</v>
      </c>
      <c r="C1675" s="4" t="s">
        <v>2320</v>
      </c>
      <c r="D1675" s="4" t="s">
        <v>242</v>
      </c>
      <c r="E1675" s="4" t="s">
        <v>4267</v>
      </c>
      <c r="F1675" s="4" t="s">
        <v>4266</v>
      </c>
      <c r="G1675" s="4" t="s">
        <v>2263</v>
      </c>
      <c r="H1675" s="9" t="s">
        <v>2263</v>
      </c>
      <c r="I1675" s="4" t="s">
        <v>2317</v>
      </c>
      <c r="J1675" s="4" t="s">
        <v>2316</v>
      </c>
      <c r="K1675" s="4" t="s">
        <v>2263</v>
      </c>
      <c r="L1675" s="10">
        <v>4</v>
      </c>
      <c r="M1675" s="5">
        <v>650854.53333333333</v>
      </c>
      <c r="N1675" s="5">
        <v>2603418.1333333333</v>
      </c>
    </row>
    <row r="1676" spans="1:14" x14ac:dyDescent="0.25">
      <c r="A1676" s="4" t="s">
        <v>2317</v>
      </c>
      <c r="B1676" s="4" t="s">
        <v>3839</v>
      </c>
      <c r="C1676" s="4" t="s">
        <v>2320</v>
      </c>
      <c r="D1676" s="4" t="s">
        <v>242</v>
      </c>
      <c r="E1676" s="4" t="s">
        <v>3981</v>
      </c>
      <c r="F1676" s="4" t="s">
        <v>3980</v>
      </c>
      <c r="G1676" s="4" t="s">
        <v>2263</v>
      </c>
      <c r="H1676" s="9" t="s">
        <v>2263</v>
      </c>
      <c r="I1676" s="4" t="s">
        <v>2317</v>
      </c>
      <c r="J1676" s="4" t="s">
        <v>2316</v>
      </c>
      <c r="K1676" s="4" t="s">
        <v>2263</v>
      </c>
      <c r="L1676" s="10">
        <v>4</v>
      </c>
      <c r="M1676" s="5">
        <v>678001</v>
      </c>
      <c r="N1676" s="5">
        <v>2712004</v>
      </c>
    </row>
    <row r="1677" spans="1:14" x14ac:dyDescent="0.25">
      <c r="A1677" s="4" t="s">
        <v>2317</v>
      </c>
      <c r="B1677" s="4" t="s">
        <v>3839</v>
      </c>
      <c r="C1677" s="4" t="s">
        <v>2320</v>
      </c>
      <c r="D1677" s="4" t="s">
        <v>242</v>
      </c>
      <c r="E1677" s="4" t="s">
        <v>4265</v>
      </c>
      <c r="F1677" s="4" t="s">
        <v>4264</v>
      </c>
      <c r="G1677" s="4" t="s">
        <v>2263</v>
      </c>
      <c r="H1677" s="9" t="s">
        <v>2263</v>
      </c>
      <c r="I1677" s="4" t="s">
        <v>2317</v>
      </c>
      <c r="J1677" s="4" t="s">
        <v>2316</v>
      </c>
      <c r="K1677" s="4" t="s">
        <v>2263</v>
      </c>
      <c r="L1677" s="10">
        <v>4</v>
      </c>
      <c r="M1677" s="5">
        <v>716205.17142857146</v>
      </c>
      <c r="N1677" s="5">
        <v>2864820.6857142858</v>
      </c>
    </row>
    <row r="1678" spans="1:14" x14ac:dyDescent="0.25">
      <c r="A1678" s="4" t="s">
        <v>2320</v>
      </c>
      <c r="B1678" s="4" t="s">
        <v>4967</v>
      </c>
      <c r="C1678" s="4" t="s">
        <v>2320</v>
      </c>
      <c r="D1678" s="4" t="s">
        <v>242</v>
      </c>
      <c r="E1678" s="4" t="s">
        <v>4235</v>
      </c>
      <c r="F1678" s="4" t="s">
        <v>4234</v>
      </c>
      <c r="G1678" s="4" t="s">
        <v>2263</v>
      </c>
      <c r="H1678" s="9" t="s">
        <v>2263</v>
      </c>
      <c r="I1678" s="4" t="s">
        <v>2317</v>
      </c>
      <c r="J1678" s="4" t="s">
        <v>2316</v>
      </c>
      <c r="K1678" s="4" t="s">
        <v>2263</v>
      </c>
      <c r="L1678" s="10">
        <v>4</v>
      </c>
      <c r="M1678" s="5">
        <v>783143.36</v>
      </c>
      <c r="N1678" s="5">
        <v>3132573.44</v>
      </c>
    </row>
    <row r="1679" spans="1:14" x14ac:dyDescent="0.25">
      <c r="A1679" s="4" t="s">
        <v>2653</v>
      </c>
      <c r="B1679" s="4" t="s">
        <v>3226</v>
      </c>
      <c r="C1679" s="4" t="s">
        <v>2384</v>
      </c>
      <c r="D1679" s="4" t="s">
        <v>262</v>
      </c>
      <c r="E1679" s="4" t="s">
        <v>3458</v>
      </c>
      <c r="F1679" s="4" t="s">
        <v>3457</v>
      </c>
      <c r="G1679" s="4" t="s">
        <v>2263</v>
      </c>
      <c r="H1679" s="9" t="s">
        <v>2263</v>
      </c>
      <c r="I1679" s="4" t="s">
        <v>2317</v>
      </c>
      <c r="J1679" s="4" t="s">
        <v>2316</v>
      </c>
      <c r="K1679" s="4" t="s">
        <v>2263</v>
      </c>
      <c r="L1679" s="10">
        <v>4</v>
      </c>
      <c r="M1679" s="5">
        <v>849213.75</v>
      </c>
      <c r="N1679" s="5">
        <v>3396855</v>
      </c>
    </row>
    <row r="1680" spans="1:14" x14ac:dyDescent="0.25">
      <c r="A1680" s="4" t="s">
        <v>2320</v>
      </c>
      <c r="B1680" s="4" t="s">
        <v>4967</v>
      </c>
      <c r="C1680" s="4" t="s">
        <v>2274</v>
      </c>
      <c r="D1680" s="4" t="s">
        <v>2273</v>
      </c>
      <c r="E1680" s="4" t="s">
        <v>4981</v>
      </c>
      <c r="F1680" s="4" t="s">
        <v>4980</v>
      </c>
      <c r="G1680" s="4" t="s">
        <v>2263</v>
      </c>
      <c r="H1680" s="9" t="s">
        <v>2263</v>
      </c>
      <c r="I1680" s="4" t="s">
        <v>2263</v>
      </c>
      <c r="J1680" s="4" t="s">
        <v>2263</v>
      </c>
      <c r="K1680" s="4" t="s">
        <v>4979</v>
      </c>
      <c r="L1680" s="10">
        <v>4</v>
      </c>
      <c r="M1680" s="5">
        <v>1399129</v>
      </c>
      <c r="N1680" s="5">
        <v>5596516</v>
      </c>
    </row>
    <row r="1681" spans="1:14" x14ac:dyDescent="0.25">
      <c r="A1681" s="4" t="s">
        <v>2761</v>
      </c>
      <c r="B1681" s="4" t="s">
        <v>2760</v>
      </c>
      <c r="C1681" s="4" t="s">
        <v>2320</v>
      </c>
      <c r="D1681" s="4" t="s">
        <v>242</v>
      </c>
      <c r="E1681" s="4" t="s">
        <v>2803</v>
      </c>
      <c r="F1681" s="4" t="s">
        <v>2802</v>
      </c>
      <c r="G1681" s="4" t="s">
        <v>2263</v>
      </c>
      <c r="H1681" s="9" t="s">
        <v>2263</v>
      </c>
      <c r="I1681" s="4" t="s">
        <v>2317</v>
      </c>
      <c r="J1681" s="4" t="s">
        <v>2316</v>
      </c>
      <c r="K1681" s="4" t="s">
        <v>2263</v>
      </c>
      <c r="L1681" s="10">
        <v>4</v>
      </c>
      <c r="M1681" s="5">
        <v>1592274.287142857</v>
      </c>
      <c r="N1681" s="5">
        <v>6369097.1485714288</v>
      </c>
    </row>
    <row r="1682" spans="1:14" x14ac:dyDescent="0.25">
      <c r="A1682" s="4" t="s">
        <v>2317</v>
      </c>
      <c r="B1682" s="4" t="s">
        <v>3839</v>
      </c>
      <c r="C1682" s="4" t="s">
        <v>2320</v>
      </c>
      <c r="D1682" s="4" t="s">
        <v>242</v>
      </c>
      <c r="E1682" s="4" t="s">
        <v>3897</v>
      </c>
      <c r="F1682" s="4" t="s">
        <v>3896</v>
      </c>
      <c r="G1682" s="4" t="s">
        <v>2263</v>
      </c>
      <c r="H1682" s="9" t="s">
        <v>2263</v>
      </c>
      <c r="I1682" s="4" t="s">
        <v>2317</v>
      </c>
      <c r="J1682" s="4" t="s">
        <v>2316</v>
      </c>
      <c r="K1682" s="4" t="s">
        <v>2263</v>
      </c>
      <c r="L1682" s="10">
        <v>4</v>
      </c>
      <c r="M1682" s="5">
        <v>1695762.422</v>
      </c>
      <c r="N1682" s="5">
        <v>6783049.6880000001</v>
      </c>
    </row>
    <row r="1683" spans="1:14" x14ac:dyDescent="0.25">
      <c r="A1683" s="4" t="s">
        <v>2653</v>
      </c>
      <c r="B1683" s="4" t="s">
        <v>3226</v>
      </c>
      <c r="C1683" s="4" t="s">
        <v>2384</v>
      </c>
      <c r="D1683" s="4" t="s">
        <v>262</v>
      </c>
      <c r="E1683" s="4" t="s">
        <v>3322</v>
      </c>
      <c r="F1683" s="4" t="s">
        <v>3321</v>
      </c>
      <c r="G1683" s="4" t="s">
        <v>2263</v>
      </c>
      <c r="H1683" s="9" t="s">
        <v>2263</v>
      </c>
      <c r="I1683" s="4" t="s">
        <v>2317</v>
      </c>
      <c r="J1683" s="4" t="s">
        <v>2316</v>
      </c>
      <c r="K1683" s="4" t="s">
        <v>2263</v>
      </c>
      <c r="L1683" s="10">
        <v>4</v>
      </c>
      <c r="M1683" s="5">
        <v>1733830</v>
      </c>
      <c r="N1683" s="5">
        <v>6935320</v>
      </c>
    </row>
    <row r="1684" spans="1:14" x14ac:dyDescent="0.25">
      <c r="A1684" s="4" t="s">
        <v>2320</v>
      </c>
      <c r="B1684" s="4" t="s">
        <v>4967</v>
      </c>
      <c r="C1684" s="4" t="s">
        <v>2320</v>
      </c>
      <c r="D1684" s="4" t="s">
        <v>242</v>
      </c>
      <c r="E1684" s="4" t="s">
        <v>5055</v>
      </c>
      <c r="F1684" s="4" t="s">
        <v>5054</v>
      </c>
      <c r="G1684" s="4" t="s">
        <v>2263</v>
      </c>
      <c r="H1684" s="9" t="s">
        <v>2263</v>
      </c>
      <c r="I1684" s="4" t="s">
        <v>2317</v>
      </c>
      <c r="J1684" s="4" t="s">
        <v>2316</v>
      </c>
      <c r="K1684" s="4" t="s">
        <v>2263</v>
      </c>
      <c r="L1684" s="10">
        <v>5</v>
      </c>
      <c r="M1684" s="5">
        <v>-135808.97200000001</v>
      </c>
      <c r="N1684" s="5">
        <v>-679044.86</v>
      </c>
    </row>
    <row r="1685" spans="1:14" x14ac:dyDescent="0.25">
      <c r="A1685" s="4" t="s">
        <v>2274</v>
      </c>
      <c r="B1685" s="4" t="s">
        <v>4348</v>
      </c>
      <c r="C1685" s="4" t="s">
        <v>2274</v>
      </c>
      <c r="D1685" s="4" t="s">
        <v>2273</v>
      </c>
      <c r="E1685" s="4" t="s">
        <v>4443</v>
      </c>
      <c r="F1685" s="4" t="s">
        <v>4442</v>
      </c>
      <c r="G1685" s="4" t="s">
        <v>2263</v>
      </c>
      <c r="H1685" s="9" t="s">
        <v>2263</v>
      </c>
      <c r="I1685" s="4" t="s">
        <v>2263</v>
      </c>
      <c r="J1685" s="4" t="s">
        <v>2263</v>
      </c>
      <c r="K1685" s="4" t="s">
        <v>4441</v>
      </c>
      <c r="L1685" s="10">
        <v>5</v>
      </c>
      <c r="M1685" s="5">
        <v>-33746.551249999997</v>
      </c>
      <c r="N1685" s="5">
        <v>-168732.75625000001</v>
      </c>
    </row>
    <row r="1686" spans="1:14" x14ac:dyDescent="0.25">
      <c r="A1686" s="4" t="s">
        <v>3196</v>
      </c>
      <c r="B1686" s="4" t="s">
        <v>3195</v>
      </c>
      <c r="C1686" s="4" t="s">
        <v>2344</v>
      </c>
      <c r="D1686" s="4" t="s">
        <v>237</v>
      </c>
      <c r="E1686" s="4" t="s">
        <v>3118</v>
      </c>
      <c r="F1686" s="4" t="s">
        <v>3117</v>
      </c>
      <c r="G1686" s="4" t="s">
        <v>2263</v>
      </c>
      <c r="H1686" s="9" t="s">
        <v>2263</v>
      </c>
      <c r="I1686" s="4" t="s">
        <v>2263</v>
      </c>
      <c r="J1686" s="4" t="s">
        <v>2263</v>
      </c>
      <c r="K1686" s="4" t="s">
        <v>3116</v>
      </c>
      <c r="L1686" s="10">
        <v>5</v>
      </c>
      <c r="M1686" s="5">
        <v>-9389.8194444444453</v>
      </c>
      <c r="N1686" s="5">
        <v>-46949.097222222219</v>
      </c>
    </row>
    <row r="1687" spans="1:14" x14ac:dyDescent="0.25">
      <c r="A1687" s="4" t="s">
        <v>3157</v>
      </c>
      <c r="B1687" s="4" t="s">
        <v>3156</v>
      </c>
      <c r="C1687" s="4" t="s">
        <v>2344</v>
      </c>
      <c r="D1687" s="4" t="s">
        <v>237</v>
      </c>
      <c r="E1687" s="4" t="s">
        <v>3118</v>
      </c>
      <c r="F1687" s="4" t="s">
        <v>3117</v>
      </c>
      <c r="G1687" s="4" t="s">
        <v>2263</v>
      </c>
      <c r="H1687" s="9" t="s">
        <v>2263</v>
      </c>
      <c r="I1687" s="4" t="s">
        <v>2263</v>
      </c>
      <c r="J1687" s="4" t="s">
        <v>2263</v>
      </c>
      <c r="K1687" s="4" t="s">
        <v>3116</v>
      </c>
      <c r="L1687" s="10">
        <v>5</v>
      </c>
      <c r="M1687" s="5">
        <v>-9389.8194444444453</v>
      </c>
      <c r="N1687" s="5">
        <v>-46949.097222222219</v>
      </c>
    </row>
    <row r="1688" spans="1:14" x14ac:dyDescent="0.25">
      <c r="A1688" s="4" t="s">
        <v>3104</v>
      </c>
      <c r="B1688" s="4" t="s">
        <v>3103</v>
      </c>
      <c r="C1688" s="4" t="s">
        <v>2344</v>
      </c>
      <c r="D1688" s="4" t="s">
        <v>237</v>
      </c>
      <c r="E1688" s="4" t="s">
        <v>3118</v>
      </c>
      <c r="F1688" s="4" t="s">
        <v>3117</v>
      </c>
      <c r="G1688" s="4" t="s">
        <v>2263</v>
      </c>
      <c r="H1688" s="9" t="s">
        <v>2263</v>
      </c>
      <c r="I1688" s="4" t="s">
        <v>2263</v>
      </c>
      <c r="J1688" s="4" t="s">
        <v>2263</v>
      </c>
      <c r="K1688" s="4" t="s">
        <v>3116</v>
      </c>
      <c r="L1688" s="10">
        <v>5</v>
      </c>
      <c r="M1688" s="5">
        <v>-9389.8194444444453</v>
      </c>
      <c r="N1688" s="5">
        <v>-46949.097222222219</v>
      </c>
    </row>
    <row r="1689" spans="1:14" x14ac:dyDescent="0.25">
      <c r="A1689" s="4" t="s">
        <v>2930</v>
      </c>
      <c r="B1689" s="4" t="s">
        <v>2929</v>
      </c>
      <c r="C1689" s="4" t="s">
        <v>2320</v>
      </c>
      <c r="D1689" s="4" t="s">
        <v>242</v>
      </c>
      <c r="E1689" s="4" t="s">
        <v>2968</v>
      </c>
      <c r="F1689" s="4" t="s">
        <v>2967</v>
      </c>
      <c r="G1689" s="4" t="s">
        <v>2263</v>
      </c>
      <c r="H1689" s="9" t="s">
        <v>2263</v>
      </c>
      <c r="I1689" s="4" t="s">
        <v>2317</v>
      </c>
      <c r="J1689" s="4" t="s">
        <v>2316</v>
      </c>
      <c r="K1689" s="4" t="s">
        <v>2263</v>
      </c>
      <c r="L1689" s="10">
        <v>5</v>
      </c>
      <c r="M1689" s="5">
        <v>-296.27659574468083</v>
      </c>
      <c r="N1689" s="5">
        <v>-1481.3829787233999</v>
      </c>
    </row>
    <row r="1690" spans="1:14" x14ac:dyDescent="0.25">
      <c r="A1690" s="4" t="s">
        <v>2344</v>
      </c>
      <c r="B1690" s="4" t="s">
        <v>5154</v>
      </c>
      <c r="C1690" s="4" t="s">
        <v>3174</v>
      </c>
      <c r="D1690" s="4" t="s">
        <v>4347</v>
      </c>
      <c r="E1690" s="4" t="s">
        <v>5153</v>
      </c>
      <c r="F1690" s="4" t="s">
        <v>4346</v>
      </c>
      <c r="G1690" s="4" t="s">
        <v>2263</v>
      </c>
      <c r="H1690" s="9" t="s">
        <v>2263</v>
      </c>
      <c r="I1690" s="4" t="s">
        <v>2263</v>
      </c>
      <c r="J1690" s="4" t="s">
        <v>2263</v>
      </c>
      <c r="K1690" s="4" t="s">
        <v>2633</v>
      </c>
      <c r="L1690" s="10">
        <v>5</v>
      </c>
      <c r="M1690" s="5">
        <v>1</v>
      </c>
      <c r="N1690" s="5">
        <v>5</v>
      </c>
    </row>
    <row r="1691" spans="1:14" x14ac:dyDescent="0.25">
      <c r="A1691" s="4" t="s">
        <v>3801</v>
      </c>
      <c r="B1691" s="4" t="s">
        <v>4965</v>
      </c>
      <c r="C1691" s="4" t="s">
        <v>2320</v>
      </c>
      <c r="D1691" s="4" t="s">
        <v>242</v>
      </c>
      <c r="E1691" s="4" t="s">
        <v>2703</v>
      </c>
      <c r="F1691" s="4" t="s">
        <v>2702</v>
      </c>
      <c r="G1691" s="4" t="s">
        <v>2263</v>
      </c>
      <c r="H1691" s="9" t="s">
        <v>2263</v>
      </c>
      <c r="I1691" s="4" t="s">
        <v>2317</v>
      </c>
      <c r="J1691" s="4" t="s">
        <v>2316</v>
      </c>
      <c r="K1691" s="4" t="s">
        <v>2263</v>
      </c>
      <c r="L1691" s="10">
        <v>5</v>
      </c>
      <c r="M1691" s="5">
        <v>202.89964967048215</v>
      </c>
      <c r="N1691" s="5">
        <v>1014.49824835241</v>
      </c>
    </row>
    <row r="1692" spans="1:14" x14ac:dyDescent="0.25">
      <c r="A1692" s="4" t="s">
        <v>2279</v>
      </c>
      <c r="B1692" s="4" t="s">
        <v>4963</v>
      </c>
      <c r="C1692" s="4" t="s">
        <v>2320</v>
      </c>
      <c r="D1692" s="4" t="s">
        <v>242</v>
      </c>
      <c r="E1692" s="4" t="s">
        <v>2703</v>
      </c>
      <c r="F1692" s="4" t="s">
        <v>2702</v>
      </c>
      <c r="G1692" s="4" t="s">
        <v>2263</v>
      </c>
      <c r="H1692" s="9" t="s">
        <v>2263</v>
      </c>
      <c r="I1692" s="4" t="s">
        <v>2317</v>
      </c>
      <c r="J1692" s="4" t="s">
        <v>2316</v>
      </c>
      <c r="K1692" s="4" t="s">
        <v>2263</v>
      </c>
      <c r="L1692" s="10">
        <v>5</v>
      </c>
      <c r="M1692" s="5">
        <v>202.89964967048215</v>
      </c>
      <c r="N1692" s="5">
        <v>1014.49824835241</v>
      </c>
    </row>
    <row r="1693" spans="1:14" x14ac:dyDescent="0.25">
      <c r="A1693" s="4" t="s">
        <v>2481</v>
      </c>
      <c r="B1693" s="4" t="s">
        <v>3217</v>
      </c>
      <c r="C1693" s="4" t="s">
        <v>2320</v>
      </c>
      <c r="D1693" s="4" t="s">
        <v>242</v>
      </c>
      <c r="E1693" s="4" t="s">
        <v>2703</v>
      </c>
      <c r="F1693" s="4" t="s">
        <v>2702</v>
      </c>
      <c r="G1693" s="4" t="s">
        <v>2263</v>
      </c>
      <c r="H1693" s="9" t="s">
        <v>2263</v>
      </c>
      <c r="I1693" s="4" t="s">
        <v>2317</v>
      </c>
      <c r="J1693" s="4" t="s">
        <v>2316</v>
      </c>
      <c r="K1693" s="4" t="s">
        <v>2263</v>
      </c>
      <c r="L1693" s="10">
        <v>5</v>
      </c>
      <c r="M1693" s="5">
        <v>202.89964967048215</v>
      </c>
      <c r="N1693" s="5">
        <v>1014.49824835241</v>
      </c>
    </row>
    <row r="1694" spans="1:14" x14ac:dyDescent="0.25">
      <c r="A1694" s="4" t="s">
        <v>3196</v>
      </c>
      <c r="B1694" s="4" t="s">
        <v>3195</v>
      </c>
      <c r="C1694" s="4" t="s">
        <v>2320</v>
      </c>
      <c r="D1694" s="4" t="s">
        <v>242</v>
      </c>
      <c r="E1694" s="4" t="s">
        <v>2703</v>
      </c>
      <c r="F1694" s="4" t="s">
        <v>2702</v>
      </c>
      <c r="G1694" s="4" t="s">
        <v>2263</v>
      </c>
      <c r="H1694" s="9" t="s">
        <v>2263</v>
      </c>
      <c r="I1694" s="4" t="s">
        <v>2317</v>
      </c>
      <c r="J1694" s="4" t="s">
        <v>2316</v>
      </c>
      <c r="K1694" s="4" t="s">
        <v>2263</v>
      </c>
      <c r="L1694" s="10">
        <v>5</v>
      </c>
      <c r="M1694" s="5">
        <v>202.89964967048215</v>
      </c>
      <c r="N1694" s="5">
        <v>1014.49824835241</v>
      </c>
    </row>
    <row r="1695" spans="1:14" x14ac:dyDescent="0.25">
      <c r="A1695" s="4" t="s">
        <v>2384</v>
      </c>
      <c r="B1695" s="4" t="s">
        <v>3187</v>
      </c>
      <c r="C1695" s="4" t="s">
        <v>2320</v>
      </c>
      <c r="D1695" s="4" t="s">
        <v>242</v>
      </c>
      <c r="E1695" s="4" t="s">
        <v>2703</v>
      </c>
      <c r="F1695" s="4" t="s">
        <v>2702</v>
      </c>
      <c r="G1695" s="4" t="s">
        <v>2263</v>
      </c>
      <c r="H1695" s="9" t="s">
        <v>2263</v>
      </c>
      <c r="I1695" s="4" t="s">
        <v>2317</v>
      </c>
      <c r="J1695" s="4" t="s">
        <v>2316</v>
      </c>
      <c r="K1695" s="4" t="s">
        <v>2263</v>
      </c>
      <c r="L1695" s="10">
        <v>5</v>
      </c>
      <c r="M1695" s="5">
        <v>202.89964967048215</v>
      </c>
      <c r="N1695" s="5">
        <v>1014.49824835241</v>
      </c>
    </row>
    <row r="1696" spans="1:14" x14ac:dyDescent="0.25">
      <c r="A1696" s="4" t="s">
        <v>3174</v>
      </c>
      <c r="B1696" s="4" t="s">
        <v>3173</v>
      </c>
      <c r="C1696" s="4" t="s">
        <v>2320</v>
      </c>
      <c r="D1696" s="4" t="s">
        <v>242</v>
      </c>
      <c r="E1696" s="4" t="s">
        <v>2703</v>
      </c>
      <c r="F1696" s="4" t="s">
        <v>2702</v>
      </c>
      <c r="G1696" s="4" t="s">
        <v>2263</v>
      </c>
      <c r="H1696" s="9" t="s">
        <v>2263</v>
      </c>
      <c r="I1696" s="4" t="s">
        <v>2317</v>
      </c>
      <c r="J1696" s="4" t="s">
        <v>2316</v>
      </c>
      <c r="K1696" s="4" t="s">
        <v>2263</v>
      </c>
      <c r="L1696" s="10">
        <v>5</v>
      </c>
      <c r="M1696" s="5">
        <v>202.89964967048215</v>
      </c>
      <c r="N1696" s="5">
        <v>1014.49824835241</v>
      </c>
    </row>
    <row r="1697" spans="1:14" x14ac:dyDescent="0.25">
      <c r="A1697" s="4" t="s">
        <v>3157</v>
      </c>
      <c r="B1697" s="4" t="s">
        <v>3156</v>
      </c>
      <c r="C1697" s="4" t="s">
        <v>2320</v>
      </c>
      <c r="D1697" s="4" t="s">
        <v>242</v>
      </c>
      <c r="E1697" s="4" t="s">
        <v>2703</v>
      </c>
      <c r="F1697" s="4" t="s">
        <v>2702</v>
      </c>
      <c r="G1697" s="4" t="s">
        <v>2263</v>
      </c>
      <c r="H1697" s="9" t="s">
        <v>2263</v>
      </c>
      <c r="I1697" s="4" t="s">
        <v>2317</v>
      </c>
      <c r="J1697" s="4" t="s">
        <v>2316</v>
      </c>
      <c r="K1697" s="4" t="s">
        <v>2263</v>
      </c>
      <c r="L1697" s="10">
        <v>5</v>
      </c>
      <c r="M1697" s="5">
        <v>202.89964967048215</v>
      </c>
      <c r="N1697" s="5">
        <v>1014.49824835241</v>
      </c>
    </row>
    <row r="1698" spans="1:14" x14ac:dyDescent="0.25">
      <c r="A1698" s="4" t="s">
        <v>3104</v>
      </c>
      <c r="B1698" s="4" t="s">
        <v>3103</v>
      </c>
      <c r="C1698" s="4" t="s">
        <v>2320</v>
      </c>
      <c r="D1698" s="4" t="s">
        <v>242</v>
      </c>
      <c r="E1698" s="4" t="s">
        <v>2703</v>
      </c>
      <c r="F1698" s="4" t="s">
        <v>2702</v>
      </c>
      <c r="G1698" s="4" t="s">
        <v>2263</v>
      </c>
      <c r="H1698" s="9" t="s">
        <v>2263</v>
      </c>
      <c r="I1698" s="4" t="s">
        <v>2317</v>
      </c>
      <c r="J1698" s="4" t="s">
        <v>2316</v>
      </c>
      <c r="K1698" s="4" t="s">
        <v>2263</v>
      </c>
      <c r="L1698" s="10">
        <v>5</v>
      </c>
      <c r="M1698" s="5">
        <v>202.89964967048215</v>
      </c>
      <c r="N1698" s="5">
        <v>1014.49824835241</v>
      </c>
    </row>
    <row r="1699" spans="1:14" x14ac:dyDescent="0.25">
      <c r="A1699" s="4" t="s">
        <v>3063</v>
      </c>
      <c r="B1699" s="4" t="s">
        <v>3062</v>
      </c>
      <c r="C1699" s="4" t="s">
        <v>2320</v>
      </c>
      <c r="D1699" s="4" t="s">
        <v>242</v>
      </c>
      <c r="E1699" s="4" t="s">
        <v>2703</v>
      </c>
      <c r="F1699" s="4" t="s">
        <v>2702</v>
      </c>
      <c r="G1699" s="4" t="s">
        <v>2263</v>
      </c>
      <c r="H1699" s="9" t="s">
        <v>2263</v>
      </c>
      <c r="I1699" s="4" t="s">
        <v>2317</v>
      </c>
      <c r="J1699" s="4" t="s">
        <v>2316</v>
      </c>
      <c r="K1699" s="4" t="s">
        <v>2263</v>
      </c>
      <c r="L1699" s="10">
        <v>5</v>
      </c>
      <c r="M1699" s="5">
        <v>202.89964967048215</v>
      </c>
      <c r="N1699" s="5">
        <v>1014.49824835241</v>
      </c>
    </row>
    <row r="1700" spans="1:14" x14ac:dyDescent="0.25">
      <c r="A1700" s="4" t="s">
        <v>3051</v>
      </c>
      <c r="B1700" s="4" t="s">
        <v>3050</v>
      </c>
      <c r="C1700" s="4" t="s">
        <v>2320</v>
      </c>
      <c r="D1700" s="4" t="s">
        <v>242</v>
      </c>
      <c r="E1700" s="4" t="s">
        <v>2703</v>
      </c>
      <c r="F1700" s="4" t="s">
        <v>2702</v>
      </c>
      <c r="G1700" s="4" t="s">
        <v>2263</v>
      </c>
      <c r="H1700" s="9" t="s">
        <v>2263</v>
      </c>
      <c r="I1700" s="4" t="s">
        <v>2317</v>
      </c>
      <c r="J1700" s="4" t="s">
        <v>2316</v>
      </c>
      <c r="K1700" s="4" t="s">
        <v>2263</v>
      </c>
      <c r="L1700" s="10">
        <v>5</v>
      </c>
      <c r="M1700" s="5">
        <v>202.89964967048215</v>
      </c>
      <c r="N1700" s="5">
        <v>1014.49824835241</v>
      </c>
    </row>
    <row r="1701" spans="1:14" x14ac:dyDescent="0.25">
      <c r="A1701" s="4" t="s">
        <v>3024</v>
      </c>
      <c r="B1701" s="4" t="s">
        <v>3023</v>
      </c>
      <c r="C1701" s="4" t="s">
        <v>2320</v>
      </c>
      <c r="D1701" s="4" t="s">
        <v>242</v>
      </c>
      <c r="E1701" s="4" t="s">
        <v>2703</v>
      </c>
      <c r="F1701" s="4" t="s">
        <v>2702</v>
      </c>
      <c r="G1701" s="4" t="s">
        <v>2263</v>
      </c>
      <c r="H1701" s="9" t="s">
        <v>2263</v>
      </c>
      <c r="I1701" s="4" t="s">
        <v>2317</v>
      </c>
      <c r="J1701" s="4" t="s">
        <v>2316</v>
      </c>
      <c r="K1701" s="4" t="s">
        <v>2263</v>
      </c>
      <c r="L1701" s="10">
        <v>5</v>
      </c>
      <c r="M1701" s="5">
        <v>202.89964967048215</v>
      </c>
      <c r="N1701" s="5">
        <v>1014.49824835241</v>
      </c>
    </row>
    <row r="1702" spans="1:14" x14ac:dyDescent="0.25">
      <c r="A1702" s="4" t="s">
        <v>2673</v>
      </c>
      <c r="B1702" s="4" t="s">
        <v>2672</v>
      </c>
      <c r="C1702" s="4" t="s">
        <v>2320</v>
      </c>
      <c r="D1702" s="4" t="s">
        <v>242</v>
      </c>
      <c r="E1702" s="4" t="s">
        <v>2703</v>
      </c>
      <c r="F1702" s="4" t="s">
        <v>2702</v>
      </c>
      <c r="G1702" s="4" t="s">
        <v>2263</v>
      </c>
      <c r="H1702" s="9" t="s">
        <v>2263</v>
      </c>
      <c r="I1702" s="4" t="s">
        <v>2317</v>
      </c>
      <c r="J1702" s="4" t="s">
        <v>2316</v>
      </c>
      <c r="K1702" s="4" t="s">
        <v>2263</v>
      </c>
      <c r="L1702" s="10">
        <v>5</v>
      </c>
      <c r="M1702" s="5">
        <v>202.89964967048215</v>
      </c>
      <c r="N1702" s="5">
        <v>1014.49824835241</v>
      </c>
    </row>
    <row r="1703" spans="1:14" x14ac:dyDescent="0.25">
      <c r="A1703" s="4" t="s">
        <v>3157</v>
      </c>
      <c r="B1703" s="4" t="s">
        <v>3156</v>
      </c>
      <c r="C1703" s="4" t="s">
        <v>2320</v>
      </c>
      <c r="D1703" s="4" t="s">
        <v>242</v>
      </c>
      <c r="E1703" s="4" t="s">
        <v>2705</v>
      </c>
      <c r="F1703" s="4" t="s">
        <v>2704</v>
      </c>
      <c r="G1703" s="4" t="s">
        <v>2263</v>
      </c>
      <c r="H1703" s="9" t="s">
        <v>2263</v>
      </c>
      <c r="I1703" s="4" t="s">
        <v>2317</v>
      </c>
      <c r="J1703" s="4" t="s">
        <v>2316</v>
      </c>
      <c r="K1703" s="4" t="s">
        <v>2263</v>
      </c>
      <c r="L1703" s="10">
        <v>5</v>
      </c>
      <c r="M1703" s="5">
        <v>223.90058038692462</v>
      </c>
      <c r="N1703" s="5">
        <v>1119.50290193462</v>
      </c>
    </row>
    <row r="1704" spans="1:14" x14ac:dyDescent="0.25">
      <c r="A1704" s="4" t="s">
        <v>2673</v>
      </c>
      <c r="B1704" s="4" t="s">
        <v>2672</v>
      </c>
      <c r="C1704" s="4" t="s">
        <v>2320</v>
      </c>
      <c r="D1704" s="4" t="s">
        <v>242</v>
      </c>
      <c r="E1704" s="4" t="s">
        <v>2705</v>
      </c>
      <c r="F1704" s="4" t="s">
        <v>2704</v>
      </c>
      <c r="G1704" s="4" t="s">
        <v>2263</v>
      </c>
      <c r="H1704" s="9" t="s">
        <v>2263</v>
      </c>
      <c r="I1704" s="4" t="s">
        <v>2317</v>
      </c>
      <c r="J1704" s="4" t="s">
        <v>2316</v>
      </c>
      <c r="K1704" s="4" t="s">
        <v>2263</v>
      </c>
      <c r="L1704" s="10">
        <v>5</v>
      </c>
      <c r="M1704" s="5">
        <v>223.90058038692462</v>
      </c>
      <c r="N1704" s="5">
        <v>1119.50290193462</v>
      </c>
    </row>
    <row r="1705" spans="1:14" x14ac:dyDescent="0.25">
      <c r="A1705" s="4" t="s">
        <v>3801</v>
      </c>
      <c r="B1705" s="4" t="s">
        <v>4965</v>
      </c>
      <c r="C1705" s="4" t="s">
        <v>2320</v>
      </c>
      <c r="D1705" s="4" t="s">
        <v>242</v>
      </c>
      <c r="E1705" s="4" t="s">
        <v>2360</v>
      </c>
      <c r="F1705" s="4" t="s">
        <v>2359</v>
      </c>
      <c r="G1705" s="4" t="s">
        <v>2263</v>
      </c>
      <c r="H1705" s="9" t="s">
        <v>2263</v>
      </c>
      <c r="I1705" s="4" t="s">
        <v>2317</v>
      </c>
      <c r="J1705" s="4" t="s">
        <v>2316</v>
      </c>
      <c r="K1705" s="4" t="s">
        <v>2263</v>
      </c>
      <c r="L1705" s="10">
        <v>5</v>
      </c>
      <c r="M1705" s="5">
        <v>261.77091875138365</v>
      </c>
      <c r="N1705" s="5">
        <v>1308.8545937569199</v>
      </c>
    </row>
    <row r="1706" spans="1:14" x14ac:dyDescent="0.25">
      <c r="A1706" s="4" t="s">
        <v>2279</v>
      </c>
      <c r="B1706" s="4" t="s">
        <v>4963</v>
      </c>
      <c r="C1706" s="4" t="s">
        <v>2320</v>
      </c>
      <c r="D1706" s="4" t="s">
        <v>242</v>
      </c>
      <c r="E1706" s="4" t="s">
        <v>2360</v>
      </c>
      <c r="F1706" s="4" t="s">
        <v>2359</v>
      </c>
      <c r="G1706" s="4" t="s">
        <v>2263</v>
      </c>
      <c r="H1706" s="9" t="s">
        <v>2263</v>
      </c>
      <c r="I1706" s="4" t="s">
        <v>2317</v>
      </c>
      <c r="J1706" s="4" t="s">
        <v>2316</v>
      </c>
      <c r="K1706" s="4" t="s">
        <v>2263</v>
      </c>
      <c r="L1706" s="10">
        <v>5</v>
      </c>
      <c r="M1706" s="5">
        <v>261.77091875138365</v>
      </c>
      <c r="N1706" s="5">
        <v>1308.8545937569199</v>
      </c>
    </row>
    <row r="1707" spans="1:14" x14ac:dyDescent="0.25">
      <c r="A1707" s="4" t="s">
        <v>2481</v>
      </c>
      <c r="B1707" s="4" t="s">
        <v>3217</v>
      </c>
      <c r="C1707" s="4" t="s">
        <v>2320</v>
      </c>
      <c r="D1707" s="4" t="s">
        <v>242</v>
      </c>
      <c r="E1707" s="4" t="s">
        <v>2360</v>
      </c>
      <c r="F1707" s="4" t="s">
        <v>2359</v>
      </c>
      <c r="G1707" s="4" t="s">
        <v>2263</v>
      </c>
      <c r="H1707" s="9" t="s">
        <v>2263</v>
      </c>
      <c r="I1707" s="4" t="s">
        <v>2317</v>
      </c>
      <c r="J1707" s="4" t="s">
        <v>2316</v>
      </c>
      <c r="K1707" s="4" t="s">
        <v>2263</v>
      </c>
      <c r="L1707" s="10">
        <v>5</v>
      </c>
      <c r="M1707" s="5">
        <v>261.77091875138365</v>
      </c>
      <c r="N1707" s="5">
        <v>1308.8545937569199</v>
      </c>
    </row>
    <row r="1708" spans="1:14" x14ac:dyDescent="0.25">
      <c r="A1708" s="4" t="s">
        <v>3196</v>
      </c>
      <c r="B1708" s="4" t="s">
        <v>3195</v>
      </c>
      <c r="C1708" s="4" t="s">
        <v>2320</v>
      </c>
      <c r="D1708" s="4" t="s">
        <v>242</v>
      </c>
      <c r="E1708" s="4" t="s">
        <v>2360</v>
      </c>
      <c r="F1708" s="4" t="s">
        <v>2359</v>
      </c>
      <c r="G1708" s="4" t="s">
        <v>2263</v>
      </c>
      <c r="H1708" s="9" t="s">
        <v>2263</v>
      </c>
      <c r="I1708" s="4" t="s">
        <v>2317</v>
      </c>
      <c r="J1708" s="4" t="s">
        <v>2316</v>
      </c>
      <c r="K1708" s="4" t="s">
        <v>2263</v>
      </c>
      <c r="L1708" s="10">
        <v>5</v>
      </c>
      <c r="M1708" s="5">
        <v>261.77091875138365</v>
      </c>
      <c r="N1708" s="5">
        <v>1308.8545937569199</v>
      </c>
    </row>
    <row r="1709" spans="1:14" x14ac:dyDescent="0.25">
      <c r="A1709" s="4" t="s">
        <v>2384</v>
      </c>
      <c r="B1709" s="4" t="s">
        <v>3187</v>
      </c>
      <c r="C1709" s="4" t="s">
        <v>2320</v>
      </c>
      <c r="D1709" s="4" t="s">
        <v>242</v>
      </c>
      <c r="E1709" s="4" t="s">
        <v>2360</v>
      </c>
      <c r="F1709" s="4" t="s">
        <v>2359</v>
      </c>
      <c r="G1709" s="4" t="s">
        <v>2263</v>
      </c>
      <c r="H1709" s="9" t="s">
        <v>2263</v>
      </c>
      <c r="I1709" s="4" t="s">
        <v>2317</v>
      </c>
      <c r="J1709" s="4" t="s">
        <v>2316</v>
      </c>
      <c r="K1709" s="4" t="s">
        <v>2263</v>
      </c>
      <c r="L1709" s="10">
        <v>5</v>
      </c>
      <c r="M1709" s="5">
        <v>261.77091875138365</v>
      </c>
      <c r="N1709" s="5">
        <v>1308.8545937569199</v>
      </c>
    </row>
    <row r="1710" spans="1:14" x14ac:dyDescent="0.25">
      <c r="A1710" s="4" t="s">
        <v>3174</v>
      </c>
      <c r="B1710" s="4" t="s">
        <v>3173</v>
      </c>
      <c r="C1710" s="4" t="s">
        <v>2320</v>
      </c>
      <c r="D1710" s="4" t="s">
        <v>242</v>
      </c>
      <c r="E1710" s="4" t="s">
        <v>2360</v>
      </c>
      <c r="F1710" s="4" t="s">
        <v>2359</v>
      </c>
      <c r="G1710" s="4" t="s">
        <v>2263</v>
      </c>
      <c r="H1710" s="9" t="s">
        <v>2263</v>
      </c>
      <c r="I1710" s="4" t="s">
        <v>2317</v>
      </c>
      <c r="J1710" s="4" t="s">
        <v>2316</v>
      </c>
      <c r="K1710" s="4" t="s">
        <v>2263</v>
      </c>
      <c r="L1710" s="10">
        <v>5</v>
      </c>
      <c r="M1710" s="5">
        <v>261.77091875138365</v>
      </c>
      <c r="N1710" s="5">
        <v>1308.8545937569199</v>
      </c>
    </row>
    <row r="1711" spans="1:14" x14ac:dyDescent="0.25">
      <c r="A1711" s="4" t="s">
        <v>3157</v>
      </c>
      <c r="B1711" s="4" t="s">
        <v>3156</v>
      </c>
      <c r="C1711" s="4" t="s">
        <v>2320</v>
      </c>
      <c r="D1711" s="4" t="s">
        <v>242</v>
      </c>
      <c r="E1711" s="4" t="s">
        <v>2360</v>
      </c>
      <c r="F1711" s="4" t="s">
        <v>2359</v>
      </c>
      <c r="G1711" s="4" t="s">
        <v>2263</v>
      </c>
      <c r="H1711" s="9" t="s">
        <v>2263</v>
      </c>
      <c r="I1711" s="4" t="s">
        <v>2317</v>
      </c>
      <c r="J1711" s="4" t="s">
        <v>2316</v>
      </c>
      <c r="K1711" s="4" t="s">
        <v>2263</v>
      </c>
      <c r="L1711" s="10">
        <v>5</v>
      </c>
      <c r="M1711" s="5">
        <v>261.77091875138365</v>
      </c>
      <c r="N1711" s="5">
        <v>1308.8545937569199</v>
      </c>
    </row>
    <row r="1712" spans="1:14" x14ac:dyDescent="0.25">
      <c r="A1712" s="4" t="s">
        <v>3104</v>
      </c>
      <c r="B1712" s="4" t="s">
        <v>3103</v>
      </c>
      <c r="C1712" s="4" t="s">
        <v>2320</v>
      </c>
      <c r="D1712" s="4" t="s">
        <v>242</v>
      </c>
      <c r="E1712" s="4" t="s">
        <v>2360</v>
      </c>
      <c r="F1712" s="4" t="s">
        <v>2359</v>
      </c>
      <c r="G1712" s="4" t="s">
        <v>2263</v>
      </c>
      <c r="H1712" s="9" t="s">
        <v>2263</v>
      </c>
      <c r="I1712" s="4" t="s">
        <v>2317</v>
      </c>
      <c r="J1712" s="4" t="s">
        <v>2316</v>
      </c>
      <c r="K1712" s="4" t="s">
        <v>2263</v>
      </c>
      <c r="L1712" s="10">
        <v>5</v>
      </c>
      <c r="M1712" s="5">
        <v>261.77091875138365</v>
      </c>
      <c r="N1712" s="5">
        <v>1308.8545937569199</v>
      </c>
    </row>
    <row r="1713" spans="1:14" x14ac:dyDescent="0.25">
      <c r="A1713" s="4" t="s">
        <v>3063</v>
      </c>
      <c r="B1713" s="4" t="s">
        <v>3062</v>
      </c>
      <c r="C1713" s="4" t="s">
        <v>2320</v>
      </c>
      <c r="D1713" s="4" t="s">
        <v>242</v>
      </c>
      <c r="E1713" s="4" t="s">
        <v>2360</v>
      </c>
      <c r="F1713" s="4" t="s">
        <v>2359</v>
      </c>
      <c r="G1713" s="4" t="s">
        <v>2263</v>
      </c>
      <c r="H1713" s="9" t="s">
        <v>2263</v>
      </c>
      <c r="I1713" s="4" t="s">
        <v>2317</v>
      </c>
      <c r="J1713" s="4" t="s">
        <v>2316</v>
      </c>
      <c r="K1713" s="4" t="s">
        <v>2263</v>
      </c>
      <c r="L1713" s="10">
        <v>5</v>
      </c>
      <c r="M1713" s="5">
        <v>261.77091875138365</v>
      </c>
      <c r="N1713" s="5">
        <v>1308.8545937569199</v>
      </c>
    </row>
    <row r="1714" spans="1:14" x14ac:dyDescent="0.25">
      <c r="A1714" s="4" t="s">
        <v>3051</v>
      </c>
      <c r="B1714" s="4" t="s">
        <v>3050</v>
      </c>
      <c r="C1714" s="4" t="s">
        <v>2320</v>
      </c>
      <c r="D1714" s="4" t="s">
        <v>242</v>
      </c>
      <c r="E1714" s="4" t="s">
        <v>2360</v>
      </c>
      <c r="F1714" s="4" t="s">
        <v>2359</v>
      </c>
      <c r="G1714" s="4" t="s">
        <v>2263</v>
      </c>
      <c r="H1714" s="9" t="s">
        <v>2263</v>
      </c>
      <c r="I1714" s="4" t="s">
        <v>2317</v>
      </c>
      <c r="J1714" s="4" t="s">
        <v>2316</v>
      </c>
      <c r="K1714" s="4" t="s">
        <v>2263</v>
      </c>
      <c r="L1714" s="10">
        <v>5</v>
      </c>
      <c r="M1714" s="5">
        <v>261.77091875138365</v>
      </c>
      <c r="N1714" s="5">
        <v>1308.8545937569199</v>
      </c>
    </row>
    <row r="1715" spans="1:14" x14ac:dyDescent="0.25">
      <c r="A1715" s="4" t="s">
        <v>3024</v>
      </c>
      <c r="B1715" s="4" t="s">
        <v>3023</v>
      </c>
      <c r="C1715" s="4" t="s">
        <v>2320</v>
      </c>
      <c r="D1715" s="4" t="s">
        <v>242</v>
      </c>
      <c r="E1715" s="4" t="s">
        <v>2360</v>
      </c>
      <c r="F1715" s="4" t="s">
        <v>2359</v>
      </c>
      <c r="G1715" s="4" t="s">
        <v>2263</v>
      </c>
      <c r="H1715" s="9" t="s">
        <v>2263</v>
      </c>
      <c r="I1715" s="4" t="s">
        <v>2317</v>
      </c>
      <c r="J1715" s="4" t="s">
        <v>2316</v>
      </c>
      <c r="K1715" s="4" t="s">
        <v>2263</v>
      </c>
      <c r="L1715" s="10">
        <v>5</v>
      </c>
      <c r="M1715" s="5">
        <v>261.77091875138365</v>
      </c>
      <c r="N1715" s="5">
        <v>1308.8545937569199</v>
      </c>
    </row>
    <row r="1716" spans="1:14" x14ac:dyDescent="0.25">
      <c r="A1716" s="4" t="s">
        <v>2673</v>
      </c>
      <c r="B1716" s="4" t="s">
        <v>2672</v>
      </c>
      <c r="C1716" s="4" t="s">
        <v>2320</v>
      </c>
      <c r="D1716" s="4" t="s">
        <v>242</v>
      </c>
      <c r="E1716" s="4" t="s">
        <v>2360</v>
      </c>
      <c r="F1716" s="4" t="s">
        <v>2359</v>
      </c>
      <c r="G1716" s="4" t="s">
        <v>2263</v>
      </c>
      <c r="H1716" s="9" t="s">
        <v>2263</v>
      </c>
      <c r="I1716" s="4" t="s">
        <v>2317</v>
      </c>
      <c r="J1716" s="4" t="s">
        <v>2316</v>
      </c>
      <c r="K1716" s="4" t="s">
        <v>2263</v>
      </c>
      <c r="L1716" s="10">
        <v>5</v>
      </c>
      <c r="M1716" s="5">
        <v>261.77091875138365</v>
      </c>
      <c r="N1716" s="5">
        <v>1308.8545937569199</v>
      </c>
    </row>
    <row r="1717" spans="1:14" x14ac:dyDescent="0.25">
      <c r="A1717" s="4" t="s">
        <v>3801</v>
      </c>
      <c r="B1717" s="4" t="s">
        <v>4965</v>
      </c>
      <c r="C1717" s="4" t="s">
        <v>2320</v>
      </c>
      <c r="D1717" s="4" t="s">
        <v>242</v>
      </c>
      <c r="E1717" s="4" t="s">
        <v>2370</v>
      </c>
      <c r="F1717" s="4" t="s">
        <v>2369</v>
      </c>
      <c r="G1717" s="4" t="s">
        <v>2263</v>
      </c>
      <c r="H1717" s="9" t="s">
        <v>2263</v>
      </c>
      <c r="I1717" s="4" t="s">
        <v>2317</v>
      </c>
      <c r="J1717" s="4" t="s">
        <v>2316</v>
      </c>
      <c r="K1717" s="4" t="s">
        <v>2263</v>
      </c>
      <c r="L1717" s="10">
        <v>5</v>
      </c>
      <c r="M1717" s="5">
        <v>303.54016676418956</v>
      </c>
      <c r="N1717" s="5">
        <v>1517.70083382095</v>
      </c>
    </row>
    <row r="1718" spans="1:14" x14ac:dyDescent="0.25">
      <c r="A1718" s="4" t="s">
        <v>2279</v>
      </c>
      <c r="B1718" s="4" t="s">
        <v>4963</v>
      </c>
      <c r="C1718" s="4" t="s">
        <v>2320</v>
      </c>
      <c r="D1718" s="4" t="s">
        <v>242</v>
      </c>
      <c r="E1718" s="4" t="s">
        <v>2370</v>
      </c>
      <c r="F1718" s="4" t="s">
        <v>2369</v>
      </c>
      <c r="G1718" s="4" t="s">
        <v>2263</v>
      </c>
      <c r="H1718" s="9" t="s">
        <v>2263</v>
      </c>
      <c r="I1718" s="4" t="s">
        <v>2317</v>
      </c>
      <c r="J1718" s="4" t="s">
        <v>2316</v>
      </c>
      <c r="K1718" s="4" t="s">
        <v>2263</v>
      </c>
      <c r="L1718" s="10">
        <v>5</v>
      </c>
      <c r="M1718" s="5">
        <v>303.54016676418956</v>
      </c>
      <c r="N1718" s="5">
        <v>1517.70083382095</v>
      </c>
    </row>
    <row r="1719" spans="1:14" x14ac:dyDescent="0.25">
      <c r="A1719" s="4" t="s">
        <v>2481</v>
      </c>
      <c r="B1719" s="4" t="s">
        <v>3217</v>
      </c>
      <c r="C1719" s="4" t="s">
        <v>2320</v>
      </c>
      <c r="D1719" s="4" t="s">
        <v>242</v>
      </c>
      <c r="E1719" s="4" t="s">
        <v>2370</v>
      </c>
      <c r="F1719" s="4" t="s">
        <v>2369</v>
      </c>
      <c r="G1719" s="4" t="s">
        <v>2263</v>
      </c>
      <c r="H1719" s="9" t="s">
        <v>2263</v>
      </c>
      <c r="I1719" s="4" t="s">
        <v>2317</v>
      </c>
      <c r="J1719" s="4" t="s">
        <v>2316</v>
      </c>
      <c r="K1719" s="4" t="s">
        <v>2263</v>
      </c>
      <c r="L1719" s="10">
        <v>5</v>
      </c>
      <c r="M1719" s="5">
        <v>303.54016676418956</v>
      </c>
      <c r="N1719" s="5">
        <v>1517.70083382095</v>
      </c>
    </row>
    <row r="1720" spans="1:14" x14ac:dyDescent="0.25">
      <c r="A1720" s="4" t="s">
        <v>3196</v>
      </c>
      <c r="B1720" s="4" t="s">
        <v>3195</v>
      </c>
      <c r="C1720" s="4" t="s">
        <v>2320</v>
      </c>
      <c r="D1720" s="4" t="s">
        <v>242</v>
      </c>
      <c r="E1720" s="4" t="s">
        <v>2370</v>
      </c>
      <c r="F1720" s="4" t="s">
        <v>2369</v>
      </c>
      <c r="G1720" s="4" t="s">
        <v>2263</v>
      </c>
      <c r="H1720" s="9" t="s">
        <v>2263</v>
      </c>
      <c r="I1720" s="4" t="s">
        <v>2317</v>
      </c>
      <c r="J1720" s="4" t="s">
        <v>2316</v>
      </c>
      <c r="K1720" s="4" t="s">
        <v>2263</v>
      </c>
      <c r="L1720" s="10">
        <v>5</v>
      </c>
      <c r="M1720" s="5">
        <v>303.54016676418956</v>
      </c>
      <c r="N1720" s="5">
        <v>1517.70083382095</v>
      </c>
    </row>
    <row r="1721" spans="1:14" x14ac:dyDescent="0.25">
      <c r="A1721" s="4" t="s">
        <v>2384</v>
      </c>
      <c r="B1721" s="4" t="s">
        <v>3187</v>
      </c>
      <c r="C1721" s="4" t="s">
        <v>2320</v>
      </c>
      <c r="D1721" s="4" t="s">
        <v>242</v>
      </c>
      <c r="E1721" s="4" t="s">
        <v>2370</v>
      </c>
      <c r="F1721" s="4" t="s">
        <v>2369</v>
      </c>
      <c r="G1721" s="4" t="s">
        <v>2263</v>
      </c>
      <c r="H1721" s="9" t="s">
        <v>2263</v>
      </c>
      <c r="I1721" s="4" t="s">
        <v>2317</v>
      </c>
      <c r="J1721" s="4" t="s">
        <v>2316</v>
      </c>
      <c r="K1721" s="4" t="s">
        <v>2263</v>
      </c>
      <c r="L1721" s="10">
        <v>5</v>
      </c>
      <c r="M1721" s="5">
        <v>303.54016676418956</v>
      </c>
      <c r="N1721" s="5">
        <v>1517.70083382095</v>
      </c>
    </row>
    <row r="1722" spans="1:14" x14ac:dyDescent="0.25">
      <c r="A1722" s="4" t="s">
        <v>3174</v>
      </c>
      <c r="B1722" s="4" t="s">
        <v>3173</v>
      </c>
      <c r="C1722" s="4" t="s">
        <v>2320</v>
      </c>
      <c r="D1722" s="4" t="s">
        <v>242</v>
      </c>
      <c r="E1722" s="4" t="s">
        <v>2370</v>
      </c>
      <c r="F1722" s="4" t="s">
        <v>2369</v>
      </c>
      <c r="G1722" s="4" t="s">
        <v>2263</v>
      </c>
      <c r="H1722" s="9" t="s">
        <v>2263</v>
      </c>
      <c r="I1722" s="4" t="s">
        <v>2317</v>
      </c>
      <c r="J1722" s="4" t="s">
        <v>2316</v>
      </c>
      <c r="K1722" s="4" t="s">
        <v>2263</v>
      </c>
      <c r="L1722" s="10">
        <v>5</v>
      </c>
      <c r="M1722" s="5">
        <v>303.54016676418956</v>
      </c>
      <c r="N1722" s="5">
        <v>1517.70083382095</v>
      </c>
    </row>
    <row r="1723" spans="1:14" x14ac:dyDescent="0.25">
      <c r="A1723" s="4" t="s">
        <v>3157</v>
      </c>
      <c r="B1723" s="4" t="s">
        <v>3156</v>
      </c>
      <c r="C1723" s="4" t="s">
        <v>2320</v>
      </c>
      <c r="D1723" s="4" t="s">
        <v>242</v>
      </c>
      <c r="E1723" s="4" t="s">
        <v>2370</v>
      </c>
      <c r="F1723" s="4" t="s">
        <v>2369</v>
      </c>
      <c r="G1723" s="4" t="s">
        <v>2263</v>
      </c>
      <c r="H1723" s="9" t="s">
        <v>2263</v>
      </c>
      <c r="I1723" s="4" t="s">
        <v>2317</v>
      </c>
      <c r="J1723" s="4" t="s">
        <v>2316</v>
      </c>
      <c r="K1723" s="4" t="s">
        <v>2263</v>
      </c>
      <c r="L1723" s="10">
        <v>5</v>
      </c>
      <c r="M1723" s="5">
        <v>303.54016676418956</v>
      </c>
      <c r="N1723" s="5">
        <v>1517.70083382095</v>
      </c>
    </row>
    <row r="1724" spans="1:14" x14ac:dyDescent="0.25">
      <c r="A1724" s="4" t="s">
        <v>3104</v>
      </c>
      <c r="B1724" s="4" t="s">
        <v>3103</v>
      </c>
      <c r="C1724" s="4" t="s">
        <v>2320</v>
      </c>
      <c r="D1724" s="4" t="s">
        <v>242</v>
      </c>
      <c r="E1724" s="4" t="s">
        <v>2370</v>
      </c>
      <c r="F1724" s="4" t="s">
        <v>2369</v>
      </c>
      <c r="G1724" s="4" t="s">
        <v>2263</v>
      </c>
      <c r="H1724" s="9" t="s">
        <v>2263</v>
      </c>
      <c r="I1724" s="4" t="s">
        <v>2317</v>
      </c>
      <c r="J1724" s="4" t="s">
        <v>2316</v>
      </c>
      <c r="K1724" s="4" t="s">
        <v>2263</v>
      </c>
      <c r="L1724" s="10">
        <v>5</v>
      </c>
      <c r="M1724" s="5">
        <v>303.54016676418956</v>
      </c>
      <c r="N1724" s="5">
        <v>1517.70083382095</v>
      </c>
    </row>
    <row r="1725" spans="1:14" x14ac:dyDescent="0.25">
      <c r="A1725" s="4" t="s">
        <v>3063</v>
      </c>
      <c r="B1725" s="4" t="s">
        <v>3062</v>
      </c>
      <c r="C1725" s="4" t="s">
        <v>2320</v>
      </c>
      <c r="D1725" s="4" t="s">
        <v>242</v>
      </c>
      <c r="E1725" s="4" t="s">
        <v>2370</v>
      </c>
      <c r="F1725" s="4" t="s">
        <v>2369</v>
      </c>
      <c r="G1725" s="4" t="s">
        <v>2263</v>
      </c>
      <c r="H1725" s="9" t="s">
        <v>2263</v>
      </c>
      <c r="I1725" s="4" t="s">
        <v>2317</v>
      </c>
      <c r="J1725" s="4" t="s">
        <v>2316</v>
      </c>
      <c r="K1725" s="4" t="s">
        <v>2263</v>
      </c>
      <c r="L1725" s="10">
        <v>5</v>
      </c>
      <c r="M1725" s="5">
        <v>303.54016676418956</v>
      </c>
      <c r="N1725" s="5">
        <v>1517.70083382095</v>
      </c>
    </row>
    <row r="1726" spans="1:14" x14ac:dyDescent="0.25">
      <c r="A1726" s="4" t="s">
        <v>3051</v>
      </c>
      <c r="B1726" s="4" t="s">
        <v>3050</v>
      </c>
      <c r="C1726" s="4" t="s">
        <v>2320</v>
      </c>
      <c r="D1726" s="4" t="s">
        <v>242</v>
      </c>
      <c r="E1726" s="4" t="s">
        <v>2370</v>
      </c>
      <c r="F1726" s="4" t="s">
        <v>2369</v>
      </c>
      <c r="G1726" s="4" t="s">
        <v>2263</v>
      </c>
      <c r="H1726" s="9" t="s">
        <v>2263</v>
      </c>
      <c r="I1726" s="4" t="s">
        <v>2317</v>
      </c>
      <c r="J1726" s="4" t="s">
        <v>2316</v>
      </c>
      <c r="K1726" s="4" t="s">
        <v>2263</v>
      </c>
      <c r="L1726" s="10">
        <v>5</v>
      </c>
      <c r="M1726" s="5">
        <v>303.54016676418956</v>
      </c>
      <c r="N1726" s="5">
        <v>1517.70083382095</v>
      </c>
    </row>
    <row r="1727" spans="1:14" x14ac:dyDescent="0.25">
      <c r="A1727" s="4" t="s">
        <v>3024</v>
      </c>
      <c r="B1727" s="4" t="s">
        <v>3023</v>
      </c>
      <c r="C1727" s="4" t="s">
        <v>2320</v>
      </c>
      <c r="D1727" s="4" t="s">
        <v>242</v>
      </c>
      <c r="E1727" s="4" t="s">
        <v>2370</v>
      </c>
      <c r="F1727" s="4" t="s">
        <v>2369</v>
      </c>
      <c r="G1727" s="4" t="s">
        <v>2263</v>
      </c>
      <c r="H1727" s="9" t="s">
        <v>2263</v>
      </c>
      <c r="I1727" s="4" t="s">
        <v>2317</v>
      </c>
      <c r="J1727" s="4" t="s">
        <v>2316</v>
      </c>
      <c r="K1727" s="4" t="s">
        <v>2263</v>
      </c>
      <c r="L1727" s="10">
        <v>5</v>
      </c>
      <c r="M1727" s="5">
        <v>303.54016676418956</v>
      </c>
      <c r="N1727" s="5">
        <v>1517.70083382095</v>
      </c>
    </row>
    <row r="1728" spans="1:14" x14ac:dyDescent="0.25">
      <c r="A1728" s="4" t="s">
        <v>2673</v>
      </c>
      <c r="B1728" s="4" t="s">
        <v>2672</v>
      </c>
      <c r="C1728" s="4" t="s">
        <v>2320</v>
      </c>
      <c r="D1728" s="4" t="s">
        <v>242</v>
      </c>
      <c r="E1728" s="4" t="s">
        <v>2370</v>
      </c>
      <c r="F1728" s="4" t="s">
        <v>2369</v>
      </c>
      <c r="G1728" s="4" t="s">
        <v>2263</v>
      </c>
      <c r="H1728" s="9" t="s">
        <v>2263</v>
      </c>
      <c r="I1728" s="4" t="s">
        <v>2317</v>
      </c>
      <c r="J1728" s="4" t="s">
        <v>2316</v>
      </c>
      <c r="K1728" s="4" t="s">
        <v>2263</v>
      </c>
      <c r="L1728" s="10">
        <v>5</v>
      </c>
      <c r="M1728" s="5">
        <v>303.54016676418956</v>
      </c>
      <c r="N1728" s="5">
        <v>1517.70083382095</v>
      </c>
    </row>
    <row r="1729" spans="1:14" x14ac:dyDescent="0.25">
      <c r="A1729" s="4" t="s">
        <v>2344</v>
      </c>
      <c r="B1729" s="4" t="s">
        <v>5154</v>
      </c>
      <c r="C1729" s="4" t="s">
        <v>2320</v>
      </c>
      <c r="D1729" s="4" t="s">
        <v>242</v>
      </c>
      <c r="E1729" s="4" t="s">
        <v>5324</v>
      </c>
      <c r="F1729" s="4" t="s">
        <v>5323</v>
      </c>
      <c r="G1729" s="4" t="s">
        <v>2263</v>
      </c>
      <c r="H1729" s="9" t="s">
        <v>2263</v>
      </c>
      <c r="I1729" s="4" t="s">
        <v>2317</v>
      </c>
      <c r="J1729" s="4" t="s">
        <v>2316</v>
      </c>
      <c r="K1729" s="4" t="s">
        <v>2263</v>
      </c>
      <c r="L1729" s="10">
        <v>5</v>
      </c>
      <c r="M1729" s="5">
        <v>371.2</v>
      </c>
      <c r="N1729" s="5">
        <v>1856</v>
      </c>
    </row>
    <row r="1730" spans="1:14" x14ac:dyDescent="0.25">
      <c r="A1730" s="4" t="s">
        <v>3196</v>
      </c>
      <c r="B1730" s="4" t="s">
        <v>3195</v>
      </c>
      <c r="C1730" s="4" t="s">
        <v>2344</v>
      </c>
      <c r="D1730" s="4" t="s">
        <v>237</v>
      </c>
      <c r="E1730" s="4" t="s">
        <v>2469</v>
      </c>
      <c r="F1730" s="4" t="s">
        <v>2468</v>
      </c>
      <c r="G1730" s="4" t="s">
        <v>2263</v>
      </c>
      <c r="H1730" s="9" t="s">
        <v>2263</v>
      </c>
      <c r="I1730" s="4" t="s">
        <v>2263</v>
      </c>
      <c r="J1730" s="4" t="s">
        <v>2263</v>
      </c>
      <c r="K1730" s="4" t="s">
        <v>2376</v>
      </c>
      <c r="L1730" s="10">
        <v>5</v>
      </c>
      <c r="M1730" s="5">
        <v>407.26055555555558</v>
      </c>
      <c r="N1730" s="5">
        <v>2036.30277777778</v>
      </c>
    </row>
    <row r="1731" spans="1:14" x14ac:dyDescent="0.25">
      <c r="A1731" s="4" t="s">
        <v>2384</v>
      </c>
      <c r="B1731" s="4" t="s">
        <v>3187</v>
      </c>
      <c r="C1731" s="4" t="s">
        <v>2344</v>
      </c>
      <c r="D1731" s="4" t="s">
        <v>237</v>
      </c>
      <c r="E1731" s="4" t="s">
        <v>2469</v>
      </c>
      <c r="F1731" s="4" t="s">
        <v>2468</v>
      </c>
      <c r="G1731" s="4" t="s">
        <v>2263</v>
      </c>
      <c r="H1731" s="9" t="s">
        <v>2263</v>
      </c>
      <c r="I1731" s="4" t="s">
        <v>2263</v>
      </c>
      <c r="J1731" s="4" t="s">
        <v>2263</v>
      </c>
      <c r="K1731" s="4" t="s">
        <v>2376</v>
      </c>
      <c r="L1731" s="10">
        <v>5</v>
      </c>
      <c r="M1731" s="5">
        <v>407.26055555555558</v>
      </c>
      <c r="N1731" s="5">
        <v>2036.30277777778</v>
      </c>
    </row>
    <row r="1732" spans="1:14" x14ac:dyDescent="0.25">
      <c r="A1732" s="4" t="s">
        <v>2386</v>
      </c>
      <c r="B1732" s="4" t="s">
        <v>2385</v>
      </c>
      <c r="C1732" s="4" t="s">
        <v>2344</v>
      </c>
      <c r="D1732" s="4" t="s">
        <v>237</v>
      </c>
      <c r="E1732" s="4" t="s">
        <v>2469</v>
      </c>
      <c r="F1732" s="4" t="s">
        <v>2468</v>
      </c>
      <c r="G1732" s="4" t="s">
        <v>2263</v>
      </c>
      <c r="H1732" s="9" t="s">
        <v>2263</v>
      </c>
      <c r="I1732" s="4" t="s">
        <v>2263</v>
      </c>
      <c r="J1732" s="4" t="s">
        <v>2263</v>
      </c>
      <c r="K1732" s="4" t="s">
        <v>2376</v>
      </c>
      <c r="L1732" s="10">
        <v>5</v>
      </c>
      <c r="M1732" s="5">
        <v>407.26055555555558</v>
      </c>
      <c r="N1732" s="5">
        <v>2036.30277777778</v>
      </c>
    </row>
    <row r="1733" spans="1:14" x14ac:dyDescent="0.25">
      <c r="A1733" s="4" t="s">
        <v>3801</v>
      </c>
      <c r="B1733" s="4" t="s">
        <v>4965</v>
      </c>
      <c r="C1733" s="4" t="s">
        <v>2320</v>
      </c>
      <c r="D1733" s="4" t="s">
        <v>242</v>
      </c>
      <c r="E1733" s="4" t="s">
        <v>2741</v>
      </c>
      <c r="F1733" s="4" t="s">
        <v>2740</v>
      </c>
      <c r="G1733" s="4" t="s">
        <v>2263</v>
      </c>
      <c r="H1733" s="9" t="s">
        <v>2263</v>
      </c>
      <c r="I1733" s="4" t="s">
        <v>2317</v>
      </c>
      <c r="J1733" s="4" t="s">
        <v>2316</v>
      </c>
      <c r="K1733" s="4" t="s">
        <v>2263</v>
      </c>
      <c r="L1733" s="10">
        <v>5</v>
      </c>
      <c r="M1733" s="5">
        <v>454.76405146618788</v>
      </c>
      <c r="N1733" s="5">
        <v>2273.82025733094</v>
      </c>
    </row>
    <row r="1734" spans="1:14" x14ac:dyDescent="0.25">
      <c r="A1734" s="4" t="s">
        <v>2279</v>
      </c>
      <c r="B1734" s="4" t="s">
        <v>4963</v>
      </c>
      <c r="C1734" s="4" t="s">
        <v>2320</v>
      </c>
      <c r="D1734" s="4" t="s">
        <v>242</v>
      </c>
      <c r="E1734" s="4" t="s">
        <v>2741</v>
      </c>
      <c r="F1734" s="4" t="s">
        <v>2740</v>
      </c>
      <c r="G1734" s="4" t="s">
        <v>2263</v>
      </c>
      <c r="H1734" s="9" t="s">
        <v>2263</v>
      </c>
      <c r="I1734" s="4" t="s">
        <v>2317</v>
      </c>
      <c r="J1734" s="4" t="s">
        <v>2316</v>
      </c>
      <c r="K1734" s="4" t="s">
        <v>2263</v>
      </c>
      <c r="L1734" s="10">
        <v>5</v>
      </c>
      <c r="M1734" s="5">
        <v>454.76405146618788</v>
      </c>
      <c r="N1734" s="5">
        <v>2273.82025733094</v>
      </c>
    </row>
    <row r="1735" spans="1:14" x14ac:dyDescent="0.25">
      <c r="A1735" s="4" t="s">
        <v>2481</v>
      </c>
      <c r="B1735" s="4" t="s">
        <v>3217</v>
      </c>
      <c r="C1735" s="4" t="s">
        <v>2320</v>
      </c>
      <c r="D1735" s="4" t="s">
        <v>242</v>
      </c>
      <c r="E1735" s="4" t="s">
        <v>2741</v>
      </c>
      <c r="F1735" s="4" t="s">
        <v>2740</v>
      </c>
      <c r="G1735" s="4" t="s">
        <v>2263</v>
      </c>
      <c r="H1735" s="9" t="s">
        <v>2263</v>
      </c>
      <c r="I1735" s="4" t="s">
        <v>2317</v>
      </c>
      <c r="J1735" s="4" t="s">
        <v>2316</v>
      </c>
      <c r="K1735" s="4" t="s">
        <v>2263</v>
      </c>
      <c r="L1735" s="10">
        <v>5</v>
      </c>
      <c r="M1735" s="5">
        <v>454.76405146618788</v>
      </c>
      <c r="N1735" s="5">
        <v>2273.82025733094</v>
      </c>
    </row>
    <row r="1736" spans="1:14" x14ac:dyDescent="0.25">
      <c r="A1736" s="4" t="s">
        <v>3196</v>
      </c>
      <c r="B1736" s="4" t="s">
        <v>3195</v>
      </c>
      <c r="C1736" s="4" t="s">
        <v>2320</v>
      </c>
      <c r="D1736" s="4" t="s">
        <v>242</v>
      </c>
      <c r="E1736" s="4" t="s">
        <v>2741</v>
      </c>
      <c r="F1736" s="4" t="s">
        <v>2740</v>
      </c>
      <c r="G1736" s="4" t="s">
        <v>2263</v>
      </c>
      <c r="H1736" s="9" t="s">
        <v>2263</v>
      </c>
      <c r="I1736" s="4" t="s">
        <v>2317</v>
      </c>
      <c r="J1736" s="4" t="s">
        <v>2316</v>
      </c>
      <c r="K1736" s="4" t="s">
        <v>2263</v>
      </c>
      <c r="L1736" s="10">
        <v>5</v>
      </c>
      <c r="M1736" s="5">
        <v>454.76405146618788</v>
      </c>
      <c r="N1736" s="5">
        <v>2273.82025733094</v>
      </c>
    </row>
    <row r="1737" spans="1:14" x14ac:dyDescent="0.25">
      <c r="A1737" s="4" t="s">
        <v>2384</v>
      </c>
      <c r="B1737" s="4" t="s">
        <v>3187</v>
      </c>
      <c r="C1737" s="4" t="s">
        <v>2320</v>
      </c>
      <c r="D1737" s="4" t="s">
        <v>242</v>
      </c>
      <c r="E1737" s="4" t="s">
        <v>2741</v>
      </c>
      <c r="F1737" s="4" t="s">
        <v>2740</v>
      </c>
      <c r="G1737" s="4" t="s">
        <v>2263</v>
      </c>
      <c r="H1737" s="9" t="s">
        <v>2263</v>
      </c>
      <c r="I1737" s="4" t="s">
        <v>2317</v>
      </c>
      <c r="J1737" s="4" t="s">
        <v>2316</v>
      </c>
      <c r="K1737" s="4" t="s">
        <v>2263</v>
      </c>
      <c r="L1737" s="10">
        <v>5</v>
      </c>
      <c r="M1737" s="5">
        <v>454.76405146618788</v>
      </c>
      <c r="N1737" s="5">
        <v>2273.82025733094</v>
      </c>
    </row>
    <row r="1738" spans="1:14" x14ac:dyDescent="0.25">
      <c r="A1738" s="4" t="s">
        <v>3174</v>
      </c>
      <c r="B1738" s="4" t="s">
        <v>3173</v>
      </c>
      <c r="C1738" s="4" t="s">
        <v>2320</v>
      </c>
      <c r="D1738" s="4" t="s">
        <v>242</v>
      </c>
      <c r="E1738" s="4" t="s">
        <v>2741</v>
      </c>
      <c r="F1738" s="4" t="s">
        <v>2740</v>
      </c>
      <c r="G1738" s="4" t="s">
        <v>2263</v>
      </c>
      <c r="H1738" s="9" t="s">
        <v>2263</v>
      </c>
      <c r="I1738" s="4" t="s">
        <v>2317</v>
      </c>
      <c r="J1738" s="4" t="s">
        <v>2316</v>
      </c>
      <c r="K1738" s="4" t="s">
        <v>2263</v>
      </c>
      <c r="L1738" s="10">
        <v>5</v>
      </c>
      <c r="M1738" s="5">
        <v>454.76405146618788</v>
      </c>
      <c r="N1738" s="5">
        <v>2273.82025733094</v>
      </c>
    </row>
    <row r="1739" spans="1:14" x14ac:dyDescent="0.25">
      <c r="A1739" s="4" t="s">
        <v>3157</v>
      </c>
      <c r="B1739" s="4" t="s">
        <v>3156</v>
      </c>
      <c r="C1739" s="4" t="s">
        <v>2320</v>
      </c>
      <c r="D1739" s="4" t="s">
        <v>242</v>
      </c>
      <c r="E1739" s="4" t="s">
        <v>2741</v>
      </c>
      <c r="F1739" s="4" t="s">
        <v>2740</v>
      </c>
      <c r="G1739" s="4" t="s">
        <v>2263</v>
      </c>
      <c r="H1739" s="9" t="s">
        <v>2263</v>
      </c>
      <c r="I1739" s="4" t="s">
        <v>2317</v>
      </c>
      <c r="J1739" s="4" t="s">
        <v>2316</v>
      </c>
      <c r="K1739" s="4" t="s">
        <v>2263</v>
      </c>
      <c r="L1739" s="10">
        <v>5</v>
      </c>
      <c r="M1739" s="5">
        <v>454.76405146618788</v>
      </c>
      <c r="N1739" s="5">
        <v>2273.82025733094</v>
      </c>
    </row>
    <row r="1740" spans="1:14" x14ac:dyDescent="0.25">
      <c r="A1740" s="4" t="s">
        <v>3063</v>
      </c>
      <c r="B1740" s="4" t="s">
        <v>3062</v>
      </c>
      <c r="C1740" s="4" t="s">
        <v>2320</v>
      </c>
      <c r="D1740" s="4" t="s">
        <v>242</v>
      </c>
      <c r="E1740" s="4" t="s">
        <v>2741</v>
      </c>
      <c r="F1740" s="4" t="s">
        <v>2740</v>
      </c>
      <c r="G1740" s="4" t="s">
        <v>2263</v>
      </c>
      <c r="H1740" s="9" t="s">
        <v>2263</v>
      </c>
      <c r="I1740" s="4" t="s">
        <v>2317</v>
      </c>
      <c r="J1740" s="4" t="s">
        <v>2316</v>
      </c>
      <c r="K1740" s="4" t="s">
        <v>2263</v>
      </c>
      <c r="L1740" s="10">
        <v>5</v>
      </c>
      <c r="M1740" s="5">
        <v>454.76405146618788</v>
      </c>
      <c r="N1740" s="5">
        <v>2273.82025733094</v>
      </c>
    </row>
    <row r="1741" spans="1:14" x14ac:dyDescent="0.25">
      <c r="A1741" s="4" t="s">
        <v>3051</v>
      </c>
      <c r="B1741" s="4" t="s">
        <v>3050</v>
      </c>
      <c r="C1741" s="4" t="s">
        <v>2320</v>
      </c>
      <c r="D1741" s="4" t="s">
        <v>242</v>
      </c>
      <c r="E1741" s="4" t="s">
        <v>2741</v>
      </c>
      <c r="F1741" s="4" t="s">
        <v>2740</v>
      </c>
      <c r="G1741" s="4" t="s">
        <v>2263</v>
      </c>
      <c r="H1741" s="9" t="s">
        <v>2263</v>
      </c>
      <c r="I1741" s="4" t="s">
        <v>2317</v>
      </c>
      <c r="J1741" s="4" t="s">
        <v>2316</v>
      </c>
      <c r="K1741" s="4" t="s">
        <v>2263</v>
      </c>
      <c r="L1741" s="10">
        <v>5</v>
      </c>
      <c r="M1741" s="5">
        <v>454.76405146618788</v>
      </c>
      <c r="N1741" s="5">
        <v>2273.82025733094</v>
      </c>
    </row>
    <row r="1742" spans="1:14" x14ac:dyDescent="0.25">
      <c r="A1742" s="4" t="s">
        <v>3024</v>
      </c>
      <c r="B1742" s="4" t="s">
        <v>3023</v>
      </c>
      <c r="C1742" s="4" t="s">
        <v>2320</v>
      </c>
      <c r="D1742" s="4" t="s">
        <v>242</v>
      </c>
      <c r="E1742" s="4" t="s">
        <v>2741</v>
      </c>
      <c r="F1742" s="4" t="s">
        <v>2740</v>
      </c>
      <c r="G1742" s="4" t="s">
        <v>2263</v>
      </c>
      <c r="H1742" s="9" t="s">
        <v>2263</v>
      </c>
      <c r="I1742" s="4" t="s">
        <v>2317</v>
      </c>
      <c r="J1742" s="4" t="s">
        <v>2316</v>
      </c>
      <c r="K1742" s="4" t="s">
        <v>2263</v>
      </c>
      <c r="L1742" s="10">
        <v>5</v>
      </c>
      <c r="M1742" s="5">
        <v>454.76405146618788</v>
      </c>
      <c r="N1742" s="5">
        <v>2273.82025733094</v>
      </c>
    </row>
    <row r="1743" spans="1:14" x14ac:dyDescent="0.25">
      <c r="A1743" s="4" t="s">
        <v>2673</v>
      </c>
      <c r="B1743" s="4" t="s">
        <v>2672</v>
      </c>
      <c r="C1743" s="4" t="s">
        <v>2320</v>
      </c>
      <c r="D1743" s="4" t="s">
        <v>242</v>
      </c>
      <c r="E1743" s="4" t="s">
        <v>2741</v>
      </c>
      <c r="F1743" s="4" t="s">
        <v>2740</v>
      </c>
      <c r="G1743" s="4" t="s">
        <v>2263</v>
      </c>
      <c r="H1743" s="9" t="s">
        <v>2263</v>
      </c>
      <c r="I1743" s="4" t="s">
        <v>2317</v>
      </c>
      <c r="J1743" s="4" t="s">
        <v>2316</v>
      </c>
      <c r="K1743" s="4" t="s">
        <v>2263</v>
      </c>
      <c r="L1743" s="10">
        <v>5</v>
      </c>
      <c r="M1743" s="5">
        <v>454.76405146618788</v>
      </c>
      <c r="N1743" s="5">
        <v>2273.82025733094</v>
      </c>
    </row>
    <row r="1744" spans="1:14" x14ac:dyDescent="0.25">
      <c r="A1744" s="4" t="s">
        <v>2344</v>
      </c>
      <c r="B1744" s="4" t="s">
        <v>5154</v>
      </c>
      <c r="C1744" s="4" t="s">
        <v>2344</v>
      </c>
      <c r="D1744" s="4" t="s">
        <v>237</v>
      </c>
      <c r="E1744" s="4" t="s">
        <v>4755</v>
      </c>
      <c r="F1744" s="4" t="s">
        <v>4521</v>
      </c>
      <c r="G1744" s="4" t="s">
        <v>2263</v>
      </c>
      <c r="H1744" s="9" t="s">
        <v>2263</v>
      </c>
      <c r="I1744" s="4" t="s">
        <v>2263</v>
      </c>
      <c r="J1744" s="4" t="s">
        <v>2263</v>
      </c>
      <c r="K1744" s="4" t="s">
        <v>4520</v>
      </c>
      <c r="L1744" s="10">
        <v>5</v>
      </c>
      <c r="M1744" s="5">
        <v>549.51703673469387</v>
      </c>
      <c r="N1744" s="5">
        <v>2747.5851836734701</v>
      </c>
    </row>
    <row r="1745" spans="1:14" x14ac:dyDescent="0.25">
      <c r="A1745" s="4" t="s">
        <v>3104</v>
      </c>
      <c r="B1745" s="4" t="s">
        <v>3103</v>
      </c>
      <c r="C1745" s="4" t="s">
        <v>2344</v>
      </c>
      <c r="D1745" s="4" t="s">
        <v>237</v>
      </c>
      <c r="E1745" s="4" t="s">
        <v>3068</v>
      </c>
      <c r="F1745" s="4" t="s">
        <v>3067</v>
      </c>
      <c r="G1745" s="4" t="s">
        <v>2263</v>
      </c>
      <c r="H1745" s="9" t="s">
        <v>2263</v>
      </c>
      <c r="I1745" s="4" t="s">
        <v>2263</v>
      </c>
      <c r="J1745" s="4" t="s">
        <v>2263</v>
      </c>
      <c r="K1745" s="4" t="s">
        <v>2619</v>
      </c>
      <c r="L1745" s="10">
        <v>5</v>
      </c>
      <c r="M1745" s="5">
        <v>654.54545454545462</v>
      </c>
      <c r="N1745" s="5">
        <v>3272.7272727272698</v>
      </c>
    </row>
    <row r="1746" spans="1:14" x14ac:dyDescent="0.25">
      <c r="A1746" s="4" t="s">
        <v>3063</v>
      </c>
      <c r="B1746" s="4" t="s">
        <v>3062</v>
      </c>
      <c r="C1746" s="4" t="s">
        <v>2344</v>
      </c>
      <c r="D1746" s="4" t="s">
        <v>237</v>
      </c>
      <c r="E1746" s="4" t="s">
        <v>3068</v>
      </c>
      <c r="F1746" s="4" t="s">
        <v>3067</v>
      </c>
      <c r="G1746" s="4" t="s">
        <v>2263</v>
      </c>
      <c r="H1746" s="9" t="s">
        <v>2263</v>
      </c>
      <c r="I1746" s="4" t="s">
        <v>2263</v>
      </c>
      <c r="J1746" s="4" t="s">
        <v>2263</v>
      </c>
      <c r="K1746" s="4" t="s">
        <v>2619</v>
      </c>
      <c r="L1746" s="10">
        <v>5</v>
      </c>
      <c r="M1746" s="5">
        <v>654.54545454545462</v>
      </c>
      <c r="N1746" s="5">
        <v>3272.7272727272698</v>
      </c>
    </row>
    <row r="1747" spans="1:14" x14ac:dyDescent="0.25">
      <c r="A1747" s="4" t="s">
        <v>2653</v>
      </c>
      <c r="B1747" s="4" t="s">
        <v>3226</v>
      </c>
      <c r="C1747" s="4" t="s">
        <v>3107</v>
      </c>
      <c r="D1747" s="4" t="s">
        <v>1105</v>
      </c>
      <c r="E1747" s="4" t="s">
        <v>3673</v>
      </c>
      <c r="F1747" s="4" t="s">
        <v>3672</v>
      </c>
      <c r="G1747" s="4" t="s">
        <v>2263</v>
      </c>
      <c r="H1747" s="9" t="s">
        <v>2263</v>
      </c>
      <c r="I1747" s="4" t="s">
        <v>2317</v>
      </c>
      <c r="J1747" s="4" t="s">
        <v>2316</v>
      </c>
      <c r="K1747" s="4" t="s">
        <v>2263</v>
      </c>
      <c r="L1747" s="10">
        <v>5</v>
      </c>
      <c r="M1747" s="5">
        <v>691.83</v>
      </c>
      <c r="N1747" s="5">
        <v>3459.15</v>
      </c>
    </row>
    <row r="1748" spans="1:14" x14ac:dyDescent="0.25">
      <c r="A1748" s="4" t="s">
        <v>2320</v>
      </c>
      <c r="B1748" s="4" t="s">
        <v>4967</v>
      </c>
      <c r="C1748" s="4" t="s">
        <v>2320</v>
      </c>
      <c r="D1748" s="4" t="s">
        <v>242</v>
      </c>
      <c r="E1748" s="4" t="s">
        <v>2416</v>
      </c>
      <c r="F1748" s="4" t="s">
        <v>2415</v>
      </c>
      <c r="G1748" s="4" t="s">
        <v>2263</v>
      </c>
      <c r="H1748" s="9" t="s">
        <v>2263</v>
      </c>
      <c r="I1748" s="4" t="s">
        <v>2317</v>
      </c>
      <c r="J1748" s="4" t="s">
        <v>2316</v>
      </c>
      <c r="K1748" s="4" t="s">
        <v>2263</v>
      </c>
      <c r="L1748" s="10">
        <v>5</v>
      </c>
      <c r="M1748" s="5">
        <v>841.07974358974366</v>
      </c>
      <c r="N1748" s="5">
        <v>4205.3987179487203</v>
      </c>
    </row>
    <row r="1749" spans="1:14" x14ac:dyDescent="0.25">
      <c r="A1749" s="4" t="s">
        <v>2320</v>
      </c>
      <c r="B1749" s="4" t="s">
        <v>4967</v>
      </c>
      <c r="C1749" s="4" t="s">
        <v>2320</v>
      </c>
      <c r="D1749" s="4" t="s">
        <v>242</v>
      </c>
      <c r="E1749" s="4" t="s">
        <v>4199</v>
      </c>
      <c r="F1749" s="4" t="s">
        <v>4198</v>
      </c>
      <c r="G1749" s="4" t="s">
        <v>2263</v>
      </c>
      <c r="H1749" s="9" t="s">
        <v>2263</v>
      </c>
      <c r="I1749" s="4" t="s">
        <v>2317</v>
      </c>
      <c r="J1749" s="4" t="s">
        <v>2316</v>
      </c>
      <c r="K1749" s="4" t="s">
        <v>2263</v>
      </c>
      <c r="L1749" s="10">
        <v>5</v>
      </c>
      <c r="M1749" s="5">
        <v>923.2431578947369</v>
      </c>
      <c r="N1749" s="5">
        <v>4616.2157894736802</v>
      </c>
    </row>
    <row r="1750" spans="1:14" x14ac:dyDescent="0.25">
      <c r="A1750" s="4" t="s">
        <v>2320</v>
      </c>
      <c r="B1750" s="4" t="s">
        <v>4967</v>
      </c>
      <c r="C1750" s="4" t="s">
        <v>2320</v>
      </c>
      <c r="D1750" s="4" t="s">
        <v>242</v>
      </c>
      <c r="E1750" s="4" t="s">
        <v>3160</v>
      </c>
      <c r="F1750" s="4" t="s">
        <v>3159</v>
      </c>
      <c r="G1750" s="4" t="s">
        <v>2263</v>
      </c>
      <c r="H1750" s="9" t="s">
        <v>2263</v>
      </c>
      <c r="I1750" s="4" t="s">
        <v>2317</v>
      </c>
      <c r="J1750" s="4" t="s">
        <v>2316</v>
      </c>
      <c r="K1750" s="4" t="s">
        <v>2263</v>
      </c>
      <c r="L1750" s="10">
        <v>5</v>
      </c>
      <c r="M1750" s="5">
        <v>997.91805460750845</v>
      </c>
      <c r="N1750" s="5">
        <v>4989.5902730375401</v>
      </c>
    </row>
    <row r="1751" spans="1:14" x14ac:dyDescent="0.25">
      <c r="A1751" s="4" t="s">
        <v>2930</v>
      </c>
      <c r="B1751" s="4" t="s">
        <v>2929</v>
      </c>
      <c r="C1751" s="4" t="s">
        <v>2320</v>
      </c>
      <c r="D1751" s="4" t="s">
        <v>242</v>
      </c>
      <c r="E1751" s="4" t="s">
        <v>3010</v>
      </c>
      <c r="F1751" s="4" t="s">
        <v>3009</v>
      </c>
      <c r="G1751" s="4" t="s">
        <v>2263</v>
      </c>
      <c r="H1751" s="9" t="s">
        <v>2263</v>
      </c>
      <c r="I1751" s="4" t="s">
        <v>2317</v>
      </c>
      <c r="J1751" s="4" t="s">
        <v>2316</v>
      </c>
      <c r="K1751" s="4" t="s">
        <v>2263</v>
      </c>
      <c r="L1751" s="10">
        <v>5</v>
      </c>
      <c r="M1751" s="5">
        <v>1096.6616541353383</v>
      </c>
      <c r="N1751" s="5">
        <v>5483.30827067669</v>
      </c>
    </row>
    <row r="1752" spans="1:14" x14ac:dyDescent="0.25">
      <c r="A1752" s="4" t="s">
        <v>2317</v>
      </c>
      <c r="B1752" s="4" t="s">
        <v>3839</v>
      </c>
      <c r="C1752" s="4" t="s">
        <v>2320</v>
      </c>
      <c r="D1752" s="4" t="s">
        <v>242</v>
      </c>
      <c r="E1752" s="4" t="s">
        <v>4337</v>
      </c>
      <c r="F1752" s="4" t="s">
        <v>4336</v>
      </c>
      <c r="G1752" s="4" t="s">
        <v>2263</v>
      </c>
      <c r="H1752" s="9" t="s">
        <v>2263</v>
      </c>
      <c r="I1752" s="4" t="s">
        <v>2317</v>
      </c>
      <c r="J1752" s="4" t="s">
        <v>2316</v>
      </c>
      <c r="K1752" s="4" t="s">
        <v>2263</v>
      </c>
      <c r="L1752" s="10">
        <v>5</v>
      </c>
      <c r="M1752" s="5">
        <v>1500</v>
      </c>
      <c r="N1752" s="5">
        <v>7500</v>
      </c>
    </row>
    <row r="1753" spans="1:14" x14ac:dyDescent="0.25">
      <c r="A1753" s="4" t="s">
        <v>2320</v>
      </c>
      <c r="B1753" s="4" t="s">
        <v>4967</v>
      </c>
      <c r="C1753" s="4" t="s">
        <v>2344</v>
      </c>
      <c r="D1753" s="4" t="s">
        <v>237</v>
      </c>
      <c r="E1753" s="4" t="s">
        <v>5132</v>
      </c>
      <c r="F1753" s="4" t="s">
        <v>2620</v>
      </c>
      <c r="G1753" s="4" t="s">
        <v>2263</v>
      </c>
      <c r="H1753" s="9" t="s">
        <v>2263</v>
      </c>
      <c r="I1753" s="4" t="s">
        <v>2263</v>
      </c>
      <c r="J1753" s="4" t="s">
        <v>2263</v>
      </c>
      <c r="K1753" s="4" t="s">
        <v>2619</v>
      </c>
      <c r="L1753" s="10">
        <v>5</v>
      </c>
      <c r="M1753" s="5">
        <v>1552.28</v>
      </c>
      <c r="N1753" s="5">
        <v>7761.4</v>
      </c>
    </row>
    <row r="1754" spans="1:14" x14ac:dyDescent="0.25">
      <c r="A1754" s="4" t="s">
        <v>2893</v>
      </c>
      <c r="B1754" s="4" t="s">
        <v>2892</v>
      </c>
      <c r="C1754" s="4" t="s">
        <v>2320</v>
      </c>
      <c r="D1754" s="4" t="s">
        <v>242</v>
      </c>
      <c r="E1754" s="4" t="s">
        <v>2901</v>
      </c>
      <c r="F1754" s="4" t="s">
        <v>2900</v>
      </c>
      <c r="G1754" s="4" t="s">
        <v>2263</v>
      </c>
      <c r="H1754" s="9" t="s">
        <v>2263</v>
      </c>
      <c r="I1754" s="4" t="s">
        <v>2317</v>
      </c>
      <c r="J1754" s="4" t="s">
        <v>2316</v>
      </c>
      <c r="K1754" s="4" t="s">
        <v>2263</v>
      </c>
      <c r="L1754" s="10">
        <v>5</v>
      </c>
      <c r="M1754" s="5">
        <v>1692.1930827067667</v>
      </c>
      <c r="N1754" s="5">
        <v>8460.9654135338296</v>
      </c>
    </row>
    <row r="1755" spans="1:14" x14ac:dyDescent="0.25">
      <c r="A1755" s="4" t="s">
        <v>2930</v>
      </c>
      <c r="B1755" s="4" t="s">
        <v>2929</v>
      </c>
      <c r="C1755" s="4" t="s">
        <v>2320</v>
      </c>
      <c r="D1755" s="4" t="s">
        <v>242</v>
      </c>
      <c r="E1755" s="4" t="s">
        <v>2903</v>
      </c>
      <c r="F1755" s="4" t="s">
        <v>2902</v>
      </c>
      <c r="G1755" s="4" t="s">
        <v>2263</v>
      </c>
      <c r="H1755" s="9" t="s">
        <v>2263</v>
      </c>
      <c r="I1755" s="4" t="s">
        <v>2317</v>
      </c>
      <c r="J1755" s="4" t="s">
        <v>2316</v>
      </c>
      <c r="K1755" s="4" t="s">
        <v>2263</v>
      </c>
      <c r="L1755" s="10">
        <v>5</v>
      </c>
      <c r="M1755" s="5">
        <v>1697.6609375</v>
      </c>
      <c r="N1755" s="5">
        <v>8488.3046875</v>
      </c>
    </row>
    <row r="1756" spans="1:14" x14ac:dyDescent="0.25">
      <c r="A1756" s="4" t="s">
        <v>2344</v>
      </c>
      <c r="B1756" s="4" t="s">
        <v>5154</v>
      </c>
      <c r="C1756" s="4" t="s">
        <v>2320</v>
      </c>
      <c r="D1756" s="4" t="s">
        <v>242</v>
      </c>
      <c r="E1756" s="4" t="s">
        <v>4239</v>
      </c>
      <c r="F1756" s="4" t="s">
        <v>4238</v>
      </c>
      <c r="G1756" s="4" t="s">
        <v>2263</v>
      </c>
      <c r="H1756" s="9" t="s">
        <v>2263</v>
      </c>
      <c r="I1756" s="4" t="s">
        <v>2317</v>
      </c>
      <c r="J1756" s="4" t="s">
        <v>2316</v>
      </c>
      <c r="K1756" s="4" t="s">
        <v>2263</v>
      </c>
      <c r="L1756" s="10">
        <v>5</v>
      </c>
      <c r="M1756" s="5">
        <v>1722.221235955056</v>
      </c>
      <c r="N1756" s="5">
        <v>8611.1061797752809</v>
      </c>
    </row>
    <row r="1757" spans="1:14" x14ac:dyDescent="0.25">
      <c r="A1757" s="4" t="s">
        <v>2344</v>
      </c>
      <c r="B1757" s="4" t="s">
        <v>5154</v>
      </c>
      <c r="C1757" s="4" t="s">
        <v>2320</v>
      </c>
      <c r="D1757" s="4" t="s">
        <v>242</v>
      </c>
      <c r="E1757" s="4" t="s">
        <v>5061</v>
      </c>
      <c r="F1757" s="4" t="s">
        <v>5060</v>
      </c>
      <c r="G1757" s="4" t="s">
        <v>2263</v>
      </c>
      <c r="H1757" s="9" t="s">
        <v>2263</v>
      </c>
      <c r="I1757" s="4" t="s">
        <v>2317</v>
      </c>
      <c r="J1757" s="4" t="s">
        <v>2316</v>
      </c>
      <c r="K1757" s="4" t="s">
        <v>2263</v>
      </c>
      <c r="L1757" s="10">
        <v>5</v>
      </c>
      <c r="M1757" s="5">
        <v>1762</v>
      </c>
      <c r="N1757" s="5">
        <v>8810</v>
      </c>
    </row>
    <row r="1758" spans="1:14" x14ac:dyDescent="0.25">
      <c r="A1758" s="4" t="s">
        <v>3174</v>
      </c>
      <c r="B1758" s="4" t="s">
        <v>3173</v>
      </c>
      <c r="C1758" s="4" t="s">
        <v>2344</v>
      </c>
      <c r="D1758" s="4" t="s">
        <v>237</v>
      </c>
      <c r="E1758" s="4" t="s">
        <v>2435</v>
      </c>
      <c r="F1758" s="4" t="s">
        <v>2434</v>
      </c>
      <c r="G1758" s="4" t="s">
        <v>2263</v>
      </c>
      <c r="H1758" s="9" t="s">
        <v>2263</v>
      </c>
      <c r="I1758" s="4" t="s">
        <v>2263</v>
      </c>
      <c r="J1758" s="4" t="s">
        <v>2263</v>
      </c>
      <c r="K1758" s="4" t="s">
        <v>2433</v>
      </c>
      <c r="L1758" s="10">
        <v>5</v>
      </c>
      <c r="M1758" s="5">
        <v>1849.2706606606607</v>
      </c>
      <c r="N1758" s="5">
        <v>9246.3533033033</v>
      </c>
    </row>
    <row r="1759" spans="1:14" x14ac:dyDescent="0.25">
      <c r="A1759" s="4" t="s">
        <v>3174</v>
      </c>
      <c r="B1759" s="4" t="s">
        <v>3173</v>
      </c>
      <c r="C1759" s="4" t="s">
        <v>2344</v>
      </c>
      <c r="D1759" s="4" t="s">
        <v>237</v>
      </c>
      <c r="E1759" s="4" t="s">
        <v>3180</v>
      </c>
      <c r="F1759" s="4" t="s">
        <v>3179</v>
      </c>
      <c r="G1759" s="4" t="s">
        <v>2263</v>
      </c>
      <c r="H1759" s="9" t="s">
        <v>2263</v>
      </c>
      <c r="I1759" s="4" t="s">
        <v>2263</v>
      </c>
      <c r="J1759" s="4" t="s">
        <v>2263</v>
      </c>
      <c r="K1759" s="4" t="s">
        <v>2582</v>
      </c>
      <c r="L1759" s="10">
        <v>5</v>
      </c>
      <c r="M1759" s="5">
        <v>1854.4881250000001</v>
      </c>
      <c r="N1759" s="5">
        <v>9272.4406249999993</v>
      </c>
    </row>
    <row r="1760" spans="1:14" x14ac:dyDescent="0.25">
      <c r="A1760" s="4" t="s">
        <v>2344</v>
      </c>
      <c r="B1760" s="4" t="s">
        <v>5154</v>
      </c>
      <c r="C1760" s="4" t="s">
        <v>2320</v>
      </c>
      <c r="D1760" s="4" t="s">
        <v>242</v>
      </c>
      <c r="E1760" s="4" t="s">
        <v>2410</v>
      </c>
      <c r="F1760" s="4" t="s">
        <v>2409</v>
      </c>
      <c r="G1760" s="4" t="s">
        <v>2263</v>
      </c>
      <c r="H1760" s="9" t="s">
        <v>2263</v>
      </c>
      <c r="I1760" s="4" t="s">
        <v>2317</v>
      </c>
      <c r="J1760" s="4" t="s">
        <v>2316</v>
      </c>
      <c r="K1760" s="4" t="s">
        <v>2263</v>
      </c>
      <c r="L1760" s="10">
        <v>5</v>
      </c>
      <c r="M1760" s="5">
        <v>1874.4585185185185</v>
      </c>
      <c r="N1760" s="5">
        <v>9372.2925925925902</v>
      </c>
    </row>
    <row r="1761" spans="1:14" x14ac:dyDescent="0.25">
      <c r="A1761" s="4" t="s">
        <v>2930</v>
      </c>
      <c r="B1761" s="4" t="s">
        <v>2929</v>
      </c>
      <c r="C1761" s="4" t="s">
        <v>2320</v>
      </c>
      <c r="D1761" s="4" t="s">
        <v>242</v>
      </c>
      <c r="E1761" s="4" t="s">
        <v>2899</v>
      </c>
      <c r="F1761" s="4" t="s">
        <v>2898</v>
      </c>
      <c r="G1761" s="4" t="s">
        <v>2263</v>
      </c>
      <c r="H1761" s="9" t="s">
        <v>2263</v>
      </c>
      <c r="I1761" s="4" t="s">
        <v>2317</v>
      </c>
      <c r="J1761" s="4" t="s">
        <v>2316</v>
      </c>
      <c r="K1761" s="4" t="s">
        <v>2263</v>
      </c>
      <c r="L1761" s="10">
        <v>5</v>
      </c>
      <c r="M1761" s="5">
        <v>1936.3739855072463</v>
      </c>
      <c r="N1761" s="5">
        <v>9681.8699275362305</v>
      </c>
    </row>
    <row r="1762" spans="1:14" x14ac:dyDescent="0.25">
      <c r="A1762" s="4" t="s">
        <v>3104</v>
      </c>
      <c r="B1762" s="4" t="s">
        <v>3103</v>
      </c>
      <c r="C1762" s="4" t="s">
        <v>2279</v>
      </c>
      <c r="D1762" s="4" t="s">
        <v>2278</v>
      </c>
      <c r="E1762" s="4" t="s">
        <v>3108</v>
      </c>
      <c r="F1762" s="4" t="s">
        <v>2281</v>
      </c>
      <c r="G1762" s="4" t="s">
        <v>2263</v>
      </c>
      <c r="H1762" s="9" t="s">
        <v>2263</v>
      </c>
      <c r="I1762" s="4" t="s">
        <v>2263</v>
      </c>
      <c r="J1762" s="4" t="s">
        <v>2263</v>
      </c>
      <c r="K1762" s="4" t="s">
        <v>2280</v>
      </c>
      <c r="L1762" s="10">
        <v>5</v>
      </c>
      <c r="M1762" s="5">
        <v>1962</v>
      </c>
      <c r="N1762" s="5">
        <v>9810</v>
      </c>
    </row>
    <row r="1763" spans="1:14" x14ac:dyDescent="0.25">
      <c r="A1763" s="4" t="s">
        <v>2320</v>
      </c>
      <c r="B1763" s="4" t="s">
        <v>4967</v>
      </c>
      <c r="C1763" s="4" t="s">
        <v>2279</v>
      </c>
      <c r="D1763" s="4" t="s">
        <v>2278</v>
      </c>
      <c r="E1763" s="4" t="s">
        <v>2282</v>
      </c>
      <c r="F1763" s="4" t="s">
        <v>2281</v>
      </c>
      <c r="G1763" s="4" t="s">
        <v>2263</v>
      </c>
      <c r="H1763" s="9" t="s">
        <v>2263</v>
      </c>
      <c r="I1763" s="4" t="s">
        <v>2263</v>
      </c>
      <c r="J1763" s="4" t="s">
        <v>2263</v>
      </c>
      <c r="K1763" s="4" t="s">
        <v>2280</v>
      </c>
      <c r="L1763" s="10">
        <v>5</v>
      </c>
      <c r="M1763" s="5">
        <v>2099.7760358342666</v>
      </c>
      <c r="N1763" s="5">
        <v>10498.88017917133</v>
      </c>
    </row>
    <row r="1764" spans="1:14" x14ac:dyDescent="0.25">
      <c r="A1764" s="4" t="s">
        <v>2344</v>
      </c>
      <c r="B1764" s="4" t="s">
        <v>5154</v>
      </c>
      <c r="C1764" s="4" t="s">
        <v>2320</v>
      </c>
      <c r="D1764" s="4" t="s">
        <v>242</v>
      </c>
      <c r="E1764" s="4" t="s">
        <v>3959</v>
      </c>
      <c r="F1764" s="4" t="s">
        <v>3958</v>
      </c>
      <c r="G1764" s="4" t="s">
        <v>2263</v>
      </c>
      <c r="H1764" s="9" t="s">
        <v>2263</v>
      </c>
      <c r="I1764" s="4" t="s">
        <v>2317</v>
      </c>
      <c r="J1764" s="4" t="s">
        <v>2316</v>
      </c>
      <c r="K1764" s="4" t="s">
        <v>2263</v>
      </c>
      <c r="L1764" s="10">
        <v>5</v>
      </c>
      <c r="M1764" s="5">
        <v>2133.8888888888887</v>
      </c>
      <c r="N1764" s="5">
        <v>10669.44444444444</v>
      </c>
    </row>
    <row r="1765" spans="1:14" x14ac:dyDescent="0.25">
      <c r="A1765" s="4" t="s">
        <v>2930</v>
      </c>
      <c r="B1765" s="4" t="s">
        <v>2929</v>
      </c>
      <c r="C1765" s="4" t="s">
        <v>2320</v>
      </c>
      <c r="D1765" s="4" t="s">
        <v>242</v>
      </c>
      <c r="E1765" s="4" t="s">
        <v>2895</v>
      </c>
      <c r="F1765" s="4" t="s">
        <v>2894</v>
      </c>
      <c r="G1765" s="4" t="s">
        <v>2263</v>
      </c>
      <c r="H1765" s="9" t="s">
        <v>2263</v>
      </c>
      <c r="I1765" s="4" t="s">
        <v>2317</v>
      </c>
      <c r="J1765" s="4" t="s">
        <v>2316</v>
      </c>
      <c r="K1765" s="4" t="s">
        <v>2263</v>
      </c>
      <c r="L1765" s="10">
        <v>5</v>
      </c>
      <c r="M1765" s="5">
        <v>2172.9377586206897</v>
      </c>
      <c r="N1765" s="5">
        <v>10864.688793103451</v>
      </c>
    </row>
    <row r="1766" spans="1:14" x14ac:dyDescent="0.25">
      <c r="A1766" s="4" t="s">
        <v>3801</v>
      </c>
      <c r="B1766" s="4" t="s">
        <v>4965</v>
      </c>
      <c r="C1766" s="4" t="s">
        <v>2279</v>
      </c>
      <c r="D1766" s="4" t="s">
        <v>2278</v>
      </c>
      <c r="E1766" s="4" t="s">
        <v>3064</v>
      </c>
      <c r="F1766" s="4" t="s">
        <v>2281</v>
      </c>
      <c r="G1766" s="4" t="s">
        <v>2263</v>
      </c>
      <c r="H1766" s="9" t="s">
        <v>2263</v>
      </c>
      <c r="I1766" s="4" t="s">
        <v>2263</v>
      </c>
      <c r="J1766" s="4" t="s">
        <v>2263</v>
      </c>
      <c r="K1766" s="4" t="s">
        <v>2280</v>
      </c>
      <c r="L1766" s="10">
        <v>5</v>
      </c>
      <c r="M1766" s="5">
        <v>2224.0216666666665</v>
      </c>
      <c r="N1766" s="5">
        <v>11120.10833333333</v>
      </c>
    </row>
    <row r="1767" spans="1:14" x14ac:dyDescent="0.25">
      <c r="A1767" s="4" t="s">
        <v>2384</v>
      </c>
      <c r="B1767" s="4" t="s">
        <v>3187</v>
      </c>
      <c r="C1767" s="4" t="s">
        <v>2279</v>
      </c>
      <c r="D1767" s="4" t="s">
        <v>2278</v>
      </c>
      <c r="E1767" s="4" t="s">
        <v>3064</v>
      </c>
      <c r="F1767" s="4" t="s">
        <v>2281</v>
      </c>
      <c r="G1767" s="4" t="s">
        <v>2263</v>
      </c>
      <c r="H1767" s="9" t="s">
        <v>2263</v>
      </c>
      <c r="I1767" s="4" t="s">
        <v>2263</v>
      </c>
      <c r="J1767" s="4" t="s">
        <v>2263</v>
      </c>
      <c r="K1767" s="4" t="s">
        <v>2280</v>
      </c>
      <c r="L1767" s="10">
        <v>5</v>
      </c>
      <c r="M1767" s="5">
        <v>2224.0216666666665</v>
      </c>
      <c r="N1767" s="5">
        <v>11120.10833333333</v>
      </c>
    </row>
    <row r="1768" spans="1:14" x14ac:dyDescent="0.25">
      <c r="A1768" s="4" t="s">
        <v>2320</v>
      </c>
      <c r="B1768" s="4" t="s">
        <v>4967</v>
      </c>
      <c r="C1768" s="4" t="s">
        <v>2279</v>
      </c>
      <c r="D1768" s="4" t="s">
        <v>2278</v>
      </c>
      <c r="E1768" s="4" t="s">
        <v>2309</v>
      </c>
      <c r="F1768" s="4" t="s">
        <v>2284</v>
      </c>
      <c r="G1768" s="4" t="s">
        <v>2263</v>
      </c>
      <c r="H1768" s="9" t="s">
        <v>2263</v>
      </c>
      <c r="I1768" s="4" t="s">
        <v>2263</v>
      </c>
      <c r="J1768" s="4" t="s">
        <v>2263</v>
      </c>
      <c r="K1768" s="4" t="s">
        <v>2283</v>
      </c>
      <c r="L1768" s="10">
        <v>5</v>
      </c>
      <c r="M1768" s="5">
        <v>2291</v>
      </c>
      <c r="N1768" s="5">
        <v>11455</v>
      </c>
    </row>
    <row r="1769" spans="1:14" x14ac:dyDescent="0.25">
      <c r="A1769" s="4" t="s">
        <v>2930</v>
      </c>
      <c r="B1769" s="4" t="s">
        <v>2929</v>
      </c>
      <c r="C1769" s="4" t="s">
        <v>2320</v>
      </c>
      <c r="D1769" s="4" t="s">
        <v>242</v>
      </c>
      <c r="E1769" s="4" t="s">
        <v>2891</v>
      </c>
      <c r="F1769" s="4" t="s">
        <v>2890</v>
      </c>
      <c r="G1769" s="4" t="s">
        <v>2263</v>
      </c>
      <c r="H1769" s="9" t="s">
        <v>2263</v>
      </c>
      <c r="I1769" s="4" t="s">
        <v>2317</v>
      </c>
      <c r="J1769" s="4" t="s">
        <v>2316</v>
      </c>
      <c r="K1769" s="4" t="s">
        <v>2263</v>
      </c>
      <c r="L1769" s="10">
        <v>5</v>
      </c>
      <c r="M1769" s="5">
        <v>2314.879117647059</v>
      </c>
      <c r="N1769" s="5">
        <v>11574.395588235289</v>
      </c>
    </row>
    <row r="1770" spans="1:14" x14ac:dyDescent="0.25">
      <c r="A1770" s="4" t="s">
        <v>2893</v>
      </c>
      <c r="B1770" s="4" t="s">
        <v>2892</v>
      </c>
      <c r="C1770" s="4" t="s">
        <v>2320</v>
      </c>
      <c r="D1770" s="4" t="s">
        <v>242</v>
      </c>
      <c r="E1770" s="4" t="s">
        <v>2891</v>
      </c>
      <c r="F1770" s="4" t="s">
        <v>2890</v>
      </c>
      <c r="G1770" s="4" t="s">
        <v>2263</v>
      </c>
      <c r="H1770" s="9" t="s">
        <v>2263</v>
      </c>
      <c r="I1770" s="4" t="s">
        <v>2317</v>
      </c>
      <c r="J1770" s="4" t="s">
        <v>2316</v>
      </c>
      <c r="K1770" s="4" t="s">
        <v>2263</v>
      </c>
      <c r="L1770" s="10">
        <v>5</v>
      </c>
      <c r="M1770" s="5">
        <v>2314.879117647059</v>
      </c>
      <c r="N1770" s="5">
        <v>11574.395588235289</v>
      </c>
    </row>
    <row r="1771" spans="1:14" x14ac:dyDescent="0.25">
      <c r="A1771" s="4" t="s">
        <v>2344</v>
      </c>
      <c r="B1771" s="4" t="s">
        <v>5154</v>
      </c>
      <c r="C1771" s="4" t="s">
        <v>2267</v>
      </c>
      <c r="D1771" s="4" t="s">
        <v>2266</v>
      </c>
      <c r="E1771" s="4" t="s">
        <v>4415</v>
      </c>
      <c r="F1771" s="4" t="s">
        <v>4411</v>
      </c>
      <c r="G1771" s="4" t="s">
        <v>2263</v>
      </c>
      <c r="H1771" s="9" t="s">
        <v>2263</v>
      </c>
      <c r="I1771" s="4" t="s">
        <v>2263</v>
      </c>
      <c r="J1771" s="4" t="s">
        <v>2263</v>
      </c>
      <c r="K1771" s="4" t="s">
        <v>4410</v>
      </c>
      <c r="L1771" s="10">
        <v>5</v>
      </c>
      <c r="M1771" s="5">
        <v>2409.8421052631579</v>
      </c>
      <c r="N1771" s="5">
        <v>12049.21052631579</v>
      </c>
    </row>
    <row r="1772" spans="1:14" x14ac:dyDescent="0.25">
      <c r="A1772" s="4" t="s">
        <v>3801</v>
      </c>
      <c r="B1772" s="4" t="s">
        <v>4965</v>
      </c>
      <c r="C1772" s="4" t="s">
        <v>2344</v>
      </c>
      <c r="D1772" s="4" t="s">
        <v>237</v>
      </c>
      <c r="E1772" s="4" t="s">
        <v>2378</v>
      </c>
      <c r="F1772" s="4" t="s">
        <v>2377</v>
      </c>
      <c r="G1772" s="4" t="s">
        <v>2263</v>
      </c>
      <c r="H1772" s="9" t="s">
        <v>2263</v>
      </c>
      <c r="I1772" s="4" t="s">
        <v>2263</v>
      </c>
      <c r="J1772" s="4" t="s">
        <v>2263</v>
      </c>
      <c r="K1772" s="4" t="s">
        <v>2376</v>
      </c>
      <c r="L1772" s="10">
        <v>5</v>
      </c>
      <c r="M1772" s="5">
        <v>2635.2512459283389</v>
      </c>
      <c r="N1772" s="5">
        <v>13176.256229641691</v>
      </c>
    </row>
    <row r="1773" spans="1:14" x14ac:dyDescent="0.25">
      <c r="A1773" s="4" t="s">
        <v>2279</v>
      </c>
      <c r="B1773" s="4" t="s">
        <v>4963</v>
      </c>
      <c r="C1773" s="4" t="s">
        <v>2344</v>
      </c>
      <c r="D1773" s="4" t="s">
        <v>237</v>
      </c>
      <c r="E1773" s="4" t="s">
        <v>2378</v>
      </c>
      <c r="F1773" s="4" t="s">
        <v>2377</v>
      </c>
      <c r="G1773" s="4" t="s">
        <v>2263</v>
      </c>
      <c r="H1773" s="9" t="s">
        <v>2263</v>
      </c>
      <c r="I1773" s="4" t="s">
        <v>2263</v>
      </c>
      <c r="J1773" s="4" t="s">
        <v>2263</v>
      </c>
      <c r="K1773" s="4" t="s">
        <v>2376</v>
      </c>
      <c r="L1773" s="10">
        <v>5</v>
      </c>
      <c r="M1773" s="5">
        <v>2635.2512459283389</v>
      </c>
      <c r="N1773" s="5">
        <v>13176.256229641691</v>
      </c>
    </row>
    <row r="1774" spans="1:14" x14ac:dyDescent="0.25">
      <c r="A1774" s="4" t="s">
        <v>2930</v>
      </c>
      <c r="B1774" s="4" t="s">
        <v>2929</v>
      </c>
      <c r="C1774" s="4" t="s">
        <v>2320</v>
      </c>
      <c r="D1774" s="4" t="s">
        <v>242</v>
      </c>
      <c r="E1774" s="4" t="s">
        <v>2897</v>
      </c>
      <c r="F1774" s="4" t="s">
        <v>2896</v>
      </c>
      <c r="G1774" s="4" t="s">
        <v>2263</v>
      </c>
      <c r="H1774" s="9" t="s">
        <v>2263</v>
      </c>
      <c r="I1774" s="4" t="s">
        <v>2317</v>
      </c>
      <c r="J1774" s="4" t="s">
        <v>2316</v>
      </c>
      <c r="K1774" s="4" t="s">
        <v>2263</v>
      </c>
      <c r="L1774" s="10">
        <v>5</v>
      </c>
      <c r="M1774" s="5">
        <v>2641.6159235668792</v>
      </c>
      <c r="N1774" s="5">
        <v>13208.07961783439</v>
      </c>
    </row>
    <row r="1775" spans="1:14" x14ac:dyDescent="0.25">
      <c r="A1775" s="4" t="s">
        <v>2893</v>
      </c>
      <c r="B1775" s="4" t="s">
        <v>2892</v>
      </c>
      <c r="C1775" s="4" t="s">
        <v>2320</v>
      </c>
      <c r="D1775" s="4" t="s">
        <v>242</v>
      </c>
      <c r="E1775" s="4" t="s">
        <v>2897</v>
      </c>
      <c r="F1775" s="4" t="s">
        <v>2896</v>
      </c>
      <c r="G1775" s="4" t="s">
        <v>2263</v>
      </c>
      <c r="H1775" s="9" t="s">
        <v>2263</v>
      </c>
      <c r="I1775" s="4" t="s">
        <v>2317</v>
      </c>
      <c r="J1775" s="4" t="s">
        <v>2316</v>
      </c>
      <c r="K1775" s="4" t="s">
        <v>2263</v>
      </c>
      <c r="L1775" s="10">
        <v>5</v>
      </c>
      <c r="M1775" s="5">
        <v>2641.6159235668792</v>
      </c>
      <c r="N1775" s="5">
        <v>13208.07961783439</v>
      </c>
    </row>
    <row r="1776" spans="1:14" x14ac:dyDescent="0.25">
      <c r="A1776" s="4" t="s">
        <v>2653</v>
      </c>
      <c r="B1776" s="4" t="s">
        <v>3226</v>
      </c>
      <c r="C1776" s="4" t="s">
        <v>3107</v>
      </c>
      <c r="D1776" s="4" t="s">
        <v>1105</v>
      </c>
      <c r="E1776" s="4" t="s">
        <v>3765</v>
      </c>
      <c r="F1776" s="4" t="s">
        <v>3764</v>
      </c>
      <c r="G1776" s="4" t="s">
        <v>2263</v>
      </c>
      <c r="H1776" s="9" t="s">
        <v>2263</v>
      </c>
      <c r="I1776" s="4" t="s">
        <v>2317</v>
      </c>
      <c r="J1776" s="4" t="s">
        <v>2316</v>
      </c>
      <c r="K1776" s="4" t="s">
        <v>2263</v>
      </c>
      <c r="L1776" s="10">
        <v>5</v>
      </c>
      <c r="M1776" s="5">
        <v>2712.0239999999999</v>
      </c>
      <c r="N1776" s="5">
        <v>13560.12</v>
      </c>
    </row>
    <row r="1777" spans="1:14" x14ac:dyDescent="0.25">
      <c r="A1777" s="4" t="s">
        <v>2320</v>
      </c>
      <c r="B1777" s="4" t="s">
        <v>4967</v>
      </c>
      <c r="C1777" s="4" t="s">
        <v>2320</v>
      </c>
      <c r="D1777" s="4" t="s">
        <v>242</v>
      </c>
      <c r="E1777" s="4" t="s">
        <v>4135</v>
      </c>
      <c r="F1777" s="4" t="s">
        <v>4134</v>
      </c>
      <c r="G1777" s="4" t="s">
        <v>2263</v>
      </c>
      <c r="H1777" s="9" t="s">
        <v>2263</v>
      </c>
      <c r="I1777" s="4" t="s">
        <v>2317</v>
      </c>
      <c r="J1777" s="4" t="s">
        <v>2316</v>
      </c>
      <c r="K1777" s="4" t="s">
        <v>2263</v>
      </c>
      <c r="L1777" s="10">
        <v>5</v>
      </c>
      <c r="M1777" s="5">
        <v>2850.6473571428573</v>
      </c>
      <c r="N1777" s="5">
        <v>14253.236785714291</v>
      </c>
    </row>
    <row r="1778" spans="1:14" x14ac:dyDescent="0.25">
      <c r="A1778" s="4" t="s">
        <v>2673</v>
      </c>
      <c r="B1778" s="4" t="s">
        <v>2672</v>
      </c>
      <c r="C1778" s="4" t="s">
        <v>2344</v>
      </c>
      <c r="D1778" s="4" t="s">
        <v>237</v>
      </c>
      <c r="E1778" s="4" t="s">
        <v>2750</v>
      </c>
      <c r="F1778" s="4" t="s">
        <v>2749</v>
      </c>
      <c r="G1778" s="4" t="s">
        <v>2263</v>
      </c>
      <c r="H1778" s="9" t="s">
        <v>2263</v>
      </c>
      <c r="I1778" s="4" t="s">
        <v>2263</v>
      </c>
      <c r="J1778" s="4" t="s">
        <v>2263</v>
      </c>
      <c r="K1778" s="4" t="s">
        <v>2748</v>
      </c>
      <c r="L1778" s="10">
        <v>5</v>
      </c>
      <c r="M1778" s="5">
        <v>2878.8739788732396</v>
      </c>
      <c r="N1778" s="5">
        <v>14394.3698943662</v>
      </c>
    </row>
    <row r="1779" spans="1:14" x14ac:dyDescent="0.25">
      <c r="A1779" s="4" t="s">
        <v>2320</v>
      </c>
      <c r="B1779" s="4" t="s">
        <v>4967</v>
      </c>
      <c r="C1779" s="4" t="s">
        <v>2344</v>
      </c>
      <c r="D1779" s="4" t="s">
        <v>237</v>
      </c>
      <c r="E1779" s="4" t="s">
        <v>4635</v>
      </c>
      <c r="F1779" s="4" t="s">
        <v>2542</v>
      </c>
      <c r="G1779" s="4" t="s">
        <v>2263</v>
      </c>
      <c r="H1779" s="9" t="s">
        <v>2263</v>
      </c>
      <c r="I1779" s="4" t="s">
        <v>2263</v>
      </c>
      <c r="J1779" s="4" t="s">
        <v>2263</v>
      </c>
      <c r="K1779" s="4" t="s">
        <v>2541</v>
      </c>
      <c r="L1779" s="10">
        <v>5</v>
      </c>
      <c r="M1779" s="5">
        <v>3007</v>
      </c>
      <c r="N1779" s="5">
        <v>15035</v>
      </c>
    </row>
    <row r="1780" spans="1:14" x14ac:dyDescent="0.25">
      <c r="A1780" s="4" t="s">
        <v>2344</v>
      </c>
      <c r="B1780" s="4" t="s">
        <v>5154</v>
      </c>
      <c r="C1780" s="4" t="s">
        <v>2320</v>
      </c>
      <c r="D1780" s="4" t="s">
        <v>242</v>
      </c>
      <c r="E1780" s="4" t="s">
        <v>3036</v>
      </c>
      <c r="F1780" s="4" t="s">
        <v>3035</v>
      </c>
      <c r="G1780" s="4" t="s">
        <v>2263</v>
      </c>
      <c r="H1780" s="9" t="s">
        <v>2263</v>
      </c>
      <c r="I1780" s="4" t="s">
        <v>2317</v>
      </c>
      <c r="J1780" s="4" t="s">
        <v>2316</v>
      </c>
      <c r="K1780" s="4" t="s">
        <v>2263</v>
      </c>
      <c r="L1780" s="10">
        <v>5</v>
      </c>
      <c r="M1780" s="5">
        <v>3095.4549999999999</v>
      </c>
      <c r="N1780" s="5">
        <v>15477.275</v>
      </c>
    </row>
    <row r="1781" spans="1:14" x14ac:dyDescent="0.25">
      <c r="A1781" s="4" t="s">
        <v>2317</v>
      </c>
      <c r="B1781" s="4" t="s">
        <v>3839</v>
      </c>
      <c r="C1781" s="4" t="s">
        <v>2320</v>
      </c>
      <c r="D1781" s="4" t="s">
        <v>242</v>
      </c>
      <c r="E1781" s="4" t="s">
        <v>2398</v>
      </c>
      <c r="F1781" s="4" t="s">
        <v>2397</v>
      </c>
      <c r="G1781" s="4" t="s">
        <v>2263</v>
      </c>
      <c r="H1781" s="9" t="s">
        <v>2263</v>
      </c>
      <c r="I1781" s="4" t="s">
        <v>2317</v>
      </c>
      <c r="J1781" s="4" t="s">
        <v>2316</v>
      </c>
      <c r="K1781" s="4" t="s">
        <v>2263</v>
      </c>
      <c r="L1781" s="10">
        <v>5</v>
      </c>
      <c r="M1781" s="5">
        <v>3146.0238095238092</v>
      </c>
      <c r="N1781" s="5">
        <v>15730.11904761905</v>
      </c>
    </row>
    <row r="1782" spans="1:14" x14ac:dyDescent="0.25">
      <c r="A1782" s="4" t="s">
        <v>2317</v>
      </c>
      <c r="B1782" s="4" t="s">
        <v>3839</v>
      </c>
      <c r="C1782" s="4" t="s">
        <v>2320</v>
      </c>
      <c r="D1782" s="4" t="s">
        <v>242</v>
      </c>
      <c r="E1782" s="4" t="s">
        <v>2396</v>
      </c>
      <c r="F1782" s="4" t="s">
        <v>2395</v>
      </c>
      <c r="G1782" s="4" t="s">
        <v>2263</v>
      </c>
      <c r="H1782" s="9" t="s">
        <v>2263</v>
      </c>
      <c r="I1782" s="4" t="s">
        <v>2317</v>
      </c>
      <c r="J1782" s="4" t="s">
        <v>2316</v>
      </c>
      <c r="K1782" s="4" t="s">
        <v>2263</v>
      </c>
      <c r="L1782" s="10">
        <v>5</v>
      </c>
      <c r="M1782" s="5">
        <v>3219.5391304347827</v>
      </c>
      <c r="N1782" s="5">
        <v>16097.69565217391</v>
      </c>
    </row>
    <row r="1783" spans="1:14" x14ac:dyDescent="0.25">
      <c r="A1783" s="4" t="s">
        <v>2344</v>
      </c>
      <c r="B1783" s="4" t="s">
        <v>5154</v>
      </c>
      <c r="C1783" s="4" t="s">
        <v>2320</v>
      </c>
      <c r="D1783" s="4" t="s">
        <v>242</v>
      </c>
      <c r="E1783" s="4" t="s">
        <v>2691</v>
      </c>
      <c r="F1783" s="4" t="s">
        <v>2690</v>
      </c>
      <c r="G1783" s="4" t="s">
        <v>2263</v>
      </c>
      <c r="H1783" s="9" t="s">
        <v>2263</v>
      </c>
      <c r="I1783" s="4" t="s">
        <v>2317</v>
      </c>
      <c r="J1783" s="4" t="s">
        <v>2316</v>
      </c>
      <c r="K1783" s="4" t="s">
        <v>2263</v>
      </c>
      <c r="L1783" s="10">
        <v>5</v>
      </c>
      <c r="M1783" s="5">
        <v>3269.9845714285716</v>
      </c>
      <c r="N1783" s="5">
        <v>16349.922857142859</v>
      </c>
    </row>
    <row r="1784" spans="1:14" x14ac:dyDescent="0.25">
      <c r="A1784" s="4" t="s">
        <v>2317</v>
      </c>
      <c r="B1784" s="4" t="s">
        <v>3839</v>
      </c>
      <c r="C1784" s="4" t="s">
        <v>2320</v>
      </c>
      <c r="D1784" s="4" t="s">
        <v>242</v>
      </c>
      <c r="E1784" s="4" t="s">
        <v>2691</v>
      </c>
      <c r="F1784" s="4" t="s">
        <v>2690</v>
      </c>
      <c r="G1784" s="4" t="s">
        <v>2263</v>
      </c>
      <c r="H1784" s="9" t="s">
        <v>2263</v>
      </c>
      <c r="I1784" s="4" t="s">
        <v>2317</v>
      </c>
      <c r="J1784" s="4" t="s">
        <v>2316</v>
      </c>
      <c r="K1784" s="4" t="s">
        <v>2263</v>
      </c>
      <c r="L1784" s="10">
        <v>5</v>
      </c>
      <c r="M1784" s="5">
        <v>3269.9845714285716</v>
      </c>
      <c r="N1784" s="5">
        <v>16349.922857142859</v>
      </c>
    </row>
    <row r="1785" spans="1:14" x14ac:dyDescent="0.25">
      <c r="A1785" s="4" t="s">
        <v>2320</v>
      </c>
      <c r="B1785" s="4" t="s">
        <v>4967</v>
      </c>
      <c r="C1785" s="4" t="s">
        <v>2320</v>
      </c>
      <c r="D1785" s="4" t="s">
        <v>242</v>
      </c>
      <c r="E1785" s="4" t="s">
        <v>4207</v>
      </c>
      <c r="F1785" s="4" t="s">
        <v>4206</v>
      </c>
      <c r="G1785" s="4" t="s">
        <v>2263</v>
      </c>
      <c r="H1785" s="9" t="s">
        <v>2263</v>
      </c>
      <c r="I1785" s="4" t="s">
        <v>2317</v>
      </c>
      <c r="J1785" s="4" t="s">
        <v>2316</v>
      </c>
      <c r="K1785" s="4" t="s">
        <v>2263</v>
      </c>
      <c r="L1785" s="10">
        <v>5</v>
      </c>
      <c r="M1785" s="5">
        <v>3607.4894444444449</v>
      </c>
      <c r="N1785" s="5">
        <v>18037.447222222221</v>
      </c>
    </row>
    <row r="1786" spans="1:14" x14ac:dyDescent="0.25">
      <c r="A1786" s="4" t="s">
        <v>2274</v>
      </c>
      <c r="B1786" s="4" t="s">
        <v>4348</v>
      </c>
      <c r="C1786" s="4" t="s">
        <v>2267</v>
      </c>
      <c r="D1786" s="4" t="s">
        <v>2266</v>
      </c>
      <c r="E1786" s="4" t="s">
        <v>4398</v>
      </c>
      <c r="F1786" s="4" t="s">
        <v>2487</v>
      </c>
      <c r="G1786" s="4" t="s">
        <v>2263</v>
      </c>
      <c r="H1786" s="9" t="s">
        <v>2263</v>
      </c>
      <c r="I1786" s="4" t="s">
        <v>2263</v>
      </c>
      <c r="J1786" s="4" t="s">
        <v>2263</v>
      </c>
      <c r="K1786" s="4" t="s">
        <v>2486</v>
      </c>
      <c r="L1786" s="10">
        <v>5</v>
      </c>
      <c r="M1786" s="5">
        <v>3619</v>
      </c>
      <c r="N1786" s="5">
        <v>18095</v>
      </c>
    </row>
    <row r="1787" spans="1:14" x14ac:dyDescent="0.25">
      <c r="A1787" s="4" t="s">
        <v>2481</v>
      </c>
      <c r="B1787" s="4" t="s">
        <v>3217</v>
      </c>
      <c r="C1787" s="4" t="s">
        <v>2344</v>
      </c>
      <c r="D1787" s="4" t="s">
        <v>237</v>
      </c>
      <c r="E1787" s="4" t="s">
        <v>3046</v>
      </c>
      <c r="F1787" s="4" t="s">
        <v>3045</v>
      </c>
      <c r="G1787" s="4" t="s">
        <v>2263</v>
      </c>
      <c r="H1787" s="9" t="s">
        <v>2263</v>
      </c>
      <c r="I1787" s="4" t="s">
        <v>2263</v>
      </c>
      <c r="J1787" s="4" t="s">
        <v>2263</v>
      </c>
      <c r="K1787" s="4" t="s">
        <v>2376</v>
      </c>
      <c r="L1787" s="10">
        <v>5</v>
      </c>
      <c r="M1787" s="5">
        <v>3736.8571428571427</v>
      </c>
      <c r="N1787" s="5">
        <v>18684.28571428571</v>
      </c>
    </row>
    <row r="1788" spans="1:14" x14ac:dyDescent="0.25">
      <c r="A1788" s="4" t="s">
        <v>3174</v>
      </c>
      <c r="B1788" s="4" t="s">
        <v>3173</v>
      </c>
      <c r="C1788" s="4" t="s">
        <v>2344</v>
      </c>
      <c r="D1788" s="4" t="s">
        <v>237</v>
      </c>
      <c r="E1788" s="4" t="s">
        <v>3046</v>
      </c>
      <c r="F1788" s="4" t="s">
        <v>3045</v>
      </c>
      <c r="G1788" s="4" t="s">
        <v>2263</v>
      </c>
      <c r="H1788" s="9" t="s">
        <v>2263</v>
      </c>
      <c r="I1788" s="4" t="s">
        <v>2263</v>
      </c>
      <c r="J1788" s="4" t="s">
        <v>2263</v>
      </c>
      <c r="K1788" s="4" t="s">
        <v>2376</v>
      </c>
      <c r="L1788" s="10">
        <v>5</v>
      </c>
      <c r="M1788" s="5">
        <v>3736.8571428571427</v>
      </c>
      <c r="N1788" s="5">
        <v>18684.28571428571</v>
      </c>
    </row>
    <row r="1789" spans="1:14" x14ac:dyDescent="0.25">
      <c r="A1789" s="4" t="s">
        <v>3157</v>
      </c>
      <c r="B1789" s="4" t="s">
        <v>3156</v>
      </c>
      <c r="C1789" s="4" t="s">
        <v>2344</v>
      </c>
      <c r="D1789" s="4" t="s">
        <v>237</v>
      </c>
      <c r="E1789" s="4" t="s">
        <v>3046</v>
      </c>
      <c r="F1789" s="4" t="s">
        <v>3045</v>
      </c>
      <c r="G1789" s="4" t="s">
        <v>2263</v>
      </c>
      <c r="H1789" s="9" t="s">
        <v>2263</v>
      </c>
      <c r="I1789" s="4" t="s">
        <v>2263</v>
      </c>
      <c r="J1789" s="4" t="s">
        <v>2263</v>
      </c>
      <c r="K1789" s="4" t="s">
        <v>2376</v>
      </c>
      <c r="L1789" s="10">
        <v>5</v>
      </c>
      <c r="M1789" s="5">
        <v>3736.8571428571427</v>
      </c>
      <c r="N1789" s="5">
        <v>18684.28571428571</v>
      </c>
    </row>
    <row r="1790" spans="1:14" x14ac:dyDescent="0.25">
      <c r="A1790" s="4" t="s">
        <v>3104</v>
      </c>
      <c r="B1790" s="4" t="s">
        <v>3103</v>
      </c>
      <c r="C1790" s="4" t="s">
        <v>2344</v>
      </c>
      <c r="D1790" s="4" t="s">
        <v>237</v>
      </c>
      <c r="E1790" s="4" t="s">
        <v>3046</v>
      </c>
      <c r="F1790" s="4" t="s">
        <v>3045</v>
      </c>
      <c r="G1790" s="4" t="s">
        <v>2263</v>
      </c>
      <c r="H1790" s="9" t="s">
        <v>2263</v>
      </c>
      <c r="I1790" s="4" t="s">
        <v>2263</v>
      </c>
      <c r="J1790" s="4" t="s">
        <v>2263</v>
      </c>
      <c r="K1790" s="4" t="s">
        <v>2376</v>
      </c>
      <c r="L1790" s="10">
        <v>5</v>
      </c>
      <c r="M1790" s="5">
        <v>3736.8571428571427</v>
      </c>
      <c r="N1790" s="5">
        <v>18684.28571428571</v>
      </c>
    </row>
    <row r="1791" spans="1:14" x14ac:dyDescent="0.25">
      <c r="A1791" s="4" t="s">
        <v>3063</v>
      </c>
      <c r="B1791" s="4" t="s">
        <v>3062</v>
      </c>
      <c r="C1791" s="4" t="s">
        <v>2344</v>
      </c>
      <c r="D1791" s="4" t="s">
        <v>237</v>
      </c>
      <c r="E1791" s="4" t="s">
        <v>3046</v>
      </c>
      <c r="F1791" s="4" t="s">
        <v>3045</v>
      </c>
      <c r="G1791" s="4" t="s">
        <v>2263</v>
      </c>
      <c r="H1791" s="9" t="s">
        <v>2263</v>
      </c>
      <c r="I1791" s="4" t="s">
        <v>2263</v>
      </c>
      <c r="J1791" s="4" t="s">
        <v>2263</v>
      </c>
      <c r="K1791" s="4" t="s">
        <v>2376</v>
      </c>
      <c r="L1791" s="10">
        <v>5</v>
      </c>
      <c r="M1791" s="5">
        <v>3736.8571428571427</v>
      </c>
      <c r="N1791" s="5">
        <v>18684.28571428571</v>
      </c>
    </row>
    <row r="1792" spans="1:14" x14ac:dyDescent="0.25">
      <c r="A1792" s="4" t="s">
        <v>3051</v>
      </c>
      <c r="B1792" s="4" t="s">
        <v>3050</v>
      </c>
      <c r="C1792" s="4" t="s">
        <v>2344</v>
      </c>
      <c r="D1792" s="4" t="s">
        <v>237</v>
      </c>
      <c r="E1792" s="4" t="s">
        <v>3046</v>
      </c>
      <c r="F1792" s="4" t="s">
        <v>3045</v>
      </c>
      <c r="G1792" s="4" t="s">
        <v>2263</v>
      </c>
      <c r="H1792" s="9" t="s">
        <v>2263</v>
      </c>
      <c r="I1792" s="4" t="s">
        <v>2263</v>
      </c>
      <c r="J1792" s="4" t="s">
        <v>2263</v>
      </c>
      <c r="K1792" s="4" t="s">
        <v>2376</v>
      </c>
      <c r="L1792" s="10">
        <v>5</v>
      </c>
      <c r="M1792" s="5">
        <v>3736.8571428571427</v>
      </c>
      <c r="N1792" s="5">
        <v>18684.28571428571</v>
      </c>
    </row>
    <row r="1793" spans="1:14" x14ac:dyDescent="0.25">
      <c r="A1793" s="4" t="s">
        <v>3024</v>
      </c>
      <c r="B1793" s="4" t="s">
        <v>3023</v>
      </c>
      <c r="C1793" s="4" t="s">
        <v>2344</v>
      </c>
      <c r="D1793" s="4" t="s">
        <v>237</v>
      </c>
      <c r="E1793" s="4" t="s">
        <v>3046</v>
      </c>
      <c r="F1793" s="4" t="s">
        <v>3045</v>
      </c>
      <c r="G1793" s="4" t="s">
        <v>2263</v>
      </c>
      <c r="H1793" s="9" t="s">
        <v>2263</v>
      </c>
      <c r="I1793" s="4" t="s">
        <v>2263</v>
      </c>
      <c r="J1793" s="4" t="s">
        <v>2263</v>
      </c>
      <c r="K1793" s="4" t="s">
        <v>2376</v>
      </c>
      <c r="L1793" s="10">
        <v>5</v>
      </c>
      <c r="M1793" s="5">
        <v>3736.8571428571427</v>
      </c>
      <c r="N1793" s="5">
        <v>18684.28571428571</v>
      </c>
    </row>
    <row r="1794" spans="1:14" x14ac:dyDescent="0.25">
      <c r="A1794" s="4" t="s">
        <v>2344</v>
      </c>
      <c r="B1794" s="4" t="s">
        <v>5154</v>
      </c>
      <c r="C1794" s="4" t="s">
        <v>2344</v>
      </c>
      <c r="D1794" s="4" t="s">
        <v>237</v>
      </c>
      <c r="E1794" s="4" t="s">
        <v>2461</v>
      </c>
      <c r="F1794" s="4" t="s">
        <v>2460</v>
      </c>
      <c r="G1794" s="4" t="s">
        <v>2263</v>
      </c>
      <c r="H1794" s="9" t="s">
        <v>2263</v>
      </c>
      <c r="I1794" s="4" t="s">
        <v>2263</v>
      </c>
      <c r="J1794" s="4" t="s">
        <v>2263</v>
      </c>
      <c r="K1794" s="4" t="s">
        <v>2421</v>
      </c>
      <c r="L1794" s="10">
        <v>5</v>
      </c>
      <c r="M1794" s="5">
        <v>3894.9839393939396</v>
      </c>
      <c r="N1794" s="5">
        <v>19474.9196969697</v>
      </c>
    </row>
    <row r="1795" spans="1:14" x14ac:dyDescent="0.25">
      <c r="A1795" s="4" t="s">
        <v>2673</v>
      </c>
      <c r="B1795" s="4" t="s">
        <v>2672</v>
      </c>
      <c r="C1795" s="4" t="s">
        <v>2344</v>
      </c>
      <c r="D1795" s="4" t="s">
        <v>237</v>
      </c>
      <c r="E1795" s="4" t="s">
        <v>2461</v>
      </c>
      <c r="F1795" s="4" t="s">
        <v>2460</v>
      </c>
      <c r="G1795" s="4" t="s">
        <v>2263</v>
      </c>
      <c r="H1795" s="9" t="s">
        <v>2263</v>
      </c>
      <c r="I1795" s="4" t="s">
        <v>2263</v>
      </c>
      <c r="J1795" s="4" t="s">
        <v>2263</v>
      </c>
      <c r="K1795" s="4" t="s">
        <v>2421</v>
      </c>
      <c r="L1795" s="10">
        <v>5</v>
      </c>
      <c r="M1795" s="5">
        <v>3894.9839393939396</v>
      </c>
      <c r="N1795" s="5">
        <v>19474.9196969697</v>
      </c>
    </row>
    <row r="1796" spans="1:14" x14ac:dyDescent="0.25">
      <c r="A1796" s="4" t="s">
        <v>2653</v>
      </c>
      <c r="B1796" s="4" t="s">
        <v>3226</v>
      </c>
      <c r="C1796" s="4" t="s">
        <v>3107</v>
      </c>
      <c r="D1796" s="4" t="s">
        <v>1105</v>
      </c>
      <c r="E1796" s="4" t="s">
        <v>3711</v>
      </c>
      <c r="F1796" s="4" t="s">
        <v>3710</v>
      </c>
      <c r="G1796" s="4" t="s">
        <v>2263</v>
      </c>
      <c r="H1796" s="9" t="s">
        <v>2263</v>
      </c>
      <c r="I1796" s="4" t="s">
        <v>2317</v>
      </c>
      <c r="J1796" s="4" t="s">
        <v>2316</v>
      </c>
      <c r="K1796" s="4" t="s">
        <v>2263</v>
      </c>
      <c r="L1796" s="10">
        <v>5</v>
      </c>
      <c r="M1796" s="5">
        <v>4002.84</v>
      </c>
      <c r="N1796" s="5">
        <v>20014.2</v>
      </c>
    </row>
    <row r="1797" spans="1:14" x14ac:dyDescent="0.25">
      <c r="A1797" s="4" t="s">
        <v>2320</v>
      </c>
      <c r="B1797" s="4" t="s">
        <v>4967</v>
      </c>
      <c r="C1797" s="4" t="s">
        <v>2320</v>
      </c>
      <c r="D1797" s="4" t="s">
        <v>242</v>
      </c>
      <c r="E1797" s="4" t="s">
        <v>3873</v>
      </c>
      <c r="F1797" s="4" t="s">
        <v>3872</v>
      </c>
      <c r="G1797" s="4" t="s">
        <v>2263</v>
      </c>
      <c r="H1797" s="9" t="s">
        <v>2263</v>
      </c>
      <c r="I1797" s="4" t="s">
        <v>2317</v>
      </c>
      <c r="J1797" s="4" t="s">
        <v>2316</v>
      </c>
      <c r="K1797" s="4" t="s">
        <v>2263</v>
      </c>
      <c r="L1797" s="10">
        <v>5</v>
      </c>
      <c r="M1797" s="5">
        <v>4398.5443333333333</v>
      </c>
      <c r="N1797" s="5">
        <v>21992.721666666672</v>
      </c>
    </row>
    <row r="1798" spans="1:14" x14ac:dyDescent="0.25">
      <c r="A1798" s="4" t="s">
        <v>2320</v>
      </c>
      <c r="B1798" s="4" t="s">
        <v>4967</v>
      </c>
      <c r="C1798" s="4" t="s">
        <v>2320</v>
      </c>
      <c r="D1798" s="4" t="s">
        <v>242</v>
      </c>
      <c r="E1798" s="4" t="s">
        <v>3875</v>
      </c>
      <c r="F1798" s="4" t="s">
        <v>3874</v>
      </c>
      <c r="G1798" s="4" t="s">
        <v>2263</v>
      </c>
      <c r="H1798" s="9" t="s">
        <v>2263</v>
      </c>
      <c r="I1798" s="4" t="s">
        <v>2317</v>
      </c>
      <c r="J1798" s="4" t="s">
        <v>2316</v>
      </c>
      <c r="K1798" s="4" t="s">
        <v>2263</v>
      </c>
      <c r="L1798" s="10">
        <v>5</v>
      </c>
      <c r="M1798" s="5">
        <v>4519.7368421052633</v>
      </c>
      <c r="N1798" s="5">
        <v>22598.68421052632</v>
      </c>
    </row>
    <row r="1799" spans="1:14" x14ac:dyDescent="0.25">
      <c r="A1799" s="4" t="s">
        <v>2344</v>
      </c>
      <c r="B1799" s="4" t="s">
        <v>5154</v>
      </c>
      <c r="C1799" s="4" t="s">
        <v>2344</v>
      </c>
      <c r="D1799" s="4" t="s">
        <v>237</v>
      </c>
      <c r="E1799" s="4" t="s">
        <v>5383</v>
      </c>
      <c r="F1799" s="4" t="s">
        <v>5382</v>
      </c>
      <c r="G1799" s="4" t="s">
        <v>2263</v>
      </c>
      <c r="H1799" s="9" t="s">
        <v>2263</v>
      </c>
      <c r="I1799" s="4" t="s">
        <v>2263</v>
      </c>
      <c r="J1799" s="4" t="s">
        <v>2263</v>
      </c>
      <c r="K1799" s="4" t="s">
        <v>5381</v>
      </c>
      <c r="L1799" s="10">
        <v>5</v>
      </c>
      <c r="M1799" s="5">
        <v>4750.8</v>
      </c>
      <c r="N1799" s="5">
        <v>23754</v>
      </c>
    </row>
    <row r="1800" spans="1:14" x14ac:dyDescent="0.25">
      <c r="A1800" s="4" t="s">
        <v>2344</v>
      </c>
      <c r="B1800" s="4" t="s">
        <v>5154</v>
      </c>
      <c r="C1800" s="4" t="s">
        <v>2320</v>
      </c>
      <c r="D1800" s="4" t="s">
        <v>242</v>
      </c>
      <c r="E1800" s="4" t="s">
        <v>5015</v>
      </c>
      <c r="F1800" s="4" t="s">
        <v>5014</v>
      </c>
      <c r="G1800" s="4" t="s">
        <v>2263</v>
      </c>
      <c r="H1800" s="9" t="s">
        <v>2263</v>
      </c>
      <c r="I1800" s="4" t="s">
        <v>2317</v>
      </c>
      <c r="J1800" s="4" t="s">
        <v>2316</v>
      </c>
      <c r="K1800" s="4" t="s">
        <v>2263</v>
      </c>
      <c r="L1800" s="10">
        <v>5</v>
      </c>
      <c r="M1800" s="5">
        <v>4840.5384615384619</v>
      </c>
      <c r="N1800" s="5">
        <v>24202.692307692309</v>
      </c>
    </row>
    <row r="1801" spans="1:14" x14ac:dyDescent="0.25">
      <c r="A1801" s="4" t="s">
        <v>2317</v>
      </c>
      <c r="B1801" s="4" t="s">
        <v>3839</v>
      </c>
      <c r="C1801" s="4" t="s">
        <v>2320</v>
      </c>
      <c r="D1801" s="4" t="s">
        <v>242</v>
      </c>
      <c r="E1801" s="4" t="s">
        <v>3855</v>
      </c>
      <c r="F1801" s="4" t="s">
        <v>3854</v>
      </c>
      <c r="G1801" s="4" t="s">
        <v>2263</v>
      </c>
      <c r="H1801" s="9" t="s">
        <v>2263</v>
      </c>
      <c r="I1801" s="4" t="s">
        <v>2317</v>
      </c>
      <c r="J1801" s="4" t="s">
        <v>2316</v>
      </c>
      <c r="K1801" s="4" t="s">
        <v>2263</v>
      </c>
      <c r="L1801" s="10">
        <v>5</v>
      </c>
      <c r="M1801" s="5">
        <v>5105</v>
      </c>
      <c r="N1801" s="5">
        <v>25525</v>
      </c>
    </row>
    <row r="1802" spans="1:14" x14ac:dyDescent="0.25">
      <c r="A1802" s="4" t="s">
        <v>2344</v>
      </c>
      <c r="B1802" s="4" t="s">
        <v>5154</v>
      </c>
      <c r="C1802" s="4" t="s">
        <v>2320</v>
      </c>
      <c r="D1802" s="4" t="s">
        <v>242</v>
      </c>
      <c r="E1802" s="4" t="s">
        <v>2932</v>
      </c>
      <c r="F1802" s="4" t="s">
        <v>2931</v>
      </c>
      <c r="G1802" s="4" t="s">
        <v>2263</v>
      </c>
      <c r="H1802" s="9" t="s">
        <v>2263</v>
      </c>
      <c r="I1802" s="4" t="s">
        <v>2317</v>
      </c>
      <c r="J1802" s="4" t="s">
        <v>2316</v>
      </c>
      <c r="K1802" s="4" t="s">
        <v>2263</v>
      </c>
      <c r="L1802" s="10">
        <v>5</v>
      </c>
      <c r="M1802" s="5">
        <v>6068.0211111111103</v>
      </c>
      <c r="N1802" s="5">
        <v>30340.105555555561</v>
      </c>
    </row>
    <row r="1803" spans="1:14" x14ac:dyDescent="0.25">
      <c r="A1803" s="4" t="s">
        <v>2274</v>
      </c>
      <c r="B1803" s="4" t="s">
        <v>4348</v>
      </c>
      <c r="C1803" s="4" t="s">
        <v>2344</v>
      </c>
      <c r="D1803" s="4" t="s">
        <v>237</v>
      </c>
      <c r="E1803" s="4" t="s">
        <v>4580</v>
      </c>
      <c r="F1803" s="4" t="s">
        <v>4579</v>
      </c>
      <c r="G1803" s="4" t="s">
        <v>2263</v>
      </c>
      <c r="H1803" s="9" t="s">
        <v>2263</v>
      </c>
      <c r="I1803" s="4" t="s">
        <v>2263</v>
      </c>
      <c r="J1803" s="4" t="s">
        <v>2263</v>
      </c>
      <c r="K1803" s="4" t="s">
        <v>4578</v>
      </c>
      <c r="L1803" s="10">
        <v>5</v>
      </c>
      <c r="M1803" s="5">
        <v>6199.6</v>
      </c>
      <c r="N1803" s="5">
        <v>30998</v>
      </c>
    </row>
    <row r="1804" spans="1:14" x14ac:dyDescent="0.25">
      <c r="A1804" s="4" t="s">
        <v>2279</v>
      </c>
      <c r="B1804" s="4" t="s">
        <v>4963</v>
      </c>
      <c r="C1804" s="4" t="s">
        <v>2279</v>
      </c>
      <c r="D1804" s="4" t="s">
        <v>2278</v>
      </c>
      <c r="E1804" s="4" t="s">
        <v>2684</v>
      </c>
      <c r="F1804" s="4" t="s">
        <v>2281</v>
      </c>
      <c r="G1804" s="4" t="s">
        <v>2263</v>
      </c>
      <c r="H1804" s="9" t="s">
        <v>2263</v>
      </c>
      <c r="I1804" s="4" t="s">
        <v>2263</v>
      </c>
      <c r="J1804" s="4" t="s">
        <v>2263</v>
      </c>
      <c r="K1804" s="4" t="s">
        <v>2280</v>
      </c>
      <c r="L1804" s="10">
        <v>5</v>
      </c>
      <c r="M1804" s="5">
        <v>6808.1310000000003</v>
      </c>
      <c r="N1804" s="5">
        <v>34040.654999999999</v>
      </c>
    </row>
    <row r="1805" spans="1:14" x14ac:dyDescent="0.25">
      <c r="A1805" s="4" t="s">
        <v>3196</v>
      </c>
      <c r="B1805" s="4" t="s">
        <v>3195</v>
      </c>
      <c r="C1805" s="4" t="s">
        <v>2279</v>
      </c>
      <c r="D1805" s="4" t="s">
        <v>2278</v>
      </c>
      <c r="E1805" s="4" t="s">
        <v>2684</v>
      </c>
      <c r="F1805" s="4" t="s">
        <v>2281</v>
      </c>
      <c r="G1805" s="4" t="s">
        <v>2263</v>
      </c>
      <c r="H1805" s="9" t="s">
        <v>2263</v>
      </c>
      <c r="I1805" s="4" t="s">
        <v>2263</v>
      </c>
      <c r="J1805" s="4" t="s">
        <v>2263</v>
      </c>
      <c r="K1805" s="4" t="s">
        <v>2280</v>
      </c>
      <c r="L1805" s="10">
        <v>5</v>
      </c>
      <c r="M1805" s="5">
        <v>6808.1310000000003</v>
      </c>
      <c r="N1805" s="5">
        <v>34040.654999999999</v>
      </c>
    </row>
    <row r="1806" spans="1:14" x14ac:dyDescent="0.25">
      <c r="A1806" s="4" t="s">
        <v>3174</v>
      </c>
      <c r="B1806" s="4" t="s">
        <v>3173</v>
      </c>
      <c r="C1806" s="4" t="s">
        <v>2279</v>
      </c>
      <c r="D1806" s="4" t="s">
        <v>2278</v>
      </c>
      <c r="E1806" s="4" t="s">
        <v>2684</v>
      </c>
      <c r="F1806" s="4" t="s">
        <v>2281</v>
      </c>
      <c r="G1806" s="4" t="s">
        <v>2263</v>
      </c>
      <c r="H1806" s="9" t="s">
        <v>2263</v>
      </c>
      <c r="I1806" s="4" t="s">
        <v>2263</v>
      </c>
      <c r="J1806" s="4" t="s">
        <v>2263</v>
      </c>
      <c r="K1806" s="4" t="s">
        <v>2280</v>
      </c>
      <c r="L1806" s="10">
        <v>5</v>
      </c>
      <c r="M1806" s="5">
        <v>6808.1310000000003</v>
      </c>
      <c r="N1806" s="5">
        <v>34040.654999999999</v>
      </c>
    </row>
    <row r="1807" spans="1:14" x14ac:dyDescent="0.25">
      <c r="A1807" s="4" t="s">
        <v>3157</v>
      </c>
      <c r="B1807" s="4" t="s">
        <v>3156</v>
      </c>
      <c r="C1807" s="4" t="s">
        <v>2279</v>
      </c>
      <c r="D1807" s="4" t="s">
        <v>2278</v>
      </c>
      <c r="E1807" s="4" t="s">
        <v>2684</v>
      </c>
      <c r="F1807" s="4" t="s">
        <v>2281</v>
      </c>
      <c r="G1807" s="4" t="s">
        <v>2263</v>
      </c>
      <c r="H1807" s="9" t="s">
        <v>2263</v>
      </c>
      <c r="I1807" s="4" t="s">
        <v>2263</v>
      </c>
      <c r="J1807" s="4" t="s">
        <v>2263</v>
      </c>
      <c r="K1807" s="4" t="s">
        <v>2280</v>
      </c>
      <c r="L1807" s="10">
        <v>5</v>
      </c>
      <c r="M1807" s="5">
        <v>6808.1310000000003</v>
      </c>
      <c r="N1807" s="5">
        <v>34040.654999999999</v>
      </c>
    </row>
    <row r="1808" spans="1:14" x14ac:dyDescent="0.25">
      <c r="A1808" s="4" t="s">
        <v>2673</v>
      </c>
      <c r="B1808" s="4" t="s">
        <v>2672</v>
      </c>
      <c r="C1808" s="4" t="s">
        <v>2279</v>
      </c>
      <c r="D1808" s="4" t="s">
        <v>2278</v>
      </c>
      <c r="E1808" s="4" t="s">
        <v>2684</v>
      </c>
      <c r="F1808" s="4" t="s">
        <v>2281</v>
      </c>
      <c r="G1808" s="4" t="s">
        <v>2263</v>
      </c>
      <c r="H1808" s="9" t="s">
        <v>2263</v>
      </c>
      <c r="I1808" s="4" t="s">
        <v>2263</v>
      </c>
      <c r="J1808" s="4" t="s">
        <v>2263</v>
      </c>
      <c r="K1808" s="4" t="s">
        <v>2280</v>
      </c>
      <c r="L1808" s="10">
        <v>5</v>
      </c>
      <c r="M1808" s="5">
        <v>6808.1310000000003</v>
      </c>
      <c r="N1808" s="5">
        <v>34040.654999999999</v>
      </c>
    </row>
    <row r="1809" spans="1:14" x14ac:dyDescent="0.25">
      <c r="A1809" s="4" t="s">
        <v>2317</v>
      </c>
      <c r="B1809" s="4" t="s">
        <v>3839</v>
      </c>
      <c r="C1809" s="4" t="s">
        <v>2320</v>
      </c>
      <c r="D1809" s="4" t="s">
        <v>242</v>
      </c>
      <c r="E1809" s="4" t="s">
        <v>4223</v>
      </c>
      <c r="F1809" s="4" t="s">
        <v>4222</v>
      </c>
      <c r="G1809" s="4" t="s">
        <v>2263</v>
      </c>
      <c r="H1809" s="9" t="s">
        <v>2263</v>
      </c>
      <c r="I1809" s="4" t="s">
        <v>2317</v>
      </c>
      <c r="J1809" s="4" t="s">
        <v>2316</v>
      </c>
      <c r="K1809" s="4" t="s">
        <v>2263</v>
      </c>
      <c r="L1809" s="10">
        <v>5</v>
      </c>
      <c r="M1809" s="5">
        <v>8440.2525000000005</v>
      </c>
      <c r="N1809" s="5">
        <v>42201.262499999997</v>
      </c>
    </row>
    <row r="1810" spans="1:14" x14ac:dyDescent="0.25">
      <c r="A1810" s="4" t="s">
        <v>2344</v>
      </c>
      <c r="B1810" s="4" t="s">
        <v>5154</v>
      </c>
      <c r="C1810" s="4" t="s">
        <v>2344</v>
      </c>
      <c r="D1810" s="4" t="s">
        <v>237</v>
      </c>
      <c r="E1810" s="4" t="s">
        <v>5141</v>
      </c>
      <c r="F1810" s="4" t="s">
        <v>2571</v>
      </c>
      <c r="G1810" s="4" t="s">
        <v>2263</v>
      </c>
      <c r="H1810" s="9" t="s">
        <v>2263</v>
      </c>
      <c r="I1810" s="4" t="s">
        <v>2263</v>
      </c>
      <c r="J1810" s="4" t="s">
        <v>2263</v>
      </c>
      <c r="K1810" s="4" t="s">
        <v>2465</v>
      </c>
      <c r="L1810" s="10">
        <v>5</v>
      </c>
      <c r="M1810" s="5">
        <v>9136.7907865168545</v>
      </c>
      <c r="N1810" s="5">
        <v>45683.953932584271</v>
      </c>
    </row>
    <row r="1811" spans="1:14" x14ac:dyDescent="0.25">
      <c r="A1811" s="4" t="s">
        <v>2320</v>
      </c>
      <c r="B1811" s="4" t="s">
        <v>4967</v>
      </c>
      <c r="C1811" s="4" t="s">
        <v>2320</v>
      </c>
      <c r="D1811" s="4" t="s">
        <v>242</v>
      </c>
      <c r="E1811" s="4" t="s">
        <v>4081</v>
      </c>
      <c r="F1811" s="4" t="s">
        <v>4080</v>
      </c>
      <c r="G1811" s="4" t="s">
        <v>2263</v>
      </c>
      <c r="H1811" s="9" t="s">
        <v>2263</v>
      </c>
      <c r="I1811" s="4" t="s">
        <v>2317</v>
      </c>
      <c r="J1811" s="4" t="s">
        <v>2316</v>
      </c>
      <c r="K1811" s="4" t="s">
        <v>2263</v>
      </c>
      <c r="L1811" s="10">
        <v>5</v>
      </c>
      <c r="M1811" s="5">
        <v>9752.0057333333316</v>
      </c>
      <c r="N1811" s="5">
        <v>48760.028666666673</v>
      </c>
    </row>
    <row r="1812" spans="1:14" x14ac:dyDescent="0.25">
      <c r="A1812" s="4" t="s">
        <v>2274</v>
      </c>
      <c r="B1812" s="4" t="s">
        <v>4348</v>
      </c>
      <c r="C1812" s="4" t="s">
        <v>2344</v>
      </c>
      <c r="D1812" s="4" t="s">
        <v>237</v>
      </c>
      <c r="E1812" s="4" t="s">
        <v>4826</v>
      </c>
      <c r="F1812" s="4" t="s">
        <v>4825</v>
      </c>
      <c r="G1812" s="4" t="s">
        <v>2263</v>
      </c>
      <c r="H1812" s="9" t="s">
        <v>2263</v>
      </c>
      <c r="I1812" s="4" t="s">
        <v>2263</v>
      </c>
      <c r="J1812" s="4" t="s">
        <v>2263</v>
      </c>
      <c r="K1812" s="4" t="s">
        <v>2262</v>
      </c>
      <c r="L1812" s="10">
        <v>5</v>
      </c>
      <c r="M1812" s="5">
        <v>13085.133076923077</v>
      </c>
      <c r="N1812" s="5">
        <v>65425.665384615379</v>
      </c>
    </row>
    <row r="1813" spans="1:14" x14ac:dyDescent="0.25">
      <c r="A1813" s="4" t="s">
        <v>2344</v>
      </c>
      <c r="B1813" s="4" t="s">
        <v>5154</v>
      </c>
      <c r="C1813" s="4" t="s">
        <v>2320</v>
      </c>
      <c r="D1813" s="4" t="s">
        <v>242</v>
      </c>
      <c r="E1813" s="4" t="s">
        <v>3931</v>
      </c>
      <c r="F1813" s="4" t="s">
        <v>3930</v>
      </c>
      <c r="G1813" s="4" t="s">
        <v>2263</v>
      </c>
      <c r="H1813" s="9" t="s">
        <v>2263</v>
      </c>
      <c r="I1813" s="4" t="s">
        <v>2317</v>
      </c>
      <c r="J1813" s="4" t="s">
        <v>2316</v>
      </c>
      <c r="K1813" s="4" t="s">
        <v>2263</v>
      </c>
      <c r="L1813" s="10">
        <v>5</v>
      </c>
      <c r="M1813" s="5">
        <v>16715.953333333335</v>
      </c>
      <c r="N1813" s="5">
        <v>83579.766666666663</v>
      </c>
    </row>
    <row r="1814" spans="1:14" x14ac:dyDescent="0.25">
      <c r="A1814" s="4" t="s">
        <v>2320</v>
      </c>
      <c r="B1814" s="4" t="s">
        <v>4967</v>
      </c>
      <c r="C1814" s="4" t="s">
        <v>2317</v>
      </c>
      <c r="D1814" s="4" t="s">
        <v>2516</v>
      </c>
      <c r="E1814" s="4" t="s">
        <v>4972</v>
      </c>
      <c r="F1814" s="4" t="s">
        <v>2869</v>
      </c>
      <c r="G1814" s="4" t="s">
        <v>2263</v>
      </c>
      <c r="H1814" s="9" t="s">
        <v>2263</v>
      </c>
      <c r="I1814" s="4" t="s">
        <v>2263</v>
      </c>
      <c r="J1814" s="4" t="s">
        <v>2263</v>
      </c>
      <c r="K1814" s="4" t="s">
        <v>2868</v>
      </c>
      <c r="L1814" s="10">
        <v>5</v>
      </c>
      <c r="M1814" s="5">
        <v>17425.042000000001</v>
      </c>
      <c r="N1814" s="5">
        <v>87125.21</v>
      </c>
    </row>
    <row r="1815" spans="1:14" x14ac:dyDescent="0.25">
      <c r="A1815" s="4" t="s">
        <v>2344</v>
      </c>
      <c r="B1815" s="4" t="s">
        <v>5154</v>
      </c>
      <c r="C1815" s="4" t="s">
        <v>2320</v>
      </c>
      <c r="D1815" s="4" t="s">
        <v>242</v>
      </c>
      <c r="E1815" s="4" t="s">
        <v>3881</v>
      </c>
      <c r="F1815" s="4" t="s">
        <v>3880</v>
      </c>
      <c r="G1815" s="4" t="s">
        <v>2263</v>
      </c>
      <c r="H1815" s="9" t="s">
        <v>2263</v>
      </c>
      <c r="I1815" s="4" t="s">
        <v>2317</v>
      </c>
      <c r="J1815" s="4" t="s">
        <v>2316</v>
      </c>
      <c r="K1815" s="4" t="s">
        <v>2263</v>
      </c>
      <c r="L1815" s="10">
        <v>5</v>
      </c>
      <c r="M1815" s="5">
        <v>18832.731374999999</v>
      </c>
      <c r="N1815" s="5">
        <v>94163.656875000001</v>
      </c>
    </row>
    <row r="1816" spans="1:14" x14ac:dyDescent="0.25">
      <c r="A1816" s="4" t="s">
        <v>2269</v>
      </c>
      <c r="B1816" s="4" t="s">
        <v>2268</v>
      </c>
      <c r="C1816" s="4" t="s">
        <v>2320</v>
      </c>
      <c r="D1816" s="4" t="s">
        <v>242</v>
      </c>
      <c r="E1816" s="4" t="s">
        <v>2340</v>
      </c>
      <c r="F1816" s="4" t="s">
        <v>2339</v>
      </c>
      <c r="G1816" s="4" t="s">
        <v>2263</v>
      </c>
      <c r="H1816" s="9" t="s">
        <v>2263</v>
      </c>
      <c r="I1816" s="4" t="s">
        <v>2317</v>
      </c>
      <c r="J1816" s="4" t="s">
        <v>2316</v>
      </c>
      <c r="K1816" s="4" t="s">
        <v>2263</v>
      </c>
      <c r="L1816" s="10">
        <v>5</v>
      </c>
      <c r="M1816" s="5">
        <v>19722</v>
      </c>
      <c r="N1816" s="5">
        <v>98610</v>
      </c>
    </row>
    <row r="1817" spans="1:14" x14ac:dyDescent="0.25">
      <c r="A1817" s="4" t="s">
        <v>2320</v>
      </c>
      <c r="B1817" s="4" t="s">
        <v>4967</v>
      </c>
      <c r="C1817" s="4" t="s">
        <v>2320</v>
      </c>
      <c r="D1817" s="4" t="s">
        <v>242</v>
      </c>
      <c r="E1817" s="4" t="s">
        <v>3131</v>
      </c>
      <c r="F1817" s="4" t="s">
        <v>3130</v>
      </c>
      <c r="G1817" s="4" t="s">
        <v>2263</v>
      </c>
      <c r="H1817" s="9" t="s">
        <v>2263</v>
      </c>
      <c r="I1817" s="4" t="s">
        <v>2317</v>
      </c>
      <c r="J1817" s="4" t="s">
        <v>2316</v>
      </c>
      <c r="K1817" s="4" t="s">
        <v>2263</v>
      </c>
      <c r="L1817" s="10">
        <v>5</v>
      </c>
      <c r="M1817" s="5">
        <v>20298.25</v>
      </c>
      <c r="N1817" s="5">
        <v>101491.25</v>
      </c>
    </row>
    <row r="1818" spans="1:14" x14ac:dyDescent="0.25">
      <c r="A1818" s="4" t="s">
        <v>2317</v>
      </c>
      <c r="B1818" s="4" t="s">
        <v>3839</v>
      </c>
      <c r="C1818" s="4" t="s">
        <v>2320</v>
      </c>
      <c r="D1818" s="4" t="s">
        <v>242</v>
      </c>
      <c r="E1818" s="4" t="s">
        <v>4051</v>
      </c>
      <c r="F1818" s="4" t="s">
        <v>4050</v>
      </c>
      <c r="G1818" s="4" t="s">
        <v>2263</v>
      </c>
      <c r="H1818" s="9" t="s">
        <v>2263</v>
      </c>
      <c r="I1818" s="4" t="s">
        <v>2317</v>
      </c>
      <c r="J1818" s="4" t="s">
        <v>2316</v>
      </c>
      <c r="K1818" s="4" t="s">
        <v>2263</v>
      </c>
      <c r="L1818" s="10">
        <v>5</v>
      </c>
      <c r="M1818" s="5">
        <v>21998.666666666668</v>
      </c>
      <c r="N1818" s="5">
        <v>109993.33333333331</v>
      </c>
    </row>
    <row r="1819" spans="1:14" x14ac:dyDescent="0.25">
      <c r="A1819" s="4" t="s">
        <v>2344</v>
      </c>
      <c r="B1819" s="4" t="s">
        <v>5154</v>
      </c>
      <c r="C1819" s="4" t="s">
        <v>2344</v>
      </c>
      <c r="D1819" s="4" t="s">
        <v>237</v>
      </c>
      <c r="E1819" s="4" t="s">
        <v>5504</v>
      </c>
      <c r="F1819" s="4" t="s">
        <v>4718</v>
      </c>
      <c r="G1819" s="4" t="s">
        <v>2263</v>
      </c>
      <c r="H1819" s="9" t="s">
        <v>2263</v>
      </c>
      <c r="I1819" s="4" t="s">
        <v>2263</v>
      </c>
      <c r="J1819" s="4" t="s">
        <v>2263</v>
      </c>
      <c r="K1819" s="4" t="s">
        <v>4717</v>
      </c>
      <c r="L1819" s="10">
        <v>5</v>
      </c>
      <c r="M1819" s="5">
        <v>24761.702000000001</v>
      </c>
      <c r="N1819" s="5">
        <v>123808.51</v>
      </c>
    </row>
    <row r="1820" spans="1:14" x14ac:dyDescent="0.25">
      <c r="A1820" s="4" t="s">
        <v>2317</v>
      </c>
      <c r="B1820" s="4" t="s">
        <v>3839</v>
      </c>
      <c r="C1820" s="4" t="s">
        <v>2320</v>
      </c>
      <c r="D1820" s="4" t="s">
        <v>242</v>
      </c>
      <c r="E1820" s="4" t="s">
        <v>3895</v>
      </c>
      <c r="F1820" s="4" t="s">
        <v>3894</v>
      </c>
      <c r="G1820" s="4" t="s">
        <v>2263</v>
      </c>
      <c r="H1820" s="9" t="s">
        <v>2263</v>
      </c>
      <c r="I1820" s="4" t="s">
        <v>2317</v>
      </c>
      <c r="J1820" s="4" t="s">
        <v>2316</v>
      </c>
      <c r="K1820" s="4" t="s">
        <v>2263</v>
      </c>
      <c r="L1820" s="10">
        <v>5</v>
      </c>
      <c r="M1820" s="5">
        <v>25631.887777777778</v>
      </c>
      <c r="N1820" s="5">
        <v>128159.43888888888</v>
      </c>
    </row>
    <row r="1821" spans="1:14" x14ac:dyDescent="0.25">
      <c r="A1821" s="4" t="s">
        <v>2930</v>
      </c>
      <c r="B1821" s="4" t="s">
        <v>2929</v>
      </c>
      <c r="C1821" s="4" t="s">
        <v>2320</v>
      </c>
      <c r="D1821" s="4" t="s">
        <v>242</v>
      </c>
      <c r="E1821" s="4" t="s">
        <v>2966</v>
      </c>
      <c r="F1821" s="4" t="s">
        <v>2965</v>
      </c>
      <c r="G1821" s="4" t="s">
        <v>2263</v>
      </c>
      <c r="H1821" s="9" t="s">
        <v>2263</v>
      </c>
      <c r="I1821" s="4" t="s">
        <v>2317</v>
      </c>
      <c r="J1821" s="4" t="s">
        <v>2316</v>
      </c>
      <c r="K1821" s="4" t="s">
        <v>2263</v>
      </c>
      <c r="L1821" s="10">
        <v>5</v>
      </c>
      <c r="M1821" s="5">
        <v>26442.580645161292</v>
      </c>
      <c r="N1821" s="5">
        <v>132212.90322580645</v>
      </c>
    </row>
    <row r="1822" spans="1:14" x14ac:dyDescent="0.25">
      <c r="A1822" s="4" t="s">
        <v>2344</v>
      </c>
      <c r="B1822" s="4" t="s">
        <v>5154</v>
      </c>
      <c r="C1822" s="4" t="s">
        <v>2320</v>
      </c>
      <c r="D1822" s="4" t="s">
        <v>242</v>
      </c>
      <c r="E1822" s="4" t="s">
        <v>2998</v>
      </c>
      <c r="F1822" s="4" t="s">
        <v>2997</v>
      </c>
      <c r="G1822" s="4" t="s">
        <v>2263</v>
      </c>
      <c r="H1822" s="9" t="s">
        <v>2263</v>
      </c>
      <c r="I1822" s="4" t="s">
        <v>2317</v>
      </c>
      <c r="J1822" s="4" t="s">
        <v>2316</v>
      </c>
      <c r="K1822" s="4" t="s">
        <v>2263</v>
      </c>
      <c r="L1822" s="10">
        <v>5</v>
      </c>
      <c r="M1822" s="5">
        <v>31856.218620689655</v>
      </c>
      <c r="N1822" s="5">
        <v>159281.09310344828</v>
      </c>
    </row>
    <row r="1823" spans="1:14" x14ac:dyDescent="0.25">
      <c r="A1823" s="4" t="s">
        <v>2653</v>
      </c>
      <c r="B1823" s="4" t="s">
        <v>3226</v>
      </c>
      <c r="C1823" s="4" t="s">
        <v>2384</v>
      </c>
      <c r="D1823" s="4" t="s">
        <v>262</v>
      </c>
      <c r="E1823" s="4" t="s">
        <v>3316</v>
      </c>
      <c r="F1823" s="4" t="s">
        <v>3315</v>
      </c>
      <c r="G1823" s="4" t="s">
        <v>2263</v>
      </c>
      <c r="H1823" s="9" t="s">
        <v>2263</v>
      </c>
      <c r="I1823" s="4" t="s">
        <v>2317</v>
      </c>
      <c r="J1823" s="4" t="s">
        <v>2316</v>
      </c>
      <c r="K1823" s="4" t="s">
        <v>2263</v>
      </c>
      <c r="L1823" s="10">
        <v>5</v>
      </c>
      <c r="M1823" s="5">
        <v>32326.7</v>
      </c>
      <c r="N1823" s="5">
        <v>161633.5</v>
      </c>
    </row>
    <row r="1824" spans="1:14" x14ac:dyDescent="0.25">
      <c r="A1824" s="4" t="s">
        <v>2930</v>
      </c>
      <c r="B1824" s="4" t="s">
        <v>2929</v>
      </c>
      <c r="C1824" s="4" t="s">
        <v>2320</v>
      </c>
      <c r="D1824" s="4" t="s">
        <v>242</v>
      </c>
      <c r="E1824" s="4" t="s">
        <v>3000</v>
      </c>
      <c r="F1824" s="4" t="s">
        <v>2999</v>
      </c>
      <c r="G1824" s="4" t="s">
        <v>2263</v>
      </c>
      <c r="H1824" s="9" t="s">
        <v>2263</v>
      </c>
      <c r="I1824" s="4" t="s">
        <v>2317</v>
      </c>
      <c r="J1824" s="4" t="s">
        <v>2316</v>
      </c>
      <c r="K1824" s="4" t="s">
        <v>2263</v>
      </c>
      <c r="L1824" s="10">
        <v>5</v>
      </c>
      <c r="M1824" s="5">
        <v>33148.608</v>
      </c>
      <c r="N1824" s="5">
        <v>165743.04000000001</v>
      </c>
    </row>
    <row r="1825" spans="1:14" x14ac:dyDescent="0.25">
      <c r="A1825" s="4" t="s">
        <v>2317</v>
      </c>
      <c r="B1825" s="4" t="s">
        <v>3839</v>
      </c>
      <c r="C1825" s="4" t="s">
        <v>2320</v>
      </c>
      <c r="D1825" s="4" t="s">
        <v>242</v>
      </c>
      <c r="E1825" s="4" t="s">
        <v>4053</v>
      </c>
      <c r="F1825" s="4" t="s">
        <v>4052</v>
      </c>
      <c r="G1825" s="4" t="s">
        <v>2263</v>
      </c>
      <c r="H1825" s="9" t="s">
        <v>2263</v>
      </c>
      <c r="I1825" s="4" t="s">
        <v>2317</v>
      </c>
      <c r="J1825" s="4" t="s">
        <v>2316</v>
      </c>
      <c r="K1825" s="4" t="s">
        <v>2263</v>
      </c>
      <c r="L1825" s="10">
        <v>5</v>
      </c>
      <c r="M1825" s="5">
        <v>33443.181666666671</v>
      </c>
      <c r="N1825" s="5">
        <v>167215.90833333333</v>
      </c>
    </row>
    <row r="1826" spans="1:14" x14ac:dyDescent="0.25">
      <c r="A1826" s="4" t="s">
        <v>2320</v>
      </c>
      <c r="B1826" s="4" t="s">
        <v>4967</v>
      </c>
      <c r="C1826" s="4" t="s">
        <v>2320</v>
      </c>
      <c r="D1826" s="4" t="s">
        <v>242</v>
      </c>
      <c r="E1826" s="4" t="s">
        <v>4251</v>
      </c>
      <c r="F1826" s="4" t="s">
        <v>4250</v>
      </c>
      <c r="G1826" s="4" t="s">
        <v>2263</v>
      </c>
      <c r="H1826" s="9" t="s">
        <v>2263</v>
      </c>
      <c r="I1826" s="4" t="s">
        <v>2317</v>
      </c>
      <c r="J1826" s="4" t="s">
        <v>2316</v>
      </c>
      <c r="K1826" s="4" t="s">
        <v>2263</v>
      </c>
      <c r="L1826" s="10">
        <v>5</v>
      </c>
      <c r="M1826" s="5">
        <v>35363.481200000002</v>
      </c>
      <c r="N1826" s="5">
        <v>176817.40599999999</v>
      </c>
    </row>
    <row r="1827" spans="1:14" x14ac:dyDescent="0.25">
      <c r="A1827" s="4" t="s">
        <v>2930</v>
      </c>
      <c r="B1827" s="4" t="s">
        <v>2929</v>
      </c>
      <c r="C1827" s="4" t="s">
        <v>2320</v>
      </c>
      <c r="D1827" s="4" t="s">
        <v>242</v>
      </c>
      <c r="E1827" s="4" t="s">
        <v>2976</v>
      </c>
      <c r="F1827" s="4" t="s">
        <v>2975</v>
      </c>
      <c r="G1827" s="4" t="s">
        <v>2263</v>
      </c>
      <c r="H1827" s="9" t="s">
        <v>2263</v>
      </c>
      <c r="I1827" s="4" t="s">
        <v>2317</v>
      </c>
      <c r="J1827" s="4" t="s">
        <v>2316</v>
      </c>
      <c r="K1827" s="4" t="s">
        <v>2263</v>
      </c>
      <c r="L1827" s="10">
        <v>5</v>
      </c>
      <c r="M1827" s="5">
        <v>36704.470588235294</v>
      </c>
      <c r="N1827" s="5">
        <v>183522.35294117648</v>
      </c>
    </row>
    <row r="1828" spans="1:14" x14ac:dyDescent="0.25">
      <c r="A1828" s="4" t="s">
        <v>2344</v>
      </c>
      <c r="B1828" s="4" t="s">
        <v>5154</v>
      </c>
      <c r="C1828" s="4" t="s">
        <v>2279</v>
      </c>
      <c r="D1828" s="4" t="s">
        <v>2278</v>
      </c>
      <c r="E1828" s="4" t="s">
        <v>4989</v>
      </c>
      <c r="F1828" s="4" t="s">
        <v>2538</v>
      </c>
      <c r="G1828" s="4" t="s">
        <v>2263</v>
      </c>
      <c r="H1828" s="9" t="s">
        <v>2263</v>
      </c>
      <c r="I1828" s="4" t="s">
        <v>2263</v>
      </c>
      <c r="J1828" s="4" t="s">
        <v>2263</v>
      </c>
      <c r="K1828" s="4" t="s">
        <v>2305</v>
      </c>
      <c r="L1828" s="10">
        <v>5</v>
      </c>
      <c r="M1828" s="5">
        <v>39180.571875000001</v>
      </c>
      <c r="N1828" s="5">
        <v>195902.859375</v>
      </c>
    </row>
    <row r="1829" spans="1:14" x14ac:dyDescent="0.25">
      <c r="A1829" s="4" t="s">
        <v>2317</v>
      </c>
      <c r="B1829" s="4" t="s">
        <v>3839</v>
      </c>
      <c r="C1829" s="4" t="s">
        <v>2320</v>
      </c>
      <c r="D1829" s="4" t="s">
        <v>242</v>
      </c>
      <c r="E1829" s="4" t="s">
        <v>3853</v>
      </c>
      <c r="F1829" s="4" t="s">
        <v>3852</v>
      </c>
      <c r="G1829" s="4" t="s">
        <v>2263</v>
      </c>
      <c r="H1829" s="9" t="s">
        <v>2263</v>
      </c>
      <c r="I1829" s="4" t="s">
        <v>2317</v>
      </c>
      <c r="J1829" s="4" t="s">
        <v>2316</v>
      </c>
      <c r="K1829" s="4" t="s">
        <v>2263</v>
      </c>
      <c r="L1829" s="10">
        <v>5</v>
      </c>
      <c r="M1829" s="5">
        <v>39863.991999999998</v>
      </c>
      <c r="N1829" s="5">
        <v>199319.96</v>
      </c>
    </row>
    <row r="1830" spans="1:14" x14ac:dyDescent="0.25">
      <c r="A1830" s="4" t="s">
        <v>2320</v>
      </c>
      <c r="B1830" s="4" t="s">
        <v>4967</v>
      </c>
      <c r="C1830" s="4" t="s">
        <v>2320</v>
      </c>
      <c r="D1830" s="4" t="s">
        <v>242</v>
      </c>
      <c r="E1830" s="4" t="s">
        <v>3006</v>
      </c>
      <c r="F1830" s="4" t="s">
        <v>3005</v>
      </c>
      <c r="G1830" s="4" t="s">
        <v>2263</v>
      </c>
      <c r="H1830" s="9" t="s">
        <v>2263</v>
      </c>
      <c r="I1830" s="4" t="s">
        <v>2317</v>
      </c>
      <c r="J1830" s="4" t="s">
        <v>2316</v>
      </c>
      <c r="K1830" s="4" t="s">
        <v>2263</v>
      </c>
      <c r="L1830" s="10">
        <v>5</v>
      </c>
      <c r="M1830" s="5">
        <v>40459.713207547167</v>
      </c>
      <c r="N1830" s="5">
        <v>202298.56603773584</v>
      </c>
    </row>
    <row r="1831" spans="1:14" x14ac:dyDescent="0.25">
      <c r="A1831" s="4" t="s">
        <v>2930</v>
      </c>
      <c r="B1831" s="4" t="s">
        <v>2929</v>
      </c>
      <c r="C1831" s="4" t="s">
        <v>2320</v>
      </c>
      <c r="D1831" s="4" t="s">
        <v>242</v>
      </c>
      <c r="E1831" s="4" t="s">
        <v>3006</v>
      </c>
      <c r="F1831" s="4" t="s">
        <v>3005</v>
      </c>
      <c r="G1831" s="4" t="s">
        <v>2263</v>
      </c>
      <c r="H1831" s="9" t="s">
        <v>2263</v>
      </c>
      <c r="I1831" s="4" t="s">
        <v>2317</v>
      </c>
      <c r="J1831" s="4" t="s">
        <v>2316</v>
      </c>
      <c r="K1831" s="4" t="s">
        <v>2263</v>
      </c>
      <c r="L1831" s="10">
        <v>5</v>
      </c>
      <c r="M1831" s="5">
        <v>40459.713207547167</v>
      </c>
      <c r="N1831" s="5">
        <v>202298.56603773584</v>
      </c>
    </row>
    <row r="1832" spans="1:14" x14ac:dyDescent="0.25">
      <c r="A1832" s="4" t="s">
        <v>2320</v>
      </c>
      <c r="B1832" s="4" t="s">
        <v>4967</v>
      </c>
      <c r="C1832" s="4" t="s">
        <v>2320</v>
      </c>
      <c r="D1832" s="4" t="s">
        <v>242</v>
      </c>
      <c r="E1832" s="4" t="s">
        <v>5003</v>
      </c>
      <c r="F1832" s="4" t="s">
        <v>5002</v>
      </c>
      <c r="G1832" s="4" t="s">
        <v>2263</v>
      </c>
      <c r="H1832" s="9" t="s">
        <v>2263</v>
      </c>
      <c r="I1832" s="4" t="s">
        <v>2317</v>
      </c>
      <c r="J1832" s="4" t="s">
        <v>2316</v>
      </c>
      <c r="K1832" s="4" t="s">
        <v>2263</v>
      </c>
      <c r="L1832" s="10">
        <v>5</v>
      </c>
      <c r="M1832" s="5">
        <v>43119.531999999999</v>
      </c>
      <c r="N1832" s="5">
        <v>215597.66</v>
      </c>
    </row>
    <row r="1833" spans="1:14" x14ac:dyDescent="0.25">
      <c r="A1833" s="4" t="s">
        <v>2930</v>
      </c>
      <c r="B1833" s="4" t="s">
        <v>2929</v>
      </c>
      <c r="C1833" s="4" t="s">
        <v>2320</v>
      </c>
      <c r="D1833" s="4" t="s">
        <v>242</v>
      </c>
      <c r="E1833" s="4" t="s">
        <v>3014</v>
      </c>
      <c r="F1833" s="4" t="s">
        <v>3013</v>
      </c>
      <c r="G1833" s="4" t="s">
        <v>2263</v>
      </c>
      <c r="H1833" s="9" t="s">
        <v>2263</v>
      </c>
      <c r="I1833" s="4" t="s">
        <v>2317</v>
      </c>
      <c r="J1833" s="4" t="s">
        <v>2316</v>
      </c>
      <c r="K1833" s="4" t="s">
        <v>2263</v>
      </c>
      <c r="L1833" s="10">
        <v>5</v>
      </c>
      <c r="M1833" s="5">
        <v>45932.162499999999</v>
      </c>
      <c r="N1833" s="5">
        <v>229660.8125</v>
      </c>
    </row>
    <row r="1834" spans="1:14" x14ac:dyDescent="0.25">
      <c r="A1834" s="4" t="s">
        <v>2344</v>
      </c>
      <c r="B1834" s="4" t="s">
        <v>5154</v>
      </c>
      <c r="C1834" s="4" t="s">
        <v>2344</v>
      </c>
      <c r="D1834" s="4" t="s">
        <v>237</v>
      </c>
      <c r="E1834" s="4" t="s">
        <v>5395</v>
      </c>
      <c r="F1834" s="4" t="s">
        <v>5394</v>
      </c>
      <c r="G1834" s="4" t="s">
        <v>2263</v>
      </c>
      <c r="H1834" s="9" t="s">
        <v>2263</v>
      </c>
      <c r="I1834" s="4" t="s">
        <v>2263</v>
      </c>
      <c r="J1834" s="4" t="s">
        <v>2263</v>
      </c>
      <c r="K1834" s="4" t="s">
        <v>5393</v>
      </c>
      <c r="L1834" s="10">
        <v>5</v>
      </c>
      <c r="M1834" s="5">
        <v>46988.93</v>
      </c>
      <c r="N1834" s="5">
        <v>234944.65</v>
      </c>
    </row>
    <row r="1835" spans="1:14" x14ac:dyDescent="0.25">
      <c r="A1835" s="4" t="s">
        <v>2930</v>
      </c>
      <c r="B1835" s="4" t="s">
        <v>2929</v>
      </c>
      <c r="C1835" s="4" t="s">
        <v>2320</v>
      </c>
      <c r="D1835" s="4" t="s">
        <v>242</v>
      </c>
      <c r="E1835" s="4" t="s">
        <v>3012</v>
      </c>
      <c r="F1835" s="4" t="s">
        <v>3011</v>
      </c>
      <c r="G1835" s="4" t="s">
        <v>2263</v>
      </c>
      <c r="H1835" s="9" t="s">
        <v>2263</v>
      </c>
      <c r="I1835" s="4" t="s">
        <v>2317</v>
      </c>
      <c r="J1835" s="4" t="s">
        <v>2316</v>
      </c>
      <c r="K1835" s="4" t="s">
        <v>2263</v>
      </c>
      <c r="L1835" s="10">
        <v>5</v>
      </c>
      <c r="M1835" s="5">
        <v>48839.396000000001</v>
      </c>
      <c r="N1835" s="5">
        <v>244196.98</v>
      </c>
    </row>
    <row r="1836" spans="1:14" x14ac:dyDescent="0.25">
      <c r="A1836" s="4" t="s">
        <v>2930</v>
      </c>
      <c r="B1836" s="4" t="s">
        <v>2929</v>
      </c>
      <c r="C1836" s="4" t="s">
        <v>2320</v>
      </c>
      <c r="D1836" s="4" t="s">
        <v>242</v>
      </c>
      <c r="E1836" s="4" t="s">
        <v>2978</v>
      </c>
      <c r="F1836" s="4" t="s">
        <v>2977</v>
      </c>
      <c r="G1836" s="4" t="s">
        <v>2263</v>
      </c>
      <c r="H1836" s="9" t="s">
        <v>2263</v>
      </c>
      <c r="I1836" s="4" t="s">
        <v>2317</v>
      </c>
      <c r="J1836" s="4" t="s">
        <v>2316</v>
      </c>
      <c r="K1836" s="4" t="s">
        <v>2263</v>
      </c>
      <c r="L1836" s="10">
        <v>5</v>
      </c>
      <c r="M1836" s="5">
        <v>53723.454545454544</v>
      </c>
      <c r="N1836" s="5">
        <v>268617.27272727271</v>
      </c>
    </row>
    <row r="1837" spans="1:14" x14ac:dyDescent="0.25">
      <c r="A1837" s="4" t="s">
        <v>2653</v>
      </c>
      <c r="B1837" s="4" t="s">
        <v>3226</v>
      </c>
      <c r="C1837" s="4" t="s">
        <v>2353</v>
      </c>
      <c r="D1837" s="4" t="s">
        <v>258</v>
      </c>
      <c r="E1837" s="4" t="s">
        <v>3258</v>
      </c>
      <c r="F1837" s="4" t="s">
        <v>3257</v>
      </c>
      <c r="G1837" s="4" t="s">
        <v>2263</v>
      </c>
      <c r="H1837" s="9" t="s">
        <v>2263</v>
      </c>
      <c r="I1837" s="4" t="s">
        <v>2317</v>
      </c>
      <c r="J1837" s="4" t="s">
        <v>2316</v>
      </c>
      <c r="K1837" s="4" t="s">
        <v>2263</v>
      </c>
      <c r="L1837" s="10">
        <v>5</v>
      </c>
      <c r="M1837" s="5">
        <v>54005.599999999999</v>
      </c>
      <c r="N1837" s="5">
        <v>270028</v>
      </c>
    </row>
    <row r="1838" spans="1:14" x14ac:dyDescent="0.25">
      <c r="A1838" s="4" t="s">
        <v>2930</v>
      </c>
      <c r="B1838" s="4" t="s">
        <v>2929</v>
      </c>
      <c r="C1838" s="4" t="s">
        <v>2320</v>
      </c>
      <c r="D1838" s="4" t="s">
        <v>242</v>
      </c>
      <c r="E1838" s="4" t="s">
        <v>2990</v>
      </c>
      <c r="F1838" s="4" t="s">
        <v>2989</v>
      </c>
      <c r="G1838" s="4" t="s">
        <v>2263</v>
      </c>
      <c r="H1838" s="9" t="s">
        <v>2263</v>
      </c>
      <c r="I1838" s="4" t="s">
        <v>2317</v>
      </c>
      <c r="J1838" s="4" t="s">
        <v>2316</v>
      </c>
      <c r="K1838" s="4" t="s">
        <v>2263</v>
      </c>
      <c r="L1838" s="10">
        <v>5</v>
      </c>
      <c r="M1838" s="5">
        <v>61816.666666666664</v>
      </c>
      <c r="N1838" s="5">
        <v>309083.33333333331</v>
      </c>
    </row>
    <row r="1839" spans="1:14" x14ac:dyDescent="0.25">
      <c r="A1839" s="4" t="s">
        <v>2317</v>
      </c>
      <c r="B1839" s="4" t="s">
        <v>3839</v>
      </c>
      <c r="C1839" s="4" t="s">
        <v>2320</v>
      </c>
      <c r="D1839" s="4" t="s">
        <v>242</v>
      </c>
      <c r="E1839" s="4" t="s">
        <v>4193</v>
      </c>
      <c r="F1839" s="4" t="s">
        <v>4192</v>
      </c>
      <c r="G1839" s="4" t="s">
        <v>2263</v>
      </c>
      <c r="H1839" s="9" t="s">
        <v>2263</v>
      </c>
      <c r="I1839" s="4" t="s">
        <v>2317</v>
      </c>
      <c r="J1839" s="4" t="s">
        <v>2316</v>
      </c>
      <c r="K1839" s="4" t="s">
        <v>2263</v>
      </c>
      <c r="L1839" s="10">
        <v>5</v>
      </c>
      <c r="M1839" s="5">
        <v>62563.154444444444</v>
      </c>
      <c r="N1839" s="5">
        <v>312815.77222222224</v>
      </c>
    </row>
    <row r="1840" spans="1:14" x14ac:dyDescent="0.25">
      <c r="A1840" s="4" t="s">
        <v>2930</v>
      </c>
      <c r="B1840" s="4" t="s">
        <v>2929</v>
      </c>
      <c r="C1840" s="4" t="s">
        <v>2320</v>
      </c>
      <c r="D1840" s="4" t="s">
        <v>242</v>
      </c>
      <c r="E1840" s="4" t="s">
        <v>2972</v>
      </c>
      <c r="F1840" s="4" t="s">
        <v>2971</v>
      </c>
      <c r="G1840" s="4" t="s">
        <v>2263</v>
      </c>
      <c r="H1840" s="9" t="s">
        <v>2263</v>
      </c>
      <c r="I1840" s="4" t="s">
        <v>2317</v>
      </c>
      <c r="J1840" s="4" t="s">
        <v>2316</v>
      </c>
      <c r="K1840" s="4" t="s">
        <v>2263</v>
      </c>
      <c r="L1840" s="10">
        <v>5</v>
      </c>
      <c r="M1840" s="5">
        <v>64308.11538461539</v>
      </c>
      <c r="N1840" s="5">
        <v>321540.57692307694</v>
      </c>
    </row>
    <row r="1841" spans="1:14" x14ac:dyDescent="0.25">
      <c r="A1841" s="4" t="s">
        <v>2274</v>
      </c>
      <c r="B1841" s="4" t="s">
        <v>4348</v>
      </c>
      <c r="C1841" s="4" t="s">
        <v>2274</v>
      </c>
      <c r="D1841" s="4" t="s">
        <v>2273</v>
      </c>
      <c r="E1841" s="4" t="s">
        <v>4491</v>
      </c>
      <c r="F1841" s="4" t="s">
        <v>4490</v>
      </c>
      <c r="G1841" s="4" t="s">
        <v>2263</v>
      </c>
      <c r="H1841" s="9" t="s">
        <v>2263</v>
      </c>
      <c r="I1841" s="4" t="s">
        <v>2263</v>
      </c>
      <c r="J1841" s="4" t="s">
        <v>2263</v>
      </c>
      <c r="K1841" s="4" t="s">
        <v>4489</v>
      </c>
      <c r="L1841" s="10">
        <v>5</v>
      </c>
      <c r="M1841" s="5">
        <v>64396.378888888896</v>
      </c>
      <c r="N1841" s="5">
        <v>321981.89444444445</v>
      </c>
    </row>
    <row r="1842" spans="1:14" x14ac:dyDescent="0.25">
      <c r="A1842" s="4" t="s">
        <v>2344</v>
      </c>
      <c r="B1842" s="4" t="s">
        <v>5154</v>
      </c>
      <c r="C1842" s="4" t="s">
        <v>2320</v>
      </c>
      <c r="D1842" s="4" t="s">
        <v>242</v>
      </c>
      <c r="E1842" s="4" t="s">
        <v>2942</v>
      </c>
      <c r="F1842" s="4" t="s">
        <v>2941</v>
      </c>
      <c r="G1842" s="4" t="s">
        <v>2263</v>
      </c>
      <c r="H1842" s="9" t="s">
        <v>2263</v>
      </c>
      <c r="I1842" s="4" t="s">
        <v>2317</v>
      </c>
      <c r="J1842" s="4" t="s">
        <v>2316</v>
      </c>
      <c r="K1842" s="4" t="s">
        <v>2263</v>
      </c>
      <c r="L1842" s="10">
        <v>5</v>
      </c>
      <c r="M1842" s="5">
        <v>64922.14875</v>
      </c>
      <c r="N1842" s="5">
        <v>324610.74375000002</v>
      </c>
    </row>
    <row r="1843" spans="1:14" x14ac:dyDescent="0.25">
      <c r="A1843" s="4" t="s">
        <v>2930</v>
      </c>
      <c r="B1843" s="4" t="s">
        <v>2929</v>
      </c>
      <c r="C1843" s="4" t="s">
        <v>2320</v>
      </c>
      <c r="D1843" s="4" t="s">
        <v>242</v>
      </c>
      <c r="E1843" s="4" t="s">
        <v>2970</v>
      </c>
      <c r="F1843" s="4" t="s">
        <v>2969</v>
      </c>
      <c r="G1843" s="4" t="s">
        <v>2263</v>
      </c>
      <c r="H1843" s="9" t="s">
        <v>2263</v>
      </c>
      <c r="I1843" s="4" t="s">
        <v>2317</v>
      </c>
      <c r="J1843" s="4" t="s">
        <v>2316</v>
      </c>
      <c r="K1843" s="4" t="s">
        <v>2263</v>
      </c>
      <c r="L1843" s="10">
        <v>5</v>
      </c>
      <c r="M1843" s="5">
        <v>65514.193548387098</v>
      </c>
      <c r="N1843" s="5">
        <v>327570.96774193546</v>
      </c>
    </row>
    <row r="1844" spans="1:14" x14ac:dyDescent="0.25">
      <c r="A1844" s="4" t="s">
        <v>2274</v>
      </c>
      <c r="B1844" s="4" t="s">
        <v>4348</v>
      </c>
      <c r="C1844" s="4" t="s">
        <v>2274</v>
      </c>
      <c r="D1844" s="4" t="s">
        <v>2273</v>
      </c>
      <c r="E1844" s="4" t="s">
        <v>4512</v>
      </c>
      <c r="F1844" s="4" t="s">
        <v>4511</v>
      </c>
      <c r="G1844" s="4" t="s">
        <v>2263</v>
      </c>
      <c r="H1844" s="9" t="s">
        <v>2263</v>
      </c>
      <c r="I1844" s="4" t="s">
        <v>2263</v>
      </c>
      <c r="J1844" s="4" t="s">
        <v>2263</v>
      </c>
      <c r="K1844" s="4" t="s">
        <v>4510</v>
      </c>
      <c r="L1844" s="10">
        <v>5</v>
      </c>
      <c r="M1844" s="5">
        <v>66642.182499999995</v>
      </c>
      <c r="N1844" s="5">
        <v>333210.91249999998</v>
      </c>
    </row>
    <row r="1845" spans="1:14" x14ac:dyDescent="0.25">
      <c r="A1845" s="4" t="s">
        <v>2320</v>
      </c>
      <c r="B1845" s="4" t="s">
        <v>4967</v>
      </c>
      <c r="C1845" s="4" t="s">
        <v>2320</v>
      </c>
      <c r="D1845" s="4" t="s">
        <v>242</v>
      </c>
      <c r="E1845" s="4" t="s">
        <v>3967</v>
      </c>
      <c r="F1845" s="4" t="s">
        <v>3966</v>
      </c>
      <c r="G1845" s="4" t="s">
        <v>2263</v>
      </c>
      <c r="H1845" s="9" t="s">
        <v>2263</v>
      </c>
      <c r="I1845" s="4" t="s">
        <v>2317</v>
      </c>
      <c r="J1845" s="4" t="s">
        <v>2316</v>
      </c>
      <c r="K1845" s="4" t="s">
        <v>2263</v>
      </c>
      <c r="L1845" s="10">
        <v>5</v>
      </c>
      <c r="M1845" s="5">
        <v>70176.235294117636</v>
      </c>
      <c r="N1845" s="5">
        <v>350881.17647058825</v>
      </c>
    </row>
    <row r="1846" spans="1:14" x14ac:dyDescent="0.25">
      <c r="A1846" s="4" t="s">
        <v>2930</v>
      </c>
      <c r="B1846" s="4" t="s">
        <v>2929</v>
      </c>
      <c r="C1846" s="4" t="s">
        <v>2320</v>
      </c>
      <c r="D1846" s="4" t="s">
        <v>242</v>
      </c>
      <c r="E1846" s="4" t="s">
        <v>2988</v>
      </c>
      <c r="F1846" s="4" t="s">
        <v>2987</v>
      </c>
      <c r="G1846" s="4" t="s">
        <v>2263</v>
      </c>
      <c r="H1846" s="9" t="s">
        <v>2263</v>
      </c>
      <c r="I1846" s="4" t="s">
        <v>2317</v>
      </c>
      <c r="J1846" s="4" t="s">
        <v>2316</v>
      </c>
      <c r="K1846" s="4" t="s">
        <v>2263</v>
      </c>
      <c r="L1846" s="10">
        <v>5</v>
      </c>
      <c r="M1846" s="5">
        <v>77163.733333333323</v>
      </c>
      <c r="N1846" s="5">
        <v>385818.66666666663</v>
      </c>
    </row>
    <row r="1847" spans="1:14" x14ac:dyDescent="0.25">
      <c r="A1847" s="4" t="s">
        <v>2344</v>
      </c>
      <c r="B1847" s="4" t="s">
        <v>5154</v>
      </c>
      <c r="C1847" s="4" t="s">
        <v>2320</v>
      </c>
      <c r="D1847" s="4" t="s">
        <v>242</v>
      </c>
      <c r="E1847" s="4" t="s">
        <v>3018</v>
      </c>
      <c r="F1847" s="4" t="s">
        <v>3017</v>
      </c>
      <c r="G1847" s="4" t="s">
        <v>2263</v>
      </c>
      <c r="H1847" s="9" t="s">
        <v>2263</v>
      </c>
      <c r="I1847" s="4" t="s">
        <v>2317</v>
      </c>
      <c r="J1847" s="4" t="s">
        <v>2316</v>
      </c>
      <c r="K1847" s="4" t="s">
        <v>2263</v>
      </c>
      <c r="L1847" s="10">
        <v>5</v>
      </c>
      <c r="M1847" s="5">
        <v>82157.708333333328</v>
      </c>
      <c r="N1847" s="5">
        <v>410788.54166666663</v>
      </c>
    </row>
    <row r="1848" spans="1:14" x14ac:dyDescent="0.25">
      <c r="A1848" s="4" t="s">
        <v>2930</v>
      </c>
      <c r="B1848" s="4" t="s">
        <v>2929</v>
      </c>
      <c r="C1848" s="4" t="s">
        <v>2320</v>
      </c>
      <c r="D1848" s="4" t="s">
        <v>242</v>
      </c>
      <c r="E1848" s="4" t="s">
        <v>3018</v>
      </c>
      <c r="F1848" s="4" t="s">
        <v>3017</v>
      </c>
      <c r="G1848" s="4" t="s">
        <v>2263</v>
      </c>
      <c r="H1848" s="9" t="s">
        <v>2263</v>
      </c>
      <c r="I1848" s="4" t="s">
        <v>2317</v>
      </c>
      <c r="J1848" s="4" t="s">
        <v>2316</v>
      </c>
      <c r="K1848" s="4" t="s">
        <v>2263</v>
      </c>
      <c r="L1848" s="10">
        <v>5</v>
      </c>
      <c r="M1848" s="5">
        <v>82157.708333333328</v>
      </c>
      <c r="N1848" s="5">
        <v>410788.54166666663</v>
      </c>
    </row>
    <row r="1849" spans="1:14" x14ac:dyDescent="0.25">
      <c r="A1849" s="4" t="s">
        <v>2344</v>
      </c>
      <c r="B1849" s="4" t="s">
        <v>5154</v>
      </c>
      <c r="C1849" s="4" t="s">
        <v>2320</v>
      </c>
      <c r="D1849" s="4" t="s">
        <v>242</v>
      </c>
      <c r="E1849" s="4" t="s">
        <v>3002</v>
      </c>
      <c r="F1849" s="4" t="s">
        <v>3001</v>
      </c>
      <c r="G1849" s="4" t="s">
        <v>2263</v>
      </c>
      <c r="H1849" s="9" t="s">
        <v>2263</v>
      </c>
      <c r="I1849" s="4" t="s">
        <v>2317</v>
      </c>
      <c r="J1849" s="4" t="s">
        <v>2316</v>
      </c>
      <c r="K1849" s="4" t="s">
        <v>2263</v>
      </c>
      <c r="L1849" s="10">
        <v>5</v>
      </c>
      <c r="M1849" s="5">
        <v>84561.285714285725</v>
      </c>
      <c r="N1849" s="5">
        <v>422806.42857142858</v>
      </c>
    </row>
    <row r="1850" spans="1:14" x14ac:dyDescent="0.25">
      <c r="A1850" s="4" t="s">
        <v>2761</v>
      </c>
      <c r="B1850" s="4" t="s">
        <v>2760</v>
      </c>
      <c r="C1850" s="4" t="s">
        <v>2320</v>
      </c>
      <c r="D1850" s="4" t="s">
        <v>242</v>
      </c>
      <c r="E1850" s="4" t="s">
        <v>2793</v>
      </c>
      <c r="F1850" s="4" t="s">
        <v>2792</v>
      </c>
      <c r="G1850" s="4" t="s">
        <v>2263</v>
      </c>
      <c r="H1850" s="9" t="s">
        <v>2263</v>
      </c>
      <c r="I1850" s="4" t="s">
        <v>2317</v>
      </c>
      <c r="J1850" s="4" t="s">
        <v>2316</v>
      </c>
      <c r="K1850" s="4" t="s">
        <v>2263</v>
      </c>
      <c r="L1850" s="10">
        <v>5</v>
      </c>
      <c r="M1850" s="5">
        <v>86554.464000000007</v>
      </c>
      <c r="N1850" s="5">
        <v>432772.32</v>
      </c>
    </row>
    <row r="1851" spans="1:14" x14ac:dyDescent="0.25">
      <c r="A1851" s="4" t="s">
        <v>2344</v>
      </c>
      <c r="B1851" s="4" t="s">
        <v>5154</v>
      </c>
      <c r="C1851" s="4" t="s">
        <v>2320</v>
      </c>
      <c r="D1851" s="4" t="s">
        <v>242</v>
      </c>
      <c r="E1851" s="4" t="s">
        <v>3147</v>
      </c>
      <c r="F1851" s="4" t="s">
        <v>3146</v>
      </c>
      <c r="G1851" s="4" t="s">
        <v>2263</v>
      </c>
      <c r="H1851" s="9" t="s">
        <v>2263</v>
      </c>
      <c r="I1851" s="4" t="s">
        <v>2317</v>
      </c>
      <c r="J1851" s="4" t="s">
        <v>2316</v>
      </c>
      <c r="K1851" s="4" t="s">
        <v>2263</v>
      </c>
      <c r="L1851" s="10">
        <v>5</v>
      </c>
      <c r="M1851" s="5">
        <v>100452.13374999999</v>
      </c>
      <c r="N1851" s="5">
        <v>502260.66875000001</v>
      </c>
    </row>
    <row r="1852" spans="1:14" x14ac:dyDescent="0.25">
      <c r="A1852" s="4" t="s">
        <v>2930</v>
      </c>
      <c r="B1852" s="4" t="s">
        <v>2929</v>
      </c>
      <c r="C1852" s="4" t="s">
        <v>2320</v>
      </c>
      <c r="D1852" s="4" t="s">
        <v>242</v>
      </c>
      <c r="E1852" s="4" t="s">
        <v>2986</v>
      </c>
      <c r="F1852" s="4" t="s">
        <v>2985</v>
      </c>
      <c r="G1852" s="4" t="s">
        <v>2263</v>
      </c>
      <c r="H1852" s="9" t="s">
        <v>2263</v>
      </c>
      <c r="I1852" s="4" t="s">
        <v>2317</v>
      </c>
      <c r="J1852" s="4" t="s">
        <v>2316</v>
      </c>
      <c r="K1852" s="4" t="s">
        <v>2263</v>
      </c>
      <c r="L1852" s="10">
        <v>5</v>
      </c>
      <c r="M1852" s="5">
        <v>110812.81733333333</v>
      </c>
      <c r="N1852" s="5">
        <v>554064.08666666667</v>
      </c>
    </row>
    <row r="1853" spans="1:14" x14ac:dyDescent="0.25">
      <c r="A1853" s="4" t="s">
        <v>2930</v>
      </c>
      <c r="B1853" s="4" t="s">
        <v>2929</v>
      </c>
      <c r="C1853" s="4" t="s">
        <v>2320</v>
      </c>
      <c r="D1853" s="4" t="s">
        <v>242</v>
      </c>
      <c r="E1853" s="4" t="s">
        <v>2994</v>
      </c>
      <c r="F1853" s="4" t="s">
        <v>2993</v>
      </c>
      <c r="G1853" s="4" t="s">
        <v>2263</v>
      </c>
      <c r="H1853" s="9" t="s">
        <v>2263</v>
      </c>
      <c r="I1853" s="4" t="s">
        <v>2317</v>
      </c>
      <c r="J1853" s="4" t="s">
        <v>2316</v>
      </c>
      <c r="K1853" s="4" t="s">
        <v>2263</v>
      </c>
      <c r="L1853" s="10">
        <v>5</v>
      </c>
      <c r="M1853" s="5">
        <v>119005.6</v>
      </c>
      <c r="N1853" s="5">
        <v>595028</v>
      </c>
    </row>
    <row r="1854" spans="1:14" x14ac:dyDescent="0.25">
      <c r="A1854" s="4" t="s">
        <v>2317</v>
      </c>
      <c r="B1854" s="4" t="s">
        <v>3839</v>
      </c>
      <c r="C1854" s="4" t="s">
        <v>2320</v>
      </c>
      <c r="D1854" s="4" t="s">
        <v>242</v>
      </c>
      <c r="E1854" s="4" t="s">
        <v>4039</v>
      </c>
      <c r="F1854" s="4" t="s">
        <v>4038</v>
      </c>
      <c r="G1854" s="4" t="s">
        <v>2263</v>
      </c>
      <c r="H1854" s="9" t="s">
        <v>2263</v>
      </c>
      <c r="I1854" s="4" t="s">
        <v>2317</v>
      </c>
      <c r="J1854" s="4" t="s">
        <v>2316</v>
      </c>
      <c r="K1854" s="4" t="s">
        <v>2263</v>
      </c>
      <c r="L1854" s="10">
        <v>5</v>
      </c>
      <c r="M1854" s="5">
        <v>126428.15222222223</v>
      </c>
      <c r="N1854" s="5">
        <v>632140.76111111115</v>
      </c>
    </row>
    <row r="1855" spans="1:14" x14ac:dyDescent="0.25">
      <c r="A1855" s="4" t="s">
        <v>2653</v>
      </c>
      <c r="B1855" s="4" t="s">
        <v>3226</v>
      </c>
      <c r="C1855" s="4" t="s">
        <v>2384</v>
      </c>
      <c r="D1855" s="4" t="s">
        <v>262</v>
      </c>
      <c r="E1855" s="4" t="s">
        <v>3390</v>
      </c>
      <c r="F1855" s="4" t="s">
        <v>3389</v>
      </c>
      <c r="G1855" s="4" t="s">
        <v>2263</v>
      </c>
      <c r="H1855" s="9" t="s">
        <v>2263</v>
      </c>
      <c r="I1855" s="4" t="s">
        <v>2317</v>
      </c>
      <c r="J1855" s="4" t="s">
        <v>2316</v>
      </c>
      <c r="K1855" s="4" t="s">
        <v>2263</v>
      </c>
      <c r="L1855" s="10">
        <v>5</v>
      </c>
      <c r="M1855" s="5">
        <v>129880</v>
      </c>
      <c r="N1855" s="5">
        <v>649400</v>
      </c>
    </row>
    <row r="1856" spans="1:14" x14ac:dyDescent="0.25">
      <c r="A1856" s="4" t="s">
        <v>2344</v>
      </c>
      <c r="B1856" s="4" t="s">
        <v>5154</v>
      </c>
      <c r="C1856" s="4" t="s">
        <v>2320</v>
      </c>
      <c r="D1856" s="4" t="s">
        <v>242</v>
      </c>
      <c r="E1856" s="4" t="s">
        <v>3215</v>
      </c>
      <c r="F1856" s="4" t="s">
        <v>3214</v>
      </c>
      <c r="G1856" s="4" t="s">
        <v>2263</v>
      </c>
      <c r="H1856" s="9" t="s">
        <v>2263</v>
      </c>
      <c r="I1856" s="4" t="s">
        <v>2317</v>
      </c>
      <c r="J1856" s="4" t="s">
        <v>2316</v>
      </c>
      <c r="K1856" s="4" t="s">
        <v>2263</v>
      </c>
      <c r="L1856" s="10">
        <v>5</v>
      </c>
      <c r="M1856" s="5">
        <v>133108.87142857144</v>
      </c>
      <c r="N1856" s="5">
        <v>665544.35714285716</v>
      </c>
    </row>
    <row r="1857" spans="1:14" x14ac:dyDescent="0.25">
      <c r="A1857" s="4" t="s">
        <v>2761</v>
      </c>
      <c r="B1857" s="4" t="s">
        <v>2760</v>
      </c>
      <c r="C1857" s="4" t="s">
        <v>2320</v>
      </c>
      <c r="D1857" s="4" t="s">
        <v>242</v>
      </c>
      <c r="E1857" s="4" t="s">
        <v>2813</v>
      </c>
      <c r="F1857" s="4" t="s">
        <v>2812</v>
      </c>
      <c r="G1857" s="4" t="s">
        <v>2263</v>
      </c>
      <c r="H1857" s="9" t="s">
        <v>2263</v>
      </c>
      <c r="I1857" s="4" t="s">
        <v>2317</v>
      </c>
      <c r="J1857" s="4" t="s">
        <v>2316</v>
      </c>
      <c r="K1857" s="4" t="s">
        <v>2263</v>
      </c>
      <c r="L1857" s="10">
        <v>5</v>
      </c>
      <c r="M1857" s="5">
        <v>135729.74428571429</v>
      </c>
      <c r="N1857" s="5">
        <v>678648.72142857139</v>
      </c>
    </row>
    <row r="1858" spans="1:14" x14ac:dyDescent="0.25">
      <c r="A1858" s="4" t="s">
        <v>2930</v>
      </c>
      <c r="B1858" s="4" t="s">
        <v>2929</v>
      </c>
      <c r="C1858" s="4" t="s">
        <v>2320</v>
      </c>
      <c r="D1858" s="4" t="s">
        <v>242</v>
      </c>
      <c r="E1858" s="4" t="s">
        <v>2992</v>
      </c>
      <c r="F1858" s="4" t="s">
        <v>2991</v>
      </c>
      <c r="G1858" s="4" t="s">
        <v>2263</v>
      </c>
      <c r="H1858" s="9" t="s">
        <v>2263</v>
      </c>
      <c r="I1858" s="4" t="s">
        <v>2317</v>
      </c>
      <c r="J1858" s="4" t="s">
        <v>2316</v>
      </c>
      <c r="K1858" s="4" t="s">
        <v>2263</v>
      </c>
      <c r="L1858" s="10">
        <v>5</v>
      </c>
      <c r="M1858" s="5">
        <v>140199.87282051283</v>
      </c>
      <c r="N1858" s="5">
        <v>700999.36410256405</v>
      </c>
    </row>
    <row r="1859" spans="1:14" x14ac:dyDescent="0.25">
      <c r="A1859" s="4" t="s">
        <v>2930</v>
      </c>
      <c r="B1859" s="4" t="s">
        <v>2929</v>
      </c>
      <c r="C1859" s="4" t="s">
        <v>2344</v>
      </c>
      <c r="D1859" s="4" t="s">
        <v>237</v>
      </c>
      <c r="E1859" s="4" t="s">
        <v>2889</v>
      </c>
      <c r="F1859" s="4" t="s">
        <v>2888</v>
      </c>
      <c r="G1859" s="4" t="s">
        <v>2263</v>
      </c>
      <c r="H1859" s="9" t="s">
        <v>2263</v>
      </c>
      <c r="I1859" s="4" t="s">
        <v>2263</v>
      </c>
      <c r="J1859" s="4" t="s">
        <v>2263</v>
      </c>
      <c r="K1859" s="4" t="s">
        <v>2878</v>
      </c>
      <c r="L1859" s="10">
        <v>5</v>
      </c>
      <c r="M1859" s="5">
        <v>142511.84</v>
      </c>
      <c r="N1859" s="5">
        <v>712559.2</v>
      </c>
    </row>
    <row r="1860" spans="1:14" x14ac:dyDescent="0.25">
      <c r="A1860" s="4" t="s">
        <v>2344</v>
      </c>
      <c r="B1860" s="4" t="s">
        <v>5154</v>
      </c>
      <c r="C1860" s="4" t="s">
        <v>2320</v>
      </c>
      <c r="D1860" s="4" t="s">
        <v>242</v>
      </c>
      <c r="E1860" s="4" t="s">
        <v>3879</v>
      </c>
      <c r="F1860" s="4" t="s">
        <v>3878</v>
      </c>
      <c r="G1860" s="4" t="s">
        <v>2263</v>
      </c>
      <c r="H1860" s="9" t="s">
        <v>2263</v>
      </c>
      <c r="I1860" s="4" t="s">
        <v>2317</v>
      </c>
      <c r="J1860" s="4" t="s">
        <v>2316</v>
      </c>
      <c r="K1860" s="4" t="s">
        <v>2263</v>
      </c>
      <c r="L1860" s="10">
        <v>5</v>
      </c>
      <c r="M1860" s="5">
        <v>147133.30192307694</v>
      </c>
      <c r="N1860" s="5">
        <v>735666.50961538462</v>
      </c>
    </row>
    <row r="1861" spans="1:14" x14ac:dyDescent="0.25">
      <c r="A1861" s="4" t="s">
        <v>2317</v>
      </c>
      <c r="B1861" s="4" t="s">
        <v>3839</v>
      </c>
      <c r="C1861" s="4" t="s">
        <v>2320</v>
      </c>
      <c r="D1861" s="4" t="s">
        <v>242</v>
      </c>
      <c r="E1861" s="4" t="s">
        <v>4303</v>
      </c>
      <c r="F1861" s="4" t="s">
        <v>4302</v>
      </c>
      <c r="G1861" s="4" t="s">
        <v>2263</v>
      </c>
      <c r="H1861" s="9" t="s">
        <v>2263</v>
      </c>
      <c r="I1861" s="4" t="s">
        <v>2317</v>
      </c>
      <c r="J1861" s="4" t="s">
        <v>2316</v>
      </c>
      <c r="K1861" s="4" t="s">
        <v>2263</v>
      </c>
      <c r="L1861" s="10">
        <v>5</v>
      </c>
      <c r="M1861" s="5">
        <v>167434.28</v>
      </c>
      <c r="N1861" s="5">
        <v>837171.4</v>
      </c>
    </row>
    <row r="1862" spans="1:14" x14ac:dyDescent="0.25">
      <c r="A1862" s="4" t="s">
        <v>2274</v>
      </c>
      <c r="B1862" s="4" t="s">
        <v>4348</v>
      </c>
      <c r="C1862" s="4" t="s">
        <v>2344</v>
      </c>
      <c r="D1862" s="4" t="s">
        <v>237</v>
      </c>
      <c r="E1862" s="4" t="s">
        <v>4758</v>
      </c>
      <c r="F1862" s="4" t="s">
        <v>2658</v>
      </c>
      <c r="G1862" s="4" t="s">
        <v>2263</v>
      </c>
      <c r="H1862" s="9" t="s">
        <v>2263</v>
      </c>
      <c r="I1862" s="4" t="s">
        <v>2263</v>
      </c>
      <c r="J1862" s="4" t="s">
        <v>2263</v>
      </c>
      <c r="K1862" s="4" t="s">
        <v>2657</v>
      </c>
      <c r="L1862" s="10">
        <v>5</v>
      </c>
      <c r="M1862" s="5">
        <v>188211</v>
      </c>
      <c r="N1862" s="5">
        <v>941055</v>
      </c>
    </row>
    <row r="1863" spans="1:14" x14ac:dyDescent="0.25">
      <c r="A1863" s="4" t="s">
        <v>2317</v>
      </c>
      <c r="B1863" s="4" t="s">
        <v>3839</v>
      </c>
      <c r="C1863" s="4" t="s">
        <v>2320</v>
      </c>
      <c r="D1863" s="4" t="s">
        <v>242</v>
      </c>
      <c r="E1863" s="4" t="s">
        <v>4309</v>
      </c>
      <c r="F1863" s="4" t="s">
        <v>4308</v>
      </c>
      <c r="G1863" s="4" t="s">
        <v>2263</v>
      </c>
      <c r="H1863" s="9" t="s">
        <v>2263</v>
      </c>
      <c r="I1863" s="4" t="s">
        <v>2317</v>
      </c>
      <c r="J1863" s="4" t="s">
        <v>2316</v>
      </c>
      <c r="K1863" s="4" t="s">
        <v>2263</v>
      </c>
      <c r="L1863" s="10">
        <v>5</v>
      </c>
      <c r="M1863" s="5">
        <v>191583.57142857142</v>
      </c>
      <c r="N1863" s="5">
        <v>957917.85714285716</v>
      </c>
    </row>
    <row r="1864" spans="1:14" x14ac:dyDescent="0.25">
      <c r="A1864" s="4" t="s">
        <v>2481</v>
      </c>
      <c r="B1864" s="4" t="s">
        <v>3217</v>
      </c>
      <c r="C1864" s="4" t="s">
        <v>2384</v>
      </c>
      <c r="D1864" s="4" t="s">
        <v>262</v>
      </c>
      <c r="E1864" s="4" t="s">
        <v>2681</v>
      </c>
      <c r="F1864" s="4" t="s">
        <v>2680</v>
      </c>
      <c r="G1864" s="4" t="s">
        <v>2263</v>
      </c>
      <c r="H1864" s="9" t="s">
        <v>2263</v>
      </c>
      <c r="I1864" s="4" t="s">
        <v>2317</v>
      </c>
      <c r="J1864" s="4" t="s">
        <v>2316</v>
      </c>
      <c r="K1864" s="4" t="s">
        <v>2263</v>
      </c>
      <c r="L1864" s="10">
        <v>5</v>
      </c>
      <c r="M1864" s="5">
        <v>246265.91363636364</v>
      </c>
      <c r="N1864" s="5">
        <v>1231329.5681818184</v>
      </c>
    </row>
    <row r="1865" spans="1:14" x14ac:dyDescent="0.25">
      <c r="A1865" s="4" t="s">
        <v>2279</v>
      </c>
      <c r="B1865" s="4" t="s">
        <v>4963</v>
      </c>
      <c r="C1865" s="4" t="s">
        <v>2384</v>
      </c>
      <c r="D1865" s="4" t="s">
        <v>262</v>
      </c>
      <c r="E1865" s="4" t="s">
        <v>2383</v>
      </c>
      <c r="F1865" s="4" t="s">
        <v>2382</v>
      </c>
      <c r="G1865" s="4" t="s">
        <v>2263</v>
      </c>
      <c r="H1865" s="9" t="s">
        <v>2263</v>
      </c>
      <c r="I1865" s="4" t="s">
        <v>2317</v>
      </c>
      <c r="J1865" s="4" t="s">
        <v>2316</v>
      </c>
      <c r="K1865" s="4" t="s">
        <v>2263</v>
      </c>
      <c r="L1865" s="10">
        <v>5</v>
      </c>
      <c r="M1865" s="5">
        <v>282984.17235294118</v>
      </c>
      <c r="N1865" s="5">
        <v>1414920.861764706</v>
      </c>
    </row>
    <row r="1866" spans="1:14" x14ac:dyDescent="0.25">
      <c r="A1866" s="4" t="s">
        <v>3196</v>
      </c>
      <c r="B1866" s="4" t="s">
        <v>3195</v>
      </c>
      <c r="C1866" s="4" t="s">
        <v>2384</v>
      </c>
      <c r="D1866" s="4" t="s">
        <v>262</v>
      </c>
      <c r="E1866" s="4" t="s">
        <v>2383</v>
      </c>
      <c r="F1866" s="4" t="s">
        <v>2382</v>
      </c>
      <c r="G1866" s="4" t="s">
        <v>2263</v>
      </c>
      <c r="H1866" s="9" t="s">
        <v>2263</v>
      </c>
      <c r="I1866" s="4" t="s">
        <v>2317</v>
      </c>
      <c r="J1866" s="4" t="s">
        <v>2316</v>
      </c>
      <c r="K1866" s="4" t="s">
        <v>2263</v>
      </c>
      <c r="L1866" s="10">
        <v>5</v>
      </c>
      <c r="M1866" s="5">
        <v>282984.17235294118</v>
      </c>
      <c r="N1866" s="5">
        <v>1414920.861764706</v>
      </c>
    </row>
    <row r="1867" spans="1:14" x14ac:dyDescent="0.25">
      <c r="A1867" s="4" t="s">
        <v>2344</v>
      </c>
      <c r="B1867" s="4" t="s">
        <v>5154</v>
      </c>
      <c r="C1867" s="4" t="s">
        <v>2320</v>
      </c>
      <c r="D1867" s="4" t="s">
        <v>242</v>
      </c>
      <c r="E1867" s="4" t="s">
        <v>4313</v>
      </c>
      <c r="F1867" s="4" t="s">
        <v>4312</v>
      </c>
      <c r="G1867" s="4" t="s">
        <v>2263</v>
      </c>
      <c r="H1867" s="9" t="s">
        <v>2263</v>
      </c>
      <c r="I1867" s="4" t="s">
        <v>2317</v>
      </c>
      <c r="J1867" s="4" t="s">
        <v>2316</v>
      </c>
      <c r="K1867" s="4" t="s">
        <v>2263</v>
      </c>
      <c r="L1867" s="10">
        <v>5</v>
      </c>
      <c r="M1867" s="5">
        <v>294637.73333333334</v>
      </c>
      <c r="N1867" s="5">
        <v>1473188.6666666665</v>
      </c>
    </row>
    <row r="1868" spans="1:14" x14ac:dyDescent="0.25">
      <c r="A1868" s="4" t="s">
        <v>2653</v>
      </c>
      <c r="B1868" s="4" t="s">
        <v>3226</v>
      </c>
      <c r="C1868" s="4" t="s">
        <v>2384</v>
      </c>
      <c r="D1868" s="4" t="s">
        <v>262</v>
      </c>
      <c r="E1868" s="4" t="s">
        <v>3306</v>
      </c>
      <c r="F1868" s="4" t="s">
        <v>3305</v>
      </c>
      <c r="G1868" s="4" t="s">
        <v>2263</v>
      </c>
      <c r="H1868" s="9" t="s">
        <v>2263</v>
      </c>
      <c r="I1868" s="4" t="s">
        <v>2317</v>
      </c>
      <c r="J1868" s="4" t="s">
        <v>2316</v>
      </c>
      <c r="K1868" s="4" t="s">
        <v>2263</v>
      </c>
      <c r="L1868" s="10">
        <v>5</v>
      </c>
      <c r="M1868" s="5">
        <v>384370</v>
      </c>
      <c r="N1868" s="5">
        <v>1921850</v>
      </c>
    </row>
    <row r="1869" spans="1:14" x14ac:dyDescent="0.25">
      <c r="A1869" s="4" t="s">
        <v>2274</v>
      </c>
      <c r="B1869" s="4" t="s">
        <v>4348</v>
      </c>
      <c r="C1869" s="4" t="s">
        <v>2274</v>
      </c>
      <c r="D1869" s="4" t="s">
        <v>2273</v>
      </c>
      <c r="E1869" s="4" t="s">
        <v>4484</v>
      </c>
      <c r="F1869" s="4" t="s">
        <v>4483</v>
      </c>
      <c r="G1869" s="4" t="s">
        <v>2263</v>
      </c>
      <c r="H1869" s="9" t="s">
        <v>2263</v>
      </c>
      <c r="I1869" s="4" t="s">
        <v>2263</v>
      </c>
      <c r="J1869" s="4" t="s">
        <v>2263</v>
      </c>
      <c r="K1869" s="4" t="s">
        <v>4482</v>
      </c>
      <c r="L1869" s="10">
        <v>5</v>
      </c>
      <c r="M1869" s="5">
        <v>394611.11111111107</v>
      </c>
      <c r="N1869" s="5">
        <v>1973055.5555555555</v>
      </c>
    </row>
    <row r="1870" spans="1:14" x14ac:dyDescent="0.25">
      <c r="A1870" s="4" t="s">
        <v>2320</v>
      </c>
      <c r="B1870" s="4" t="s">
        <v>4967</v>
      </c>
      <c r="C1870" s="4" t="s">
        <v>2320</v>
      </c>
      <c r="D1870" s="4" t="s">
        <v>242</v>
      </c>
      <c r="E1870" s="4" t="s">
        <v>5033</v>
      </c>
      <c r="F1870" s="4" t="s">
        <v>5032</v>
      </c>
      <c r="G1870" s="4" t="s">
        <v>2263</v>
      </c>
      <c r="H1870" s="9" t="s">
        <v>2263</v>
      </c>
      <c r="I1870" s="4" t="s">
        <v>2317</v>
      </c>
      <c r="J1870" s="4" t="s">
        <v>2316</v>
      </c>
      <c r="K1870" s="4" t="s">
        <v>2263</v>
      </c>
      <c r="L1870" s="10">
        <v>5</v>
      </c>
      <c r="M1870" s="5">
        <v>414253.2</v>
      </c>
      <c r="N1870" s="5">
        <v>2071266</v>
      </c>
    </row>
    <row r="1871" spans="1:14" x14ac:dyDescent="0.25">
      <c r="A1871" s="4" t="s">
        <v>2344</v>
      </c>
      <c r="B1871" s="4" t="s">
        <v>5154</v>
      </c>
      <c r="C1871" s="4" t="s">
        <v>2274</v>
      </c>
      <c r="D1871" s="4" t="s">
        <v>2273</v>
      </c>
      <c r="E1871" s="4" t="s">
        <v>4494</v>
      </c>
      <c r="F1871" s="4" t="s">
        <v>4493</v>
      </c>
      <c r="G1871" s="4" t="s">
        <v>2263</v>
      </c>
      <c r="H1871" s="9" t="s">
        <v>2263</v>
      </c>
      <c r="I1871" s="4" t="s">
        <v>2263</v>
      </c>
      <c r="J1871" s="4" t="s">
        <v>2263</v>
      </c>
      <c r="K1871" s="4" t="s">
        <v>4492</v>
      </c>
      <c r="L1871" s="10">
        <v>5</v>
      </c>
      <c r="M1871" s="5">
        <v>437002.39428571431</v>
      </c>
      <c r="N1871" s="5">
        <v>2185011.9714285717</v>
      </c>
    </row>
    <row r="1872" spans="1:14" x14ac:dyDescent="0.25">
      <c r="A1872" s="4" t="s">
        <v>2320</v>
      </c>
      <c r="B1872" s="4" t="s">
        <v>4967</v>
      </c>
      <c r="C1872" s="4" t="s">
        <v>2320</v>
      </c>
      <c r="D1872" s="4" t="s">
        <v>242</v>
      </c>
      <c r="E1872" s="4" t="s">
        <v>2324</v>
      </c>
      <c r="F1872" s="4" t="s">
        <v>2323</v>
      </c>
      <c r="G1872" s="4" t="s">
        <v>2263</v>
      </c>
      <c r="H1872" s="9" t="s">
        <v>2263</v>
      </c>
      <c r="I1872" s="4" t="s">
        <v>2317</v>
      </c>
      <c r="J1872" s="4" t="s">
        <v>2316</v>
      </c>
      <c r="K1872" s="4" t="s">
        <v>2263</v>
      </c>
      <c r="L1872" s="10">
        <v>5</v>
      </c>
      <c r="M1872" s="5">
        <v>607068.11055555556</v>
      </c>
      <c r="N1872" s="5">
        <v>3035340.5527777779</v>
      </c>
    </row>
    <row r="1873" spans="1:14" x14ac:dyDescent="0.25">
      <c r="A1873" s="4" t="s">
        <v>2320</v>
      </c>
      <c r="B1873" s="4" t="s">
        <v>4967</v>
      </c>
      <c r="C1873" s="4" t="s">
        <v>2320</v>
      </c>
      <c r="D1873" s="4" t="s">
        <v>242</v>
      </c>
      <c r="E1873" s="4" t="s">
        <v>2827</v>
      </c>
      <c r="F1873" s="4" t="s">
        <v>2826</v>
      </c>
      <c r="G1873" s="4" t="s">
        <v>2263</v>
      </c>
      <c r="H1873" s="9" t="s">
        <v>2263</v>
      </c>
      <c r="I1873" s="4" t="s">
        <v>2317</v>
      </c>
      <c r="J1873" s="4" t="s">
        <v>2316</v>
      </c>
      <c r="K1873" s="4" t="s">
        <v>2263</v>
      </c>
      <c r="L1873" s="10">
        <v>5</v>
      </c>
      <c r="M1873" s="5">
        <v>607441.23294117651</v>
      </c>
      <c r="N1873" s="5">
        <v>3037206.1647058823</v>
      </c>
    </row>
    <row r="1874" spans="1:14" x14ac:dyDescent="0.25">
      <c r="A1874" s="4" t="s">
        <v>2320</v>
      </c>
      <c r="B1874" s="4" t="s">
        <v>4967</v>
      </c>
      <c r="C1874" s="4" t="s">
        <v>2320</v>
      </c>
      <c r="D1874" s="4" t="s">
        <v>242</v>
      </c>
      <c r="E1874" s="4" t="s">
        <v>5049</v>
      </c>
      <c r="F1874" s="4" t="s">
        <v>5048</v>
      </c>
      <c r="G1874" s="4" t="s">
        <v>2263</v>
      </c>
      <c r="H1874" s="9" t="s">
        <v>2263</v>
      </c>
      <c r="I1874" s="4" t="s">
        <v>2317</v>
      </c>
      <c r="J1874" s="4" t="s">
        <v>2316</v>
      </c>
      <c r="K1874" s="4" t="s">
        <v>2263</v>
      </c>
      <c r="L1874" s="10">
        <v>5</v>
      </c>
      <c r="M1874" s="5">
        <v>634422.94999999995</v>
      </c>
      <c r="N1874" s="5">
        <v>3172114.75</v>
      </c>
    </row>
    <row r="1875" spans="1:14" x14ac:dyDescent="0.25">
      <c r="A1875" s="4" t="s">
        <v>2320</v>
      </c>
      <c r="B1875" s="4" t="s">
        <v>4967</v>
      </c>
      <c r="C1875" s="4" t="s">
        <v>2320</v>
      </c>
      <c r="D1875" s="4" t="s">
        <v>242</v>
      </c>
      <c r="E1875" s="4" t="s">
        <v>3981</v>
      </c>
      <c r="F1875" s="4" t="s">
        <v>3980</v>
      </c>
      <c r="G1875" s="4" t="s">
        <v>2263</v>
      </c>
      <c r="H1875" s="9" t="s">
        <v>2263</v>
      </c>
      <c r="I1875" s="4" t="s">
        <v>2317</v>
      </c>
      <c r="J1875" s="4" t="s">
        <v>2316</v>
      </c>
      <c r="K1875" s="4" t="s">
        <v>2263</v>
      </c>
      <c r="L1875" s="10">
        <v>5</v>
      </c>
      <c r="M1875" s="5">
        <v>678001</v>
      </c>
      <c r="N1875" s="5">
        <v>3390005</v>
      </c>
    </row>
    <row r="1876" spans="1:14" x14ac:dyDescent="0.25">
      <c r="A1876" s="4" t="s">
        <v>2653</v>
      </c>
      <c r="B1876" s="4" t="s">
        <v>3226</v>
      </c>
      <c r="C1876" s="4" t="s">
        <v>2384</v>
      </c>
      <c r="D1876" s="4" t="s">
        <v>262</v>
      </c>
      <c r="E1876" s="4" t="s">
        <v>3442</v>
      </c>
      <c r="F1876" s="4" t="s">
        <v>3441</v>
      </c>
      <c r="G1876" s="4" t="s">
        <v>2263</v>
      </c>
      <c r="H1876" s="9" t="s">
        <v>2263</v>
      </c>
      <c r="I1876" s="4" t="s">
        <v>2317</v>
      </c>
      <c r="J1876" s="4" t="s">
        <v>2316</v>
      </c>
      <c r="K1876" s="4" t="s">
        <v>2263</v>
      </c>
      <c r="L1876" s="10">
        <v>5</v>
      </c>
      <c r="M1876" s="5">
        <v>925642.14199999999</v>
      </c>
      <c r="N1876" s="5">
        <v>4628210.71</v>
      </c>
    </row>
    <row r="1877" spans="1:14" x14ac:dyDescent="0.25">
      <c r="A1877" s="4" t="s">
        <v>2344</v>
      </c>
      <c r="B1877" s="4" t="s">
        <v>5154</v>
      </c>
      <c r="C1877" s="4" t="s">
        <v>2274</v>
      </c>
      <c r="D1877" s="4" t="s">
        <v>2273</v>
      </c>
      <c r="E1877" s="4" t="s">
        <v>5226</v>
      </c>
      <c r="F1877" s="4" t="s">
        <v>4506</v>
      </c>
      <c r="G1877" s="4" t="s">
        <v>2263</v>
      </c>
      <c r="H1877" s="9" t="s">
        <v>2263</v>
      </c>
      <c r="I1877" s="4" t="s">
        <v>2263</v>
      </c>
      <c r="J1877" s="4" t="s">
        <v>2263</v>
      </c>
      <c r="K1877" s="4" t="s">
        <v>4505</v>
      </c>
      <c r="L1877" s="10">
        <v>5</v>
      </c>
      <c r="M1877" s="5">
        <v>934940.8</v>
      </c>
      <c r="N1877" s="5">
        <v>4674704</v>
      </c>
    </row>
    <row r="1878" spans="1:14" x14ac:dyDescent="0.25">
      <c r="A1878" s="4" t="s">
        <v>2320</v>
      </c>
      <c r="B1878" s="4" t="s">
        <v>4967</v>
      </c>
      <c r="C1878" s="4" t="s">
        <v>2320</v>
      </c>
      <c r="D1878" s="4" t="s">
        <v>242</v>
      </c>
      <c r="E1878" s="4" t="s">
        <v>5113</v>
      </c>
      <c r="F1878" s="4" t="s">
        <v>5112</v>
      </c>
      <c r="G1878" s="4" t="s">
        <v>2263</v>
      </c>
      <c r="H1878" s="9" t="s">
        <v>2263</v>
      </c>
      <c r="I1878" s="4" t="s">
        <v>2317</v>
      </c>
      <c r="J1878" s="4" t="s">
        <v>2316</v>
      </c>
      <c r="K1878" s="4" t="s">
        <v>2263</v>
      </c>
      <c r="L1878" s="10">
        <v>5</v>
      </c>
      <c r="M1878" s="5">
        <v>1157245.7</v>
      </c>
      <c r="N1878" s="5">
        <v>5786228.5</v>
      </c>
    </row>
    <row r="1879" spans="1:14" x14ac:dyDescent="0.25">
      <c r="A1879" s="4" t="s">
        <v>2344</v>
      </c>
      <c r="B1879" s="4" t="s">
        <v>5154</v>
      </c>
      <c r="C1879" s="4" t="s">
        <v>2274</v>
      </c>
      <c r="D1879" s="4" t="s">
        <v>2273</v>
      </c>
      <c r="E1879" s="4" t="s">
        <v>4446</v>
      </c>
      <c r="F1879" s="4" t="s">
        <v>4445</v>
      </c>
      <c r="G1879" s="4" t="s">
        <v>2263</v>
      </c>
      <c r="H1879" s="9" t="s">
        <v>2263</v>
      </c>
      <c r="I1879" s="4" t="s">
        <v>2263</v>
      </c>
      <c r="J1879" s="4" t="s">
        <v>2263</v>
      </c>
      <c r="K1879" s="4" t="s">
        <v>2536</v>
      </c>
      <c r="L1879" s="10">
        <v>5</v>
      </c>
      <c r="M1879" s="5">
        <v>1737313.7885714285</v>
      </c>
      <c r="N1879" s="5">
        <v>8686568.9428571425</v>
      </c>
    </row>
    <row r="1880" spans="1:14" x14ac:dyDescent="0.25">
      <c r="A1880" s="4" t="s">
        <v>3145</v>
      </c>
      <c r="B1880" s="4" t="s">
        <v>3144</v>
      </c>
      <c r="C1880" s="4" t="s">
        <v>2320</v>
      </c>
      <c r="D1880" s="4" t="s">
        <v>242</v>
      </c>
      <c r="E1880" s="4" t="s">
        <v>2360</v>
      </c>
      <c r="F1880" s="4" t="s">
        <v>2359</v>
      </c>
      <c r="G1880" s="4" t="s">
        <v>2263</v>
      </c>
      <c r="H1880" s="9" t="s">
        <v>2263</v>
      </c>
      <c r="I1880" s="4" t="s">
        <v>2317</v>
      </c>
      <c r="J1880" s="4" t="s">
        <v>2316</v>
      </c>
      <c r="K1880" s="4" t="s">
        <v>2263</v>
      </c>
      <c r="L1880" s="10">
        <v>6</v>
      </c>
      <c r="M1880" s="5">
        <v>261.77091875138365</v>
      </c>
      <c r="N1880" s="5">
        <v>1570.6255125083001</v>
      </c>
    </row>
    <row r="1881" spans="1:14" x14ac:dyDescent="0.25">
      <c r="A1881" s="4" t="s">
        <v>2344</v>
      </c>
      <c r="B1881" s="4" t="s">
        <v>5154</v>
      </c>
      <c r="C1881" s="4" t="s">
        <v>2320</v>
      </c>
      <c r="D1881" s="4" t="s">
        <v>242</v>
      </c>
      <c r="E1881" s="4" t="s">
        <v>4203</v>
      </c>
      <c r="F1881" s="4" t="s">
        <v>4202</v>
      </c>
      <c r="G1881" s="4" t="s">
        <v>2263</v>
      </c>
      <c r="H1881" s="9" t="s">
        <v>2263</v>
      </c>
      <c r="I1881" s="4" t="s">
        <v>2317</v>
      </c>
      <c r="J1881" s="4" t="s">
        <v>2316</v>
      </c>
      <c r="K1881" s="4" t="s">
        <v>2263</v>
      </c>
      <c r="L1881" s="10">
        <v>6</v>
      </c>
      <c r="M1881" s="5">
        <v>426.17857142857144</v>
      </c>
      <c r="N1881" s="5">
        <v>2557.0714285714298</v>
      </c>
    </row>
    <row r="1882" spans="1:14" x14ac:dyDescent="0.25">
      <c r="A1882" s="4" t="s">
        <v>2344</v>
      </c>
      <c r="B1882" s="4" t="s">
        <v>5154</v>
      </c>
      <c r="C1882" s="4" t="s">
        <v>2344</v>
      </c>
      <c r="D1882" s="4" t="s">
        <v>237</v>
      </c>
      <c r="E1882" s="4" t="s">
        <v>5449</v>
      </c>
      <c r="F1882" s="4" t="s">
        <v>4869</v>
      </c>
      <c r="G1882" s="4" t="s">
        <v>2263</v>
      </c>
      <c r="H1882" s="9" t="s">
        <v>2263</v>
      </c>
      <c r="I1882" s="4" t="s">
        <v>2263</v>
      </c>
      <c r="J1882" s="4" t="s">
        <v>2263</v>
      </c>
      <c r="K1882" s="4" t="s">
        <v>2602</v>
      </c>
      <c r="L1882" s="10">
        <v>6</v>
      </c>
      <c r="M1882" s="5">
        <v>449.10833333333329</v>
      </c>
      <c r="N1882" s="5">
        <v>2694.65</v>
      </c>
    </row>
    <row r="1883" spans="1:14" x14ac:dyDescent="0.25">
      <c r="A1883" s="4" t="s">
        <v>2320</v>
      </c>
      <c r="B1883" s="4" t="s">
        <v>4967</v>
      </c>
      <c r="C1883" s="4" t="s">
        <v>2267</v>
      </c>
      <c r="D1883" s="4" t="s">
        <v>2266</v>
      </c>
      <c r="E1883" s="4" t="s">
        <v>4414</v>
      </c>
      <c r="F1883" s="4" t="s">
        <v>2496</v>
      </c>
      <c r="G1883" s="4" t="s">
        <v>2263</v>
      </c>
      <c r="H1883" s="9" t="s">
        <v>2263</v>
      </c>
      <c r="I1883" s="4" t="s">
        <v>2263</v>
      </c>
      <c r="J1883" s="4" t="s">
        <v>2263</v>
      </c>
      <c r="K1883" s="4" t="s">
        <v>2495</v>
      </c>
      <c r="L1883" s="10">
        <v>6</v>
      </c>
      <c r="M1883" s="5">
        <v>756.85053571428568</v>
      </c>
      <c r="N1883" s="5">
        <v>4541.1032142857102</v>
      </c>
    </row>
    <row r="1884" spans="1:14" x14ac:dyDescent="0.25">
      <c r="A1884" s="4" t="s">
        <v>2344</v>
      </c>
      <c r="B1884" s="4" t="s">
        <v>5154</v>
      </c>
      <c r="C1884" s="4" t="s">
        <v>2320</v>
      </c>
      <c r="D1884" s="4" t="s">
        <v>242</v>
      </c>
      <c r="E1884" s="4" t="s">
        <v>2416</v>
      </c>
      <c r="F1884" s="4" t="s">
        <v>2415</v>
      </c>
      <c r="G1884" s="4" t="s">
        <v>2263</v>
      </c>
      <c r="H1884" s="9" t="s">
        <v>2263</v>
      </c>
      <c r="I1884" s="4" t="s">
        <v>2317</v>
      </c>
      <c r="J1884" s="4" t="s">
        <v>2316</v>
      </c>
      <c r="K1884" s="4" t="s">
        <v>2263</v>
      </c>
      <c r="L1884" s="10">
        <v>6</v>
      </c>
      <c r="M1884" s="5">
        <v>841.07974358974366</v>
      </c>
      <c r="N1884" s="5">
        <v>5046.4784615384597</v>
      </c>
    </row>
    <row r="1885" spans="1:14" x14ac:dyDescent="0.25">
      <c r="A1885" s="4" t="s">
        <v>2317</v>
      </c>
      <c r="B1885" s="4" t="s">
        <v>3839</v>
      </c>
      <c r="C1885" s="4" t="s">
        <v>2320</v>
      </c>
      <c r="D1885" s="4" t="s">
        <v>242</v>
      </c>
      <c r="E1885" s="4" t="s">
        <v>3841</v>
      </c>
      <c r="F1885" s="4" t="s">
        <v>3840</v>
      </c>
      <c r="G1885" s="4" t="s">
        <v>2263</v>
      </c>
      <c r="H1885" s="9" t="s">
        <v>2263</v>
      </c>
      <c r="I1885" s="4" t="s">
        <v>2317</v>
      </c>
      <c r="J1885" s="4" t="s">
        <v>2316</v>
      </c>
      <c r="K1885" s="4" t="s">
        <v>2263</v>
      </c>
      <c r="L1885" s="10">
        <v>6</v>
      </c>
      <c r="M1885" s="5">
        <v>1111.6666666666665</v>
      </c>
      <c r="N1885" s="5">
        <v>6670</v>
      </c>
    </row>
    <row r="1886" spans="1:14" x14ac:dyDescent="0.25">
      <c r="A1886" s="4" t="s">
        <v>2320</v>
      </c>
      <c r="B1886" s="4" t="s">
        <v>4967</v>
      </c>
      <c r="C1886" s="4" t="s">
        <v>2344</v>
      </c>
      <c r="D1886" s="4" t="s">
        <v>237</v>
      </c>
      <c r="E1886" s="4" t="s">
        <v>2447</v>
      </c>
      <c r="F1886" s="4" t="s">
        <v>2446</v>
      </c>
      <c r="G1886" s="4" t="s">
        <v>2263</v>
      </c>
      <c r="H1886" s="9" t="s">
        <v>2263</v>
      </c>
      <c r="I1886" s="4" t="s">
        <v>2263</v>
      </c>
      <c r="J1886" s="4" t="s">
        <v>2263</v>
      </c>
      <c r="K1886" s="4" t="s">
        <v>2445</v>
      </c>
      <c r="L1886" s="10">
        <v>6</v>
      </c>
      <c r="M1886" s="5">
        <v>1287.0478666666668</v>
      </c>
      <c r="N1886" s="5">
        <v>7722.2871999999998</v>
      </c>
    </row>
    <row r="1887" spans="1:14" x14ac:dyDescent="0.25">
      <c r="A1887" s="4" t="s">
        <v>3801</v>
      </c>
      <c r="B1887" s="4" t="s">
        <v>4965</v>
      </c>
      <c r="C1887" s="4" t="s">
        <v>2344</v>
      </c>
      <c r="D1887" s="4" t="s">
        <v>237</v>
      </c>
      <c r="E1887" s="4" t="s">
        <v>2447</v>
      </c>
      <c r="F1887" s="4" t="s">
        <v>2446</v>
      </c>
      <c r="G1887" s="4" t="s">
        <v>2263</v>
      </c>
      <c r="H1887" s="9" t="s">
        <v>2263</v>
      </c>
      <c r="I1887" s="4" t="s">
        <v>2263</v>
      </c>
      <c r="J1887" s="4" t="s">
        <v>2263</v>
      </c>
      <c r="K1887" s="4" t="s">
        <v>2445</v>
      </c>
      <c r="L1887" s="10">
        <v>6</v>
      </c>
      <c r="M1887" s="5">
        <v>1287.0478666666668</v>
      </c>
      <c r="N1887" s="5">
        <v>7722.2871999999998</v>
      </c>
    </row>
    <row r="1888" spans="1:14" x14ac:dyDescent="0.25">
      <c r="A1888" s="4" t="s">
        <v>2279</v>
      </c>
      <c r="B1888" s="4" t="s">
        <v>4963</v>
      </c>
      <c r="C1888" s="4" t="s">
        <v>2344</v>
      </c>
      <c r="D1888" s="4" t="s">
        <v>237</v>
      </c>
      <c r="E1888" s="4" t="s">
        <v>2447</v>
      </c>
      <c r="F1888" s="4" t="s">
        <v>2446</v>
      </c>
      <c r="G1888" s="4" t="s">
        <v>2263</v>
      </c>
      <c r="H1888" s="9" t="s">
        <v>2263</v>
      </c>
      <c r="I1888" s="4" t="s">
        <v>2263</v>
      </c>
      <c r="J1888" s="4" t="s">
        <v>2263</v>
      </c>
      <c r="K1888" s="4" t="s">
        <v>2445</v>
      </c>
      <c r="L1888" s="10">
        <v>6</v>
      </c>
      <c r="M1888" s="5">
        <v>1287.0478666666668</v>
      </c>
      <c r="N1888" s="5">
        <v>7722.2871999999998</v>
      </c>
    </row>
    <row r="1889" spans="1:14" x14ac:dyDescent="0.25">
      <c r="A1889" s="4" t="s">
        <v>2481</v>
      </c>
      <c r="B1889" s="4" t="s">
        <v>3217</v>
      </c>
      <c r="C1889" s="4" t="s">
        <v>2344</v>
      </c>
      <c r="D1889" s="4" t="s">
        <v>237</v>
      </c>
      <c r="E1889" s="4" t="s">
        <v>2447</v>
      </c>
      <c r="F1889" s="4" t="s">
        <v>2446</v>
      </c>
      <c r="G1889" s="4" t="s">
        <v>2263</v>
      </c>
      <c r="H1889" s="9" t="s">
        <v>2263</v>
      </c>
      <c r="I1889" s="4" t="s">
        <v>2263</v>
      </c>
      <c r="J1889" s="4" t="s">
        <v>2263</v>
      </c>
      <c r="K1889" s="4" t="s">
        <v>2445</v>
      </c>
      <c r="L1889" s="10">
        <v>6</v>
      </c>
      <c r="M1889" s="5">
        <v>1287.0478666666668</v>
      </c>
      <c r="N1889" s="5">
        <v>7722.2871999999998</v>
      </c>
    </row>
    <row r="1890" spans="1:14" x14ac:dyDescent="0.25">
      <c r="A1890" s="4" t="s">
        <v>3196</v>
      </c>
      <c r="B1890" s="4" t="s">
        <v>3195</v>
      </c>
      <c r="C1890" s="4" t="s">
        <v>2344</v>
      </c>
      <c r="D1890" s="4" t="s">
        <v>237</v>
      </c>
      <c r="E1890" s="4" t="s">
        <v>2447</v>
      </c>
      <c r="F1890" s="4" t="s">
        <v>2446</v>
      </c>
      <c r="G1890" s="4" t="s">
        <v>2263</v>
      </c>
      <c r="H1890" s="9" t="s">
        <v>2263</v>
      </c>
      <c r="I1890" s="4" t="s">
        <v>2263</v>
      </c>
      <c r="J1890" s="4" t="s">
        <v>2263</v>
      </c>
      <c r="K1890" s="4" t="s">
        <v>2445</v>
      </c>
      <c r="L1890" s="10">
        <v>6</v>
      </c>
      <c r="M1890" s="5">
        <v>1287.0478666666668</v>
      </c>
      <c r="N1890" s="5">
        <v>7722.2871999999998</v>
      </c>
    </row>
    <row r="1891" spans="1:14" x14ac:dyDescent="0.25">
      <c r="A1891" s="4" t="s">
        <v>2384</v>
      </c>
      <c r="B1891" s="4" t="s">
        <v>3187</v>
      </c>
      <c r="C1891" s="4" t="s">
        <v>2344</v>
      </c>
      <c r="D1891" s="4" t="s">
        <v>237</v>
      </c>
      <c r="E1891" s="4" t="s">
        <v>2447</v>
      </c>
      <c r="F1891" s="4" t="s">
        <v>2446</v>
      </c>
      <c r="G1891" s="4" t="s">
        <v>2263</v>
      </c>
      <c r="H1891" s="9" t="s">
        <v>2263</v>
      </c>
      <c r="I1891" s="4" t="s">
        <v>2263</v>
      </c>
      <c r="J1891" s="4" t="s">
        <v>2263</v>
      </c>
      <c r="K1891" s="4" t="s">
        <v>2445</v>
      </c>
      <c r="L1891" s="10">
        <v>6</v>
      </c>
      <c r="M1891" s="5">
        <v>1287.0478666666668</v>
      </c>
      <c r="N1891" s="5">
        <v>7722.2871999999998</v>
      </c>
    </row>
    <row r="1892" spans="1:14" x14ac:dyDescent="0.25">
      <c r="A1892" s="4" t="s">
        <v>3174</v>
      </c>
      <c r="B1892" s="4" t="s">
        <v>3173</v>
      </c>
      <c r="C1892" s="4" t="s">
        <v>2344</v>
      </c>
      <c r="D1892" s="4" t="s">
        <v>237</v>
      </c>
      <c r="E1892" s="4" t="s">
        <v>2447</v>
      </c>
      <c r="F1892" s="4" t="s">
        <v>2446</v>
      </c>
      <c r="G1892" s="4" t="s">
        <v>2263</v>
      </c>
      <c r="H1892" s="9" t="s">
        <v>2263</v>
      </c>
      <c r="I1892" s="4" t="s">
        <v>2263</v>
      </c>
      <c r="J1892" s="4" t="s">
        <v>2263</v>
      </c>
      <c r="K1892" s="4" t="s">
        <v>2445</v>
      </c>
      <c r="L1892" s="10">
        <v>6</v>
      </c>
      <c r="M1892" s="5">
        <v>1287.0478666666668</v>
      </c>
      <c r="N1892" s="5">
        <v>7722.2871999999998</v>
      </c>
    </row>
    <row r="1893" spans="1:14" x14ac:dyDescent="0.25">
      <c r="A1893" s="4" t="s">
        <v>3104</v>
      </c>
      <c r="B1893" s="4" t="s">
        <v>3103</v>
      </c>
      <c r="C1893" s="4" t="s">
        <v>2344</v>
      </c>
      <c r="D1893" s="4" t="s">
        <v>237</v>
      </c>
      <c r="E1893" s="4" t="s">
        <v>2447</v>
      </c>
      <c r="F1893" s="4" t="s">
        <v>2446</v>
      </c>
      <c r="G1893" s="4" t="s">
        <v>2263</v>
      </c>
      <c r="H1893" s="9" t="s">
        <v>2263</v>
      </c>
      <c r="I1893" s="4" t="s">
        <v>2263</v>
      </c>
      <c r="J1893" s="4" t="s">
        <v>2263</v>
      </c>
      <c r="K1893" s="4" t="s">
        <v>2445</v>
      </c>
      <c r="L1893" s="10">
        <v>6</v>
      </c>
      <c r="M1893" s="5">
        <v>1287.0478666666668</v>
      </c>
      <c r="N1893" s="5">
        <v>7722.2871999999998</v>
      </c>
    </row>
    <row r="1894" spans="1:14" x14ac:dyDescent="0.25">
      <c r="A1894" s="4" t="s">
        <v>3063</v>
      </c>
      <c r="B1894" s="4" t="s">
        <v>3062</v>
      </c>
      <c r="C1894" s="4" t="s">
        <v>2344</v>
      </c>
      <c r="D1894" s="4" t="s">
        <v>237</v>
      </c>
      <c r="E1894" s="4" t="s">
        <v>2447</v>
      </c>
      <c r="F1894" s="4" t="s">
        <v>2446</v>
      </c>
      <c r="G1894" s="4" t="s">
        <v>2263</v>
      </c>
      <c r="H1894" s="9" t="s">
        <v>2263</v>
      </c>
      <c r="I1894" s="4" t="s">
        <v>2263</v>
      </c>
      <c r="J1894" s="4" t="s">
        <v>2263</v>
      </c>
      <c r="K1894" s="4" t="s">
        <v>2445</v>
      </c>
      <c r="L1894" s="10">
        <v>6</v>
      </c>
      <c r="M1894" s="5">
        <v>1287.0478666666668</v>
      </c>
      <c r="N1894" s="5">
        <v>7722.2871999999998</v>
      </c>
    </row>
    <row r="1895" spans="1:14" x14ac:dyDescent="0.25">
      <c r="A1895" s="4" t="s">
        <v>3051</v>
      </c>
      <c r="B1895" s="4" t="s">
        <v>3050</v>
      </c>
      <c r="C1895" s="4" t="s">
        <v>2344</v>
      </c>
      <c r="D1895" s="4" t="s">
        <v>237</v>
      </c>
      <c r="E1895" s="4" t="s">
        <v>2447</v>
      </c>
      <c r="F1895" s="4" t="s">
        <v>2446</v>
      </c>
      <c r="G1895" s="4" t="s">
        <v>2263</v>
      </c>
      <c r="H1895" s="9" t="s">
        <v>2263</v>
      </c>
      <c r="I1895" s="4" t="s">
        <v>2263</v>
      </c>
      <c r="J1895" s="4" t="s">
        <v>2263</v>
      </c>
      <c r="K1895" s="4" t="s">
        <v>2445</v>
      </c>
      <c r="L1895" s="10">
        <v>6</v>
      </c>
      <c r="M1895" s="5">
        <v>1287.0478666666668</v>
      </c>
      <c r="N1895" s="5">
        <v>7722.2871999999998</v>
      </c>
    </row>
    <row r="1896" spans="1:14" x14ac:dyDescent="0.25">
      <c r="A1896" s="4" t="s">
        <v>3024</v>
      </c>
      <c r="B1896" s="4" t="s">
        <v>3023</v>
      </c>
      <c r="C1896" s="4" t="s">
        <v>2344</v>
      </c>
      <c r="D1896" s="4" t="s">
        <v>237</v>
      </c>
      <c r="E1896" s="4" t="s">
        <v>2447</v>
      </c>
      <c r="F1896" s="4" t="s">
        <v>2446</v>
      </c>
      <c r="G1896" s="4" t="s">
        <v>2263</v>
      </c>
      <c r="H1896" s="9" t="s">
        <v>2263</v>
      </c>
      <c r="I1896" s="4" t="s">
        <v>2263</v>
      </c>
      <c r="J1896" s="4" t="s">
        <v>2263</v>
      </c>
      <c r="K1896" s="4" t="s">
        <v>2445</v>
      </c>
      <c r="L1896" s="10">
        <v>6</v>
      </c>
      <c r="M1896" s="5">
        <v>1287.0478666666668</v>
      </c>
      <c r="N1896" s="5">
        <v>7722.2871999999998</v>
      </c>
    </row>
    <row r="1897" spans="1:14" x14ac:dyDescent="0.25">
      <c r="A1897" s="4" t="s">
        <v>2386</v>
      </c>
      <c r="B1897" s="4" t="s">
        <v>2385</v>
      </c>
      <c r="C1897" s="4" t="s">
        <v>2344</v>
      </c>
      <c r="D1897" s="4" t="s">
        <v>237</v>
      </c>
      <c r="E1897" s="4" t="s">
        <v>2447</v>
      </c>
      <c r="F1897" s="4" t="s">
        <v>2446</v>
      </c>
      <c r="G1897" s="4" t="s">
        <v>2263</v>
      </c>
      <c r="H1897" s="9" t="s">
        <v>2263</v>
      </c>
      <c r="I1897" s="4" t="s">
        <v>2263</v>
      </c>
      <c r="J1897" s="4" t="s">
        <v>2263</v>
      </c>
      <c r="K1897" s="4" t="s">
        <v>2445</v>
      </c>
      <c r="L1897" s="10">
        <v>6</v>
      </c>
      <c r="M1897" s="5">
        <v>1287.0478666666668</v>
      </c>
      <c r="N1897" s="5">
        <v>7722.2871999999998</v>
      </c>
    </row>
    <row r="1898" spans="1:14" x14ac:dyDescent="0.25">
      <c r="A1898" s="4" t="s">
        <v>2344</v>
      </c>
      <c r="B1898" s="4" t="s">
        <v>5154</v>
      </c>
      <c r="C1898" s="4" t="s">
        <v>2320</v>
      </c>
      <c r="D1898" s="4" t="s">
        <v>242</v>
      </c>
      <c r="E1898" s="4" t="s">
        <v>2711</v>
      </c>
      <c r="F1898" s="4" t="s">
        <v>2710</v>
      </c>
      <c r="G1898" s="4" t="s">
        <v>2263</v>
      </c>
      <c r="H1898" s="9" t="s">
        <v>2263</v>
      </c>
      <c r="I1898" s="4" t="s">
        <v>2317</v>
      </c>
      <c r="J1898" s="4" t="s">
        <v>2316</v>
      </c>
      <c r="K1898" s="4" t="s">
        <v>2263</v>
      </c>
      <c r="L1898" s="10">
        <v>6</v>
      </c>
      <c r="M1898" s="5">
        <v>1558.1416494845362</v>
      </c>
      <c r="N1898" s="5">
        <v>9348.8498969072207</v>
      </c>
    </row>
    <row r="1899" spans="1:14" x14ac:dyDescent="0.25">
      <c r="A1899" s="4" t="s">
        <v>2344</v>
      </c>
      <c r="B1899" s="4" t="s">
        <v>5154</v>
      </c>
      <c r="C1899" s="4" t="s">
        <v>2344</v>
      </c>
      <c r="D1899" s="4" t="s">
        <v>237</v>
      </c>
      <c r="E1899" s="4" t="s">
        <v>3061</v>
      </c>
      <c r="F1899" s="4" t="s">
        <v>3048</v>
      </c>
      <c r="G1899" s="4" t="s">
        <v>2263</v>
      </c>
      <c r="H1899" s="9" t="s">
        <v>2263</v>
      </c>
      <c r="I1899" s="4" t="s">
        <v>2263</v>
      </c>
      <c r="J1899" s="4" t="s">
        <v>2263</v>
      </c>
      <c r="K1899" s="4" t="s">
        <v>3047</v>
      </c>
      <c r="L1899" s="10">
        <v>6</v>
      </c>
      <c r="M1899" s="5">
        <v>1652.1557466063348</v>
      </c>
      <c r="N1899" s="5">
        <v>9912.9344796380101</v>
      </c>
    </row>
    <row r="1900" spans="1:14" x14ac:dyDescent="0.25">
      <c r="A1900" s="4" t="s">
        <v>2320</v>
      </c>
      <c r="B1900" s="4" t="s">
        <v>4967</v>
      </c>
      <c r="C1900" s="4" t="s">
        <v>2320</v>
      </c>
      <c r="D1900" s="4" t="s">
        <v>242</v>
      </c>
      <c r="E1900" s="4" t="s">
        <v>2709</v>
      </c>
      <c r="F1900" s="4" t="s">
        <v>2708</v>
      </c>
      <c r="G1900" s="4" t="s">
        <v>2263</v>
      </c>
      <c r="H1900" s="9" t="s">
        <v>2263</v>
      </c>
      <c r="I1900" s="4" t="s">
        <v>2317</v>
      </c>
      <c r="J1900" s="4" t="s">
        <v>2316</v>
      </c>
      <c r="K1900" s="4" t="s">
        <v>2263</v>
      </c>
      <c r="L1900" s="10">
        <v>6</v>
      </c>
      <c r="M1900" s="5">
        <v>2022.0220430107527</v>
      </c>
      <c r="N1900" s="5">
        <v>12132.132258064519</v>
      </c>
    </row>
    <row r="1901" spans="1:14" x14ac:dyDescent="0.25">
      <c r="A1901" s="4" t="s">
        <v>2320</v>
      </c>
      <c r="B1901" s="4" t="s">
        <v>4967</v>
      </c>
      <c r="C1901" s="4" t="s">
        <v>2344</v>
      </c>
      <c r="D1901" s="4" t="s">
        <v>237</v>
      </c>
      <c r="E1901" s="4" t="s">
        <v>3043</v>
      </c>
      <c r="F1901" s="4" t="s">
        <v>2458</v>
      </c>
      <c r="G1901" s="4" t="s">
        <v>2263</v>
      </c>
      <c r="H1901" s="9" t="s">
        <v>2263</v>
      </c>
      <c r="I1901" s="4" t="s">
        <v>2263</v>
      </c>
      <c r="J1901" s="4" t="s">
        <v>2263</v>
      </c>
      <c r="K1901" s="4" t="s">
        <v>2457</v>
      </c>
      <c r="L1901" s="10">
        <v>6</v>
      </c>
      <c r="M1901" s="5">
        <v>2256.593404255319</v>
      </c>
      <c r="N1901" s="5">
        <v>13539.56042553191</v>
      </c>
    </row>
    <row r="1902" spans="1:14" x14ac:dyDescent="0.25">
      <c r="A1902" s="4" t="s">
        <v>2269</v>
      </c>
      <c r="B1902" s="4" t="s">
        <v>2268</v>
      </c>
      <c r="C1902" s="4" t="s">
        <v>2279</v>
      </c>
      <c r="D1902" s="4" t="s">
        <v>2278</v>
      </c>
      <c r="E1902" s="4" t="s">
        <v>2308</v>
      </c>
      <c r="F1902" s="4" t="s">
        <v>2284</v>
      </c>
      <c r="G1902" s="4" t="s">
        <v>2263</v>
      </c>
      <c r="H1902" s="9" t="s">
        <v>2263</v>
      </c>
      <c r="I1902" s="4" t="s">
        <v>2263</v>
      </c>
      <c r="J1902" s="4" t="s">
        <v>2263</v>
      </c>
      <c r="K1902" s="4" t="s">
        <v>2283</v>
      </c>
      <c r="L1902" s="10">
        <v>6</v>
      </c>
      <c r="M1902" s="5">
        <v>2291</v>
      </c>
      <c r="N1902" s="5">
        <v>13746</v>
      </c>
    </row>
    <row r="1903" spans="1:14" x14ac:dyDescent="0.25">
      <c r="A1903" s="4" t="s">
        <v>2344</v>
      </c>
      <c r="B1903" s="4" t="s">
        <v>5154</v>
      </c>
      <c r="C1903" s="4" t="s">
        <v>2344</v>
      </c>
      <c r="D1903" s="4" t="s">
        <v>237</v>
      </c>
      <c r="E1903" s="4" t="s">
        <v>5379</v>
      </c>
      <c r="F1903" s="4" t="s">
        <v>3120</v>
      </c>
      <c r="G1903" s="4" t="s">
        <v>2263</v>
      </c>
      <c r="H1903" s="9" t="s">
        <v>2263</v>
      </c>
      <c r="I1903" s="4" t="s">
        <v>2263</v>
      </c>
      <c r="J1903" s="4" t="s">
        <v>2263</v>
      </c>
      <c r="K1903" s="4" t="s">
        <v>3119</v>
      </c>
      <c r="L1903" s="10">
        <v>6</v>
      </c>
      <c r="M1903" s="5">
        <v>3328.5</v>
      </c>
      <c r="N1903" s="5">
        <v>19971</v>
      </c>
    </row>
    <row r="1904" spans="1:14" x14ac:dyDescent="0.25">
      <c r="A1904" s="4" t="s">
        <v>2653</v>
      </c>
      <c r="B1904" s="4" t="s">
        <v>3226</v>
      </c>
      <c r="C1904" s="4" t="s">
        <v>3107</v>
      </c>
      <c r="D1904" s="4" t="s">
        <v>1105</v>
      </c>
      <c r="E1904" s="4" t="s">
        <v>3709</v>
      </c>
      <c r="F1904" s="4" t="s">
        <v>3708</v>
      </c>
      <c r="G1904" s="4" t="s">
        <v>2263</v>
      </c>
      <c r="H1904" s="9" t="s">
        <v>2263</v>
      </c>
      <c r="I1904" s="4" t="s">
        <v>2317</v>
      </c>
      <c r="J1904" s="4" t="s">
        <v>2316</v>
      </c>
      <c r="K1904" s="4" t="s">
        <v>2263</v>
      </c>
      <c r="L1904" s="10">
        <v>6</v>
      </c>
      <c r="M1904" s="5">
        <v>3414.8666666666663</v>
      </c>
      <c r="N1904" s="5">
        <v>20489.2</v>
      </c>
    </row>
    <row r="1905" spans="1:14" x14ac:dyDescent="0.25">
      <c r="A1905" s="4" t="s">
        <v>2274</v>
      </c>
      <c r="B1905" s="4" t="s">
        <v>4348</v>
      </c>
      <c r="C1905" s="4" t="s">
        <v>2344</v>
      </c>
      <c r="D1905" s="4" t="s">
        <v>237</v>
      </c>
      <c r="E1905" s="4" t="s">
        <v>4814</v>
      </c>
      <c r="F1905" s="4" t="s">
        <v>4813</v>
      </c>
      <c r="G1905" s="4" t="s">
        <v>2263</v>
      </c>
      <c r="H1905" s="9" t="s">
        <v>2263</v>
      </c>
      <c r="I1905" s="4" t="s">
        <v>2263</v>
      </c>
      <c r="J1905" s="4" t="s">
        <v>2263</v>
      </c>
      <c r="K1905" s="4" t="s">
        <v>4812</v>
      </c>
      <c r="L1905" s="10">
        <v>6</v>
      </c>
      <c r="M1905" s="5">
        <v>4386.9977777777776</v>
      </c>
      <c r="N1905" s="5">
        <v>26321.986666666671</v>
      </c>
    </row>
    <row r="1906" spans="1:14" x14ac:dyDescent="0.25">
      <c r="A1906" s="4" t="s">
        <v>2344</v>
      </c>
      <c r="B1906" s="4" t="s">
        <v>5154</v>
      </c>
      <c r="C1906" s="4" t="s">
        <v>2344</v>
      </c>
      <c r="D1906" s="4" t="s">
        <v>237</v>
      </c>
      <c r="E1906" s="4" t="s">
        <v>4575</v>
      </c>
      <c r="F1906" s="4" t="s">
        <v>4574</v>
      </c>
      <c r="G1906" s="4" t="s">
        <v>2263</v>
      </c>
      <c r="H1906" s="9" t="s">
        <v>2263</v>
      </c>
      <c r="I1906" s="4" t="s">
        <v>2263</v>
      </c>
      <c r="J1906" s="4" t="s">
        <v>2263</v>
      </c>
      <c r="K1906" s="4" t="s">
        <v>4573</v>
      </c>
      <c r="L1906" s="10">
        <v>6</v>
      </c>
      <c r="M1906" s="5">
        <v>4749.7633333333333</v>
      </c>
      <c r="N1906" s="5">
        <v>28498.58</v>
      </c>
    </row>
    <row r="1907" spans="1:14" x14ac:dyDescent="0.25">
      <c r="A1907" s="4" t="s">
        <v>3145</v>
      </c>
      <c r="B1907" s="4" t="s">
        <v>3144</v>
      </c>
      <c r="C1907" s="4" t="s">
        <v>2320</v>
      </c>
      <c r="D1907" s="4" t="s">
        <v>242</v>
      </c>
      <c r="E1907" s="4" t="s">
        <v>3155</v>
      </c>
      <c r="F1907" s="4" t="s">
        <v>3154</v>
      </c>
      <c r="G1907" s="4" t="s">
        <v>2263</v>
      </c>
      <c r="H1907" s="9" t="s">
        <v>2263</v>
      </c>
      <c r="I1907" s="4" t="s">
        <v>2317</v>
      </c>
      <c r="J1907" s="4" t="s">
        <v>2316</v>
      </c>
      <c r="K1907" s="4" t="s">
        <v>2263</v>
      </c>
      <c r="L1907" s="10">
        <v>6</v>
      </c>
      <c r="M1907" s="5">
        <v>5585.4120765027319</v>
      </c>
      <c r="N1907" s="5">
        <v>33512.47245901639</v>
      </c>
    </row>
    <row r="1908" spans="1:14" x14ac:dyDescent="0.25">
      <c r="A1908" s="4" t="s">
        <v>2320</v>
      </c>
      <c r="B1908" s="4" t="s">
        <v>4967</v>
      </c>
      <c r="C1908" s="4" t="s">
        <v>2320</v>
      </c>
      <c r="D1908" s="4" t="s">
        <v>242</v>
      </c>
      <c r="E1908" s="4" t="s">
        <v>2699</v>
      </c>
      <c r="F1908" s="4" t="s">
        <v>2698</v>
      </c>
      <c r="G1908" s="4" t="s">
        <v>2263</v>
      </c>
      <c r="H1908" s="9" t="s">
        <v>2263</v>
      </c>
      <c r="I1908" s="4" t="s">
        <v>2317</v>
      </c>
      <c r="J1908" s="4" t="s">
        <v>2316</v>
      </c>
      <c r="K1908" s="4" t="s">
        <v>2263</v>
      </c>
      <c r="L1908" s="10">
        <v>6</v>
      </c>
      <c r="M1908" s="5">
        <v>5898.3784375000005</v>
      </c>
      <c r="N1908" s="5">
        <v>35390.270624999997</v>
      </c>
    </row>
    <row r="1909" spans="1:14" x14ac:dyDescent="0.25">
      <c r="A1909" s="4" t="s">
        <v>2344</v>
      </c>
      <c r="B1909" s="4" t="s">
        <v>5154</v>
      </c>
      <c r="C1909" s="4" t="s">
        <v>2320</v>
      </c>
      <c r="D1909" s="4" t="s">
        <v>242</v>
      </c>
      <c r="E1909" s="4" t="s">
        <v>3909</v>
      </c>
      <c r="F1909" s="4" t="s">
        <v>3908</v>
      </c>
      <c r="G1909" s="4" t="s">
        <v>2263</v>
      </c>
      <c r="H1909" s="9" t="s">
        <v>2263</v>
      </c>
      <c r="I1909" s="4" t="s">
        <v>2317</v>
      </c>
      <c r="J1909" s="4" t="s">
        <v>2316</v>
      </c>
      <c r="K1909" s="4" t="s">
        <v>2263</v>
      </c>
      <c r="L1909" s="10">
        <v>6</v>
      </c>
      <c r="M1909" s="5">
        <v>6049.8867924528304</v>
      </c>
      <c r="N1909" s="5">
        <v>36299.32075471698</v>
      </c>
    </row>
    <row r="1910" spans="1:14" x14ac:dyDescent="0.25">
      <c r="A1910" s="4" t="s">
        <v>2653</v>
      </c>
      <c r="B1910" s="4" t="s">
        <v>3226</v>
      </c>
      <c r="C1910" s="4" t="s">
        <v>3107</v>
      </c>
      <c r="D1910" s="4" t="s">
        <v>1105</v>
      </c>
      <c r="E1910" s="4" t="s">
        <v>3717</v>
      </c>
      <c r="F1910" s="4" t="s">
        <v>3716</v>
      </c>
      <c r="G1910" s="4" t="s">
        <v>2263</v>
      </c>
      <c r="H1910" s="9" t="s">
        <v>2263</v>
      </c>
      <c r="I1910" s="4" t="s">
        <v>2317</v>
      </c>
      <c r="J1910" s="4" t="s">
        <v>2316</v>
      </c>
      <c r="K1910" s="4" t="s">
        <v>2263</v>
      </c>
      <c r="L1910" s="10">
        <v>6</v>
      </c>
      <c r="M1910" s="5">
        <v>6120.8050000000003</v>
      </c>
      <c r="N1910" s="5">
        <v>36724.83</v>
      </c>
    </row>
    <row r="1911" spans="1:14" x14ac:dyDescent="0.25">
      <c r="A1911" s="4" t="s">
        <v>2344</v>
      </c>
      <c r="B1911" s="4" t="s">
        <v>5154</v>
      </c>
      <c r="C1911" s="4" t="s">
        <v>2320</v>
      </c>
      <c r="D1911" s="4" t="s">
        <v>242</v>
      </c>
      <c r="E1911" s="4" t="s">
        <v>3919</v>
      </c>
      <c r="F1911" s="4" t="s">
        <v>3918</v>
      </c>
      <c r="G1911" s="4" t="s">
        <v>2263</v>
      </c>
      <c r="H1911" s="9" t="s">
        <v>2263</v>
      </c>
      <c r="I1911" s="4" t="s">
        <v>2317</v>
      </c>
      <c r="J1911" s="4" t="s">
        <v>2316</v>
      </c>
      <c r="K1911" s="4" t="s">
        <v>2263</v>
      </c>
      <c r="L1911" s="10">
        <v>6</v>
      </c>
      <c r="M1911" s="5">
        <v>6786.375</v>
      </c>
      <c r="N1911" s="5">
        <v>40718.25</v>
      </c>
    </row>
    <row r="1912" spans="1:14" x14ac:dyDescent="0.25">
      <c r="A1912" s="4" t="s">
        <v>2320</v>
      </c>
      <c r="B1912" s="4" t="s">
        <v>4967</v>
      </c>
      <c r="C1912" s="4" t="s">
        <v>2320</v>
      </c>
      <c r="D1912" s="4" t="s">
        <v>242</v>
      </c>
      <c r="E1912" s="4" t="s">
        <v>3919</v>
      </c>
      <c r="F1912" s="4" t="s">
        <v>3918</v>
      </c>
      <c r="G1912" s="4" t="s">
        <v>2263</v>
      </c>
      <c r="H1912" s="9" t="s">
        <v>2263</v>
      </c>
      <c r="I1912" s="4" t="s">
        <v>2317</v>
      </c>
      <c r="J1912" s="4" t="s">
        <v>2316</v>
      </c>
      <c r="K1912" s="4" t="s">
        <v>2263</v>
      </c>
      <c r="L1912" s="10">
        <v>6</v>
      </c>
      <c r="M1912" s="5">
        <v>6786.375</v>
      </c>
      <c r="N1912" s="5">
        <v>40718.25</v>
      </c>
    </row>
    <row r="1913" spans="1:14" x14ac:dyDescent="0.25">
      <c r="A1913" s="4" t="s">
        <v>2320</v>
      </c>
      <c r="B1913" s="4" t="s">
        <v>4967</v>
      </c>
      <c r="C1913" s="4" t="s">
        <v>2344</v>
      </c>
      <c r="D1913" s="4" t="s">
        <v>237</v>
      </c>
      <c r="E1913" s="4" t="s">
        <v>4946</v>
      </c>
      <c r="F1913" s="4" t="s">
        <v>4945</v>
      </c>
      <c r="G1913" s="4" t="s">
        <v>2263</v>
      </c>
      <c r="H1913" s="9" t="s">
        <v>2263</v>
      </c>
      <c r="I1913" s="4" t="s">
        <v>2263</v>
      </c>
      <c r="J1913" s="4" t="s">
        <v>2263</v>
      </c>
      <c r="K1913" s="4" t="s">
        <v>4944</v>
      </c>
      <c r="L1913" s="10">
        <v>6</v>
      </c>
      <c r="M1913" s="5">
        <v>7040.1296296296296</v>
      </c>
      <c r="N1913" s="5">
        <v>42240.777777777781</v>
      </c>
    </row>
    <row r="1914" spans="1:14" x14ac:dyDescent="0.25">
      <c r="A1914" s="4" t="s">
        <v>2653</v>
      </c>
      <c r="B1914" s="4" t="s">
        <v>3226</v>
      </c>
      <c r="C1914" s="4" t="s">
        <v>3107</v>
      </c>
      <c r="D1914" s="4" t="s">
        <v>1105</v>
      </c>
      <c r="E1914" s="4" t="s">
        <v>3683</v>
      </c>
      <c r="F1914" s="4" t="s">
        <v>3682</v>
      </c>
      <c r="G1914" s="4" t="s">
        <v>2263</v>
      </c>
      <c r="H1914" s="9" t="s">
        <v>2263</v>
      </c>
      <c r="I1914" s="4" t="s">
        <v>2317</v>
      </c>
      <c r="J1914" s="4" t="s">
        <v>2316</v>
      </c>
      <c r="K1914" s="4" t="s">
        <v>2263</v>
      </c>
      <c r="L1914" s="10">
        <v>6</v>
      </c>
      <c r="M1914" s="5">
        <v>7587.166666666667</v>
      </c>
      <c r="N1914" s="5">
        <v>45523</v>
      </c>
    </row>
    <row r="1915" spans="1:14" x14ac:dyDescent="0.25">
      <c r="A1915" s="4" t="s">
        <v>2865</v>
      </c>
      <c r="B1915" s="4" t="s">
        <v>2864</v>
      </c>
      <c r="C1915" s="4" t="s">
        <v>2344</v>
      </c>
      <c r="D1915" s="4" t="s">
        <v>237</v>
      </c>
      <c r="E1915" s="4" t="s">
        <v>2884</v>
      </c>
      <c r="F1915" s="4" t="s">
        <v>2883</v>
      </c>
      <c r="G1915" s="4" t="s">
        <v>2263</v>
      </c>
      <c r="H1915" s="9" t="s">
        <v>2263</v>
      </c>
      <c r="I1915" s="4" t="s">
        <v>2263</v>
      </c>
      <c r="J1915" s="4" t="s">
        <v>2263</v>
      </c>
      <c r="K1915" s="4" t="s">
        <v>2566</v>
      </c>
      <c r="L1915" s="10">
        <v>6</v>
      </c>
      <c r="M1915" s="5">
        <v>7714.5542857142855</v>
      </c>
      <c r="N1915" s="5">
        <v>46287.325714285711</v>
      </c>
    </row>
    <row r="1916" spans="1:14" x14ac:dyDescent="0.25">
      <c r="A1916" s="4" t="s">
        <v>2653</v>
      </c>
      <c r="B1916" s="4" t="s">
        <v>3226</v>
      </c>
      <c r="C1916" s="4" t="s">
        <v>3107</v>
      </c>
      <c r="D1916" s="4" t="s">
        <v>1105</v>
      </c>
      <c r="E1916" s="4" t="s">
        <v>3701</v>
      </c>
      <c r="F1916" s="4" t="s">
        <v>3700</v>
      </c>
      <c r="G1916" s="4" t="s">
        <v>2263</v>
      </c>
      <c r="H1916" s="9" t="s">
        <v>2263</v>
      </c>
      <c r="I1916" s="4" t="s">
        <v>2317</v>
      </c>
      <c r="J1916" s="4" t="s">
        <v>2316</v>
      </c>
      <c r="K1916" s="4" t="s">
        <v>2263</v>
      </c>
      <c r="L1916" s="10">
        <v>6</v>
      </c>
      <c r="M1916" s="5">
        <v>8065.7466666666669</v>
      </c>
      <c r="N1916" s="5">
        <v>48394.48</v>
      </c>
    </row>
    <row r="1917" spans="1:14" x14ac:dyDescent="0.25">
      <c r="A1917" s="4" t="s">
        <v>2274</v>
      </c>
      <c r="B1917" s="4" t="s">
        <v>4348</v>
      </c>
      <c r="C1917" s="4" t="s">
        <v>2344</v>
      </c>
      <c r="D1917" s="4" t="s">
        <v>237</v>
      </c>
      <c r="E1917" s="4" t="s">
        <v>4679</v>
      </c>
      <c r="F1917" s="4" t="s">
        <v>4678</v>
      </c>
      <c r="G1917" s="4" t="s">
        <v>2263</v>
      </c>
      <c r="H1917" s="9" t="s">
        <v>2263</v>
      </c>
      <c r="I1917" s="4" t="s">
        <v>2263</v>
      </c>
      <c r="J1917" s="4" t="s">
        <v>2263</v>
      </c>
      <c r="K1917" s="4" t="s">
        <v>4677</v>
      </c>
      <c r="L1917" s="10">
        <v>6</v>
      </c>
      <c r="M1917" s="5">
        <v>8500</v>
      </c>
      <c r="N1917" s="5">
        <v>51000</v>
      </c>
    </row>
    <row r="1918" spans="1:14" x14ac:dyDescent="0.25">
      <c r="A1918" s="4" t="s">
        <v>2274</v>
      </c>
      <c r="B1918" s="4" t="s">
        <v>4348</v>
      </c>
      <c r="C1918" s="4" t="s">
        <v>2344</v>
      </c>
      <c r="D1918" s="4" t="s">
        <v>237</v>
      </c>
      <c r="E1918" s="4" t="s">
        <v>4728</v>
      </c>
      <c r="F1918" s="4" t="s">
        <v>2607</v>
      </c>
      <c r="G1918" s="4" t="s">
        <v>2263</v>
      </c>
      <c r="H1918" s="9" t="s">
        <v>2263</v>
      </c>
      <c r="I1918" s="4" t="s">
        <v>2263</v>
      </c>
      <c r="J1918" s="4" t="s">
        <v>2263</v>
      </c>
      <c r="K1918" s="4" t="s">
        <v>2588</v>
      </c>
      <c r="L1918" s="10">
        <v>6</v>
      </c>
      <c r="M1918" s="5">
        <v>8973.6524000000009</v>
      </c>
      <c r="N1918" s="5">
        <v>53841.914400000001</v>
      </c>
    </row>
    <row r="1919" spans="1:14" x14ac:dyDescent="0.25">
      <c r="A1919" s="4" t="s">
        <v>2320</v>
      </c>
      <c r="B1919" s="4" t="s">
        <v>4967</v>
      </c>
      <c r="C1919" s="4" t="s">
        <v>2320</v>
      </c>
      <c r="D1919" s="4" t="s">
        <v>242</v>
      </c>
      <c r="E1919" s="4" t="s">
        <v>3977</v>
      </c>
      <c r="F1919" s="4" t="s">
        <v>3976</v>
      </c>
      <c r="G1919" s="4" t="s">
        <v>2263</v>
      </c>
      <c r="H1919" s="9" t="s">
        <v>2263</v>
      </c>
      <c r="I1919" s="4" t="s">
        <v>2317</v>
      </c>
      <c r="J1919" s="4" t="s">
        <v>2316</v>
      </c>
      <c r="K1919" s="4" t="s">
        <v>2263</v>
      </c>
      <c r="L1919" s="10">
        <v>6</v>
      </c>
      <c r="M1919" s="5">
        <v>9011.8305555555562</v>
      </c>
      <c r="N1919" s="5">
        <v>54070.98333333333</v>
      </c>
    </row>
    <row r="1920" spans="1:14" x14ac:dyDescent="0.25">
      <c r="A1920" s="4" t="s">
        <v>2344</v>
      </c>
      <c r="B1920" s="4" t="s">
        <v>5154</v>
      </c>
      <c r="C1920" s="4" t="s">
        <v>2320</v>
      </c>
      <c r="D1920" s="4" t="s">
        <v>242</v>
      </c>
      <c r="E1920" s="4" t="s">
        <v>3953</v>
      </c>
      <c r="F1920" s="4" t="s">
        <v>3952</v>
      </c>
      <c r="G1920" s="4" t="s">
        <v>2263</v>
      </c>
      <c r="H1920" s="9" t="s">
        <v>2263</v>
      </c>
      <c r="I1920" s="4" t="s">
        <v>2317</v>
      </c>
      <c r="J1920" s="4" t="s">
        <v>2316</v>
      </c>
      <c r="K1920" s="4" t="s">
        <v>2263</v>
      </c>
      <c r="L1920" s="10">
        <v>6</v>
      </c>
      <c r="M1920" s="5">
        <v>9188.3127499999991</v>
      </c>
      <c r="N1920" s="5">
        <v>55129.876499999998</v>
      </c>
    </row>
    <row r="1921" spans="1:14" x14ac:dyDescent="0.25">
      <c r="A1921" s="4" t="s">
        <v>2344</v>
      </c>
      <c r="B1921" s="4" t="s">
        <v>5154</v>
      </c>
      <c r="C1921" s="4" t="s">
        <v>2481</v>
      </c>
      <c r="D1921" s="4" t="s">
        <v>2480</v>
      </c>
      <c r="E1921" s="4" t="s">
        <v>4355</v>
      </c>
      <c r="F1921" s="4" t="s">
        <v>4354</v>
      </c>
      <c r="G1921" s="4" t="s">
        <v>2263</v>
      </c>
      <c r="H1921" s="9" t="s">
        <v>2263</v>
      </c>
      <c r="I1921" s="4" t="s">
        <v>2263</v>
      </c>
      <c r="J1921" s="4" t="s">
        <v>2263</v>
      </c>
      <c r="K1921" s="4" t="s">
        <v>2484</v>
      </c>
      <c r="L1921" s="10">
        <v>6</v>
      </c>
      <c r="M1921" s="5">
        <v>9246.2649999999994</v>
      </c>
      <c r="N1921" s="5">
        <v>55477.59</v>
      </c>
    </row>
    <row r="1922" spans="1:14" x14ac:dyDescent="0.25">
      <c r="A1922" s="4" t="s">
        <v>3125</v>
      </c>
      <c r="B1922" s="4" t="s">
        <v>3124</v>
      </c>
      <c r="C1922" s="4" t="s">
        <v>2320</v>
      </c>
      <c r="D1922" s="4" t="s">
        <v>242</v>
      </c>
      <c r="E1922" s="4" t="s">
        <v>3143</v>
      </c>
      <c r="F1922" s="4" t="s">
        <v>3142</v>
      </c>
      <c r="G1922" s="4" t="s">
        <v>2263</v>
      </c>
      <c r="H1922" s="9" t="s">
        <v>2263</v>
      </c>
      <c r="I1922" s="4" t="s">
        <v>2317</v>
      </c>
      <c r="J1922" s="4" t="s">
        <v>2316</v>
      </c>
      <c r="K1922" s="4" t="s">
        <v>2263</v>
      </c>
      <c r="L1922" s="10">
        <v>6</v>
      </c>
      <c r="M1922" s="5">
        <v>9283.9847619047632</v>
      </c>
      <c r="N1922" s="5">
        <v>55703.908571428568</v>
      </c>
    </row>
    <row r="1923" spans="1:14" x14ac:dyDescent="0.25">
      <c r="A1923" s="4" t="s">
        <v>2344</v>
      </c>
      <c r="B1923" s="4" t="s">
        <v>5154</v>
      </c>
      <c r="C1923" s="4" t="s">
        <v>2344</v>
      </c>
      <c r="D1923" s="4" t="s">
        <v>237</v>
      </c>
      <c r="E1923" s="4" t="s">
        <v>4654</v>
      </c>
      <c r="F1923" s="4" t="s">
        <v>4653</v>
      </c>
      <c r="G1923" s="4" t="s">
        <v>2263</v>
      </c>
      <c r="H1923" s="9" t="s">
        <v>2263</v>
      </c>
      <c r="I1923" s="4" t="s">
        <v>2263</v>
      </c>
      <c r="J1923" s="4" t="s">
        <v>2263</v>
      </c>
      <c r="K1923" s="4" t="s">
        <v>4652</v>
      </c>
      <c r="L1923" s="10">
        <v>6</v>
      </c>
      <c r="M1923" s="5">
        <v>9399.9156249999996</v>
      </c>
      <c r="N1923" s="5">
        <v>56399.493750000001</v>
      </c>
    </row>
    <row r="1924" spans="1:14" x14ac:dyDescent="0.25">
      <c r="A1924" s="4" t="s">
        <v>2344</v>
      </c>
      <c r="B1924" s="4" t="s">
        <v>5154</v>
      </c>
      <c r="C1924" s="4" t="s">
        <v>2320</v>
      </c>
      <c r="D1924" s="4" t="s">
        <v>242</v>
      </c>
      <c r="E1924" s="4" t="s">
        <v>4067</v>
      </c>
      <c r="F1924" s="4" t="s">
        <v>4066</v>
      </c>
      <c r="G1924" s="4" t="s">
        <v>2263</v>
      </c>
      <c r="H1924" s="9" t="s">
        <v>2263</v>
      </c>
      <c r="I1924" s="4" t="s">
        <v>2317</v>
      </c>
      <c r="J1924" s="4" t="s">
        <v>2316</v>
      </c>
      <c r="K1924" s="4" t="s">
        <v>2263</v>
      </c>
      <c r="L1924" s="10">
        <v>6</v>
      </c>
      <c r="M1924" s="5">
        <v>9463.0059259259251</v>
      </c>
      <c r="N1924" s="5">
        <v>56778.035555555558</v>
      </c>
    </row>
    <row r="1925" spans="1:14" x14ac:dyDescent="0.25">
      <c r="A1925" s="4" t="s">
        <v>2320</v>
      </c>
      <c r="B1925" s="4" t="s">
        <v>4967</v>
      </c>
      <c r="C1925" s="4" t="s">
        <v>2320</v>
      </c>
      <c r="D1925" s="4" t="s">
        <v>242</v>
      </c>
      <c r="E1925" s="4" t="s">
        <v>4315</v>
      </c>
      <c r="F1925" s="4" t="s">
        <v>4314</v>
      </c>
      <c r="G1925" s="4" t="s">
        <v>2263</v>
      </c>
      <c r="H1925" s="9" t="s">
        <v>2263</v>
      </c>
      <c r="I1925" s="4" t="s">
        <v>2317</v>
      </c>
      <c r="J1925" s="4" t="s">
        <v>2316</v>
      </c>
      <c r="K1925" s="4" t="s">
        <v>2263</v>
      </c>
      <c r="L1925" s="10">
        <v>6</v>
      </c>
      <c r="M1925" s="5">
        <v>10061.055555555555</v>
      </c>
      <c r="N1925" s="5">
        <v>60366.333333333328</v>
      </c>
    </row>
    <row r="1926" spans="1:14" x14ac:dyDescent="0.25">
      <c r="A1926" s="4" t="s">
        <v>3125</v>
      </c>
      <c r="B1926" s="4" t="s">
        <v>3124</v>
      </c>
      <c r="C1926" s="4" t="s">
        <v>2320</v>
      </c>
      <c r="D1926" s="4" t="s">
        <v>242</v>
      </c>
      <c r="E1926" s="4" t="s">
        <v>3139</v>
      </c>
      <c r="F1926" s="4" t="s">
        <v>3138</v>
      </c>
      <c r="G1926" s="4" t="s">
        <v>2263</v>
      </c>
      <c r="H1926" s="9" t="s">
        <v>2263</v>
      </c>
      <c r="I1926" s="4" t="s">
        <v>2317</v>
      </c>
      <c r="J1926" s="4" t="s">
        <v>2316</v>
      </c>
      <c r="K1926" s="4" t="s">
        <v>2263</v>
      </c>
      <c r="L1926" s="10">
        <v>6</v>
      </c>
      <c r="M1926" s="5">
        <v>11246.598666666669</v>
      </c>
      <c r="N1926" s="5">
        <v>67479.592000000004</v>
      </c>
    </row>
    <row r="1927" spans="1:14" x14ac:dyDescent="0.25">
      <c r="A1927" s="4" t="s">
        <v>3125</v>
      </c>
      <c r="B1927" s="4" t="s">
        <v>3124</v>
      </c>
      <c r="C1927" s="4" t="s">
        <v>2320</v>
      </c>
      <c r="D1927" s="4" t="s">
        <v>242</v>
      </c>
      <c r="E1927" s="4" t="s">
        <v>3141</v>
      </c>
      <c r="F1927" s="4" t="s">
        <v>3140</v>
      </c>
      <c r="G1927" s="4" t="s">
        <v>2263</v>
      </c>
      <c r="H1927" s="9" t="s">
        <v>2263</v>
      </c>
      <c r="I1927" s="4" t="s">
        <v>2317</v>
      </c>
      <c r="J1927" s="4" t="s">
        <v>2316</v>
      </c>
      <c r="K1927" s="4" t="s">
        <v>2263</v>
      </c>
      <c r="L1927" s="10">
        <v>6</v>
      </c>
      <c r="M1927" s="5">
        <v>11604.883417721519</v>
      </c>
      <c r="N1927" s="5">
        <v>69629.300506329106</v>
      </c>
    </row>
    <row r="1928" spans="1:14" x14ac:dyDescent="0.25">
      <c r="A1928" s="4" t="s">
        <v>3125</v>
      </c>
      <c r="B1928" s="4" t="s">
        <v>3124</v>
      </c>
      <c r="C1928" s="4" t="s">
        <v>2320</v>
      </c>
      <c r="D1928" s="4" t="s">
        <v>242</v>
      </c>
      <c r="E1928" s="4" t="s">
        <v>3129</v>
      </c>
      <c r="F1928" s="4" t="s">
        <v>3128</v>
      </c>
      <c r="G1928" s="4" t="s">
        <v>2263</v>
      </c>
      <c r="H1928" s="9" t="s">
        <v>2263</v>
      </c>
      <c r="I1928" s="4" t="s">
        <v>2317</v>
      </c>
      <c r="J1928" s="4" t="s">
        <v>2316</v>
      </c>
      <c r="K1928" s="4" t="s">
        <v>2263</v>
      </c>
      <c r="L1928" s="10">
        <v>6</v>
      </c>
      <c r="M1928" s="5">
        <v>11805.164179104477</v>
      </c>
      <c r="N1928" s="5">
        <v>70830.985074626864</v>
      </c>
    </row>
    <row r="1929" spans="1:14" x14ac:dyDescent="0.25">
      <c r="A1929" s="4" t="s">
        <v>3125</v>
      </c>
      <c r="B1929" s="4" t="s">
        <v>3124</v>
      </c>
      <c r="C1929" s="4" t="s">
        <v>2320</v>
      </c>
      <c r="D1929" s="4" t="s">
        <v>242</v>
      </c>
      <c r="E1929" s="4" t="s">
        <v>3137</v>
      </c>
      <c r="F1929" s="4" t="s">
        <v>3136</v>
      </c>
      <c r="G1929" s="4" t="s">
        <v>2263</v>
      </c>
      <c r="H1929" s="9" t="s">
        <v>2263</v>
      </c>
      <c r="I1929" s="4" t="s">
        <v>2317</v>
      </c>
      <c r="J1929" s="4" t="s">
        <v>2316</v>
      </c>
      <c r="K1929" s="4" t="s">
        <v>2263</v>
      </c>
      <c r="L1929" s="10">
        <v>6</v>
      </c>
      <c r="M1929" s="5">
        <v>11945.122727272726</v>
      </c>
      <c r="N1929" s="5">
        <v>71670.736363636359</v>
      </c>
    </row>
    <row r="1930" spans="1:14" x14ac:dyDescent="0.25">
      <c r="A1930" s="4" t="s">
        <v>2344</v>
      </c>
      <c r="B1930" s="4" t="s">
        <v>5154</v>
      </c>
      <c r="C1930" s="4" t="s">
        <v>2320</v>
      </c>
      <c r="D1930" s="4" t="s">
        <v>242</v>
      </c>
      <c r="E1930" s="4" t="s">
        <v>2917</v>
      </c>
      <c r="F1930" s="4" t="s">
        <v>2916</v>
      </c>
      <c r="G1930" s="4" t="s">
        <v>2263</v>
      </c>
      <c r="H1930" s="9" t="s">
        <v>2263</v>
      </c>
      <c r="I1930" s="4" t="s">
        <v>2317</v>
      </c>
      <c r="J1930" s="4" t="s">
        <v>2316</v>
      </c>
      <c r="K1930" s="4" t="s">
        <v>2263</v>
      </c>
      <c r="L1930" s="10">
        <v>6</v>
      </c>
      <c r="M1930" s="5">
        <v>12420.510985915495</v>
      </c>
      <c r="N1930" s="5">
        <v>74523.06591549296</v>
      </c>
    </row>
    <row r="1931" spans="1:14" x14ac:dyDescent="0.25">
      <c r="A1931" s="4" t="s">
        <v>2653</v>
      </c>
      <c r="B1931" s="4" t="s">
        <v>3226</v>
      </c>
      <c r="C1931" s="4" t="s">
        <v>2384</v>
      </c>
      <c r="D1931" s="4" t="s">
        <v>262</v>
      </c>
      <c r="E1931" s="4" t="s">
        <v>3338</v>
      </c>
      <c r="F1931" s="4" t="s">
        <v>3337</v>
      </c>
      <c r="G1931" s="4" t="s">
        <v>2263</v>
      </c>
      <c r="H1931" s="9" t="s">
        <v>2263</v>
      </c>
      <c r="I1931" s="4" t="s">
        <v>2317</v>
      </c>
      <c r="J1931" s="4" t="s">
        <v>2316</v>
      </c>
      <c r="K1931" s="4" t="s">
        <v>2263</v>
      </c>
      <c r="L1931" s="10">
        <v>6</v>
      </c>
      <c r="M1931" s="5">
        <v>14637</v>
      </c>
      <c r="N1931" s="5">
        <v>87822</v>
      </c>
    </row>
    <row r="1932" spans="1:14" x14ac:dyDescent="0.25">
      <c r="A1932" s="4" t="s">
        <v>2344</v>
      </c>
      <c r="B1932" s="4" t="s">
        <v>5154</v>
      </c>
      <c r="C1932" s="4" t="s">
        <v>2481</v>
      </c>
      <c r="D1932" s="4" t="s">
        <v>2480</v>
      </c>
      <c r="E1932" s="4" t="s">
        <v>4366</v>
      </c>
      <c r="F1932" s="4" t="s">
        <v>4365</v>
      </c>
      <c r="G1932" s="4" t="s">
        <v>2263</v>
      </c>
      <c r="H1932" s="9" t="s">
        <v>2263</v>
      </c>
      <c r="I1932" s="4" t="s">
        <v>2263</v>
      </c>
      <c r="J1932" s="4" t="s">
        <v>2263</v>
      </c>
      <c r="K1932" s="4" t="s">
        <v>4358</v>
      </c>
      <c r="L1932" s="10">
        <v>6</v>
      </c>
      <c r="M1932" s="5">
        <v>15352.716923076923</v>
      </c>
      <c r="N1932" s="5">
        <v>92116.301538461543</v>
      </c>
    </row>
    <row r="1933" spans="1:14" x14ac:dyDescent="0.25">
      <c r="A1933" s="4" t="s">
        <v>2653</v>
      </c>
      <c r="B1933" s="4" t="s">
        <v>3226</v>
      </c>
      <c r="C1933" s="4" t="s">
        <v>3196</v>
      </c>
      <c r="D1933" s="4" t="s">
        <v>254</v>
      </c>
      <c r="E1933" s="4" t="s">
        <v>3554</v>
      </c>
      <c r="F1933" s="4" t="s">
        <v>3553</v>
      </c>
      <c r="G1933" s="4" t="s">
        <v>2263</v>
      </c>
      <c r="H1933" s="9" t="s">
        <v>2263</v>
      </c>
      <c r="I1933" s="4" t="s">
        <v>2317</v>
      </c>
      <c r="J1933" s="4" t="s">
        <v>2316</v>
      </c>
      <c r="K1933" s="4" t="s">
        <v>2263</v>
      </c>
      <c r="L1933" s="10">
        <v>6</v>
      </c>
      <c r="M1933" s="5">
        <v>15500</v>
      </c>
      <c r="N1933" s="5">
        <v>93000</v>
      </c>
    </row>
    <row r="1934" spans="1:14" x14ac:dyDescent="0.25">
      <c r="A1934" s="4" t="s">
        <v>2344</v>
      </c>
      <c r="B1934" s="4" t="s">
        <v>5154</v>
      </c>
      <c r="C1934" s="4" t="s">
        <v>2320</v>
      </c>
      <c r="D1934" s="4" t="s">
        <v>242</v>
      </c>
      <c r="E1934" s="4" t="s">
        <v>2913</v>
      </c>
      <c r="F1934" s="4" t="s">
        <v>2912</v>
      </c>
      <c r="G1934" s="4" t="s">
        <v>2263</v>
      </c>
      <c r="H1934" s="9" t="s">
        <v>2263</v>
      </c>
      <c r="I1934" s="4" t="s">
        <v>2317</v>
      </c>
      <c r="J1934" s="4" t="s">
        <v>2316</v>
      </c>
      <c r="K1934" s="4" t="s">
        <v>2263</v>
      </c>
      <c r="L1934" s="10">
        <v>6</v>
      </c>
      <c r="M1934" s="5">
        <v>16054.317027027026</v>
      </c>
      <c r="N1934" s="5">
        <v>96325.902162162165</v>
      </c>
    </row>
    <row r="1935" spans="1:14" x14ac:dyDescent="0.25">
      <c r="A1935" s="4" t="s">
        <v>3104</v>
      </c>
      <c r="B1935" s="4" t="s">
        <v>3103</v>
      </c>
      <c r="C1935" s="4" t="s">
        <v>2344</v>
      </c>
      <c r="D1935" s="4" t="s">
        <v>237</v>
      </c>
      <c r="E1935" s="4" t="s">
        <v>2423</v>
      </c>
      <c r="F1935" s="4" t="s">
        <v>2422</v>
      </c>
      <c r="G1935" s="4" t="s">
        <v>2263</v>
      </c>
      <c r="H1935" s="9" t="s">
        <v>2263</v>
      </c>
      <c r="I1935" s="4" t="s">
        <v>2263</v>
      </c>
      <c r="J1935" s="4" t="s">
        <v>2263</v>
      </c>
      <c r="K1935" s="4" t="s">
        <v>2421</v>
      </c>
      <c r="L1935" s="10">
        <v>6</v>
      </c>
      <c r="M1935" s="5">
        <v>17623.232</v>
      </c>
      <c r="N1935" s="5">
        <v>105739.39200000001</v>
      </c>
    </row>
    <row r="1936" spans="1:14" x14ac:dyDescent="0.25">
      <c r="A1936" s="4" t="s">
        <v>2317</v>
      </c>
      <c r="B1936" s="4" t="s">
        <v>3839</v>
      </c>
      <c r="C1936" s="4" t="s">
        <v>2320</v>
      </c>
      <c r="D1936" s="4" t="s">
        <v>242</v>
      </c>
      <c r="E1936" s="4" t="s">
        <v>3947</v>
      </c>
      <c r="F1936" s="4" t="s">
        <v>3946</v>
      </c>
      <c r="G1936" s="4" t="s">
        <v>2263</v>
      </c>
      <c r="H1936" s="9" t="s">
        <v>2263</v>
      </c>
      <c r="I1936" s="4" t="s">
        <v>2317</v>
      </c>
      <c r="J1936" s="4" t="s">
        <v>2316</v>
      </c>
      <c r="K1936" s="4" t="s">
        <v>2263</v>
      </c>
      <c r="L1936" s="10">
        <v>6</v>
      </c>
      <c r="M1936" s="5">
        <v>18564.290571428573</v>
      </c>
      <c r="N1936" s="5">
        <v>111385.74342857144</v>
      </c>
    </row>
    <row r="1937" spans="1:14" x14ac:dyDescent="0.25">
      <c r="A1937" s="4" t="s">
        <v>2344</v>
      </c>
      <c r="B1937" s="4" t="s">
        <v>5154</v>
      </c>
      <c r="C1937" s="4" t="s">
        <v>2344</v>
      </c>
      <c r="D1937" s="4" t="s">
        <v>237</v>
      </c>
      <c r="E1937" s="4" t="s">
        <v>4738</v>
      </c>
      <c r="F1937" s="4" t="s">
        <v>2572</v>
      </c>
      <c r="G1937" s="4" t="s">
        <v>2263</v>
      </c>
      <c r="H1937" s="9" t="s">
        <v>2263</v>
      </c>
      <c r="I1937" s="4" t="s">
        <v>2263</v>
      </c>
      <c r="J1937" s="4" t="s">
        <v>2263</v>
      </c>
      <c r="K1937" s="4" t="s">
        <v>2554</v>
      </c>
      <c r="L1937" s="10">
        <v>6</v>
      </c>
      <c r="M1937" s="5">
        <v>20000.333333333332</v>
      </c>
      <c r="N1937" s="5">
        <v>120002</v>
      </c>
    </row>
    <row r="1938" spans="1:14" x14ac:dyDescent="0.25">
      <c r="A1938" s="4" t="s">
        <v>2320</v>
      </c>
      <c r="B1938" s="4" t="s">
        <v>4967</v>
      </c>
      <c r="C1938" s="4" t="s">
        <v>2320</v>
      </c>
      <c r="D1938" s="4" t="s">
        <v>242</v>
      </c>
      <c r="E1938" s="4" t="s">
        <v>3863</v>
      </c>
      <c r="F1938" s="4" t="s">
        <v>3862</v>
      </c>
      <c r="G1938" s="4" t="s">
        <v>2263</v>
      </c>
      <c r="H1938" s="9" t="s">
        <v>2263</v>
      </c>
      <c r="I1938" s="4" t="s">
        <v>2317</v>
      </c>
      <c r="J1938" s="4" t="s">
        <v>2316</v>
      </c>
      <c r="K1938" s="4" t="s">
        <v>2263</v>
      </c>
      <c r="L1938" s="10">
        <v>6</v>
      </c>
      <c r="M1938" s="5">
        <v>22157.21</v>
      </c>
      <c r="N1938" s="5">
        <v>132943.26</v>
      </c>
    </row>
    <row r="1939" spans="1:14" x14ac:dyDescent="0.25">
      <c r="A1939" s="4" t="s">
        <v>2344</v>
      </c>
      <c r="B1939" s="4" t="s">
        <v>5154</v>
      </c>
      <c r="C1939" s="4" t="s">
        <v>2320</v>
      </c>
      <c r="D1939" s="4" t="s">
        <v>242</v>
      </c>
      <c r="E1939" s="4" t="s">
        <v>3921</v>
      </c>
      <c r="F1939" s="4" t="s">
        <v>3920</v>
      </c>
      <c r="G1939" s="4" t="s">
        <v>2263</v>
      </c>
      <c r="H1939" s="9" t="s">
        <v>2263</v>
      </c>
      <c r="I1939" s="4" t="s">
        <v>2317</v>
      </c>
      <c r="J1939" s="4" t="s">
        <v>2316</v>
      </c>
      <c r="K1939" s="4" t="s">
        <v>2263</v>
      </c>
      <c r="L1939" s="10">
        <v>6</v>
      </c>
      <c r="M1939" s="5">
        <v>23344.931034482757</v>
      </c>
      <c r="N1939" s="5">
        <v>140069.58620689655</v>
      </c>
    </row>
    <row r="1940" spans="1:14" x14ac:dyDescent="0.25">
      <c r="A1940" s="4" t="s">
        <v>2344</v>
      </c>
      <c r="B1940" s="4" t="s">
        <v>5154</v>
      </c>
      <c r="C1940" s="4" t="s">
        <v>2320</v>
      </c>
      <c r="D1940" s="4" t="s">
        <v>242</v>
      </c>
      <c r="E1940" s="4" t="s">
        <v>5021</v>
      </c>
      <c r="F1940" s="4" t="s">
        <v>5020</v>
      </c>
      <c r="G1940" s="4" t="s">
        <v>2263</v>
      </c>
      <c r="H1940" s="9" t="s">
        <v>2263</v>
      </c>
      <c r="I1940" s="4" t="s">
        <v>2317</v>
      </c>
      <c r="J1940" s="4" t="s">
        <v>2316</v>
      </c>
      <c r="K1940" s="4" t="s">
        <v>2263</v>
      </c>
      <c r="L1940" s="10">
        <v>6</v>
      </c>
      <c r="M1940" s="5">
        <v>24238.930714285714</v>
      </c>
      <c r="N1940" s="5">
        <v>145433.58428571429</v>
      </c>
    </row>
    <row r="1941" spans="1:14" x14ac:dyDescent="0.25">
      <c r="A1941" s="4" t="s">
        <v>2320</v>
      </c>
      <c r="B1941" s="4" t="s">
        <v>4967</v>
      </c>
      <c r="C1941" s="4" t="s">
        <v>2320</v>
      </c>
      <c r="D1941" s="4" t="s">
        <v>242</v>
      </c>
      <c r="E1941" s="4" t="s">
        <v>3861</v>
      </c>
      <c r="F1941" s="4" t="s">
        <v>3860</v>
      </c>
      <c r="G1941" s="4" t="s">
        <v>2263</v>
      </c>
      <c r="H1941" s="9" t="s">
        <v>2263</v>
      </c>
      <c r="I1941" s="4" t="s">
        <v>2317</v>
      </c>
      <c r="J1941" s="4" t="s">
        <v>2316</v>
      </c>
      <c r="K1941" s="4" t="s">
        <v>2263</v>
      </c>
      <c r="L1941" s="10">
        <v>6</v>
      </c>
      <c r="M1941" s="5">
        <v>24478.484782608695</v>
      </c>
      <c r="N1941" s="5">
        <v>146870.90869565215</v>
      </c>
    </row>
    <row r="1942" spans="1:14" x14ac:dyDescent="0.25">
      <c r="A1942" s="4" t="s">
        <v>2344</v>
      </c>
      <c r="B1942" s="4" t="s">
        <v>5154</v>
      </c>
      <c r="C1942" s="4" t="s">
        <v>2344</v>
      </c>
      <c r="D1942" s="4" t="s">
        <v>237</v>
      </c>
      <c r="E1942" s="4" t="s">
        <v>4722</v>
      </c>
      <c r="F1942" s="4" t="s">
        <v>4721</v>
      </c>
      <c r="G1942" s="4" t="s">
        <v>2263</v>
      </c>
      <c r="H1942" s="9" t="s">
        <v>2263</v>
      </c>
      <c r="I1942" s="4" t="s">
        <v>2263</v>
      </c>
      <c r="J1942" s="4" t="s">
        <v>2263</v>
      </c>
      <c r="K1942" s="4" t="s">
        <v>2559</v>
      </c>
      <c r="L1942" s="10">
        <v>6</v>
      </c>
      <c r="M1942" s="5">
        <v>26687.623787878791</v>
      </c>
      <c r="N1942" s="5">
        <v>160125.74272727271</v>
      </c>
    </row>
    <row r="1943" spans="1:14" x14ac:dyDescent="0.25">
      <c r="A1943" s="4" t="s">
        <v>2317</v>
      </c>
      <c r="B1943" s="4" t="s">
        <v>3839</v>
      </c>
      <c r="C1943" s="4" t="s">
        <v>2320</v>
      </c>
      <c r="D1943" s="4" t="s">
        <v>242</v>
      </c>
      <c r="E1943" s="4" t="s">
        <v>4069</v>
      </c>
      <c r="F1943" s="4" t="s">
        <v>4068</v>
      </c>
      <c r="G1943" s="4" t="s">
        <v>2263</v>
      </c>
      <c r="H1943" s="9" t="s">
        <v>2263</v>
      </c>
      <c r="I1943" s="4" t="s">
        <v>2317</v>
      </c>
      <c r="J1943" s="4" t="s">
        <v>2316</v>
      </c>
      <c r="K1943" s="4" t="s">
        <v>2263</v>
      </c>
      <c r="L1943" s="10">
        <v>6</v>
      </c>
      <c r="M1943" s="5">
        <v>30500</v>
      </c>
      <c r="N1943" s="5">
        <v>183000</v>
      </c>
    </row>
    <row r="1944" spans="1:14" x14ac:dyDescent="0.25">
      <c r="A1944" s="4" t="s">
        <v>2653</v>
      </c>
      <c r="B1944" s="4" t="s">
        <v>3226</v>
      </c>
      <c r="C1944" s="4" t="s">
        <v>2353</v>
      </c>
      <c r="D1944" s="4" t="s">
        <v>258</v>
      </c>
      <c r="E1944" s="4" t="s">
        <v>3228</v>
      </c>
      <c r="F1944" s="4" t="s">
        <v>3227</v>
      </c>
      <c r="G1944" s="4" t="s">
        <v>2263</v>
      </c>
      <c r="H1944" s="9" t="s">
        <v>2263</v>
      </c>
      <c r="I1944" s="4" t="s">
        <v>2317</v>
      </c>
      <c r="J1944" s="4" t="s">
        <v>2316</v>
      </c>
      <c r="K1944" s="4" t="s">
        <v>2263</v>
      </c>
      <c r="L1944" s="10">
        <v>6</v>
      </c>
      <c r="M1944" s="5">
        <v>33266.654999999999</v>
      </c>
      <c r="N1944" s="5">
        <v>199599.93</v>
      </c>
    </row>
    <row r="1945" spans="1:14" x14ac:dyDescent="0.25">
      <c r="A1945" s="4" t="s">
        <v>2317</v>
      </c>
      <c r="B1945" s="4" t="s">
        <v>3839</v>
      </c>
      <c r="C1945" s="4" t="s">
        <v>2320</v>
      </c>
      <c r="D1945" s="4" t="s">
        <v>242</v>
      </c>
      <c r="E1945" s="4" t="s">
        <v>4125</v>
      </c>
      <c r="F1945" s="4" t="s">
        <v>4124</v>
      </c>
      <c r="G1945" s="4" t="s">
        <v>2263</v>
      </c>
      <c r="H1945" s="9" t="s">
        <v>2263</v>
      </c>
      <c r="I1945" s="4" t="s">
        <v>2317</v>
      </c>
      <c r="J1945" s="4" t="s">
        <v>2316</v>
      </c>
      <c r="K1945" s="4" t="s">
        <v>2263</v>
      </c>
      <c r="L1945" s="10">
        <v>6</v>
      </c>
      <c r="M1945" s="5">
        <v>36998.228749999995</v>
      </c>
      <c r="N1945" s="5">
        <v>221989.3725</v>
      </c>
    </row>
    <row r="1946" spans="1:14" x14ac:dyDescent="0.25">
      <c r="A1946" s="4" t="s">
        <v>2344</v>
      </c>
      <c r="B1946" s="4" t="s">
        <v>5154</v>
      </c>
      <c r="C1946" s="4" t="s">
        <v>2344</v>
      </c>
      <c r="D1946" s="4" t="s">
        <v>237</v>
      </c>
      <c r="E1946" s="4" t="s">
        <v>4549</v>
      </c>
      <c r="F1946" s="4" t="s">
        <v>4548</v>
      </c>
      <c r="G1946" s="4" t="s">
        <v>2263</v>
      </c>
      <c r="H1946" s="9" t="s">
        <v>2263</v>
      </c>
      <c r="I1946" s="4" t="s">
        <v>2263</v>
      </c>
      <c r="J1946" s="4" t="s">
        <v>2263</v>
      </c>
      <c r="K1946" s="4" t="s">
        <v>4547</v>
      </c>
      <c r="L1946" s="10">
        <v>6</v>
      </c>
      <c r="M1946" s="5">
        <v>38481.096521739135</v>
      </c>
      <c r="N1946" s="5">
        <v>230886.57913043481</v>
      </c>
    </row>
    <row r="1947" spans="1:14" x14ac:dyDescent="0.25">
      <c r="A1947" s="4" t="s">
        <v>2274</v>
      </c>
      <c r="B1947" s="4" t="s">
        <v>4348</v>
      </c>
      <c r="C1947" s="4" t="s">
        <v>2274</v>
      </c>
      <c r="D1947" s="4" t="s">
        <v>2273</v>
      </c>
      <c r="E1947" s="4" t="s">
        <v>4498</v>
      </c>
      <c r="F1947" s="4" t="s">
        <v>4497</v>
      </c>
      <c r="G1947" s="4" t="s">
        <v>2263</v>
      </c>
      <c r="H1947" s="9" t="s">
        <v>2263</v>
      </c>
      <c r="I1947" s="4" t="s">
        <v>2263</v>
      </c>
      <c r="J1947" s="4" t="s">
        <v>2263</v>
      </c>
      <c r="K1947" s="4" t="s">
        <v>4496</v>
      </c>
      <c r="L1947" s="10">
        <v>6</v>
      </c>
      <c r="M1947" s="5">
        <v>39483.4</v>
      </c>
      <c r="N1947" s="5">
        <v>236900.4</v>
      </c>
    </row>
    <row r="1948" spans="1:14" x14ac:dyDescent="0.25">
      <c r="A1948" s="4" t="s">
        <v>2653</v>
      </c>
      <c r="B1948" s="4" t="s">
        <v>3226</v>
      </c>
      <c r="C1948" s="4" t="s">
        <v>3196</v>
      </c>
      <c r="D1948" s="4" t="s">
        <v>254</v>
      </c>
      <c r="E1948" s="4" t="s">
        <v>3562</v>
      </c>
      <c r="F1948" s="4" t="s">
        <v>3561</v>
      </c>
      <c r="G1948" s="4" t="s">
        <v>2263</v>
      </c>
      <c r="H1948" s="9" t="s">
        <v>2263</v>
      </c>
      <c r="I1948" s="4" t="s">
        <v>2317</v>
      </c>
      <c r="J1948" s="4" t="s">
        <v>2316</v>
      </c>
      <c r="K1948" s="4" t="s">
        <v>2263</v>
      </c>
      <c r="L1948" s="10">
        <v>6</v>
      </c>
      <c r="M1948" s="5">
        <v>40800</v>
      </c>
      <c r="N1948" s="5">
        <v>244800</v>
      </c>
    </row>
    <row r="1949" spans="1:14" x14ac:dyDescent="0.25">
      <c r="A1949" s="4" t="s">
        <v>2653</v>
      </c>
      <c r="B1949" s="4" t="s">
        <v>3226</v>
      </c>
      <c r="C1949" s="4" t="s">
        <v>3203</v>
      </c>
      <c r="D1949" s="4" t="s">
        <v>256</v>
      </c>
      <c r="E1949" s="4" t="s">
        <v>3586</v>
      </c>
      <c r="F1949" s="4" t="s">
        <v>3585</v>
      </c>
      <c r="G1949" s="4" t="s">
        <v>2263</v>
      </c>
      <c r="H1949" s="9" t="s">
        <v>2263</v>
      </c>
      <c r="I1949" s="4" t="s">
        <v>2317</v>
      </c>
      <c r="J1949" s="4" t="s">
        <v>2316</v>
      </c>
      <c r="K1949" s="4" t="s">
        <v>2263</v>
      </c>
      <c r="L1949" s="10">
        <v>6</v>
      </c>
      <c r="M1949" s="5">
        <v>43827.6</v>
      </c>
      <c r="N1949" s="5">
        <v>262965.59999999998</v>
      </c>
    </row>
    <row r="1950" spans="1:14" x14ac:dyDescent="0.25">
      <c r="A1950" s="4" t="s">
        <v>2653</v>
      </c>
      <c r="B1950" s="4" t="s">
        <v>3226</v>
      </c>
      <c r="C1950" s="4" t="s">
        <v>3203</v>
      </c>
      <c r="D1950" s="4" t="s">
        <v>256</v>
      </c>
      <c r="E1950" s="4" t="s">
        <v>3608</v>
      </c>
      <c r="F1950" s="4" t="s">
        <v>3607</v>
      </c>
      <c r="G1950" s="4" t="s">
        <v>2263</v>
      </c>
      <c r="H1950" s="9" t="s">
        <v>2263</v>
      </c>
      <c r="I1950" s="4" t="s">
        <v>2317</v>
      </c>
      <c r="J1950" s="4" t="s">
        <v>2316</v>
      </c>
      <c r="K1950" s="4" t="s">
        <v>2263</v>
      </c>
      <c r="L1950" s="10">
        <v>6</v>
      </c>
      <c r="M1950" s="5">
        <v>47916.94</v>
      </c>
      <c r="N1950" s="5">
        <v>287501.64</v>
      </c>
    </row>
    <row r="1951" spans="1:14" x14ac:dyDescent="0.25">
      <c r="A1951" s="4" t="s">
        <v>2317</v>
      </c>
      <c r="B1951" s="4" t="s">
        <v>3839</v>
      </c>
      <c r="C1951" s="4" t="s">
        <v>2320</v>
      </c>
      <c r="D1951" s="4" t="s">
        <v>242</v>
      </c>
      <c r="E1951" s="4" t="s">
        <v>3933</v>
      </c>
      <c r="F1951" s="4" t="s">
        <v>3932</v>
      </c>
      <c r="G1951" s="4" t="s">
        <v>2263</v>
      </c>
      <c r="H1951" s="9" t="s">
        <v>2263</v>
      </c>
      <c r="I1951" s="4" t="s">
        <v>2317</v>
      </c>
      <c r="J1951" s="4" t="s">
        <v>2316</v>
      </c>
      <c r="K1951" s="4" t="s">
        <v>2263</v>
      </c>
      <c r="L1951" s="10">
        <v>6</v>
      </c>
      <c r="M1951" s="5">
        <v>52417.890967741943</v>
      </c>
      <c r="N1951" s="5">
        <v>314507.34580645157</v>
      </c>
    </row>
    <row r="1952" spans="1:14" x14ac:dyDescent="0.25">
      <c r="A1952" s="4" t="s">
        <v>2320</v>
      </c>
      <c r="B1952" s="4" t="s">
        <v>4967</v>
      </c>
      <c r="C1952" s="4" t="s">
        <v>2320</v>
      </c>
      <c r="D1952" s="4" t="s">
        <v>242</v>
      </c>
      <c r="E1952" s="4" t="s">
        <v>4231</v>
      </c>
      <c r="F1952" s="4" t="s">
        <v>4230</v>
      </c>
      <c r="G1952" s="4" t="s">
        <v>2263</v>
      </c>
      <c r="H1952" s="9" t="s">
        <v>2263</v>
      </c>
      <c r="I1952" s="4" t="s">
        <v>2317</v>
      </c>
      <c r="J1952" s="4" t="s">
        <v>2316</v>
      </c>
      <c r="K1952" s="4" t="s">
        <v>2263</v>
      </c>
      <c r="L1952" s="10">
        <v>6</v>
      </c>
      <c r="M1952" s="5">
        <v>53512.670810810807</v>
      </c>
      <c r="N1952" s="5">
        <v>321076.02486486488</v>
      </c>
    </row>
    <row r="1953" spans="1:14" x14ac:dyDescent="0.25">
      <c r="A1953" s="4" t="s">
        <v>2653</v>
      </c>
      <c r="B1953" s="4" t="s">
        <v>3226</v>
      </c>
      <c r="C1953" s="4" t="s">
        <v>2384</v>
      </c>
      <c r="D1953" s="4" t="s">
        <v>262</v>
      </c>
      <c r="E1953" s="4" t="s">
        <v>3526</v>
      </c>
      <c r="F1953" s="4" t="s">
        <v>3525</v>
      </c>
      <c r="G1953" s="4" t="s">
        <v>2263</v>
      </c>
      <c r="H1953" s="9" t="s">
        <v>2263</v>
      </c>
      <c r="I1953" s="4" t="s">
        <v>2317</v>
      </c>
      <c r="J1953" s="4" t="s">
        <v>2316</v>
      </c>
      <c r="K1953" s="4" t="s">
        <v>2263</v>
      </c>
      <c r="L1953" s="10">
        <v>6</v>
      </c>
      <c r="M1953" s="5">
        <v>71400</v>
      </c>
      <c r="N1953" s="5">
        <v>428400</v>
      </c>
    </row>
    <row r="1954" spans="1:14" x14ac:dyDescent="0.25">
      <c r="A1954" s="4" t="s">
        <v>2320</v>
      </c>
      <c r="B1954" s="4" t="s">
        <v>4967</v>
      </c>
      <c r="C1954" s="4" t="s">
        <v>2320</v>
      </c>
      <c r="D1954" s="4" t="s">
        <v>242</v>
      </c>
      <c r="E1954" s="4" t="s">
        <v>2988</v>
      </c>
      <c r="F1954" s="4" t="s">
        <v>2987</v>
      </c>
      <c r="G1954" s="4" t="s">
        <v>2263</v>
      </c>
      <c r="H1954" s="9" t="s">
        <v>2263</v>
      </c>
      <c r="I1954" s="4" t="s">
        <v>2317</v>
      </c>
      <c r="J1954" s="4" t="s">
        <v>2316</v>
      </c>
      <c r="K1954" s="4" t="s">
        <v>2263</v>
      </c>
      <c r="L1954" s="10">
        <v>6</v>
      </c>
      <c r="M1954" s="5">
        <v>77163.733333333323</v>
      </c>
      <c r="N1954" s="5">
        <v>462982.40000000002</v>
      </c>
    </row>
    <row r="1955" spans="1:14" x14ac:dyDescent="0.25">
      <c r="A1955" s="4" t="s">
        <v>2653</v>
      </c>
      <c r="B1955" s="4" t="s">
        <v>3226</v>
      </c>
      <c r="C1955" s="4" t="s">
        <v>3203</v>
      </c>
      <c r="D1955" s="4" t="s">
        <v>256</v>
      </c>
      <c r="E1955" s="4" t="s">
        <v>3590</v>
      </c>
      <c r="F1955" s="4" t="s">
        <v>3589</v>
      </c>
      <c r="G1955" s="4" t="s">
        <v>2263</v>
      </c>
      <c r="H1955" s="9" t="s">
        <v>2263</v>
      </c>
      <c r="I1955" s="4" t="s">
        <v>2317</v>
      </c>
      <c r="J1955" s="4" t="s">
        <v>2316</v>
      </c>
      <c r="K1955" s="4" t="s">
        <v>2263</v>
      </c>
      <c r="L1955" s="10">
        <v>6</v>
      </c>
      <c r="M1955" s="5">
        <v>87228.496666666659</v>
      </c>
      <c r="N1955" s="5">
        <v>523370.98</v>
      </c>
    </row>
    <row r="1956" spans="1:14" x14ac:dyDescent="0.25">
      <c r="A1956" s="4" t="s">
        <v>2653</v>
      </c>
      <c r="B1956" s="4" t="s">
        <v>3226</v>
      </c>
      <c r="C1956" s="4" t="s">
        <v>2384</v>
      </c>
      <c r="D1956" s="4" t="s">
        <v>262</v>
      </c>
      <c r="E1956" s="4" t="s">
        <v>3456</v>
      </c>
      <c r="F1956" s="4" t="s">
        <v>3455</v>
      </c>
      <c r="G1956" s="4" t="s">
        <v>2263</v>
      </c>
      <c r="H1956" s="9" t="s">
        <v>2263</v>
      </c>
      <c r="I1956" s="4" t="s">
        <v>2317</v>
      </c>
      <c r="J1956" s="4" t="s">
        <v>2316</v>
      </c>
      <c r="K1956" s="4" t="s">
        <v>2263</v>
      </c>
      <c r="L1956" s="10">
        <v>6</v>
      </c>
      <c r="M1956" s="5">
        <v>99960</v>
      </c>
      <c r="N1956" s="5">
        <v>599760</v>
      </c>
    </row>
    <row r="1957" spans="1:14" x14ac:dyDescent="0.25">
      <c r="A1957" s="4" t="s">
        <v>2653</v>
      </c>
      <c r="B1957" s="4" t="s">
        <v>3226</v>
      </c>
      <c r="C1957" s="4" t="s">
        <v>2384</v>
      </c>
      <c r="D1957" s="4" t="s">
        <v>262</v>
      </c>
      <c r="E1957" s="4" t="s">
        <v>3300</v>
      </c>
      <c r="F1957" s="4" t="s">
        <v>3299</v>
      </c>
      <c r="G1957" s="4" t="s">
        <v>2263</v>
      </c>
      <c r="H1957" s="9" t="s">
        <v>2263</v>
      </c>
      <c r="I1957" s="4" t="s">
        <v>2317</v>
      </c>
      <c r="J1957" s="4" t="s">
        <v>2316</v>
      </c>
      <c r="K1957" s="4" t="s">
        <v>2263</v>
      </c>
      <c r="L1957" s="10">
        <v>6</v>
      </c>
      <c r="M1957" s="5">
        <v>113050</v>
      </c>
      <c r="N1957" s="5">
        <v>678300</v>
      </c>
    </row>
    <row r="1958" spans="1:14" x14ac:dyDescent="0.25">
      <c r="A1958" s="4" t="s">
        <v>2317</v>
      </c>
      <c r="B1958" s="4" t="s">
        <v>3839</v>
      </c>
      <c r="C1958" s="4" t="s">
        <v>2320</v>
      </c>
      <c r="D1958" s="4" t="s">
        <v>242</v>
      </c>
      <c r="E1958" s="4" t="s">
        <v>4241</v>
      </c>
      <c r="F1958" s="4" t="s">
        <v>4240</v>
      </c>
      <c r="G1958" s="4" t="s">
        <v>2263</v>
      </c>
      <c r="H1958" s="9" t="s">
        <v>2263</v>
      </c>
      <c r="I1958" s="4" t="s">
        <v>2317</v>
      </c>
      <c r="J1958" s="4" t="s">
        <v>2316</v>
      </c>
      <c r="K1958" s="4" t="s">
        <v>2263</v>
      </c>
      <c r="L1958" s="10">
        <v>6</v>
      </c>
      <c r="M1958" s="5">
        <v>132235.43700000001</v>
      </c>
      <c r="N1958" s="5">
        <v>793412.62199999997</v>
      </c>
    </row>
    <row r="1959" spans="1:14" x14ac:dyDescent="0.25">
      <c r="A1959" s="4" t="s">
        <v>2865</v>
      </c>
      <c r="B1959" s="4" t="s">
        <v>2864</v>
      </c>
      <c r="C1959" s="4" t="s">
        <v>2344</v>
      </c>
      <c r="D1959" s="4" t="s">
        <v>237</v>
      </c>
      <c r="E1959" s="4" t="s">
        <v>2889</v>
      </c>
      <c r="F1959" s="4" t="s">
        <v>2888</v>
      </c>
      <c r="G1959" s="4" t="s">
        <v>2263</v>
      </c>
      <c r="H1959" s="9" t="s">
        <v>2263</v>
      </c>
      <c r="I1959" s="4" t="s">
        <v>2263</v>
      </c>
      <c r="J1959" s="4" t="s">
        <v>2263</v>
      </c>
      <c r="K1959" s="4" t="s">
        <v>2878</v>
      </c>
      <c r="L1959" s="10">
        <v>6</v>
      </c>
      <c r="M1959" s="5">
        <v>142511.84</v>
      </c>
      <c r="N1959" s="5">
        <v>855071.04</v>
      </c>
    </row>
    <row r="1960" spans="1:14" x14ac:dyDescent="0.25">
      <c r="A1960" s="4" t="s">
        <v>2317</v>
      </c>
      <c r="B1960" s="4" t="s">
        <v>3839</v>
      </c>
      <c r="C1960" s="4" t="s">
        <v>2320</v>
      </c>
      <c r="D1960" s="4" t="s">
        <v>242</v>
      </c>
      <c r="E1960" s="4" t="s">
        <v>3871</v>
      </c>
      <c r="F1960" s="4" t="s">
        <v>3870</v>
      </c>
      <c r="G1960" s="4" t="s">
        <v>2263</v>
      </c>
      <c r="H1960" s="9" t="s">
        <v>2263</v>
      </c>
      <c r="I1960" s="4" t="s">
        <v>2317</v>
      </c>
      <c r="J1960" s="4" t="s">
        <v>2316</v>
      </c>
      <c r="K1960" s="4" t="s">
        <v>2263</v>
      </c>
      <c r="L1960" s="10">
        <v>6</v>
      </c>
      <c r="M1960" s="5">
        <v>201306.78571428571</v>
      </c>
      <c r="N1960" s="5">
        <v>1207840.7142857143</v>
      </c>
    </row>
    <row r="1961" spans="1:14" x14ac:dyDescent="0.25">
      <c r="A1961" s="4" t="s">
        <v>2653</v>
      </c>
      <c r="B1961" s="4" t="s">
        <v>3226</v>
      </c>
      <c r="C1961" s="4" t="s">
        <v>2384</v>
      </c>
      <c r="D1961" s="4" t="s">
        <v>262</v>
      </c>
      <c r="E1961" s="4" t="s">
        <v>3330</v>
      </c>
      <c r="F1961" s="4" t="s">
        <v>3329</v>
      </c>
      <c r="G1961" s="4" t="s">
        <v>2263</v>
      </c>
      <c r="H1961" s="9" t="s">
        <v>2263</v>
      </c>
      <c r="I1961" s="4" t="s">
        <v>2317</v>
      </c>
      <c r="J1961" s="4" t="s">
        <v>2316</v>
      </c>
      <c r="K1961" s="4" t="s">
        <v>2263</v>
      </c>
      <c r="L1961" s="10">
        <v>6</v>
      </c>
      <c r="M1961" s="5">
        <v>205000</v>
      </c>
      <c r="N1961" s="5">
        <v>1230000</v>
      </c>
    </row>
    <row r="1962" spans="1:14" x14ac:dyDescent="0.25">
      <c r="A1962" s="4" t="s">
        <v>2653</v>
      </c>
      <c r="B1962" s="4" t="s">
        <v>3226</v>
      </c>
      <c r="C1962" s="4" t="s">
        <v>2384</v>
      </c>
      <c r="D1962" s="4" t="s">
        <v>262</v>
      </c>
      <c r="E1962" s="4" t="s">
        <v>3512</v>
      </c>
      <c r="F1962" s="4" t="s">
        <v>3511</v>
      </c>
      <c r="G1962" s="4" t="s">
        <v>2263</v>
      </c>
      <c r="H1962" s="9" t="s">
        <v>2263</v>
      </c>
      <c r="I1962" s="4" t="s">
        <v>2317</v>
      </c>
      <c r="J1962" s="4" t="s">
        <v>2316</v>
      </c>
      <c r="K1962" s="4" t="s">
        <v>2263</v>
      </c>
      <c r="L1962" s="10">
        <v>6</v>
      </c>
      <c r="M1962" s="5">
        <v>209674.91666666669</v>
      </c>
      <c r="N1962" s="5">
        <v>1258049.5</v>
      </c>
    </row>
    <row r="1963" spans="1:14" x14ac:dyDescent="0.25">
      <c r="A1963" s="4" t="s">
        <v>2761</v>
      </c>
      <c r="B1963" s="4" t="s">
        <v>2760</v>
      </c>
      <c r="C1963" s="4" t="s">
        <v>2320</v>
      </c>
      <c r="D1963" s="4" t="s">
        <v>242</v>
      </c>
      <c r="E1963" s="4" t="s">
        <v>2815</v>
      </c>
      <c r="F1963" s="4" t="s">
        <v>2814</v>
      </c>
      <c r="G1963" s="4" t="s">
        <v>2263</v>
      </c>
      <c r="H1963" s="9" t="s">
        <v>2263</v>
      </c>
      <c r="I1963" s="4" t="s">
        <v>2317</v>
      </c>
      <c r="J1963" s="4" t="s">
        <v>2316</v>
      </c>
      <c r="K1963" s="4" t="s">
        <v>2263</v>
      </c>
      <c r="L1963" s="10">
        <v>6</v>
      </c>
      <c r="M1963" s="5">
        <v>303183.3854545455</v>
      </c>
      <c r="N1963" s="5">
        <v>1819100.3127272727</v>
      </c>
    </row>
    <row r="1964" spans="1:14" x14ac:dyDescent="0.25">
      <c r="A1964" s="4" t="s">
        <v>2274</v>
      </c>
      <c r="B1964" s="4" t="s">
        <v>4348</v>
      </c>
      <c r="C1964" s="4" t="s">
        <v>2274</v>
      </c>
      <c r="D1964" s="4" t="s">
        <v>2273</v>
      </c>
      <c r="E1964" s="4" t="s">
        <v>4459</v>
      </c>
      <c r="F1964" s="4" t="s">
        <v>4458</v>
      </c>
      <c r="G1964" s="4" t="s">
        <v>2263</v>
      </c>
      <c r="H1964" s="9" t="s">
        <v>2263</v>
      </c>
      <c r="I1964" s="4" t="s">
        <v>2263</v>
      </c>
      <c r="J1964" s="4" t="s">
        <v>2263</v>
      </c>
      <c r="K1964" s="4" t="s">
        <v>4457</v>
      </c>
      <c r="L1964" s="10">
        <v>6</v>
      </c>
      <c r="M1964" s="5">
        <v>315220.08333333331</v>
      </c>
      <c r="N1964" s="5">
        <v>1891320.5</v>
      </c>
    </row>
    <row r="1965" spans="1:14" x14ac:dyDescent="0.25">
      <c r="A1965" s="4" t="s">
        <v>2317</v>
      </c>
      <c r="B1965" s="4" t="s">
        <v>3839</v>
      </c>
      <c r="C1965" s="4" t="s">
        <v>2320</v>
      </c>
      <c r="D1965" s="4" t="s">
        <v>242</v>
      </c>
      <c r="E1965" s="4" t="s">
        <v>4151</v>
      </c>
      <c r="F1965" s="4" t="s">
        <v>4150</v>
      </c>
      <c r="G1965" s="4" t="s">
        <v>2263</v>
      </c>
      <c r="H1965" s="9" t="s">
        <v>2263</v>
      </c>
      <c r="I1965" s="4" t="s">
        <v>2317</v>
      </c>
      <c r="J1965" s="4" t="s">
        <v>2316</v>
      </c>
      <c r="K1965" s="4" t="s">
        <v>2263</v>
      </c>
      <c r="L1965" s="10">
        <v>6</v>
      </c>
      <c r="M1965" s="5">
        <v>320339.66666666663</v>
      </c>
      <c r="N1965" s="5">
        <v>1922038</v>
      </c>
    </row>
    <row r="1966" spans="1:14" x14ac:dyDescent="0.25">
      <c r="A1966" s="4" t="s">
        <v>2653</v>
      </c>
      <c r="B1966" s="4" t="s">
        <v>3226</v>
      </c>
      <c r="C1966" s="4" t="s">
        <v>2384</v>
      </c>
      <c r="D1966" s="4" t="s">
        <v>262</v>
      </c>
      <c r="E1966" s="4" t="s">
        <v>3426</v>
      </c>
      <c r="F1966" s="4" t="s">
        <v>3425</v>
      </c>
      <c r="G1966" s="4" t="s">
        <v>2263</v>
      </c>
      <c r="H1966" s="9" t="s">
        <v>2263</v>
      </c>
      <c r="I1966" s="4" t="s">
        <v>2317</v>
      </c>
      <c r="J1966" s="4" t="s">
        <v>2316</v>
      </c>
      <c r="K1966" s="4" t="s">
        <v>2263</v>
      </c>
      <c r="L1966" s="10">
        <v>6</v>
      </c>
      <c r="M1966" s="5">
        <v>327250.16666666663</v>
      </c>
      <c r="N1966" s="5">
        <v>1963501</v>
      </c>
    </row>
    <row r="1967" spans="1:14" x14ac:dyDescent="0.25">
      <c r="A1967" s="4" t="s">
        <v>2320</v>
      </c>
      <c r="B1967" s="4" t="s">
        <v>4967</v>
      </c>
      <c r="C1967" s="4" t="s">
        <v>2320</v>
      </c>
      <c r="D1967" s="4" t="s">
        <v>242</v>
      </c>
      <c r="E1967" s="4" t="s">
        <v>3987</v>
      </c>
      <c r="F1967" s="4" t="s">
        <v>3986</v>
      </c>
      <c r="G1967" s="4" t="s">
        <v>2263</v>
      </c>
      <c r="H1967" s="9" t="s">
        <v>2263</v>
      </c>
      <c r="I1967" s="4" t="s">
        <v>2317</v>
      </c>
      <c r="J1967" s="4" t="s">
        <v>2316</v>
      </c>
      <c r="K1967" s="4" t="s">
        <v>2263</v>
      </c>
      <c r="L1967" s="10">
        <v>6</v>
      </c>
      <c r="M1967" s="5">
        <v>357289.31899999996</v>
      </c>
      <c r="N1967" s="5">
        <v>2143735.9139999999</v>
      </c>
    </row>
    <row r="1968" spans="1:14" x14ac:dyDescent="0.25">
      <c r="A1968" s="4" t="s">
        <v>2317</v>
      </c>
      <c r="B1968" s="4" t="s">
        <v>3839</v>
      </c>
      <c r="C1968" s="4" t="s">
        <v>2320</v>
      </c>
      <c r="D1968" s="4" t="s">
        <v>242</v>
      </c>
      <c r="E1968" s="4" t="s">
        <v>2827</v>
      </c>
      <c r="F1968" s="4" t="s">
        <v>2826</v>
      </c>
      <c r="G1968" s="4" t="s">
        <v>2263</v>
      </c>
      <c r="H1968" s="9" t="s">
        <v>2263</v>
      </c>
      <c r="I1968" s="4" t="s">
        <v>2317</v>
      </c>
      <c r="J1968" s="4" t="s">
        <v>2316</v>
      </c>
      <c r="K1968" s="4" t="s">
        <v>2263</v>
      </c>
      <c r="L1968" s="10">
        <v>6</v>
      </c>
      <c r="M1968" s="5">
        <v>607441.23294117651</v>
      </c>
      <c r="N1968" s="5">
        <v>3644647.3976470586</v>
      </c>
    </row>
    <row r="1969" spans="1:14" x14ac:dyDescent="0.25">
      <c r="A1969" s="4" t="s">
        <v>2819</v>
      </c>
      <c r="B1969" s="4" t="s">
        <v>2818</v>
      </c>
      <c r="C1969" s="4" t="s">
        <v>2320</v>
      </c>
      <c r="D1969" s="4" t="s">
        <v>242</v>
      </c>
      <c r="E1969" s="4" t="s">
        <v>2827</v>
      </c>
      <c r="F1969" s="4" t="s">
        <v>2826</v>
      </c>
      <c r="G1969" s="4" t="s">
        <v>2263</v>
      </c>
      <c r="H1969" s="9" t="s">
        <v>2263</v>
      </c>
      <c r="I1969" s="4" t="s">
        <v>2317</v>
      </c>
      <c r="J1969" s="4" t="s">
        <v>2316</v>
      </c>
      <c r="K1969" s="4" t="s">
        <v>2263</v>
      </c>
      <c r="L1969" s="10">
        <v>6</v>
      </c>
      <c r="M1969" s="5">
        <v>607441.23294117651</v>
      </c>
      <c r="N1969" s="5">
        <v>3644647.3976470586</v>
      </c>
    </row>
    <row r="1970" spans="1:14" x14ac:dyDescent="0.25">
      <c r="A1970" s="4" t="s">
        <v>2320</v>
      </c>
      <c r="B1970" s="4" t="s">
        <v>4967</v>
      </c>
      <c r="C1970" s="4" t="s">
        <v>2320</v>
      </c>
      <c r="D1970" s="4" t="s">
        <v>242</v>
      </c>
      <c r="E1970" s="4" t="s">
        <v>5045</v>
      </c>
      <c r="F1970" s="4" t="s">
        <v>5044</v>
      </c>
      <c r="G1970" s="4" t="s">
        <v>2263</v>
      </c>
      <c r="H1970" s="9" t="s">
        <v>2263</v>
      </c>
      <c r="I1970" s="4" t="s">
        <v>2317</v>
      </c>
      <c r="J1970" s="4" t="s">
        <v>2316</v>
      </c>
      <c r="K1970" s="4" t="s">
        <v>2263</v>
      </c>
      <c r="L1970" s="10">
        <v>6</v>
      </c>
      <c r="M1970" s="5">
        <v>654782.09666666668</v>
      </c>
      <c r="N1970" s="5">
        <v>3928692.58</v>
      </c>
    </row>
    <row r="1971" spans="1:14" x14ac:dyDescent="0.25">
      <c r="A1971" s="4" t="s">
        <v>2317</v>
      </c>
      <c r="B1971" s="4" t="s">
        <v>3839</v>
      </c>
      <c r="C1971" s="4" t="s">
        <v>2320</v>
      </c>
      <c r="D1971" s="4" t="s">
        <v>242</v>
      </c>
      <c r="E1971" s="4" t="s">
        <v>4001</v>
      </c>
      <c r="F1971" s="4" t="s">
        <v>4000</v>
      </c>
      <c r="G1971" s="4" t="s">
        <v>2263</v>
      </c>
      <c r="H1971" s="9" t="s">
        <v>2263</v>
      </c>
      <c r="I1971" s="4" t="s">
        <v>2317</v>
      </c>
      <c r="J1971" s="4" t="s">
        <v>2316</v>
      </c>
      <c r="K1971" s="4" t="s">
        <v>2263</v>
      </c>
      <c r="L1971" s="10">
        <v>6</v>
      </c>
      <c r="M1971" s="5">
        <v>727616.76857142861</v>
      </c>
      <c r="N1971" s="5">
        <v>4365700.6114285719</v>
      </c>
    </row>
    <row r="1972" spans="1:14" x14ac:dyDescent="0.25">
      <c r="A1972" s="4" t="s">
        <v>2761</v>
      </c>
      <c r="B1972" s="4" t="s">
        <v>2760</v>
      </c>
      <c r="C1972" s="4" t="s">
        <v>2320</v>
      </c>
      <c r="D1972" s="4" t="s">
        <v>242</v>
      </c>
      <c r="E1972" s="4" t="s">
        <v>2809</v>
      </c>
      <c r="F1972" s="4" t="s">
        <v>2808</v>
      </c>
      <c r="G1972" s="4" t="s">
        <v>2263</v>
      </c>
      <c r="H1972" s="9" t="s">
        <v>2263</v>
      </c>
      <c r="I1972" s="4" t="s">
        <v>2317</v>
      </c>
      <c r="J1972" s="4" t="s">
        <v>2316</v>
      </c>
      <c r="K1972" s="4" t="s">
        <v>2263</v>
      </c>
      <c r="L1972" s="10">
        <v>6</v>
      </c>
      <c r="M1972" s="5">
        <v>813809.10399999993</v>
      </c>
      <c r="N1972" s="5">
        <v>4882854.6239999998</v>
      </c>
    </row>
    <row r="1973" spans="1:14" x14ac:dyDescent="0.25">
      <c r="A1973" s="4" t="s">
        <v>2320</v>
      </c>
      <c r="B1973" s="4" t="s">
        <v>4967</v>
      </c>
      <c r="C1973" s="4" t="s">
        <v>2320</v>
      </c>
      <c r="D1973" s="4" t="s">
        <v>242</v>
      </c>
      <c r="E1973" s="4" t="s">
        <v>3989</v>
      </c>
      <c r="F1973" s="4" t="s">
        <v>3988</v>
      </c>
      <c r="G1973" s="4" t="s">
        <v>2263</v>
      </c>
      <c r="H1973" s="9" t="s">
        <v>2263</v>
      </c>
      <c r="I1973" s="4" t="s">
        <v>2317</v>
      </c>
      <c r="J1973" s="4" t="s">
        <v>2316</v>
      </c>
      <c r="K1973" s="4" t="s">
        <v>2263</v>
      </c>
      <c r="L1973" s="10">
        <v>6</v>
      </c>
      <c r="M1973" s="5">
        <v>920191.51</v>
      </c>
      <c r="N1973" s="5">
        <v>5521149.0599999996</v>
      </c>
    </row>
    <row r="1974" spans="1:14" x14ac:dyDescent="0.25">
      <c r="A1974" s="4" t="s">
        <v>2317</v>
      </c>
      <c r="B1974" s="4" t="s">
        <v>3839</v>
      </c>
      <c r="C1974" s="4" t="s">
        <v>2320</v>
      </c>
      <c r="D1974" s="4" t="s">
        <v>242</v>
      </c>
      <c r="E1974" s="4" t="s">
        <v>3989</v>
      </c>
      <c r="F1974" s="4" t="s">
        <v>3988</v>
      </c>
      <c r="G1974" s="4" t="s">
        <v>2263</v>
      </c>
      <c r="H1974" s="9" t="s">
        <v>2263</v>
      </c>
      <c r="I1974" s="4" t="s">
        <v>2317</v>
      </c>
      <c r="J1974" s="4" t="s">
        <v>2316</v>
      </c>
      <c r="K1974" s="4" t="s">
        <v>2263</v>
      </c>
      <c r="L1974" s="10">
        <v>6</v>
      </c>
      <c r="M1974" s="5">
        <v>920191.51</v>
      </c>
      <c r="N1974" s="5">
        <v>5521149.0599999996</v>
      </c>
    </row>
    <row r="1975" spans="1:14" x14ac:dyDescent="0.25">
      <c r="A1975" s="4" t="s">
        <v>2344</v>
      </c>
      <c r="B1975" s="4" t="s">
        <v>5154</v>
      </c>
      <c r="C1975" s="4" t="s">
        <v>2344</v>
      </c>
      <c r="D1975" s="4" t="s">
        <v>237</v>
      </c>
      <c r="E1975" s="4" t="s">
        <v>4626</v>
      </c>
      <c r="F1975" s="4" t="s">
        <v>2550</v>
      </c>
      <c r="G1975" s="4" t="s">
        <v>2263</v>
      </c>
      <c r="H1975" s="9" t="s">
        <v>2263</v>
      </c>
      <c r="I1975" s="4" t="s">
        <v>2263</v>
      </c>
      <c r="J1975" s="4" t="s">
        <v>2263</v>
      </c>
      <c r="K1975" s="4" t="s">
        <v>2465</v>
      </c>
      <c r="L1975" s="10">
        <v>7</v>
      </c>
      <c r="M1975" s="5">
        <v>53.074179104477608</v>
      </c>
      <c r="N1975" s="5">
        <v>371.51925373133997</v>
      </c>
    </row>
    <row r="1976" spans="1:14" x14ac:dyDescent="0.25">
      <c r="A1976" s="4" t="s">
        <v>2344</v>
      </c>
      <c r="B1976" s="4" t="s">
        <v>5154</v>
      </c>
      <c r="C1976" s="4" t="s">
        <v>2320</v>
      </c>
      <c r="D1976" s="4" t="s">
        <v>242</v>
      </c>
      <c r="E1976" s="4" t="s">
        <v>3213</v>
      </c>
      <c r="F1976" s="4" t="s">
        <v>3212</v>
      </c>
      <c r="G1976" s="4" t="s">
        <v>2263</v>
      </c>
      <c r="H1976" s="9" t="s">
        <v>2263</v>
      </c>
      <c r="I1976" s="4" t="s">
        <v>2317</v>
      </c>
      <c r="J1976" s="4" t="s">
        <v>2316</v>
      </c>
      <c r="K1976" s="4" t="s">
        <v>2263</v>
      </c>
      <c r="L1976" s="10">
        <v>7</v>
      </c>
      <c r="M1976" s="5">
        <v>446.59574468085106</v>
      </c>
      <c r="N1976" s="5">
        <v>3126.1702127659601</v>
      </c>
    </row>
    <row r="1977" spans="1:14" x14ac:dyDescent="0.25">
      <c r="A1977" s="4" t="s">
        <v>2344</v>
      </c>
      <c r="B1977" s="4" t="s">
        <v>5154</v>
      </c>
      <c r="C1977" s="4" t="s">
        <v>2279</v>
      </c>
      <c r="D1977" s="4" t="s">
        <v>2278</v>
      </c>
      <c r="E1977" s="4" t="s">
        <v>5290</v>
      </c>
      <c r="F1977" s="4" t="s">
        <v>5289</v>
      </c>
      <c r="G1977" s="4" t="s">
        <v>2263</v>
      </c>
      <c r="H1977" s="9" t="s">
        <v>2263</v>
      </c>
      <c r="I1977" s="4" t="s">
        <v>2263</v>
      </c>
      <c r="J1977" s="4" t="s">
        <v>2263</v>
      </c>
      <c r="K1977" s="4" t="s">
        <v>5288</v>
      </c>
      <c r="L1977" s="10">
        <v>7</v>
      </c>
      <c r="M1977" s="5">
        <v>615.98</v>
      </c>
      <c r="N1977" s="5">
        <v>4311.8599999999997</v>
      </c>
    </row>
    <row r="1978" spans="1:14" x14ac:dyDescent="0.25">
      <c r="A1978" s="4" t="s">
        <v>2320</v>
      </c>
      <c r="B1978" s="4" t="s">
        <v>4967</v>
      </c>
      <c r="C1978" s="4" t="s">
        <v>2320</v>
      </c>
      <c r="D1978" s="4" t="s">
        <v>242</v>
      </c>
      <c r="E1978" s="4" t="s">
        <v>5063</v>
      </c>
      <c r="F1978" s="4" t="s">
        <v>5062</v>
      </c>
      <c r="G1978" s="4" t="s">
        <v>2263</v>
      </c>
      <c r="H1978" s="9" t="s">
        <v>2263</v>
      </c>
      <c r="I1978" s="4" t="s">
        <v>2317</v>
      </c>
      <c r="J1978" s="4" t="s">
        <v>2316</v>
      </c>
      <c r="K1978" s="4" t="s">
        <v>2263</v>
      </c>
      <c r="L1978" s="10">
        <v>7</v>
      </c>
      <c r="M1978" s="5">
        <v>808.70714285714291</v>
      </c>
      <c r="N1978" s="5">
        <v>5660.95</v>
      </c>
    </row>
    <row r="1979" spans="1:14" x14ac:dyDescent="0.25">
      <c r="A1979" s="4" t="s">
        <v>2384</v>
      </c>
      <c r="B1979" s="4" t="s">
        <v>3187</v>
      </c>
      <c r="C1979" s="4" t="s">
        <v>2344</v>
      </c>
      <c r="D1979" s="4" t="s">
        <v>237</v>
      </c>
      <c r="E1979" s="4" t="s">
        <v>2450</v>
      </c>
      <c r="F1979" s="4" t="s">
        <v>2449</v>
      </c>
      <c r="G1979" s="4" t="s">
        <v>2263</v>
      </c>
      <c r="H1979" s="9" t="s">
        <v>2263</v>
      </c>
      <c r="I1979" s="4" t="s">
        <v>2263</v>
      </c>
      <c r="J1979" s="4" t="s">
        <v>2263</v>
      </c>
      <c r="K1979" s="4" t="s">
        <v>2448</v>
      </c>
      <c r="L1979" s="10">
        <v>7</v>
      </c>
      <c r="M1979" s="5">
        <v>868.85911602209944</v>
      </c>
      <c r="N1979" s="5">
        <v>6082.0138121546997</v>
      </c>
    </row>
    <row r="1980" spans="1:14" x14ac:dyDescent="0.25">
      <c r="A1980" s="4" t="s">
        <v>2344</v>
      </c>
      <c r="B1980" s="4" t="s">
        <v>5154</v>
      </c>
      <c r="C1980" s="4" t="s">
        <v>2344</v>
      </c>
      <c r="D1980" s="4" t="s">
        <v>237</v>
      </c>
      <c r="E1980" s="4" t="s">
        <v>4903</v>
      </c>
      <c r="F1980" s="4" t="s">
        <v>4902</v>
      </c>
      <c r="G1980" s="4" t="s">
        <v>2263</v>
      </c>
      <c r="H1980" s="9" t="s">
        <v>2263</v>
      </c>
      <c r="I1980" s="4" t="s">
        <v>2263</v>
      </c>
      <c r="J1980" s="4" t="s">
        <v>2263</v>
      </c>
      <c r="K1980" s="4" t="s">
        <v>2262</v>
      </c>
      <c r="L1980" s="10">
        <v>7</v>
      </c>
      <c r="M1980" s="5">
        <v>1240.4666666666667</v>
      </c>
      <c r="N1980" s="5">
        <v>8683.2666666666701</v>
      </c>
    </row>
    <row r="1981" spans="1:14" x14ac:dyDescent="0.25">
      <c r="A1981" s="4" t="s">
        <v>3051</v>
      </c>
      <c r="B1981" s="4" t="s">
        <v>3050</v>
      </c>
      <c r="C1981" s="4" t="s">
        <v>2344</v>
      </c>
      <c r="D1981" s="4" t="s">
        <v>237</v>
      </c>
      <c r="E1981" s="4" t="s">
        <v>3042</v>
      </c>
      <c r="F1981" s="4" t="s">
        <v>2434</v>
      </c>
      <c r="G1981" s="4" t="s">
        <v>2263</v>
      </c>
      <c r="H1981" s="9" t="s">
        <v>2263</v>
      </c>
      <c r="I1981" s="4" t="s">
        <v>2263</v>
      </c>
      <c r="J1981" s="4" t="s">
        <v>2263</v>
      </c>
      <c r="K1981" s="4" t="s">
        <v>2433</v>
      </c>
      <c r="L1981" s="10">
        <v>7</v>
      </c>
      <c r="M1981" s="5">
        <v>1970.5454545454545</v>
      </c>
      <c r="N1981" s="5">
        <v>13793.81818181818</v>
      </c>
    </row>
    <row r="1982" spans="1:14" x14ac:dyDescent="0.25">
      <c r="A1982" s="4" t="s">
        <v>2344</v>
      </c>
      <c r="B1982" s="4" t="s">
        <v>5154</v>
      </c>
      <c r="C1982" s="4" t="s">
        <v>2320</v>
      </c>
      <c r="D1982" s="4" t="s">
        <v>242</v>
      </c>
      <c r="E1982" s="4" t="s">
        <v>2412</v>
      </c>
      <c r="F1982" s="4" t="s">
        <v>2411</v>
      </c>
      <c r="G1982" s="4" t="s">
        <v>2263</v>
      </c>
      <c r="H1982" s="9" t="s">
        <v>2263</v>
      </c>
      <c r="I1982" s="4" t="s">
        <v>2317</v>
      </c>
      <c r="J1982" s="4" t="s">
        <v>2316</v>
      </c>
      <c r="K1982" s="4" t="s">
        <v>2263</v>
      </c>
      <c r="L1982" s="10">
        <v>7</v>
      </c>
      <c r="M1982" s="5">
        <v>1999.3788311688313</v>
      </c>
      <c r="N1982" s="5">
        <v>13995.651818181819</v>
      </c>
    </row>
    <row r="1983" spans="1:14" x14ac:dyDescent="0.25">
      <c r="A1983" s="4" t="s">
        <v>2653</v>
      </c>
      <c r="B1983" s="4" t="s">
        <v>3226</v>
      </c>
      <c r="C1983" s="4" t="s">
        <v>3107</v>
      </c>
      <c r="D1983" s="4" t="s">
        <v>1105</v>
      </c>
      <c r="E1983" s="4" t="s">
        <v>3781</v>
      </c>
      <c r="F1983" s="4" t="s">
        <v>3780</v>
      </c>
      <c r="G1983" s="4" t="s">
        <v>2263</v>
      </c>
      <c r="H1983" s="9" t="s">
        <v>2263</v>
      </c>
      <c r="I1983" s="4" t="s">
        <v>2317</v>
      </c>
      <c r="J1983" s="4" t="s">
        <v>2316</v>
      </c>
      <c r="K1983" s="4" t="s">
        <v>2263</v>
      </c>
      <c r="L1983" s="10">
        <v>7</v>
      </c>
      <c r="M1983" s="5">
        <v>2000</v>
      </c>
      <c r="N1983" s="5">
        <v>14000</v>
      </c>
    </row>
    <row r="1984" spans="1:14" x14ac:dyDescent="0.25">
      <c r="A1984" s="4" t="s">
        <v>2653</v>
      </c>
      <c r="B1984" s="4" t="s">
        <v>3226</v>
      </c>
      <c r="C1984" s="4" t="s">
        <v>3107</v>
      </c>
      <c r="D1984" s="4" t="s">
        <v>1105</v>
      </c>
      <c r="E1984" s="4" t="s">
        <v>3713</v>
      </c>
      <c r="F1984" s="4" t="s">
        <v>3712</v>
      </c>
      <c r="G1984" s="4" t="s">
        <v>2263</v>
      </c>
      <c r="H1984" s="9" t="s">
        <v>2263</v>
      </c>
      <c r="I1984" s="4" t="s">
        <v>2317</v>
      </c>
      <c r="J1984" s="4" t="s">
        <v>2316</v>
      </c>
      <c r="K1984" s="4" t="s">
        <v>2263</v>
      </c>
      <c r="L1984" s="10">
        <v>7</v>
      </c>
      <c r="M1984" s="5">
        <v>2618</v>
      </c>
      <c r="N1984" s="5">
        <v>18326</v>
      </c>
    </row>
    <row r="1985" spans="1:14" x14ac:dyDescent="0.25">
      <c r="A1985" s="4" t="s">
        <v>2317</v>
      </c>
      <c r="B1985" s="4" t="s">
        <v>3839</v>
      </c>
      <c r="C1985" s="4" t="s">
        <v>2320</v>
      </c>
      <c r="D1985" s="4" t="s">
        <v>242</v>
      </c>
      <c r="E1985" s="4" t="s">
        <v>3865</v>
      </c>
      <c r="F1985" s="4" t="s">
        <v>3864</v>
      </c>
      <c r="G1985" s="4" t="s">
        <v>2263</v>
      </c>
      <c r="H1985" s="9" t="s">
        <v>2263</v>
      </c>
      <c r="I1985" s="4" t="s">
        <v>2317</v>
      </c>
      <c r="J1985" s="4" t="s">
        <v>2316</v>
      </c>
      <c r="K1985" s="4" t="s">
        <v>2263</v>
      </c>
      <c r="L1985" s="10">
        <v>7</v>
      </c>
      <c r="M1985" s="5">
        <v>2900</v>
      </c>
      <c r="N1985" s="5">
        <v>20300</v>
      </c>
    </row>
    <row r="1986" spans="1:14" x14ac:dyDescent="0.25">
      <c r="A1986" s="4" t="s">
        <v>2274</v>
      </c>
      <c r="B1986" s="4" t="s">
        <v>4348</v>
      </c>
      <c r="C1986" s="4" t="s">
        <v>2344</v>
      </c>
      <c r="D1986" s="4" t="s">
        <v>237</v>
      </c>
      <c r="E1986" s="4" t="s">
        <v>4701</v>
      </c>
      <c r="F1986" s="4" t="s">
        <v>2601</v>
      </c>
      <c r="G1986" s="4" t="s">
        <v>2263</v>
      </c>
      <c r="H1986" s="9" t="s">
        <v>2263</v>
      </c>
      <c r="I1986" s="4" t="s">
        <v>2263</v>
      </c>
      <c r="J1986" s="4" t="s">
        <v>2263</v>
      </c>
      <c r="K1986" s="4" t="s">
        <v>2600</v>
      </c>
      <c r="L1986" s="10">
        <v>7</v>
      </c>
      <c r="M1986" s="5">
        <v>3067</v>
      </c>
      <c r="N1986" s="5">
        <v>21469</v>
      </c>
    </row>
    <row r="1987" spans="1:14" x14ac:dyDescent="0.25">
      <c r="A1987" s="4" t="s">
        <v>2317</v>
      </c>
      <c r="B1987" s="4" t="s">
        <v>3839</v>
      </c>
      <c r="C1987" s="4" t="s">
        <v>2320</v>
      </c>
      <c r="D1987" s="4" t="s">
        <v>242</v>
      </c>
      <c r="E1987" s="4" t="s">
        <v>3036</v>
      </c>
      <c r="F1987" s="4" t="s">
        <v>3035</v>
      </c>
      <c r="G1987" s="4" t="s">
        <v>2263</v>
      </c>
      <c r="H1987" s="9" t="s">
        <v>2263</v>
      </c>
      <c r="I1987" s="4" t="s">
        <v>2317</v>
      </c>
      <c r="J1987" s="4" t="s">
        <v>2316</v>
      </c>
      <c r="K1987" s="4" t="s">
        <v>2263</v>
      </c>
      <c r="L1987" s="10">
        <v>7</v>
      </c>
      <c r="M1987" s="5">
        <v>3095.4549999999999</v>
      </c>
      <c r="N1987" s="5">
        <v>21668.185000000001</v>
      </c>
    </row>
    <row r="1988" spans="1:14" x14ac:dyDescent="0.25">
      <c r="A1988" s="4" t="s">
        <v>2344</v>
      </c>
      <c r="B1988" s="4" t="s">
        <v>5154</v>
      </c>
      <c r="C1988" s="4" t="s">
        <v>2344</v>
      </c>
      <c r="D1988" s="4" t="s">
        <v>237</v>
      </c>
      <c r="E1988" s="4" t="s">
        <v>5425</v>
      </c>
      <c r="F1988" s="4" t="s">
        <v>2422</v>
      </c>
      <c r="G1988" s="4" t="s">
        <v>2263</v>
      </c>
      <c r="H1988" s="9" t="s">
        <v>2263</v>
      </c>
      <c r="I1988" s="4" t="s">
        <v>2263</v>
      </c>
      <c r="J1988" s="4" t="s">
        <v>2263</v>
      </c>
      <c r="K1988" s="4" t="s">
        <v>2421</v>
      </c>
      <c r="L1988" s="10">
        <v>7</v>
      </c>
      <c r="M1988" s="5">
        <v>3166</v>
      </c>
      <c r="N1988" s="5">
        <v>22162</v>
      </c>
    </row>
    <row r="1989" spans="1:14" x14ac:dyDescent="0.25">
      <c r="A1989" s="4" t="s">
        <v>2320</v>
      </c>
      <c r="B1989" s="4" t="s">
        <v>4967</v>
      </c>
      <c r="C1989" s="4" t="s">
        <v>2279</v>
      </c>
      <c r="D1989" s="4" t="s">
        <v>2278</v>
      </c>
      <c r="E1989" s="4" t="s">
        <v>2292</v>
      </c>
      <c r="F1989" s="4" t="s">
        <v>2291</v>
      </c>
      <c r="G1989" s="4" t="s">
        <v>2263</v>
      </c>
      <c r="H1989" s="9" t="s">
        <v>2263</v>
      </c>
      <c r="I1989" s="4" t="s">
        <v>2263</v>
      </c>
      <c r="J1989" s="4" t="s">
        <v>2263</v>
      </c>
      <c r="K1989" s="4" t="s">
        <v>2290</v>
      </c>
      <c r="L1989" s="10">
        <v>7</v>
      </c>
      <c r="M1989" s="5">
        <v>3260.375</v>
      </c>
      <c r="N1989" s="5">
        <v>22822.625</v>
      </c>
    </row>
    <row r="1990" spans="1:14" x14ac:dyDescent="0.25">
      <c r="A1990" s="4" t="s">
        <v>2269</v>
      </c>
      <c r="B1990" s="4" t="s">
        <v>2268</v>
      </c>
      <c r="C1990" s="4" t="s">
        <v>2279</v>
      </c>
      <c r="D1990" s="4" t="s">
        <v>2278</v>
      </c>
      <c r="E1990" s="4" t="s">
        <v>2292</v>
      </c>
      <c r="F1990" s="4" t="s">
        <v>2291</v>
      </c>
      <c r="G1990" s="4" t="s">
        <v>2263</v>
      </c>
      <c r="H1990" s="9" t="s">
        <v>2263</v>
      </c>
      <c r="I1990" s="4" t="s">
        <v>2263</v>
      </c>
      <c r="J1990" s="4" t="s">
        <v>2263</v>
      </c>
      <c r="K1990" s="4" t="s">
        <v>2290</v>
      </c>
      <c r="L1990" s="10">
        <v>7</v>
      </c>
      <c r="M1990" s="5">
        <v>3260.375</v>
      </c>
      <c r="N1990" s="5">
        <v>22822.625</v>
      </c>
    </row>
    <row r="1991" spans="1:14" x14ac:dyDescent="0.25">
      <c r="A1991" s="4" t="s">
        <v>2344</v>
      </c>
      <c r="B1991" s="4" t="s">
        <v>5154</v>
      </c>
      <c r="C1991" s="4" t="s">
        <v>2344</v>
      </c>
      <c r="D1991" s="4" t="s">
        <v>237</v>
      </c>
      <c r="E1991" s="4" t="s">
        <v>4952</v>
      </c>
      <c r="F1991" s="4" t="s">
        <v>4951</v>
      </c>
      <c r="G1991" s="4" t="s">
        <v>2263</v>
      </c>
      <c r="H1991" s="9" t="s">
        <v>2263</v>
      </c>
      <c r="I1991" s="4" t="s">
        <v>2263</v>
      </c>
      <c r="J1991" s="4" t="s">
        <v>2263</v>
      </c>
      <c r="K1991" s="4" t="s">
        <v>4381</v>
      </c>
      <c r="L1991" s="10">
        <v>7</v>
      </c>
      <c r="M1991" s="5">
        <v>3889.1462962962964</v>
      </c>
      <c r="N1991" s="5">
        <v>27224.02407407407</v>
      </c>
    </row>
    <row r="1992" spans="1:14" x14ac:dyDescent="0.25">
      <c r="A1992" s="4" t="s">
        <v>2384</v>
      </c>
      <c r="B1992" s="4" t="s">
        <v>3187</v>
      </c>
      <c r="C1992" s="4" t="s">
        <v>2344</v>
      </c>
      <c r="D1992" s="4" t="s">
        <v>237</v>
      </c>
      <c r="E1992" s="4" t="s">
        <v>2461</v>
      </c>
      <c r="F1992" s="4" t="s">
        <v>2460</v>
      </c>
      <c r="G1992" s="4" t="s">
        <v>2263</v>
      </c>
      <c r="H1992" s="9" t="s">
        <v>2263</v>
      </c>
      <c r="I1992" s="4" t="s">
        <v>2263</v>
      </c>
      <c r="J1992" s="4" t="s">
        <v>2263</v>
      </c>
      <c r="K1992" s="4" t="s">
        <v>2421</v>
      </c>
      <c r="L1992" s="10">
        <v>7</v>
      </c>
      <c r="M1992" s="5">
        <v>3894.9839393939396</v>
      </c>
      <c r="N1992" s="5">
        <v>27264.887575757581</v>
      </c>
    </row>
    <row r="1993" spans="1:14" x14ac:dyDescent="0.25">
      <c r="A1993" s="4" t="s">
        <v>2274</v>
      </c>
      <c r="B1993" s="4" t="s">
        <v>4348</v>
      </c>
      <c r="C1993" s="4" t="s">
        <v>2344</v>
      </c>
      <c r="D1993" s="4" t="s">
        <v>237</v>
      </c>
      <c r="E1993" s="4" t="s">
        <v>4852</v>
      </c>
      <c r="F1993" s="4" t="s">
        <v>4851</v>
      </c>
      <c r="G1993" s="4" t="s">
        <v>2263</v>
      </c>
      <c r="H1993" s="9" t="s">
        <v>2263</v>
      </c>
      <c r="I1993" s="4" t="s">
        <v>2263</v>
      </c>
      <c r="J1993" s="4" t="s">
        <v>2263</v>
      </c>
      <c r="K1993" s="4" t="s">
        <v>4850</v>
      </c>
      <c r="L1993" s="10">
        <v>7</v>
      </c>
      <c r="M1993" s="5">
        <v>4109.090909090909</v>
      </c>
      <c r="N1993" s="5">
        <v>28763.63636363636</v>
      </c>
    </row>
    <row r="1994" spans="1:14" x14ac:dyDescent="0.25">
      <c r="A1994" s="4" t="s">
        <v>2317</v>
      </c>
      <c r="B1994" s="4" t="s">
        <v>3839</v>
      </c>
      <c r="C1994" s="4" t="s">
        <v>2320</v>
      </c>
      <c r="D1994" s="4" t="s">
        <v>242</v>
      </c>
      <c r="E1994" s="4" t="s">
        <v>2400</v>
      </c>
      <c r="F1994" s="4" t="s">
        <v>2399</v>
      </c>
      <c r="G1994" s="4" t="s">
        <v>2263</v>
      </c>
      <c r="H1994" s="9" t="s">
        <v>2263</v>
      </c>
      <c r="I1994" s="4" t="s">
        <v>2317</v>
      </c>
      <c r="J1994" s="4" t="s">
        <v>2316</v>
      </c>
      <c r="K1994" s="4" t="s">
        <v>2263</v>
      </c>
      <c r="L1994" s="10">
        <v>7</v>
      </c>
      <c r="M1994" s="5">
        <v>4187</v>
      </c>
      <c r="N1994" s="5">
        <v>29309</v>
      </c>
    </row>
    <row r="1995" spans="1:14" x14ac:dyDescent="0.25">
      <c r="A1995" s="4" t="s">
        <v>2653</v>
      </c>
      <c r="B1995" s="4" t="s">
        <v>3226</v>
      </c>
      <c r="C1995" s="4" t="s">
        <v>2384</v>
      </c>
      <c r="D1995" s="4" t="s">
        <v>262</v>
      </c>
      <c r="E1995" s="4" t="s">
        <v>3528</v>
      </c>
      <c r="F1995" s="4" t="s">
        <v>3527</v>
      </c>
      <c r="G1995" s="4" t="s">
        <v>2263</v>
      </c>
      <c r="H1995" s="9" t="s">
        <v>2263</v>
      </c>
      <c r="I1995" s="4" t="s">
        <v>2317</v>
      </c>
      <c r="J1995" s="4" t="s">
        <v>2316</v>
      </c>
      <c r="K1995" s="4" t="s">
        <v>2263</v>
      </c>
      <c r="L1995" s="10">
        <v>7</v>
      </c>
      <c r="M1995" s="5">
        <v>4555.9142857142851</v>
      </c>
      <c r="N1995" s="5">
        <v>31891.4</v>
      </c>
    </row>
    <row r="1996" spans="1:14" x14ac:dyDescent="0.25">
      <c r="A1996" s="4" t="s">
        <v>2320</v>
      </c>
      <c r="B1996" s="4" t="s">
        <v>4967</v>
      </c>
      <c r="C1996" s="4" t="s">
        <v>2344</v>
      </c>
      <c r="D1996" s="4" t="s">
        <v>237</v>
      </c>
      <c r="E1996" s="4" t="s">
        <v>5152</v>
      </c>
      <c r="F1996" s="4" t="s">
        <v>5151</v>
      </c>
      <c r="G1996" s="4" t="s">
        <v>2263</v>
      </c>
      <c r="H1996" s="9" t="s">
        <v>2263</v>
      </c>
      <c r="I1996" s="4" t="s">
        <v>2263</v>
      </c>
      <c r="J1996" s="4" t="s">
        <v>2263</v>
      </c>
      <c r="K1996" s="4" t="s">
        <v>2552</v>
      </c>
      <c r="L1996" s="10">
        <v>7</v>
      </c>
      <c r="M1996" s="5">
        <v>4953.2514285714287</v>
      </c>
      <c r="N1996" s="5">
        <v>34672.76</v>
      </c>
    </row>
    <row r="1997" spans="1:14" x14ac:dyDescent="0.25">
      <c r="A1997" s="4" t="s">
        <v>2320</v>
      </c>
      <c r="B1997" s="4" t="s">
        <v>4967</v>
      </c>
      <c r="C1997" s="4" t="s">
        <v>2320</v>
      </c>
      <c r="D1997" s="4" t="s">
        <v>242</v>
      </c>
      <c r="E1997" s="4" t="s">
        <v>3915</v>
      </c>
      <c r="F1997" s="4" t="s">
        <v>3914</v>
      </c>
      <c r="G1997" s="4" t="s">
        <v>2263</v>
      </c>
      <c r="H1997" s="9" t="s">
        <v>2263</v>
      </c>
      <c r="I1997" s="4" t="s">
        <v>2317</v>
      </c>
      <c r="J1997" s="4" t="s">
        <v>2316</v>
      </c>
      <c r="K1997" s="4" t="s">
        <v>2263</v>
      </c>
      <c r="L1997" s="10">
        <v>7</v>
      </c>
      <c r="M1997" s="5">
        <v>5912</v>
      </c>
      <c r="N1997" s="5">
        <v>41384</v>
      </c>
    </row>
    <row r="1998" spans="1:14" x14ac:dyDescent="0.25">
      <c r="A1998" s="4" t="s">
        <v>2274</v>
      </c>
      <c r="B1998" s="4" t="s">
        <v>4348</v>
      </c>
      <c r="C1998" s="4" t="s">
        <v>2344</v>
      </c>
      <c r="D1998" s="4" t="s">
        <v>237</v>
      </c>
      <c r="E1998" s="4" t="s">
        <v>4793</v>
      </c>
      <c r="F1998" s="4" t="s">
        <v>4792</v>
      </c>
      <c r="G1998" s="4" t="s">
        <v>2263</v>
      </c>
      <c r="H1998" s="9" t="s">
        <v>2263</v>
      </c>
      <c r="I1998" s="4" t="s">
        <v>2263</v>
      </c>
      <c r="J1998" s="4" t="s">
        <v>2263</v>
      </c>
      <c r="K1998" s="4" t="s">
        <v>2661</v>
      </c>
      <c r="L1998" s="10">
        <v>7</v>
      </c>
      <c r="M1998" s="5">
        <v>6329</v>
      </c>
      <c r="N1998" s="5">
        <v>44303</v>
      </c>
    </row>
    <row r="1999" spans="1:14" x14ac:dyDescent="0.25">
      <c r="A1999" s="4" t="s">
        <v>2344</v>
      </c>
      <c r="B1999" s="4" t="s">
        <v>5154</v>
      </c>
      <c r="C1999" s="4" t="s">
        <v>2344</v>
      </c>
      <c r="D1999" s="4" t="s">
        <v>237</v>
      </c>
      <c r="E1999" s="4" t="s">
        <v>4714</v>
      </c>
      <c r="F1999" s="4" t="s">
        <v>2645</v>
      </c>
      <c r="G1999" s="4" t="s">
        <v>2263</v>
      </c>
      <c r="H1999" s="9" t="s">
        <v>2263</v>
      </c>
      <c r="I1999" s="4" t="s">
        <v>2263</v>
      </c>
      <c r="J1999" s="4" t="s">
        <v>2263</v>
      </c>
      <c r="K1999" s="4" t="s">
        <v>2611</v>
      </c>
      <c r="L1999" s="10">
        <v>7</v>
      </c>
      <c r="M1999" s="5">
        <v>6999.5883333333331</v>
      </c>
      <c r="N1999" s="5">
        <v>48997.118333333332</v>
      </c>
    </row>
    <row r="2000" spans="1:14" x14ac:dyDescent="0.25">
      <c r="A2000" s="4" t="s">
        <v>2320</v>
      </c>
      <c r="B2000" s="4" t="s">
        <v>4967</v>
      </c>
      <c r="C2000" s="4" t="s">
        <v>2320</v>
      </c>
      <c r="D2000" s="4" t="s">
        <v>242</v>
      </c>
      <c r="E2000" s="4" t="s">
        <v>3969</v>
      </c>
      <c r="F2000" s="4" t="s">
        <v>3968</v>
      </c>
      <c r="G2000" s="4" t="s">
        <v>2263</v>
      </c>
      <c r="H2000" s="9" t="s">
        <v>2263</v>
      </c>
      <c r="I2000" s="4" t="s">
        <v>2317</v>
      </c>
      <c r="J2000" s="4" t="s">
        <v>2316</v>
      </c>
      <c r="K2000" s="4" t="s">
        <v>2263</v>
      </c>
      <c r="L2000" s="10">
        <v>7</v>
      </c>
      <c r="M2000" s="5">
        <v>7002</v>
      </c>
      <c r="N2000" s="5">
        <v>49014</v>
      </c>
    </row>
    <row r="2001" spans="1:14" x14ac:dyDescent="0.25">
      <c r="A2001" s="4" t="s">
        <v>2344</v>
      </c>
      <c r="B2001" s="4" t="s">
        <v>5154</v>
      </c>
      <c r="C2001" s="4" t="s">
        <v>2344</v>
      </c>
      <c r="D2001" s="4" t="s">
        <v>237</v>
      </c>
      <c r="E2001" s="4" t="s">
        <v>5363</v>
      </c>
      <c r="F2001" s="4" t="s">
        <v>4577</v>
      </c>
      <c r="G2001" s="4" t="s">
        <v>2263</v>
      </c>
      <c r="H2001" s="9" t="s">
        <v>2263</v>
      </c>
      <c r="I2001" s="4" t="s">
        <v>2263</v>
      </c>
      <c r="J2001" s="4" t="s">
        <v>2263</v>
      </c>
      <c r="K2001" s="4" t="s">
        <v>2605</v>
      </c>
      <c r="L2001" s="10">
        <v>7</v>
      </c>
      <c r="M2001" s="5">
        <v>7108</v>
      </c>
      <c r="N2001" s="5">
        <v>49756</v>
      </c>
    </row>
    <row r="2002" spans="1:14" x14ac:dyDescent="0.25">
      <c r="A2002" s="4" t="s">
        <v>2320</v>
      </c>
      <c r="B2002" s="4" t="s">
        <v>4967</v>
      </c>
      <c r="C2002" s="4" t="s">
        <v>2344</v>
      </c>
      <c r="D2002" s="4" t="s">
        <v>237</v>
      </c>
      <c r="E2002" s="4" t="s">
        <v>4640</v>
      </c>
      <c r="F2002" s="4" t="s">
        <v>4639</v>
      </c>
      <c r="G2002" s="4" t="s">
        <v>2263</v>
      </c>
      <c r="H2002" s="9" t="s">
        <v>2263</v>
      </c>
      <c r="I2002" s="4" t="s">
        <v>2263</v>
      </c>
      <c r="J2002" s="4" t="s">
        <v>2263</v>
      </c>
      <c r="K2002" s="4" t="s">
        <v>2580</v>
      </c>
      <c r="L2002" s="10">
        <v>7</v>
      </c>
      <c r="M2002" s="5">
        <v>7201.4065725806449</v>
      </c>
      <c r="N2002" s="5">
        <v>50409.846008064524</v>
      </c>
    </row>
    <row r="2003" spans="1:14" x14ac:dyDescent="0.25">
      <c r="A2003" s="4" t="s">
        <v>2317</v>
      </c>
      <c r="B2003" s="4" t="s">
        <v>3839</v>
      </c>
      <c r="C2003" s="4" t="s">
        <v>2320</v>
      </c>
      <c r="D2003" s="4" t="s">
        <v>242</v>
      </c>
      <c r="E2003" s="4" t="s">
        <v>4127</v>
      </c>
      <c r="F2003" s="4" t="s">
        <v>4126</v>
      </c>
      <c r="G2003" s="4" t="s">
        <v>2263</v>
      </c>
      <c r="H2003" s="9" t="s">
        <v>2263</v>
      </c>
      <c r="I2003" s="4" t="s">
        <v>2317</v>
      </c>
      <c r="J2003" s="4" t="s">
        <v>2316</v>
      </c>
      <c r="K2003" s="4" t="s">
        <v>2263</v>
      </c>
      <c r="L2003" s="10">
        <v>7</v>
      </c>
      <c r="M2003" s="5">
        <v>7608.4736842105258</v>
      </c>
      <c r="N2003" s="5">
        <v>53259.31578947368</v>
      </c>
    </row>
    <row r="2004" spans="1:14" x14ac:dyDescent="0.25">
      <c r="A2004" s="4" t="s">
        <v>2344</v>
      </c>
      <c r="B2004" s="4" t="s">
        <v>5154</v>
      </c>
      <c r="C2004" s="4" t="s">
        <v>2320</v>
      </c>
      <c r="D2004" s="4" t="s">
        <v>242</v>
      </c>
      <c r="E2004" s="4" t="s">
        <v>3927</v>
      </c>
      <c r="F2004" s="4" t="s">
        <v>3926</v>
      </c>
      <c r="G2004" s="4" t="s">
        <v>2263</v>
      </c>
      <c r="H2004" s="9" t="s">
        <v>2263</v>
      </c>
      <c r="I2004" s="4" t="s">
        <v>2317</v>
      </c>
      <c r="J2004" s="4" t="s">
        <v>2316</v>
      </c>
      <c r="K2004" s="4" t="s">
        <v>2263</v>
      </c>
      <c r="L2004" s="10">
        <v>7</v>
      </c>
      <c r="M2004" s="5">
        <v>8377.6663636363628</v>
      </c>
      <c r="N2004" s="5">
        <v>58643.664545454551</v>
      </c>
    </row>
    <row r="2005" spans="1:14" x14ac:dyDescent="0.25">
      <c r="A2005" s="4" t="s">
        <v>2653</v>
      </c>
      <c r="B2005" s="4" t="s">
        <v>3226</v>
      </c>
      <c r="C2005" s="4" t="s">
        <v>3801</v>
      </c>
      <c r="D2005" s="4" t="s">
        <v>3800</v>
      </c>
      <c r="E2005" s="4" t="s">
        <v>3799</v>
      </c>
      <c r="F2005" s="4" t="s">
        <v>3798</v>
      </c>
      <c r="G2005" s="4" t="s">
        <v>2263</v>
      </c>
      <c r="H2005" s="9" t="s">
        <v>2263</v>
      </c>
      <c r="I2005" s="4" t="s">
        <v>2317</v>
      </c>
      <c r="J2005" s="4" t="s">
        <v>2316</v>
      </c>
      <c r="K2005" s="4" t="s">
        <v>2263</v>
      </c>
      <c r="L2005" s="10">
        <v>7</v>
      </c>
      <c r="M2005" s="5">
        <v>9712.3685714285712</v>
      </c>
      <c r="N2005" s="5">
        <v>67986.58</v>
      </c>
    </row>
    <row r="2006" spans="1:14" x14ac:dyDescent="0.25">
      <c r="A2006" s="4" t="s">
        <v>2320</v>
      </c>
      <c r="B2006" s="4" t="s">
        <v>4967</v>
      </c>
      <c r="C2006" s="4" t="s">
        <v>2344</v>
      </c>
      <c r="D2006" s="4" t="s">
        <v>237</v>
      </c>
      <c r="E2006" s="4" t="s">
        <v>2432</v>
      </c>
      <c r="F2006" s="4" t="s">
        <v>2431</v>
      </c>
      <c r="G2006" s="4" t="s">
        <v>2263</v>
      </c>
      <c r="H2006" s="9" t="s">
        <v>2263</v>
      </c>
      <c r="I2006" s="4" t="s">
        <v>2263</v>
      </c>
      <c r="J2006" s="4" t="s">
        <v>2263</v>
      </c>
      <c r="K2006" s="4" t="s">
        <v>2430</v>
      </c>
      <c r="L2006" s="10">
        <v>7</v>
      </c>
      <c r="M2006" s="5">
        <v>9728.7152252252235</v>
      </c>
      <c r="N2006" s="5">
        <v>68101.006576576576</v>
      </c>
    </row>
    <row r="2007" spans="1:14" x14ac:dyDescent="0.25">
      <c r="A2007" s="4" t="s">
        <v>2344</v>
      </c>
      <c r="B2007" s="4" t="s">
        <v>5154</v>
      </c>
      <c r="C2007" s="4" t="s">
        <v>2344</v>
      </c>
      <c r="D2007" s="4" t="s">
        <v>237</v>
      </c>
      <c r="E2007" s="4" t="s">
        <v>2438</v>
      </c>
      <c r="F2007" s="4" t="s">
        <v>2437</v>
      </c>
      <c r="G2007" s="4" t="s">
        <v>2263</v>
      </c>
      <c r="H2007" s="9" t="s">
        <v>2263</v>
      </c>
      <c r="I2007" s="4" t="s">
        <v>2263</v>
      </c>
      <c r="J2007" s="4" t="s">
        <v>2263</v>
      </c>
      <c r="K2007" s="4" t="s">
        <v>2436</v>
      </c>
      <c r="L2007" s="10">
        <v>7</v>
      </c>
      <c r="M2007" s="5">
        <v>10404.861842105262</v>
      </c>
      <c r="N2007" s="5">
        <v>72834.03289473684</v>
      </c>
    </row>
    <row r="2008" spans="1:14" x14ac:dyDescent="0.25">
      <c r="A2008" s="4" t="s">
        <v>2344</v>
      </c>
      <c r="B2008" s="4" t="s">
        <v>5154</v>
      </c>
      <c r="C2008" s="4" t="s">
        <v>2344</v>
      </c>
      <c r="D2008" s="4" t="s">
        <v>237</v>
      </c>
      <c r="E2008" s="4" t="s">
        <v>4826</v>
      </c>
      <c r="F2008" s="4" t="s">
        <v>4825</v>
      </c>
      <c r="G2008" s="4" t="s">
        <v>2263</v>
      </c>
      <c r="H2008" s="9" t="s">
        <v>2263</v>
      </c>
      <c r="I2008" s="4" t="s">
        <v>2263</v>
      </c>
      <c r="J2008" s="4" t="s">
        <v>2263</v>
      </c>
      <c r="K2008" s="4" t="s">
        <v>2262</v>
      </c>
      <c r="L2008" s="10">
        <v>7</v>
      </c>
      <c r="M2008" s="5">
        <v>13085.133076923077</v>
      </c>
      <c r="N2008" s="5">
        <v>91595.931538461533</v>
      </c>
    </row>
    <row r="2009" spans="1:14" x14ac:dyDescent="0.25">
      <c r="A2009" s="4" t="s">
        <v>2344</v>
      </c>
      <c r="B2009" s="4" t="s">
        <v>5154</v>
      </c>
      <c r="C2009" s="4" t="s">
        <v>2320</v>
      </c>
      <c r="D2009" s="4" t="s">
        <v>242</v>
      </c>
      <c r="E2009" s="4" t="s">
        <v>3951</v>
      </c>
      <c r="F2009" s="4" t="s">
        <v>3950</v>
      </c>
      <c r="G2009" s="4" t="s">
        <v>2263</v>
      </c>
      <c r="H2009" s="9" t="s">
        <v>2263</v>
      </c>
      <c r="I2009" s="4" t="s">
        <v>2317</v>
      </c>
      <c r="J2009" s="4" t="s">
        <v>2316</v>
      </c>
      <c r="K2009" s="4" t="s">
        <v>2263</v>
      </c>
      <c r="L2009" s="10">
        <v>7</v>
      </c>
      <c r="M2009" s="5">
        <v>13757.371714285715</v>
      </c>
      <c r="N2009" s="5">
        <v>96301.601999999999</v>
      </c>
    </row>
    <row r="2010" spans="1:14" x14ac:dyDescent="0.25">
      <c r="A2010" s="4" t="s">
        <v>2344</v>
      </c>
      <c r="B2010" s="4" t="s">
        <v>5154</v>
      </c>
      <c r="C2010" s="4" t="s">
        <v>2274</v>
      </c>
      <c r="D2010" s="4" t="s">
        <v>2273</v>
      </c>
      <c r="E2010" s="4" t="s">
        <v>4509</v>
      </c>
      <c r="F2010" s="4" t="s">
        <v>4508</v>
      </c>
      <c r="G2010" s="4" t="s">
        <v>2263</v>
      </c>
      <c r="H2010" s="9" t="s">
        <v>2263</v>
      </c>
      <c r="I2010" s="4" t="s">
        <v>2263</v>
      </c>
      <c r="J2010" s="4" t="s">
        <v>2263</v>
      </c>
      <c r="K2010" s="4" t="s">
        <v>4507</v>
      </c>
      <c r="L2010" s="10">
        <v>7</v>
      </c>
      <c r="M2010" s="5">
        <v>13880.781818181818</v>
      </c>
      <c r="N2010" s="5">
        <v>97165.472727272718</v>
      </c>
    </row>
    <row r="2011" spans="1:14" x14ac:dyDescent="0.25">
      <c r="A2011" s="4" t="s">
        <v>2317</v>
      </c>
      <c r="B2011" s="4" t="s">
        <v>3839</v>
      </c>
      <c r="C2011" s="4" t="s">
        <v>2320</v>
      </c>
      <c r="D2011" s="4" t="s">
        <v>242</v>
      </c>
      <c r="E2011" s="4" t="s">
        <v>3935</v>
      </c>
      <c r="F2011" s="4" t="s">
        <v>3934</v>
      </c>
      <c r="G2011" s="4" t="s">
        <v>2263</v>
      </c>
      <c r="H2011" s="9" t="s">
        <v>2263</v>
      </c>
      <c r="I2011" s="4" t="s">
        <v>2317</v>
      </c>
      <c r="J2011" s="4" t="s">
        <v>2316</v>
      </c>
      <c r="K2011" s="4" t="s">
        <v>2263</v>
      </c>
      <c r="L2011" s="10">
        <v>7</v>
      </c>
      <c r="M2011" s="5">
        <v>14024.245185185186</v>
      </c>
      <c r="N2011" s="5">
        <v>98169.716296296305</v>
      </c>
    </row>
    <row r="2012" spans="1:14" x14ac:dyDescent="0.25">
      <c r="A2012" s="4" t="s">
        <v>2344</v>
      </c>
      <c r="B2012" s="4" t="s">
        <v>5154</v>
      </c>
      <c r="C2012" s="4" t="s">
        <v>2481</v>
      </c>
      <c r="D2012" s="4" t="s">
        <v>2480</v>
      </c>
      <c r="E2012" s="4" t="s">
        <v>4370</v>
      </c>
      <c r="F2012" s="4" t="s">
        <v>4369</v>
      </c>
      <c r="G2012" s="4" t="s">
        <v>2263</v>
      </c>
      <c r="H2012" s="9" t="s">
        <v>2263</v>
      </c>
      <c r="I2012" s="4" t="s">
        <v>2263</v>
      </c>
      <c r="J2012" s="4" t="s">
        <v>2263</v>
      </c>
      <c r="K2012" s="4" t="s">
        <v>2485</v>
      </c>
      <c r="L2012" s="10">
        <v>7</v>
      </c>
      <c r="M2012" s="5">
        <v>14169.398064516128</v>
      </c>
      <c r="N2012" s="5">
        <v>99185.786451612905</v>
      </c>
    </row>
    <row r="2013" spans="1:14" x14ac:dyDescent="0.25">
      <c r="A2013" s="4" t="s">
        <v>2653</v>
      </c>
      <c r="B2013" s="4" t="s">
        <v>3226</v>
      </c>
      <c r="C2013" s="4" t="s">
        <v>2384</v>
      </c>
      <c r="D2013" s="4" t="s">
        <v>262</v>
      </c>
      <c r="E2013" s="4" t="s">
        <v>3360</v>
      </c>
      <c r="F2013" s="4" t="s">
        <v>3359</v>
      </c>
      <c r="G2013" s="4" t="s">
        <v>2263</v>
      </c>
      <c r="H2013" s="9" t="s">
        <v>2263</v>
      </c>
      <c r="I2013" s="4" t="s">
        <v>2317</v>
      </c>
      <c r="J2013" s="4" t="s">
        <v>2316</v>
      </c>
      <c r="K2013" s="4" t="s">
        <v>2263</v>
      </c>
      <c r="L2013" s="10">
        <v>7</v>
      </c>
      <c r="M2013" s="5">
        <v>15036.862857142858</v>
      </c>
      <c r="N2013" s="5">
        <v>105258.04</v>
      </c>
    </row>
    <row r="2014" spans="1:14" x14ac:dyDescent="0.25">
      <c r="A2014" s="4" t="s">
        <v>2317</v>
      </c>
      <c r="B2014" s="4" t="s">
        <v>3839</v>
      </c>
      <c r="C2014" s="4" t="s">
        <v>2320</v>
      </c>
      <c r="D2014" s="4" t="s">
        <v>242</v>
      </c>
      <c r="E2014" s="4" t="s">
        <v>2336</v>
      </c>
      <c r="F2014" s="4" t="s">
        <v>2335</v>
      </c>
      <c r="G2014" s="4" t="s">
        <v>2263</v>
      </c>
      <c r="H2014" s="9" t="s">
        <v>2263</v>
      </c>
      <c r="I2014" s="4" t="s">
        <v>2317</v>
      </c>
      <c r="J2014" s="4" t="s">
        <v>2316</v>
      </c>
      <c r="K2014" s="4" t="s">
        <v>2263</v>
      </c>
      <c r="L2014" s="10">
        <v>7</v>
      </c>
      <c r="M2014" s="5">
        <v>15693</v>
      </c>
      <c r="N2014" s="5">
        <v>109851</v>
      </c>
    </row>
    <row r="2015" spans="1:14" x14ac:dyDescent="0.25">
      <c r="A2015" s="4" t="s">
        <v>2317</v>
      </c>
      <c r="B2015" s="4" t="s">
        <v>3839</v>
      </c>
      <c r="C2015" s="4" t="s">
        <v>2320</v>
      </c>
      <c r="D2015" s="4" t="s">
        <v>242</v>
      </c>
      <c r="E2015" s="4" t="s">
        <v>2913</v>
      </c>
      <c r="F2015" s="4" t="s">
        <v>2912</v>
      </c>
      <c r="G2015" s="4" t="s">
        <v>2263</v>
      </c>
      <c r="H2015" s="9" t="s">
        <v>2263</v>
      </c>
      <c r="I2015" s="4" t="s">
        <v>2317</v>
      </c>
      <c r="J2015" s="4" t="s">
        <v>2316</v>
      </c>
      <c r="K2015" s="4" t="s">
        <v>2263</v>
      </c>
      <c r="L2015" s="10">
        <v>7</v>
      </c>
      <c r="M2015" s="5">
        <v>16054.317027027026</v>
      </c>
      <c r="N2015" s="5">
        <v>112380.2191891892</v>
      </c>
    </row>
    <row r="2016" spans="1:14" x14ac:dyDescent="0.25">
      <c r="A2016" s="4" t="s">
        <v>2320</v>
      </c>
      <c r="B2016" s="4" t="s">
        <v>4967</v>
      </c>
      <c r="C2016" s="4" t="s">
        <v>2279</v>
      </c>
      <c r="D2016" s="4" t="s">
        <v>2278</v>
      </c>
      <c r="E2016" s="4" t="s">
        <v>2277</v>
      </c>
      <c r="F2016" s="4" t="s">
        <v>2276</v>
      </c>
      <c r="G2016" s="4" t="s">
        <v>2263</v>
      </c>
      <c r="H2016" s="9" t="s">
        <v>2263</v>
      </c>
      <c r="I2016" s="4" t="s">
        <v>2263</v>
      </c>
      <c r="J2016" s="4" t="s">
        <v>2263</v>
      </c>
      <c r="K2016" s="4" t="s">
        <v>2275</v>
      </c>
      <c r="L2016" s="10">
        <v>7</v>
      </c>
      <c r="M2016" s="5">
        <v>18562</v>
      </c>
      <c r="N2016" s="5">
        <v>129934</v>
      </c>
    </row>
    <row r="2017" spans="1:14" x14ac:dyDescent="0.25">
      <c r="A2017" s="4" t="s">
        <v>2269</v>
      </c>
      <c r="B2017" s="4" t="s">
        <v>2268</v>
      </c>
      <c r="C2017" s="4" t="s">
        <v>2279</v>
      </c>
      <c r="D2017" s="4" t="s">
        <v>2278</v>
      </c>
      <c r="E2017" s="4" t="s">
        <v>2277</v>
      </c>
      <c r="F2017" s="4" t="s">
        <v>2276</v>
      </c>
      <c r="G2017" s="4" t="s">
        <v>2263</v>
      </c>
      <c r="H2017" s="9" t="s">
        <v>2263</v>
      </c>
      <c r="I2017" s="4" t="s">
        <v>2263</v>
      </c>
      <c r="J2017" s="4" t="s">
        <v>2263</v>
      </c>
      <c r="K2017" s="4" t="s">
        <v>2275</v>
      </c>
      <c r="L2017" s="10">
        <v>7</v>
      </c>
      <c r="M2017" s="5">
        <v>18562</v>
      </c>
      <c r="N2017" s="5">
        <v>129934</v>
      </c>
    </row>
    <row r="2018" spans="1:14" x14ac:dyDescent="0.25">
      <c r="A2018" s="4" t="s">
        <v>2344</v>
      </c>
      <c r="B2018" s="4" t="s">
        <v>5154</v>
      </c>
      <c r="C2018" s="4" t="s">
        <v>2344</v>
      </c>
      <c r="D2018" s="4" t="s">
        <v>237</v>
      </c>
      <c r="E2018" s="4" t="s">
        <v>5424</v>
      </c>
      <c r="F2018" s="4" t="s">
        <v>5423</v>
      </c>
      <c r="G2018" s="4" t="s">
        <v>2263</v>
      </c>
      <c r="H2018" s="9" t="s">
        <v>2263</v>
      </c>
      <c r="I2018" s="4" t="s">
        <v>2263</v>
      </c>
      <c r="J2018" s="4" t="s">
        <v>2263</v>
      </c>
      <c r="K2018" s="4" t="s">
        <v>2585</v>
      </c>
      <c r="L2018" s="10">
        <v>7</v>
      </c>
      <c r="M2018" s="5">
        <v>18750</v>
      </c>
      <c r="N2018" s="5">
        <v>131250</v>
      </c>
    </row>
    <row r="2019" spans="1:14" x14ac:dyDescent="0.25">
      <c r="A2019" s="4" t="s">
        <v>2653</v>
      </c>
      <c r="B2019" s="4" t="s">
        <v>3226</v>
      </c>
      <c r="C2019" s="4" t="s">
        <v>2384</v>
      </c>
      <c r="D2019" s="4" t="s">
        <v>262</v>
      </c>
      <c r="E2019" s="4" t="s">
        <v>3538</v>
      </c>
      <c r="F2019" s="4" t="s">
        <v>3537</v>
      </c>
      <c r="G2019" s="4" t="s">
        <v>2263</v>
      </c>
      <c r="H2019" s="9" t="s">
        <v>2263</v>
      </c>
      <c r="I2019" s="4" t="s">
        <v>2317</v>
      </c>
      <c r="J2019" s="4" t="s">
        <v>2316</v>
      </c>
      <c r="K2019" s="4" t="s">
        <v>2263</v>
      </c>
      <c r="L2019" s="10">
        <v>7</v>
      </c>
      <c r="M2019" s="5">
        <v>19040</v>
      </c>
      <c r="N2019" s="5">
        <v>133280</v>
      </c>
    </row>
    <row r="2020" spans="1:14" x14ac:dyDescent="0.25">
      <c r="A2020" s="4" t="s">
        <v>2320</v>
      </c>
      <c r="B2020" s="4" t="s">
        <v>4967</v>
      </c>
      <c r="C2020" s="4" t="s">
        <v>2344</v>
      </c>
      <c r="D2020" s="4" t="s">
        <v>237</v>
      </c>
      <c r="E2020" s="4" t="s">
        <v>4878</v>
      </c>
      <c r="F2020" s="4" t="s">
        <v>4576</v>
      </c>
      <c r="G2020" s="4" t="s">
        <v>2263</v>
      </c>
      <c r="H2020" s="9" t="s">
        <v>2263</v>
      </c>
      <c r="I2020" s="4" t="s">
        <v>2263</v>
      </c>
      <c r="J2020" s="4" t="s">
        <v>2263</v>
      </c>
      <c r="K2020" s="4" t="s">
        <v>2554</v>
      </c>
      <c r="L2020" s="10">
        <v>7</v>
      </c>
      <c r="M2020" s="5">
        <v>19312.63109090909</v>
      </c>
      <c r="N2020" s="5">
        <v>135188.41763636365</v>
      </c>
    </row>
    <row r="2021" spans="1:14" x14ac:dyDescent="0.25">
      <c r="A2021" s="4" t="s">
        <v>2653</v>
      </c>
      <c r="B2021" s="4" t="s">
        <v>3226</v>
      </c>
      <c r="C2021" s="4" t="s">
        <v>2384</v>
      </c>
      <c r="D2021" s="4" t="s">
        <v>262</v>
      </c>
      <c r="E2021" s="4" t="s">
        <v>3020</v>
      </c>
      <c r="F2021" s="4" t="s">
        <v>3019</v>
      </c>
      <c r="G2021" s="4" t="s">
        <v>2263</v>
      </c>
      <c r="H2021" s="9" t="s">
        <v>2263</v>
      </c>
      <c r="I2021" s="4" t="s">
        <v>2317</v>
      </c>
      <c r="J2021" s="4" t="s">
        <v>2316</v>
      </c>
      <c r="K2021" s="4" t="s">
        <v>2263</v>
      </c>
      <c r="L2021" s="10">
        <v>7</v>
      </c>
      <c r="M2021" s="5">
        <v>20138.673076923078</v>
      </c>
      <c r="N2021" s="5">
        <v>140970.71153846153</v>
      </c>
    </row>
    <row r="2022" spans="1:14" x14ac:dyDescent="0.25">
      <c r="A2022" s="4" t="s">
        <v>2320</v>
      </c>
      <c r="B2022" s="4" t="s">
        <v>4967</v>
      </c>
      <c r="C2022" s="4" t="s">
        <v>2320</v>
      </c>
      <c r="D2022" s="4" t="s">
        <v>242</v>
      </c>
      <c r="E2022" s="4" t="s">
        <v>3997</v>
      </c>
      <c r="F2022" s="4" t="s">
        <v>3996</v>
      </c>
      <c r="G2022" s="4" t="s">
        <v>2263</v>
      </c>
      <c r="H2022" s="9" t="s">
        <v>2263</v>
      </c>
      <c r="I2022" s="4" t="s">
        <v>2317</v>
      </c>
      <c r="J2022" s="4" t="s">
        <v>2316</v>
      </c>
      <c r="K2022" s="4" t="s">
        <v>2263</v>
      </c>
      <c r="L2022" s="10">
        <v>7</v>
      </c>
      <c r="M2022" s="5">
        <v>22027.811764705883</v>
      </c>
      <c r="N2022" s="5">
        <v>154194.68235294119</v>
      </c>
    </row>
    <row r="2023" spans="1:14" x14ac:dyDescent="0.25">
      <c r="A2023" s="4" t="s">
        <v>2344</v>
      </c>
      <c r="B2023" s="4" t="s">
        <v>5154</v>
      </c>
      <c r="C2023" s="4" t="s">
        <v>2274</v>
      </c>
      <c r="D2023" s="4" t="s">
        <v>2273</v>
      </c>
      <c r="E2023" s="4" t="s">
        <v>5258</v>
      </c>
      <c r="F2023" s="4" t="s">
        <v>5257</v>
      </c>
      <c r="G2023" s="4" t="s">
        <v>2263</v>
      </c>
      <c r="H2023" s="9" t="s">
        <v>2263</v>
      </c>
      <c r="I2023" s="4" t="s">
        <v>2263</v>
      </c>
      <c r="J2023" s="4" t="s">
        <v>2263</v>
      </c>
      <c r="K2023" s="4" t="s">
        <v>5256</v>
      </c>
      <c r="L2023" s="10">
        <v>7</v>
      </c>
      <c r="M2023" s="5">
        <v>23765.34</v>
      </c>
      <c r="N2023" s="5">
        <v>166357.38</v>
      </c>
    </row>
    <row r="2024" spans="1:14" x14ac:dyDescent="0.25">
      <c r="A2024" s="4" t="s">
        <v>2344</v>
      </c>
      <c r="B2024" s="4" t="s">
        <v>5154</v>
      </c>
      <c r="C2024" s="4" t="s">
        <v>2320</v>
      </c>
      <c r="D2024" s="4" t="s">
        <v>242</v>
      </c>
      <c r="E2024" s="4" t="s">
        <v>2966</v>
      </c>
      <c r="F2024" s="4" t="s">
        <v>2965</v>
      </c>
      <c r="G2024" s="4" t="s">
        <v>2263</v>
      </c>
      <c r="H2024" s="9" t="s">
        <v>2263</v>
      </c>
      <c r="I2024" s="4" t="s">
        <v>2317</v>
      </c>
      <c r="J2024" s="4" t="s">
        <v>2316</v>
      </c>
      <c r="K2024" s="4" t="s">
        <v>2263</v>
      </c>
      <c r="L2024" s="10">
        <v>7</v>
      </c>
      <c r="M2024" s="5">
        <v>26442.580645161292</v>
      </c>
      <c r="N2024" s="5">
        <v>185098.06451612903</v>
      </c>
    </row>
    <row r="2025" spans="1:14" x14ac:dyDescent="0.25">
      <c r="A2025" s="4" t="s">
        <v>2317</v>
      </c>
      <c r="B2025" s="4" t="s">
        <v>3839</v>
      </c>
      <c r="C2025" s="4" t="s">
        <v>2320</v>
      </c>
      <c r="D2025" s="4" t="s">
        <v>242</v>
      </c>
      <c r="E2025" s="4" t="s">
        <v>2958</v>
      </c>
      <c r="F2025" s="4" t="s">
        <v>2957</v>
      </c>
      <c r="G2025" s="4" t="s">
        <v>2263</v>
      </c>
      <c r="H2025" s="9" t="s">
        <v>2263</v>
      </c>
      <c r="I2025" s="4" t="s">
        <v>2317</v>
      </c>
      <c r="J2025" s="4" t="s">
        <v>2316</v>
      </c>
      <c r="K2025" s="4" t="s">
        <v>2263</v>
      </c>
      <c r="L2025" s="10">
        <v>7</v>
      </c>
      <c r="M2025" s="5">
        <v>26450</v>
      </c>
      <c r="N2025" s="5">
        <v>185150</v>
      </c>
    </row>
    <row r="2026" spans="1:14" x14ac:dyDescent="0.25">
      <c r="A2026" s="4" t="s">
        <v>2320</v>
      </c>
      <c r="B2026" s="4" t="s">
        <v>4967</v>
      </c>
      <c r="C2026" s="4" t="s">
        <v>2320</v>
      </c>
      <c r="D2026" s="4" t="s">
        <v>242</v>
      </c>
      <c r="E2026" s="4" t="s">
        <v>4319</v>
      </c>
      <c r="F2026" s="4" t="s">
        <v>4318</v>
      </c>
      <c r="G2026" s="4" t="s">
        <v>2263</v>
      </c>
      <c r="H2026" s="9" t="s">
        <v>2263</v>
      </c>
      <c r="I2026" s="4" t="s">
        <v>2317</v>
      </c>
      <c r="J2026" s="4" t="s">
        <v>2316</v>
      </c>
      <c r="K2026" s="4" t="s">
        <v>2263</v>
      </c>
      <c r="L2026" s="10">
        <v>7</v>
      </c>
      <c r="M2026" s="5">
        <v>28080.865121951221</v>
      </c>
      <c r="N2026" s="5">
        <v>196566.05585365856</v>
      </c>
    </row>
    <row r="2027" spans="1:14" x14ac:dyDescent="0.25">
      <c r="A2027" s="4" t="s">
        <v>2317</v>
      </c>
      <c r="B2027" s="4" t="s">
        <v>3839</v>
      </c>
      <c r="C2027" s="4" t="s">
        <v>2320</v>
      </c>
      <c r="D2027" s="4" t="s">
        <v>242</v>
      </c>
      <c r="E2027" s="4" t="s">
        <v>3893</v>
      </c>
      <c r="F2027" s="4" t="s">
        <v>3892</v>
      </c>
      <c r="G2027" s="4" t="s">
        <v>2263</v>
      </c>
      <c r="H2027" s="9" t="s">
        <v>2263</v>
      </c>
      <c r="I2027" s="4" t="s">
        <v>2317</v>
      </c>
      <c r="J2027" s="4" t="s">
        <v>2316</v>
      </c>
      <c r="K2027" s="4" t="s">
        <v>2263</v>
      </c>
      <c r="L2027" s="10">
        <v>7</v>
      </c>
      <c r="M2027" s="5">
        <v>28220.3</v>
      </c>
      <c r="N2027" s="5">
        <v>197542.1</v>
      </c>
    </row>
    <row r="2028" spans="1:14" x14ac:dyDescent="0.25">
      <c r="A2028" s="4" t="s">
        <v>2344</v>
      </c>
      <c r="B2028" s="4" t="s">
        <v>5154</v>
      </c>
      <c r="C2028" s="4" t="s">
        <v>2481</v>
      </c>
      <c r="D2028" s="4" t="s">
        <v>2480</v>
      </c>
      <c r="E2028" s="4" t="s">
        <v>4357</v>
      </c>
      <c r="F2028" s="4" t="s">
        <v>4356</v>
      </c>
      <c r="G2028" s="4" t="s">
        <v>2263</v>
      </c>
      <c r="H2028" s="9" t="s">
        <v>2263</v>
      </c>
      <c r="I2028" s="4" t="s">
        <v>2263</v>
      </c>
      <c r="J2028" s="4" t="s">
        <v>2263</v>
      </c>
      <c r="K2028" s="4" t="s">
        <v>2482</v>
      </c>
      <c r="L2028" s="10">
        <v>7</v>
      </c>
      <c r="M2028" s="5">
        <v>29499.503666666667</v>
      </c>
      <c r="N2028" s="5">
        <v>206496.52566666668</v>
      </c>
    </row>
    <row r="2029" spans="1:14" x14ac:dyDescent="0.25">
      <c r="A2029" s="4" t="s">
        <v>2344</v>
      </c>
      <c r="B2029" s="4" t="s">
        <v>5154</v>
      </c>
      <c r="C2029" s="4" t="s">
        <v>2320</v>
      </c>
      <c r="D2029" s="4" t="s">
        <v>242</v>
      </c>
      <c r="E2029" s="4" t="s">
        <v>3859</v>
      </c>
      <c r="F2029" s="4" t="s">
        <v>3858</v>
      </c>
      <c r="G2029" s="4" t="s">
        <v>2263</v>
      </c>
      <c r="H2029" s="9" t="s">
        <v>2263</v>
      </c>
      <c r="I2029" s="4" t="s">
        <v>2317</v>
      </c>
      <c r="J2029" s="4" t="s">
        <v>2316</v>
      </c>
      <c r="K2029" s="4" t="s">
        <v>2263</v>
      </c>
      <c r="L2029" s="10">
        <v>7</v>
      </c>
      <c r="M2029" s="5">
        <v>37188.424999999996</v>
      </c>
      <c r="N2029" s="5">
        <v>260318.97500000001</v>
      </c>
    </row>
    <row r="2030" spans="1:14" x14ac:dyDescent="0.25">
      <c r="A2030" s="4" t="s">
        <v>2653</v>
      </c>
      <c r="B2030" s="4" t="s">
        <v>3226</v>
      </c>
      <c r="C2030" s="4" t="s">
        <v>3203</v>
      </c>
      <c r="D2030" s="4" t="s">
        <v>256</v>
      </c>
      <c r="E2030" s="4" t="s">
        <v>3618</v>
      </c>
      <c r="F2030" s="4" t="s">
        <v>3617</v>
      </c>
      <c r="G2030" s="4" t="s">
        <v>2263</v>
      </c>
      <c r="H2030" s="9" t="s">
        <v>2263</v>
      </c>
      <c r="I2030" s="4" t="s">
        <v>2317</v>
      </c>
      <c r="J2030" s="4" t="s">
        <v>2316</v>
      </c>
      <c r="K2030" s="4" t="s">
        <v>2263</v>
      </c>
      <c r="L2030" s="10">
        <v>7</v>
      </c>
      <c r="M2030" s="5">
        <v>54000</v>
      </c>
      <c r="N2030" s="5">
        <v>378000</v>
      </c>
    </row>
    <row r="2031" spans="1:14" x14ac:dyDescent="0.25">
      <c r="A2031" s="4" t="s">
        <v>2653</v>
      </c>
      <c r="B2031" s="4" t="s">
        <v>3226</v>
      </c>
      <c r="C2031" s="4" t="s">
        <v>3629</v>
      </c>
      <c r="D2031" s="4" t="s">
        <v>264</v>
      </c>
      <c r="E2031" s="4" t="s">
        <v>3639</v>
      </c>
      <c r="F2031" s="4" t="s">
        <v>3638</v>
      </c>
      <c r="G2031" s="4" t="s">
        <v>2263</v>
      </c>
      <c r="H2031" s="9" t="s">
        <v>2263</v>
      </c>
      <c r="I2031" s="4" t="s">
        <v>2317</v>
      </c>
      <c r="J2031" s="4" t="s">
        <v>2316</v>
      </c>
      <c r="K2031" s="4" t="s">
        <v>2263</v>
      </c>
      <c r="L2031" s="10">
        <v>7</v>
      </c>
      <c r="M2031" s="5">
        <v>59774.212857142855</v>
      </c>
      <c r="N2031" s="5">
        <v>418419.49</v>
      </c>
    </row>
    <row r="2032" spans="1:14" x14ac:dyDescent="0.25">
      <c r="A2032" s="4" t="s">
        <v>2344</v>
      </c>
      <c r="B2032" s="4" t="s">
        <v>5154</v>
      </c>
      <c r="C2032" s="4" t="s">
        <v>2344</v>
      </c>
      <c r="D2032" s="4" t="s">
        <v>237</v>
      </c>
      <c r="E2032" s="4" t="s">
        <v>4667</v>
      </c>
      <c r="F2032" s="4" t="s">
        <v>2658</v>
      </c>
      <c r="G2032" s="4" t="s">
        <v>2263</v>
      </c>
      <c r="H2032" s="9" t="s">
        <v>2263</v>
      </c>
      <c r="I2032" s="4" t="s">
        <v>2263</v>
      </c>
      <c r="J2032" s="4" t="s">
        <v>2263</v>
      </c>
      <c r="K2032" s="4" t="s">
        <v>2657</v>
      </c>
      <c r="L2032" s="10">
        <v>7</v>
      </c>
      <c r="M2032" s="5">
        <v>60000</v>
      </c>
      <c r="N2032" s="5">
        <v>420000</v>
      </c>
    </row>
    <row r="2033" spans="1:14" x14ac:dyDescent="0.25">
      <c r="A2033" s="4" t="s">
        <v>2344</v>
      </c>
      <c r="B2033" s="4" t="s">
        <v>5154</v>
      </c>
      <c r="C2033" s="4" t="s">
        <v>2344</v>
      </c>
      <c r="D2033" s="4" t="s">
        <v>237</v>
      </c>
      <c r="E2033" s="4" t="s">
        <v>2375</v>
      </c>
      <c r="F2033" s="4" t="s">
        <v>2374</v>
      </c>
      <c r="G2033" s="4" t="s">
        <v>2263</v>
      </c>
      <c r="H2033" s="9" t="s">
        <v>2263</v>
      </c>
      <c r="I2033" s="4" t="s">
        <v>2263</v>
      </c>
      <c r="J2033" s="4" t="s">
        <v>2263</v>
      </c>
      <c r="K2033" s="4" t="s">
        <v>2373</v>
      </c>
      <c r="L2033" s="10">
        <v>7</v>
      </c>
      <c r="M2033" s="5">
        <v>60455.142857142855</v>
      </c>
      <c r="N2033" s="5">
        <v>423186</v>
      </c>
    </row>
    <row r="2034" spans="1:14" x14ac:dyDescent="0.25">
      <c r="A2034" s="4" t="s">
        <v>2344</v>
      </c>
      <c r="B2034" s="4" t="s">
        <v>5154</v>
      </c>
      <c r="C2034" s="4" t="s">
        <v>2481</v>
      </c>
      <c r="D2034" s="4" t="s">
        <v>2480</v>
      </c>
      <c r="E2034" s="4" t="s">
        <v>5173</v>
      </c>
      <c r="F2034" s="4" t="s">
        <v>5172</v>
      </c>
      <c r="G2034" s="4" t="s">
        <v>2263</v>
      </c>
      <c r="H2034" s="9" t="s">
        <v>2263</v>
      </c>
      <c r="I2034" s="4" t="s">
        <v>2263</v>
      </c>
      <c r="J2034" s="4" t="s">
        <v>2263</v>
      </c>
      <c r="K2034" s="4" t="s">
        <v>2479</v>
      </c>
      <c r="L2034" s="10">
        <v>7</v>
      </c>
      <c r="M2034" s="5">
        <v>61428.804285714286</v>
      </c>
      <c r="N2034" s="5">
        <v>430001.63</v>
      </c>
    </row>
    <row r="2035" spans="1:14" x14ac:dyDescent="0.25">
      <c r="A2035" s="4" t="s">
        <v>2653</v>
      </c>
      <c r="B2035" s="4" t="s">
        <v>3226</v>
      </c>
      <c r="C2035" s="4" t="s">
        <v>3196</v>
      </c>
      <c r="D2035" s="4" t="s">
        <v>254</v>
      </c>
      <c r="E2035" s="4" t="s">
        <v>3578</v>
      </c>
      <c r="F2035" s="4" t="s">
        <v>3577</v>
      </c>
      <c r="G2035" s="4" t="s">
        <v>2263</v>
      </c>
      <c r="H2035" s="9" t="s">
        <v>2263</v>
      </c>
      <c r="I2035" s="4" t="s">
        <v>2317</v>
      </c>
      <c r="J2035" s="4" t="s">
        <v>2316</v>
      </c>
      <c r="K2035" s="4" t="s">
        <v>2263</v>
      </c>
      <c r="L2035" s="10">
        <v>7</v>
      </c>
      <c r="M2035" s="5">
        <v>62987</v>
      </c>
      <c r="N2035" s="5">
        <v>440909</v>
      </c>
    </row>
    <row r="2036" spans="1:14" x14ac:dyDescent="0.25">
      <c r="A2036" s="4" t="s">
        <v>2344</v>
      </c>
      <c r="B2036" s="4" t="s">
        <v>5154</v>
      </c>
      <c r="C2036" s="4" t="s">
        <v>2320</v>
      </c>
      <c r="D2036" s="4" t="s">
        <v>242</v>
      </c>
      <c r="E2036" s="4" t="s">
        <v>2972</v>
      </c>
      <c r="F2036" s="4" t="s">
        <v>2971</v>
      </c>
      <c r="G2036" s="4" t="s">
        <v>2263</v>
      </c>
      <c r="H2036" s="9" t="s">
        <v>2263</v>
      </c>
      <c r="I2036" s="4" t="s">
        <v>2317</v>
      </c>
      <c r="J2036" s="4" t="s">
        <v>2316</v>
      </c>
      <c r="K2036" s="4" t="s">
        <v>2263</v>
      </c>
      <c r="L2036" s="10">
        <v>7</v>
      </c>
      <c r="M2036" s="5">
        <v>64308.11538461539</v>
      </c>
      <c r="N2036" s="5">
        <v>450156.80769230769</v>
      </c>
    </row>
    <row r="2037" spans="1:14" x14ac:dyDescent="0.25">
      <c r="A2037" s="4" t="s">
        <v>2320</v>
      </c>
      <c r="B2037" s="4" t="s">
        <v>4967</v>
      </c>
      <c r="C2037" s="4" t="s">
        <v>2320</v>
      </c>
      <c r="D2037" s="4" t="s">
        <v>242</v>
      </c>
      <c r="E2037" s="4" t="s">
        <v>4121</v>
      </c>
      <c r="F2037" s="4" t="s">
        <v>4120</v>
      </c>
      <c r="G2037" s="4" t="s">
        <v>2263</v>
      </c>
      <c r="H2037" s="9" t="s">
        <v>2263</v>
      </c>
      <c r="I2037" s="4" t="s">
        <v>2317</v>
      </c>
      <c r="J2037" s="4" t="s">
        <v>2316</v>
      </c>
      <c r="K2037" s="4" t="s">
        <v>2263</v>
      </c>
      <c r="L2037" s="10">
        <v>7</v>
      </c>
      <c r="M2037" s="5">
        <v>76993.137647058829</v>
      </c>
      <c r="N2037" s="5">
        <v>538951.9635294117</v>
      </c>
    </row>
    <row r="2038" spans="1:14" x14ac:dyDescent="0.25">
      <c r="A2038" s="4" t="s">
        <v>2344</v>
      </c>
      <c r="B2038" s="4" t="s">
        <v>5154</v>
      </c>
      <c r="C2038" s="4" t="s">
        <v>2320</v>
      </c>
      <c r="D2038" s="4" t="s">
        <v>242</v>
      </c>
      <c r="E2038" s="4" t="s">
        <v>2418</v>
      </c>
      <c r="F2038" s="4" t="s">
        <v>2417</v>
      </c>
      <c r="G2038" s="4" t="s">
        <v>2263</v>
      </c>
      <c r="H2038" s="9" t="s">
        <v>2263</v>
      </c>
      <c r="I2038" s="4" t="s">
        <v>2317</v>
      </c>
      <c r="J2038" s="4" t="s">
        <v>2316</v>
      </c>
      <c r="K2038" s="4" t="s">
        <v>2263</v>
      </c>
      <c r="L2038" s="10">
        <v>7</v>
      </c>
      <c r="M2038" s="5">
        <v>80197.548536585367</v>
      </c>
      <c r="N2038" s="5">
        <v>561382.83975609764</v>
      </c>
    </row>
    <row r="2039" spans="1:14" x14ac:dyDescent="0.25">
      <c r="A2039" s="4" t="s">
        <v>2653</v>
      </c>
      <c r="B2039" s="4" t="s">
        <v>3226</v>
      </c>
      <c r="C2039" s="4" t="s">
        <v>2384</v>
      </c>
      <c r="D2039" s="4" t="s">
        <v>262</v>
      </c>
      <c r="E2039" s="4" t="s">
        <v>3452</v>
      </c>
      <c r="F2039" s="4" t="s">
        <v>3451</v>
      </c>
      <c r="G2039" s="4" t="s">
        <v>2263</v>
      </c>
      <c r="H2039" s="9" t="s">
        <v>2263</v>
      </c>
      <c r="I2039" s="4" t="s">
        <v>2317</v>
      </c>
      <c r="J2039" s="4" t="s">
        <v>2316</v>
      </c>
      <c r="K2039" s="4" t="s">
        <v>2263</v>
      </c>
      <c r="L2039" s="10">
        <v>7</v>
      </c>
      <c r="M2039" s="5">
        <v>91842.642857142855</v>
      </c>
      <c r="N2039" s="5">
        <v>642898.5</v>
      </c>
    </row>
    <row r="2040" spans="1:14" x14ac:dyDescent="0.25">
      <c r="A2040" s="4" t="s">
        <v>2653</v>
      </c>
      <c r="B2040" s="4" t="s">
        <v>3226</v>
      </c>
      <c r="C2040" s="4" t="s">
        <v>2384</v>
      </c>
      <c r="D2040" s="4" t="s">
        <v>262</v>
      </c>
      <c r="E2040" s="4" t="s">
        <v>3492</v>
      </c>
      <c r="F2040" s="4" t="s">
        <v>3491</v>
      </c>
      <c r="G2040" s="4" t="s">
        <v>2263</v>
      </c>
      <c r="H2040" s="9" t="s">
        <v>2263</v>
      </c>
      <c r="I2040" s="4" t="s">
        <v>2317</v>
      </c>
      <c r="J2040" s="4" t="s">
        <v>2316</v>
      </c>
      <c r="K2040" s="4" t="s">
        <v>2263</v>
      </c>
      <c r="L2040" s="10">
        <v>7</v>
      </c>
      <c r="M2040" s="5">
        <v>94724</v>
      </c>
      <c r="N2040" s="5">
        <v>663068</v>
      </c>
    </row>
    <row r="2041" spans="1:14" x14ac:dyDescent="0.25">
      <c r="A2041" s="4" t="s">
        <v>2317</v>
      </c>
      <c r="B2041" s="4" t="s">
        <v>3839</v>
      </c>
      <c r="C2041" s="4" t="s">
        <v>2320</v>
      </c>
      <c r="D2041" s="4" t="s">
        <v>242</v>
      </c>
      <c r="E2041" s="4" t="s">
        <v>4183</v>
      </c>
      <c r="F2041" s="4" t="s">
        <v>4182</v>
      </c>
      <c r="G2041" s="4" t="s">
        <v>2263</v>
      </c>
      <c r="H2041" s="9" t="s">
        <v>2263</v>
      </c>
      <c r="I2041" s="4" t="s">
        <v>2317</v>
      </c>
      <c r="J2041" s="4" t="s">
        <v>2316</v>
      </c>
      <c r="K2041" s="4" t="s">
        <v>2263</v>
      </c>
      <c r="L2041" s="10">
        <v>7</v>
      </c>
      <c r="M2041" s="5">
        <v>95000</v>
      </c>
      <c r="N2041" s="5">
        <v>665000</v>
      </c>
    </row>
    <row r="2042" spans="1:14" x14ac:dyDescent="0.25">
      <c r="A2042" s="4" t="s">
        <v>2344</v>
      </c>
      <c r="B2042" s="4" t="s">
        <v>5154</v>
      </c>
      <c r="C2042" s="4" t="s">
        <v>2274</v>
      </c>
      <c r="D2042" s="4" t="s">
        <v>2273</v>
      </c>
      <c r="E2042" s="4" t="s">
        <v>4504</v>
      </c>
      <c r="F2042" s="4" t="s">
        <v>4503</v>
      </c>
      <c r="G2042" s="4" t="s">
        <v>2263</v>
      </c>
      <c r="H2042" s="9" t="s">
        <v>2263</v>
      </c>
      <c r="I2042" s="4" t="s">
        <v>2263</v>
      </c>
      <c r="J2042" s="4" t="s">
        <v>2263</v>
      </c>
      <c r="K2042" s="4" t="s">
        <v>2494</v>
      </c>
      <c r="L2042" s="10">
        <v>7</v>
      </c>
      <c r="M2042" s="5">
        <v>97265.373529411765</v>
      </c>
      <c r="N2042" s="5">
        <v>680857.61470588227</v>
      </c>
    </row>
    <row r="2043" spans="1:14" x14ac:dyDescent="0.25">
      <c r="A2043" s="4" t="s">
        <v>2317</v>
      </c>
      <c r="B2043" s="4" t="s">
        <v>3839</v>
      </c>
      <c r="C2043" s="4" t="s">
        <v>2320</v>
      </c>
      <c r="D2043" s="4" t="s">
        <v>242</v>
      </c>
      <c r="E2043" s="4" t="s">
        <v>4013</v>
      </c>
      <c r="F2043" s="4" t="s">
        <v>4012</v>
      </c>
      <c r="G2043" s="4" t="s">
        <v>2263</v>
      </c>
      <c r="H2043" s="9" t="s">
        <v>2263</v>
      </c>
      <c r="I2043" s="4" t="s">
        <v>2317</v>
      </c>
      <c r="J2043" s="4" t="s">
        <v>2316</v>
      </c>
      <c r="K2043" s="4" t="s">
        <v>2263</v>
      </c>
      <c r="L2043" s="10">
        <v>7</v>
      </c>
      <c r="M2043" s="5">
        <v>111666.71428571429</v>
      </c>
      <c r="N2043" s="5">
        <v>781667</v>
      </c>
    </row>
    <row r="2044" spans="1:14" x14ac:dyDescent="0.25">
      <c r="A2044" s="4" t="s">
        <v>2317</v>
      </c>
      <c r="B2044" s="4" t="s">
        <v>3839</v>
      </c>
      <c r="C2044" s="4" t="s">
        <v>2320</v>
      </c>
      <c r="D2044" s="4" t="s">
        <v>242</v>
      </c>
      <c r="E2044" s="4" t="s">
        <v>4037</v>
      </c>
      <c r="F2044" s="4" t="s">
        <v>4036</v>
      </c>
      <c r="G2044" s="4" t="s">
        <v>2263</v>
      </c>
      <c r="H2044" s="9" t="s">
        <v>2263</v>
      </c>
      <c r="I2044" s="4" t="s">
        <v>2317</v>
      </c>
      <c r="J2044" s="4" t="s">
        <v>2316</v>
      </c>
      <c r="K2044" s="4" t="s">
        <v>2263</v>
      </c>
      <c r="L2044" s="10">
        <v>7</v>
      </c>
      <c r="M2044" s="5">
        <v>126651.68888888888</v>
      </c>
      <c r="N2044" s="5">
        <v>886561.82222222222</v>
      </c>
    </row>
    <row r="2045" spans="1:14" x14ac:dyDescent="0.25">
      <c r="A2045" s="4" t="s">
        <v>2317</v>
      </c>
      <c r="B2045" s="4" t="s">
        <v>3839</v>
      </c>
      <c r="C2045" s="4" t="s">
        <v>2320</v>
      </c>
      <c r="D2045" s="4" t="s">
        <v>242</v>
      </c>
      <c r="E2045" s="4" t="s">
        <v>2992</v>
      </c>
      <c r="F2045" s="4" t="s">
        <v>2991</v>
      </c>
      <c r="G2045" s="4" t="s">
        <v>2263</v>
      </c>
      <c r="H2045" s="9" t="s">
        <v>2263</v>
      </c>
      <c r="I2045" s="4" t="s">
        <v>2317</v>
      </c>
      <c r="J2045" s="4" t="s">
        <v>2316</v>
      </c>
      <c r="K2045" s="4" t="s">
        <v>2263</v>
      </c>
      <c r="L2045" s="10">
        <v>7</v>
      </c>
      <c r="M2045" s="5">
        <v>140199.87282051283</v>
      </c>
      <c r="N2045" s="5">
        <v>981399.10974358977</v>
      </c>
    </row>
    <row r="2046" spans="1:14" x14ac:dyDescent="0.25">
      <c r="A2046" s="4" t="s">
        <v>2653</v>
      </c>
      <c r="B2046" s="4" t="s">
        <v>3226</v>
      </c>
      <c r="C2046" s="4" t="s">
        <v>2384</v>
      </c>
      <c r="D2046" s="4" t="s">
        <v>262</v>
      </c>
      <c r="E2046" s="4" t="s">
        <v>3536</v>
      </c>
      <c r="F2046" s="4" t="s">
        <v>3535</v>
      </c>
      <c r="G2046" s="4" t="s">
        <v>2263</v>
      </c>
      <c r="H2046" s="9" t="s">
        <v>2263</v>
      </c>
      <c r="I2046" s="4" t="s">
        <v>2317</v>
      </c>
      <c r="J2046" s="4" t="s">
        <v>2316</v>
      </c>
      <c r="K2046" s="4" t="s">
        <v>2263</v>
      </c>
      <c r="L2046" s="10">
        <v>7</v>
      </c>
      <c r="M2046" s="5">
        <v>151820</v>
      </c>
      <c r="N2046" s="5">
        <v>1062740</v>
      </c>
    </row>
    <row r="2047" spans="1:14" x14ac:dyDescent="0.25">
      <c r="A2047" s="4" t="s">
        <v>2653</v>
      </c>
      <c r="B2047" s="4" t="s">
        <v>3226</v>
      </c>
      <c r="C2047" s="4" t="s">
        <v>3196</v>
      </c>
      <c r="D2047" s="4" t="s">
        <v>254</v>
      </c>
      <c r="E2047" s="4" t="s">
        <v>3576</v>
      </c>
      <c r="F2047" s="4" t="s">
        <v>3575</v>
      </c>
      <c r="G2047" s="4" t="s">
        <v>2263</v>
      </c>
      <c r="H2047" s="9" t="s">
        <v>2263</v>
      </c>
      <c r="I2047" s="4" t="s">
        <v>2317</v>
      </c>
      <c r="J2047" s="4" t="s">
        <v>2316</v>
      </c>
      <c r="K2047" s="4" t="s">
        <v>2263</v>
      </c>
      <c r="L2047" s="10">
        <v>7</v>
      </c>
      <c r="M2047" s="5">
        <v>167203.57142857142</v>
      </c>
      <c r="N2047" s="5">
        <v>1170425</v>
      </c>
    </row>
    <row r="2048" spans="1:14" x14ac:dyDescent="0.25">
      <c r="A2048" s="4" t="s">
        <v>2653</v>
      </c>
      <c r="B2048" s="4" t="s">
        <v>3226</v>
      </c>
      <c r="C2048" s="4" t="s">
        <v>2384</v>
      </c>
      <c r="D2048" s="4" t="s">
        <v>262</v>
      </c>
      <c r="E2048" s="4" t="s">
        <v>3466</v>
      </c>
      <c r="F2048" s="4" t="s">
        <v>3465</v>
      </c>
      <c r="G2048" s="4" t="s">
        <v>2263</v>
      </c>
      <c r="H2048" s="9" t="s">
        <v>2263</v>
      </c>
      <c r="I2048" s="4" t="s">
        <v>2317</v>
      </c>
      <c r="J2048" s="4" t="s">
        <v>2316</v>
      </c>
      <c r="K2048" s="4" t="s">
        <v>2263</v>
      </c>
      <c r="L2048" s="10">
        <v>7</v>
      </c>
      <c r="M2048" s="5">
        <v>189085.14285714287</v>
      </c>
      <c r="N2048" s="5">
        <v>1323596</v>
      </c>
    </row>
    <row r="2049" spans="1:14" x14ac:dyDescent="0.25">
      <c r="A2049" s="4" t="s">
        <v>2653</v>
      </c>
      <c r="B2049" s="4" t="s">
        <v>3226</v>
      </c>
      <c r="C2049" s="4" t="s">
        <v>2384</v>
      </c>
      <c r="D2049" s="4" t="s">
        <v>262</v>
      </c>
      <c r="E2049" s="4" t="s">
        <v>3422</v>
      </c>
      <c r="F2049" s="4" t="s">
        <v>3421</v>
      </c>
      <c r="G2049" s="4" t="s">
        <v>2263</v>
      </c>
      <c r="H2049" s="9" t="s">
        <v>2263</v>
      </c>
      <c r="I2049" s="4" t="s">
        <v>2317</v>
      </c>
      <c r="J2049" s="4" t="s">
        <v>2316</v>
      </c>
      <c r="K2049" s="4" t="s">
        <v>2263</v>
      </c>
      <c r="L2049" s="10">
        <v>7</v>
      </c>
      <c r="M2049" s="5">
        <v>263610.28571428574</v>
      </c>
      <c r="N2049" s="5">
        <v>1845272</v>
      </c>
    </row>
    <row r="2050" spans="1:14" x14ac:dyDescent="0.25">
      <c r="A2050" s="4" t="s">
        <v>2320</v>
      </c>
      <c r="B2050" s="4" t="s">
        <v>4967</v>
      </c>
      <c r="C2050" s="4" t="s">
        <v>2320</v>
      </c>
      <c r="D2050" s="4" t="s">
        <v>242</v>
      </c>
      <c r="E2050" s="4" t="s">
        <v>5043</v>
      </c>
      <c r="F2050" s="4" t="s">
        <v>5042</v>
      </c>
      <c r="G2050" s="4" t="s">
        <v>2263</v>
      </c>
      <c r="H2050" s="9" t="s">
        <v>2263</v>
      </c>
      <c r="I2050" s="4" t="s">
        <v>2317</v>
      </c>
      <c r="J2050" s="4" t="s">
        <v>2316</v>
      </c>
      <c r="K2050" s="4" t="s">
        <v>2263</v>
      </c>
      <c r="L2050" s="10">
        <v>7</v>
      </c>
      <c r="M2050" s="5">
        <v>394587.76714285713</v>
      </c>
      <c r="N2050" s="5">
        <v>2762114.37</v>
      </c>
    </row>
    <row r="2051" spans="1:14" x14ac:dyDescent="0.25">
      <c r="A2051" s="4" t="s">
        <v>2320</v>
      </c>
      <c r="B2051" s="4" t="s">
        <v>4967</v>
      </c>
      <c r="C2051" s="4" t="s">
        <v>2320</v>
      </c>
      <c r="D2051" s="4" t="s">
        <v>242</v>
      </c>
      <c r="E2051" s="4" t="s">
        <v>5073</v>
      </c>
      <c r="F2051" s="4" t="s">
        <v>5072</v>
      </c>
      <c r="G2051" s="4" t="s">
        <v>2263</v>
      </c>
      <c r="H2051" s="9" t="s">
        <v>2263</v>
      </c>
      <c r="I2051" s="4" t="s">
        <v>2317</v>
      </c>
      <c r="J2051" s="4" t="s">
        <v>2316</v>
      </c>
      <c r="K2051" s="4" t="s">
        <v>2263</v>
      </c>
      <c r="L2051" s="10">
        <v>7</v>
      </c>
      <c r="M2051" s="5">
        <v>396541.71428571426</v>
      </c>
      <c r="N2051" s="5">
        <v>2775792</v>
      </c>
    </row>
    <row r="2052" spans="1:14" x14ac:dyDescent="0.25">
      <c r="A2052" s="4" t="s">
        <v>2653</v>
      </c>
      <c r="B2052" s="4" t="s">
        <v>3226</v>
      </c>
      <c r="C2052" s="4" t="s">
        <v>2384</v>
      </c>
      <c r="D2052" s="4" t="s">
        <v>262</v>
      </c>
      <c r="E2052" s="4" t="s">
        <v>3464</v>
      </c>
      <c r="F2052" s="4" t="s">
        <v>3463</v>
      </c>
      <c r="G2052" s="4" t="s">
        <v>2263</v>
      </c>
      <c r="H2052" s="9" t="s">
        <v>2263</v>
      </c>
      <c r="I2052" s="4" t="s">
        <v>2317</v>
      </c>
      <c r="J2052" s="4" t="s">
        <v>2316</v>
      </c>
      <c r="K2052" s="4" t="s">
        <v>2263</v>
      </c>
      <c r="L2052" s="10">
        <v>7</v>
      </c>
      <c r="M2052" s="5">
        <v>611566.28571428568</v>
      </c>
      <c r="N2052" s="5">
        <v>4280964</v>
      </c>
    </row>
    <row r="2053" spans="1:14" x14ac:dyDescent="0.25">
      <c r="A2053" s="4" t="s">
        <v>2344</v>
      </c>
      <c r="B2053" s="4" t="s">
        <v>5154</v>
      </c>
      <c r="C2053" s="4" t="s">
        <v>2320</v>
      </c>
      <c r="D2053" s="4" t="s">
        <v>242</v>
      </c>
      <c r="E2053" s="4" t="s">
        <v>2775</v>
      </c>
      <c r="F2053" s="4" t="s">
        <v>2774</v>
      </c>
      <c r="G2053" s="4" t="s">
        <v>2263</v>
      </c>
      <c r="H2053" s="9" t="s">
        <v>2263</v>
      </c>
      <c r="I2053" s="4" t="s">
        <v>2317</v>
      </c>
      <c r="J2053" s="4" t="s">
        <v>2316</v>
      </c>
      <c r="K2053" s="4" t="s">
        <v>2263</v>
      </c>
      <c r="L2053" s="10">
        <v>8</v>
      </c>
      <c r="M2053" s="5">
        <v>-123798.43206896551</v>
      </c>
      <c r="N2053" s="5">
        <v>-990387.45655172411</v>
      </c>
    </row>
    <row r="2054" spans="1:14" x14ac:dyDescent="0.25">
      <c r="A2054" s="4" t="s">
        <v>2320</v>
      </c>
      <c r="B2054" s="4" t="s">
        <v>4967</v>
      </c>
      <c r="C2054" s="4" t="s">
        <v>2320</v>
      </c>
      <c r="D2054" s="4" t="s">
        <v>242</v>
      </c>
      <c r="E2054" s="4" t="s">
        <v>5129</v>
      </c>
      <c r="F2054" s="4" t="s">
        <v>5128</v>
      </c>
      <c r="G2054" s="4" t="s">
        <v>2263</v>
      </c>
      <c r="H2054" s="9" t="s">
        <v>2263</v>
      </c>
      <c r="I2054" s="4" t="s">
        <v>2317</v>
      </c>
      <c r="J2054" s="4" t="s">
        <v>2316</v>
      </c>
      <c r="K2054" s="4" t="s">
        <v>2263</v>
      </c>
      <c r="L2054" s="10">
        <v>8</v>
      </c>
      <c r="M2054" s="5">
        <v>-89923.92624999999</v>
      </c>
      <c r="N2054" s="5">
        <v>-719391.41</v>
      </c>
    </row>
    <row r="2055" spans="1:14" x14ac:dyDescent="0.25">
      <c r="A2055" s="4" t="s">
        <v>2653</v>
      </c>
      <c r="B2055" s="4" t="s">
        <v>3226</v>
      </c>
      <c r="C2055" s="4" t="s">
        <v>2384</v>
      </c>
      <c r="D2055" s="4" t="s">
        <v>262</v>
      </c>
      <c r="E2055" s="4" t="s">
        <v>3504</v>
      </c>
      <c r="F2055" s="4" t="s">
        <v>3503</v>
      </c>
      <c r="G2055" s="4" t="s">
        <v>2263</v>
      </c>
      <c r="H2055" s="9" t="s">
        <v>2263</v>
      </c>
      <c r="I2055" s="4" t="s">
        <v>2317</v>
      </c>
      <c r="J2055" s="4" t="s">
        <v>2316</v>
      </c>
      <c r="K2055" s="4" t="s">
        <v>2263</v>
      </c>
      <c r="L2055" s="10">
        <v>8</v>
      </c>
      <c r="M2055" s="5">
        <v>223.4</v>
      </c>
      <c r="N2055" s="5">
        <v>1787.2</v>
      </c>
    </row>
    <row r="2056" spans="1:14" x14ac:dyDescent="0.25">
      <c r="A2056" s="4" t="s">
        <v>2320</v>
      </c>
      <c r="B2056" s="4" t="s">
        <v>4967</v>
      </c>
      <c r="C2056" s="4" t="s">
        <v>2344</v>
      </c>
      <c r="D2056" s="4" t="s">
        <v>237</v>
      </c>
      <c r="E2056" s="4" t="s">
        <v>5139</v>
      </c>
      <c r="F2056" s="4" t="s">
        <v>2567</v>
      </c>
      <c r="G2056" s="4" t="s">
        <v>2263</v>
      </c>
      <c r="H2056" s="9" t="s">
        <v>2263</v>
      </c>
      <c r="I2056" s="4" t="s">
        <v>2263</v>
      </c>
      <c r="J2056" s="4" t="s">
        <v>2263</v>
      </c>
      <c r="K2056" s="4" t="s">
        <v>2566</v>
      </c>
      <c r="L2056" s="10">
        <v>8</v>
      </c>
      <c r="M2056" s="5">
        <v>275</v>
      </c>
      <c r="N2056" s="5">
        <v>2200</v>
      </c>
    </row>
    <row r="2057" spans="1:14" x14ac:dyDescent="0.25">
      <c r="A2057" s="4" t="s">
        <v>2320</v>
      </c>
      <c r="B2057" s="4" t="s">
        <v>4967</v>
      </c>
      <c r="C2057" s="4" t="s">
        <v>2320</v>
      </c>
      <c r="D2057" s="4" t="s">
        <v>242</v>
      </c>
      <c r="E2057" s="4" t="s">
        <v>3213</v>
      </c>
      <c r="F2057" s="4" t="s">
        <v>3212</v>
      </c>
      <c r="G2057" s="4" t="s">
        <v>2263</v>
      </c>
      <c r="H2057" s="9" t="s">
        <v>2263</v>
      </c>
      <c r="I2057" s="4" t="s">
        <v>2317</v>
      </c>
      <c r="J2057" s="4" t="s">
        <v>2316</v>
      </c>
      <c r="K2057" s="4" t="s">
        <v>2263</v>
      </c>
      <c r="L2057" s="10">
        <v>8</v>
      </c>
      <c r="M2057" s="5">
        <v>446.59574468085106</v>
      </c>
      <c r="N2057" s="5">
        <v>3572.7659574468098</v>
      </c>
    </row>
    <row r="2058" spans="1:14" x14ac:dyDescent="0.25">
      <c r="A2058" s="4" t="s">
        <v>2320</v>
      </c>
      <c r="B2058" s="4" t="s">
        <v>4967</v>
      </c>
      <c r="C2058" s="4" t="s">
        <v>2344</v>
      </c>
      <c r="D2058" s="4" t="s">
        <v>237</v>
      </c>
      <c r="E2058" s="4" t="s">
        <v>4647</v>
      </c>
      <c r="F2058" s="4" t="s">
        <v>2618</v>
      </c>
      <c r="G2058" s="4" t="s">
        <v>2263</v>
      </c>
      <c r="H2058" s="9" t="s">
        <v>2263</v>
      </c>
      <c r="I2058" s="4" t="s">
        <v>2263</v>
      </c>
      <c r="J2058" s="4" t="s">
        <v>2263</v>
      </c>
      <c r="K2058" s="4" t="s">
        <v>2617</v>
      </c>
      <c r="L2058" s="10">
        <v>8</v>
      </c>
      <c r="M2058" s="5">
        <v>524.74826989619385</v>
      </c>
      <c r="N2058" s="5">
        <v>4197.9861591695499</v>
      </c>
    </row>
    <row r="2059" spans="1:14" x14ac:dyDescent="0.25">
      <c r="A2059" s="4" t="s">
        <v>2344</v>
      </c>
      <c r="B2059" s="4" t="s">
        <v>5154</v>
      </c>
      <c r="C2059" s="4" t="s">
        <v>2344</v>
      </c>
      <c r="D2059" s="4" t="s">
        <v>237</v>
      </c>
      <c r="E2059" s="4" t="s">
        <v>5453</v>
      </c>
      <c r="F2059" s="4" t="s">
        <v>5452</v>
      </c>
      <c r="G2059" s="4" t="s">
        <v>2263</v>
      </c>
      <c r="H2059" s="9" t="s">
        <v>2263</v>
      </c>
      <c r="I2059" s="4" t="s">
        <v>2263</v>
      </c>
      <c r="J2059" s="4" t="s">
        <v>2263</v>
      </c>
      <c r="K2059" s="4" t="s">
        <v>2609</v>
      </c>
      <c r="L2059" s="10">
        <v>8</v>
      </c>
      <c r="M2059" s="5">
        <v>737</v>
      </c>
      <c r="N2059" s="5">
        <v>5896</v>
      </c>
    </row>
    <row r="2060" spans="1:14" x14ac:dyDescent="0.25">
      <c r="A2060" s="4" t="s">
        <v>2344</v>
      </c>
      <c r="B2060" s="4" t="s">
        <v>5154</v>
      </c>
      <c r="C2060" s="4" t="s">
        <v>2344</v>
      </c>
      <c r="D2060" s="4" t="s">
        <v>237</v>
      </c>
      <c r="E2060" s="4" t="s">
        <v>4676</v>
      </c>
      <c r="F2060" s="4" t="s">
        <v>4675</v>
      </c>
      <c r="G2060" s="4" t="s">
        <v>2263</v>
      </c>
      <c r="H2060" s="9" t="s">
        <v>2263</v>
      </c>
      <c r="I2060" s="4" t="s">
        <v>2263</v>
      </c>
      <c r="J2060" s="4" t="s">
        <v>2263</v>
      </c>
      <c r="K2060" s="4" t="s">
        <v>2262</v>
      </c>
      <c r="L2060" s="10">
        <v>8</v>
      </c>
      <c r="M2060" s="5">
        <v>779.30612244897964</v>
      </c>
      <c r="N2060" s="5">
        <v>6234.4489795918398</v>
      </c>
    </row>
    <row r="2061" spans="1:14" x14ac:dyDescent="0.25">
      <c r="A2061" s="4" t="s">
        <v>2344</v>
      </c>
      <c r="B2061" s="4" t="s">
        <v>5154</v>
      </c>
      <c r="C2061" s="4" t="s">
        <v>2320</v>
      </c>
      <c r="D2061" s="4" t="s">
        <v>242</v>
      </c>
      <c r="E2061" s="4" t="s">
        <v>4199</v>
      </c>
      <c r="F2061" s="4" t="s">
        <v>4198</v>
      </c>
      <c r="G2061" s="4" t="s">
        <v>2263</v>
      </c>
      <c r="H2061" s="9" t="s">
        <v>2263</v>
      </c>
      <c r="I2061" s="4" t="s">
        <v>2317</v>
      </c>
      <c r="J2061" s="4" t="s">
        <v>2316</v>
      </c>
      <c r="K2061" s="4" t="s">
        <v>2263</v>
      </c>
      <c r="L2061" s="10">
        <v>8</v>
      </c>
      <c r="M2061" s="5">
        <v>923.2431578947369</v>
      </c>
      <c r="N2061" s="5">
        <v>7385.9452631578897</v>
      </c>
    </row>
    <row r="2062" spans="1:14" x14ac:dyDescent="0.25">
      <c r="A2062" s="4" t="s">
        <v>2344</v>
      </c>
      <c r="B2062" s="4" t="s">
        <v>5154</v>
      </c>
      <c r="C2062" s="4" t="s">
        <v>2344</v>
      </c>
      <c r="D2062" s="4" t="s">
        <v>237</v>
      </c>
      <c r="E2062" s="4" t="s">
        <v>5392</v>
      </c>
      <c r="F2062" s="4" t="s">
        <v>2648</v>
      </c>
      <c r="G2062" s="4" t="s">
        <v>2263</v>
      </c>
      <c r="H2062" s="9" t="s">
        <v>2263</v>
      </c>
      <c r="I2062" s="4" t="s">
        <v>2263</v>
      </c>
      <c r="J2062" s="4" t="s">
        <v>2263</v>
      </c>
      <c r="K2062" s="4" t="s">
        <v>2536</v>
      </c>
      <c r="L2062" s="10">
        <v>8</v>
      </c>
      <c r="M2062" s="5">
        <v>1130</v>
      </c>
      <c r="N2062" s="5">
        <v>9040</v>
      </c>
    </row>
    <row r="2063" spans="1:14" x14ac:dyDescent="0.25">
      <c r="A2063" s="4" t="s">
        <v>2320</v>
      </c>
      <c r="B2063" s="4" t="s">
        <v>4967</v>
      </c>
      <c r="C2063" s="4" t="s">
        <v>2320</v>
      </c>
      <c r="D2063" s="4" t="s">
        <v>242</v>
      </c>
      <c r="E2063" s="4" t="s">
        <v>2711</v>
      </c>
      <c r="F2063" s="4" t="s">
        <v>2710</v>
      </c>
      <c r="G2063" s="4" t="s">
        <v>2263</v>
      </c>
      <c r="H2063" s="9" t="s">
        <v>2263</v>
      </c>
      <c r="I2063" s="4" t="s">
        <v>2317</v>
      </c>
      <c r="J2063" s="4" t="s">
        <v>2316</v>
      </c>
      <c r="K2063" s="4" t="s">
        <v>2263</v>
      </c>
      <c r="L2063" s="10">
        <v>8</v>
      </c>
      <c r="M2063" s="5">
        <v>1558.1416494845362</v>
      </c>
      <c r="N2063" s="5">
        <v>12465.133195876289</v>
      </c>
    </row>
    <row r="2064" spans="1:14" x14ac:dyDescent="0.25">
      <c r="A2064" s="4" t="s">
        <v>2481</v>
      </c>
      <c r="B2064" s="4" t="s">
        <v>3217</v>
      </c>
      <c r="C2064" s="4" t="s">
        <v>2344</v>
      </c>
      <c r="D2064" s="4" t="s">
        <v>237</v>
      </c>
      <c r="E2064" s="4" t="s">
        <v>3224</v>
      </c>
      <c r="F2064" s="4" t="s">
        <v>3223</v>
      </c>
      <c r="G2064" s="4" t="s">
        <v>2263</v>
      </c>
      <c r="H2064" s="9" t="s">
        <v>2263</v>
      </c>
      <c r="I2064" s="4" t="s">
        <v>2263</v>
      </c>
      <c r="J2064" s="4" t="s">
        <v>2263</v>
      </c>
      <c r="K2064" s="4" t="s">
        <v>2379</v>
      </c>
      <c r="L2064" s="10">
        <v>8</v>
      </c>
      <c r="M2064" s="5">
        <v>1891.5274999999999</v>
      </c>
      <c r="N2064" s="5">
        <v>15132.22</v>
      </c>
    </row>
    <row r="2065" spans="1:14" x14ac:dyDescent="0.25">
      <c r="A2065" s="4" t="s">
        <v>3801</v>
      </c>
      <c r="B2065" s="4" t="s">
        <v>4965</v>
      </c>
      <c r="C2065" s="4" t="s">
        <v>2344</v>
      </c>
      <c r="D2065" s="4" t="s">
        <v>237</v>
      </c>
      <c r="E2065" s="4" t="s">
        <v>2381</v>
      </c>
      <c r="F2065" s="4" t="s">
        <v>2380</v>
      </c>
      <c r="G2065" s="4" t="s">
        <v>2263</v>
      </c>
      <c r="H2065" s="9" t="s">
        <v>2263</v>
      </c>
      <c r="I2065" s="4" t="s">
        <v>2263</v>
      </c>
      <c r="J2065" s="4" t="s">
        <v>2263</v>
      </c>
      <c r="K2065" s="4" t="s">
        <v>2379</v>
      </c>
      <c r="L2065" s="10">
        <v>8</v>
      </c>
      <c r="M2065" s="5">
        <v>2206.7211700182816</v>
      </c>
      <c r="N2065" s="5">
        <v>17653.769360146249</v>
      </c>
    </row>
    <row r="2066" spans="1:14" x14ac:dyDescent="0.25">
      <c r="A2066" s="4" t="s">
        <v>2279</v>
      </c>
      <c r="B2066" s="4" t="s">
        <v>4963</v>
      </c>
      <c r="C2066" s="4" t="s">
        <v>2344</v>
      </c>
      <c r="D2066" s="4" t="s">
        <v>237</v>
      </c>
      <c r="E2066" s="4" t="s">
        <v>2381</v>
      </c>
      <c r="F2066" s="4" t="s">
        <v>2380</v>
      </c>
      <c r="G2066" s="4" t="s">
        <v>2263</v>
      </c>
      <c r="H2066" s="9" t="s">
        <v>2263</v>
      </c>
      <c r="I2066" s="4" t="s">
        <v>2263</v>
      </c>
      <c r="J2066" s="4" t="s">
        <v>2263</v>
      </c>
      <c r="K2066" s="4" t="s">
        <v>2379</v>
      </c>
      <c r="L2066" s="10">
        <v>8</v>
      </c>
      <c r="M2066" s="5">
        <v>2206.7211700182816</v>
      </c>
      <c r="N2066" s="5">
        <v>17653.769360146249</v>
      </c>
    </row>
    <row r="2067" spans="1:14" x14ac:dyDescent="0.25">
      <c r="A2067" s="4" t="s">
        <v>3196</v>
      </c>
      <c r="B2067" s="4" t="s">
        <v>3195</v>
      </c>
      <c r="C2067" s="4" t="s">
        <v>2344</v>
      </c>
      <c r="D2067" s="4" t="s">
        <v>237</v>
      </c>
      <c r="E2067" s="4" t="s">
        <v>2381</v>
      </c>
      <c r="F2067" s="4" t="s">
        <v>2380</v>
      </c>
      <c r="G2067" s="4" t="s">
        <v>2263</v>
      </c>
      <c r="H2067" s="9" t="s">
        <v>2263</v>
      </c>
      <c r="I2067" s="4" t="s">
        <v>2263</v>
      </c>
      <c r="J2067" s="4" t="s">
        <v>2263</v>
      </c>
      <c r="K2067" s="4" t="s">
        <v>2379</v>
      </c>
      <c r="L2067" s="10">
        <v>8</v>
      </c>
      <c r="M2067" s="5">
        <v>2206.7211700182816</v>
      </c>
      <c r="N2067" s="5">
        <v>17653.769360146249</v>
      </c>
    </row>
    <row r="2068" spans="1:14" x14ac:dyDescent="0.25">
      <c r="A2068" s="4" t="s">
        <v>2384</v>
      </c>
      <c r="B2068" s="4" t="s">
        <v>3187</v>
      </c>
      <c r="C2068" s="4" t="s">
        <v>2344</v>
      </c>
      <c r="D2068" s="4" t="s">
        <v>237</v>
      </c>
      <c r="E2068" s="4" t="s">
        <v>2381</v>
      </c>
      <c r="F2068" s="4" t="s">
        <v>2380</v>
      </c>
      <c r="G2068" s="4" t="s">
        <v>2263</v>
      </c>
      <c r="H2068" s="9" t="s">
        <v>2263</v>
      </c>
      <c r="I2068" s="4" t="s">
        <v>2263</v>
      </c>
      <c r="J2068" s="4" t="s">
        <v>2263</v>
      </c>
      <c r="K2068" s="4" t="s">
        <v>2379</v>
      </c>
      <c r="L2068" s="10">
        <v>8</v>
      </c>
      <c r="M2068" s="5">
        <v>2206.7211700182816</v>
      </c>
      <c r="N2068" s="5">
        <v>17653.769360146249</v>
      </c>
    </row>
    <row r="2069" spans="1:14" x14ac:dyDescent="0.25">
      <c r="A2069" s="4" t="s">
        <v>3174</v>
      </c>
      <c r="B2069" s="4" t="s">
        <v>3173</v>
      </c>
      <c r="C2069" s="4" t="s">
        <v>2344</v>
      </c>
      <c r="D2069" s="4" t="s">
        <v>237</v>
      </c>
      <c r="E2069" s="4" t="s">
        <v>2381</v>
      </c>
      <c r="F2069" s="4" t="s">
        <v>2380</v>
      </c>
      <c r="G2069" s="4" t="s">
        <v>2263</v>
      </c>
      <c r="H2069" s="9" t="s">
        <v>2263</v>
      </c>
      <c r="I2069" s="4" t="s">
        <v>2263</v>
      </c>
      <c r="J2069" s="4" t="s">
        <v>2263</v>
      </c>
      <c r="K2069" s="4" t="s">
        <v>2379</v>
      </c>
      <c r="L2069" s="10">
        <v>8</v>
      </c>
      <c r="M2069" s="5">
        <v>2206.7211700182816</v>
      </c>
      <c r="N2069" s="5">
        <v>17653.769360146249</v>
      </c>
    </row>
    <row r="2070" spans="1:14" x14ac:dyDescent="0.25">
      <c r="A2070" s="4" t="s">
        <v>3104</v>
      </c>
      <c r="B2070" s="4" t="s">
        <v>3103</v>
      </c>
      <c r="C2070" s="4" t="s">
        <v>2344</v>
      </c>
      <c r="D2070" s="4" t="s">
        <v>237</v>
      </c>
      <c r="E2070" s="4" t="s">
        <v>2381</v>
      </c>
      <c r="F2070" s="4" t="s">
        <v>2380</v>
      </c>
      <c r="G2070" s="4" t="s">
        <v>2263</v>
      </c>
      <c r="H2070" s="9" t="s">
        <v>2263</v>
      </c>
      <c r="I2070" s="4" t="s">
        <v>2263</v>
      </c>
      <c r="J2070" s="4" t="s">
        <v>2263</v>
      </c>
      <c r="K2070" s="4" t="s">
        <v>2379</v>
      </c>
      <c r="L2070" s="10">
        <v>8</v>
      </c>
      <c r="M2070" s="5">
        <v>2206.7211700182816</v>
      </c>
      <c r="N2070" s="5">
        <v>17653.769360146249</v>
      </c>
    </row>
    <row r="2071" spans="1:14" x14ac:dyDescent="0.25">
      <c r="A2071" s="4" t="s">
        <v>3063</v>
      </c>
      <c r="B2071" s="4" t="s">
        <v>3062</v>
      </c>
      <c r="C2071" s="4" t="s">
        <v>2344</v>
      </c>
      <c r="D2071" s="4" t="s">
        <v>237</v>
      </c>
      <c r="E2071" s="4" t="s">
        <v>2381</v>
      </c>
      <c r="F2071" s="4" t="s">
        <v>2380</v>
      </c>
      <c r="G2071" s="4" t="s">
        <v>2263</v>
      </c>
      <c r="H2071" s="9" t="s">
        <v>2263</v>
      </c>
      <c r="I2071" s="4" t="s">
        <v>2263</v>
      </c>
      <c r="J2071" s="4" t="s">
        <v>2263</v>
      </c>
      <c r="K2071" s="4" t="s">
        <v>2379</v>
      </c>
      <c r="L2071" s="10">
        <v>8</v>
      </c>
      <c r="M2071" s="5">
        <v>2206.7211700182816</v>
      </c>
      <c r="N2071" s="5">
        <v>17653.769360146249</v>
      </c>
    </row>
    <row r="2072" spans="1:14" x14ac:dyDescent="0.25">
      <c r="A2072" s="4" t="s">
        <v>3051</v>
      </c>
      <c r="B2072" s="4" t="s">
        <v>3050</v>
      </c>
      <c r="C2072" s="4" t="s">
        <v>2344</v>
      </c>
      <c r="D2072" s="4" t="s">
        <v>237</v>
      </c>
      <c r="E2072" s="4" t="s">
        <v>2381</v>
      </c>
      <c r="F2072" s="4" t="s">
        <v>2380</v>
      </c>
      <c r="G2072" s="4" t="s">
        <v>2263</v>
      </c>
      <c r="H2072" s="9" t="s">
        <v>2263</v>
      </c>
      <c r="I2072" s="4" t="s">
        <v>2263</v>
      </c>
      <c r="J2072" s="4" t="s">
        <v>2263</v>
      </c>
      <c r="K2072" s="4" t="s">
        <v>2379</v>
      </c>
      <c r="L2072" s="10">
        <v>8</v>
      </c>
      <c r="M2072" s="5">
        <v>2206.7211700182816</v>
      </c>
      <c r="N2072" s="5">
        <v>17653.769360146249</v>
      </c>
    </row>
    <row r="2073" spans="1:14" x14ac:dyDescent="0.25">
      <c r="A2073" s="4" t="s">
        <v>3024</v>
      </c>
      <c r="B2073" s="4" t="s">
        <v>3023</v>
      </c>
      <c r="C2073" s="4" t="s">
        <v>2344</v>
      </c>
      <c r="D2073" s="4" t="s">
        <v>237</v>
      </c>
      <c r="E2073" s="4" t="s">
        <v>2381</v>
      </c>
      <c r="F2073" s="4" t="s">
        <v>2380</v>
      </c>
      <c r="G2073" s="4" t="s">
        <v>2263</v>
      </c>
      <c r="H2073" s="9" t="s">
        <v>2263</v>
      </c>
      <c r="I2073" s="4" t="s">
        <v>2263</v>
      </c>
      <c r="J2073" s="4" t="s">
        <v>2263</v>
      </c>
      <c r="K2073" s="4" t="s">
        <v>2379</v>
      </c>
      <c r="L2073" s="10">
        <v>8</v>
      </c>
      <c r="M2073" s="5">
        <v>2206.7211700182816</v>
      </c>
      <c r="N2073" s="5">
        <v>17653.769360146249</v>
      </c>
    </row>
    <row r="2074" spans="1:14" x14ac:dyDescent="0.25">
      <c r="A2074" s="4" t="s">
        <v>2386</v>
      </c>
      <c r="B2074" s="4" t="s">
        <v>2385</v>
      </c>
      <c r="C2074" s="4" t="s">
        <v>2344</v>
      </c>
      <c r="D2074" s="4" t="s">
        <v>237</v>
      </c>
      <c r="E2074" s="4" t="s">
        <v>2381</v>
      </c>
      <c r="F2074" s="4" t="s">
        <v>2380</v>
      </c>
      <c r="G2074" s="4" t="s">
        <v>2263</v>
      </c>
      <c r="H2074" s="9" t="s">
        <v>2263</v>
      </c>
      <c r="I2074" s="4" t="s">
        <v>2263</v>
      </c>
      <c r="J2074" s="4" t="s">
        <v>2263</v>
      </c>
      <c r="K2074" s="4" t="s">
        <v>2379</v>
      </c>
      <c r="L2074" s="10">
        <v>8</v>
      </c>
      <c r="M2074" s="5">
        <v>2206.7211700182816</v>
      </c>
      <c r="N2074" s="5">
        <v>17653.769360146249</v>
      </c>
    </row>
    <row r="2075" spans="1:14" x14ac:dyDescent="0.25">
      <c r="A2075" s="4" t="s">
        <v>2344</v>
      </c>
      <c r="B2075" s="4" t="s">
        <v>5154</v>
      </c>
      <c r="C2075" s="4" t="s">
        <v>2344</v>
      </c>
      <c r="D2075" s="4" t="s">
        <v>237</v>
      </c>
      <c r="E2075" s="4" t="s">
        <v>4835</v>
      </c>
      <c r="F2075" s="4" t="s">
        <v>4834</v>
      </c>
      <c r="G2075" s="4" t="s">
        <v>2263</v>
      </c>
      <c r="H2075" s="9" t="s">
        <v>2263</v>
      </c>
      <c r="I2075" s="4" t="s">
        <v>2263</v>
      </c>
      <c r="J2075" s="4" t="s">
        <v>2263</v>
      </c>
      <c r="K2075" s="4" t="s">
        <v>2591</v>
      </c>
      <c r="L2075" s="10">
        <v>8</v>
      </c>
      <c r="M2075" s="5">
        <v>2217</v>
      </c>
      <c r="N2075" s="5">
        <v>17736</v>
      </c>
    </row>
    <row r="2076" spans="1:14" x14ac:dyDescent="0.25">
      <c r="A2076" s="4" t="s">
        <v>2344</v>
      </c>
      <c r="B2076" s="4" t="s">
        <v>5154</v>
      </c>
      <c r="C2076" s="4" t="s">
        <v>2344</v>
      </c>
      <c r="D2076" s="4" t="s">
        <v>237</v>
      </c>
      <c r="E2076" s="4" t="s">
        <v>4829</v>
      </c>
      <c r="F2076" s="4" t="s">
        <v>4828</v>
      </c>
      <c r="G2076" s="4" t="s">
        <v>2263</v>
      </c>
      <c r="H2076" s="9" t="s">
        <v>2263</v>
      </c>
      <c r="I2076" s="4" t="s">
        <v>2263</v>
      </c>
      <c r="J2076" s="4" t="s">
        <v>2263</v>
      </c>
      <c r="K2076" s="4" t="s">
        <v>4827</v>
      </c>
      <c r="L2076" s="10">
        <v>8</v>
      </c>
      <c r="M2076" s="5">
        <v>2218.1857500000001</v>
      </c>
      <c r="N2076" s="5">
        <v>17745.486000000001</v>
      </c>
    </row>
    <row r="2077" spans="1:14" x14ac:dyDescent="0.25">
      <c r="A2077" s="4" t="s">
        <v>2344</v>
      </c>
      <c r="B2077" s="4" t="s">
        <v>5154</v>
      </c>
      <c r="C2077" s="4" t="s">
        <v>2320</v>
      </c>
      <c r="D2077" s="4" t="s">
        <v>242</v>
      </c>
      <c r="E2077" s="4" t="s">
        <v>2729</v>
      </c>
      <c r="F2077" s="4" t="s">
        <v>2728</v>
      </c>
      <c r="G2077" s="4" t="s">
        <v>2263</v>
      </c>
      <c r="H2077" s="9" t="s">
        <v>2263</v>
      </c>
      <c r="I2077" s="4" t="s">
        <v>2317</v>
      </c>
      <c r="J2077" s="4" t="s">
        <v>2316</v>
      </c>
      <c r="K2077" s="4" t="s">
        <v>2263</v>
      </c>
      <c r="L2077" s="10">
        <v>8</v>
      </c>
      <c r="M2077" s="5">
        <v>2343.1153424657537</v>
      </c>
      <c r="N2077" s="5">
        <v>18744.922739726029</v>
      </c>
    </row>
    <row r="2078" spans="1:14" x14ac:dyDescent="0.25">
      <c r="A2078" s="4" t="s">
        <v>2317</v>
      </c>
      <c r="B2078" s="4" t="s">
        <v>3839</v>
      </c>
      <c r="C2078" s="4" t="s">
        <v>2320</v>
      </c>
      <c r="D2078" s="4" t="s">
        <v>242</v>
      </c>
      <c r="E2078" s="4" t="s">
        <v>3209</v>
      </c>
      <c r="F2078" s="4" t="s">
        <v>3208</v>
      </c>
      <c r="G2078" s="4" t="s">
        <v>2263</v>
      </c>
      <c r="H2078" s="9" t="s">
        <v>2263</v>
      </c>
      <c r="I2078" s="4" t="s">
        <v>2317</v>
      </c>
      <c r="J2078" s="4" t="s">
        <v>2316</v>
      </c>
      <c r="K2078" s="4" t="s">
        <v>2263</v>
      </c>
      <c r="L2078" s="10">
        <v>8</v>
      </c>
      <c r="M2078" s="5">
        <v>2900</v>
      </c>
      <c r="N2078" s="5">
        <v>23200</v>
      </c>
    </row>
    <row r="2079" spans="1:14" x14ac:dyDescent="0.25">
      <c r="A2079" s="4" t="s">
        <v>2320</v>
      </c>
      <c r="B2079" s="4" t="s">
        <v>4967</v>
      </c>
      <c r="C2079" s="4" t="s">
        <v>2279</v>
      </c>
      <c r="D2079" s="4" t="s">
        <v>2278</v>
      </c>
      <c r="E2079" s="4" t="s">
        <v>2875</v>
      </c>
      <c r="F2079" s="4" t="s">
        <v>2874</v>
      </c>
      <c r="G2079" s="4" t="s">
        <v>2263</v>
      </c>
      <c r="H2079" s="9" t="s">
        <v>2263</v>
      </c>
      <c r="I2079" s="4" t="s">
        <v>2263</v>
      </c>
      <c r="J2079" s="4" t="s">
        <v>2263</v>
      </c>
      <c r="K2079" s="4" t="s">
        <v>2873</v>
      </c>
      <c r="L2079" s="10">
        <v>8</v>
      </c>
      <c r="M2079" s="5">
        <v>3307.4908974358973</v>
      </c>
      <c r="N2079" s="5">
        <v>26459.927179487178</v>
      </c>
    </row>
    <row r="2080" spans="1:14" x14ac:dyDescent="0.25">
      <c r="A2080" s="4" t="s">
        <v>2481</v>
      </c>
      <c r="B2080" s="4" t="s">
        <v>3217</v>
      </c>
      <c r="C2080" s="4" t="s">
        <v>2344</v>
      </c>
      <c r="D2080" s="4" t="s">
        <v>237</v>
      </c>
      <c r="E2080" s="4" t="s">
        <v>3039</v>
      </c>
      <c r="F2080" s="4" t="s">
        <v>2449</v>
      </c>
      <c r="G2080" s="4" t="s">
        <v>2263</v>
      </c>
      <c r="H2080" s="9" t="s">
        <v>2263</v>
      </c>
      <c r="I2080" s="4" t="s">
        <v>2263</v>
      </c>
      <c r="J2080" s="4" t="s">
        <v>2263</v>
      </c>
      <c r="K2080" s="4" t="s">
        <v>2448</v>
      </c>
      <c r="L2080" s="10">
        <v>8</v>
      </c>
      <c r="M2080" s="5">
        <v>3921.962962962963</v>
      </c>
      <c r="N2080" s="5">
        <v>31375.703703703701</v>
      </c>
    </row>
    <row r="2081" spans="1:14" x14ac:dyDescent="0.25">
      <c r="A2081" s="4" t="s">
        <v>2344</v>
      </c>
      <c r="B2081" s="4" t="s">
        <v>5154</v>
      </c>
      <c r="C2081" s="4" t="s">
        <v>2274</v>
      </c>
      <c r="D2081" s="4" t="s">
        <v>2273</v>
      </c>
      <c r="E2081" s="4" t="s">
        <v>5225</v>
      </c>
      <c r="F2081" s="4" t="s">
        <v>5224</v>
      </c>
      <c r="G2081" s="4" t="s">
        <v>2263</v>
      </c>
      <c r="H2081" s="9" t="s">
        <v>2263</v>
      </c>
      <c r="I2081" s="4" t="s">
        <v>2263</v>
      </c>
      <c r="J2081" s="4" t="s">
        <v>2263</v>
      </c>
      <c r="K2081" s="4" t="s">
        <v>5223</v>
      </c>
      <c r="L2081" s="10">
        <v>8</v>
      </c>
      <c r="M2081" s="5">
        <v>3928.3249999999998</v>
      </c>
      <c r="N2081" s="5">
        <v>31426.6</v>
      </c>
    </row>
    <row r="2082" spans="1:14" x14ac:dyDescent="0.25">
      <c r="A2082" s="4" t="s">
        <v>2653</v>
      </c>
      <c r="B2082" s="4" t="s">
        <v>3226</v>
      </c>
      <c r="C2082" s="4" t="s">
        <v>3107</v>
      </c>
      <c r="D2082" s="4" t="s">
        <v>1105</v>
      </c>
      <c r="E2082" s="4" t="s">
        <v>3106</v>
      </c>
      <c r="F2082" s="4" t="s">
        <v>3105</v>
      </c>
      <c r="G2082" s="4" t="s">
        <v>2263</v>
      </c>
      <c r="H2082" s="9" t="s">
        <v>2263</v>
      </c>
      <c r="I2082" s="4" t="s">
        <v>2317</v>
      </c>
      <c r="J2082" s="4" t="s">
        <v>2316</v>
      </c>
      <c r="K2082" s="4" t="s">
        <v>2263</v>
      </c>
      <c r="L2082" s="10">
        <v>8</v>
      </c>
      <c r="M2082" s="5">
        <v>4226.4341176470589</v>
      </c>
      <c r="N2082" s="5">
        <v>33811.472941176471</v>
      </c>
    </row>
    <row r="2083" spans="1:14" x14ac:dyDescent="0.25">
      <c r="A2083" s="4" t="s">
        <v>2320</v>
      </c>
      <c r="B2083" s="4" t="s">
        <v>4967</v>
      </c>
      <c r="C2083" s="4" t="s">
        <v>2320</v>
      </c>
      <c r="D2083" s="4" t="s">
        <v>242</v>
      </c>
      <c r="E2083" s="4" t="s">
        <v>5015</v>
      </c>
      <c r="F2083" s="4" t="s">
        <v>5014</v>
      </c>
      <c r="G2083" s="4" t="s">
        <v>2263</v>
      </c>
      <c r="H2083" s="9" t="s">
        <v>2263</v>
      </c>
      <c r="I2083" s="4" t="s">
        <v>2317</v>
      </c>
      <c r="J2083" s="4" t="s">
        <v>2316</v>
      </c>
      <c r="K2083" s="4" t="s">
        <v>2263</v>
      </c>
      <c r="L2083" s="10">
        <v>8</v>
      </c>
      <c r="M2083" s="5">
        <v>4840.5384615384619</v>
      </c>
      <c r="N2083" s="5">
        <v>38724.307692307688</v>
      </c>
    </row>
    <row r="2084" spans="1:14" x14ac:dyDescent="0.25">
      <c r="A2084" s="4" t="s">
        <v>2653</v>
      </c>
      <c r="B2084" s="4" t="s">
        <v>3226</v>
      </c>
      <c r="C2084" s="4" t="s">
        <v>3196</v>
      </c>
      <c r="D2084" s="4" t="s">
        <v>254</v>
      </c>
      <c r="E2084" s="4" t="s">
        <v>3558</v>
      </c>
      <c r="F2084" s="4" t="s">
        <v>3557</v>
      </c>
      <c r="G2084" s="4" t="s">
        <v>2263</v>
      </c>
      <c r="H2084" s="9" t="s">
        <v>2263</v>
      </c>
      <c r="I2084" s="4" t="s">
        <v>2317</v>
      </c>
      <c r="J2084" s="4" t="s">
        <v>2316</v>
      </c>
      <c r="K2084" s="4" t="s">
        <v>2263</v>
      </c>
      <c r="L2084" s="10">
        <v>8</v>
      </c>
      <c r="M2084" s="5">
        <v>5395.75</v>
      </c>
      <c r="N2084" s="5">
        <v>43166</v>
      </c>
    </row>
    <row r="2085" spans="1:14" x14ac:dyDescent="0.25">
      <c r="A2085" s="4" t="s">
        <v>2317</v>
      </c>
      <c r="B2085" s="4" t="s">
        <v>3839</v>
      </c>
      <c r="C2085" s="4" t="s">
        <v>2320</v>
      </c>
      <c r="D2085" s="4" t="s">
        <v>242</v>
      </c>
      <c r="E2085" s="4" t="s">
        <v>2932</v>
      </c>
      <c r="F2085" s="4" t="s">
        <v>2931</v>
      </c>
      <c r="G2085" s="4" t="s">
        <v>2263</v>
      </c>
      <c r="H2085" s="9" t="s">
        <v>2263</v>
      </c>
      <c r="I2085" s="4" t="s">
        <v>2317</v>
      </c>
      <c r="J2085" s="4" t="s">
        <v>2316</v>
      </c>
      <c r="K2085" s="4" t="s">
        <v>2263</v>
      </c>
      <c r="L2085" s="10">
        <v>8</v>
      </c>
      <c r="M2085" s="5">
        <v>6068.0211111111103</v>
      </c>
      <c r="N2085" s="5">
        <v>48544.168888888889</v>
      </c>
    </row>
    <row r="2086" spans="1:14" x14ac:dyDescent="0.25">
      <c r="A2086" s="4" t="s">
        <v>2317</v>
      </c>
      <c r="B2086" s="4" t="s">
        <v>3839</v>
      </c>
      <c r="C2086" s="4" t="s">
        <v>2320</v>
      </c>
      <c r="D2086" s="4" t="s">
        <v>242</v>
      </c>
      <c r="E2086" s="4" t="s">
        <v>4285</v>
      </c>
      <c r="F2086" s="4" t="s">
        <v>4284</v>
      </c>
      <c r="G2086" s="4" t="s">
        <v>2263</v>
      </c>
      <c r="H2086" s="9" t="s">
        <v>2263</v>
      </c>
      <c r="I2086" s="4" t="s">
        <v>2317</v>
      </c>
      <c r="J2086" s="4" t="s">
        <v>2316</v>
      </c>
      <c r="K2086" s="4" t="s">
        <v>2263</v>
      </c>
      <c r="L2086" s="10">
        <v>8</v>
      </c>
      <c r="M2086" s="5">
        <v>6628.1875</v>
      </c>
      <c r="N2086" s="5">
        <v>53025.5</v>
      </c>
    </row>
    <row r="2087" spans="1:14" x14ac:dyDescent="0.25">
      <c r="A2087" s="4" t="s">
        <v>2344</v>
      </c>
      <c r="B2087" s="4" t="s">
        <v>5154</v>
      </c>
      <c r="C2087" s="4" t="s">
        <v>2320</v>
      </c>
      <c r="D2087" s="4" t="s">
        <v>242</v>
      </c>
      <c r="E2087" s="4" t="s">
        <v>4115</v>
      </c>
      <c r="F2087" s="4" t="s">
        <v>4114</v>
      </c>
      <c r="G2087" s="4" t="s">
        <v>2263</v>
      </c>
      <c r="H2087" s="9" t="s">
        <v>2263</v>
      </c>
      <c r="I2087" s="4" t="s">
        <v>2317</v>
      </c>
      <c r="J2087" s="4" t="s">
        <v>2316</v>
      </c>
      <c r="K2087" s="4" t="s">
        <v>2263</v>
      </c>
      <c r="L2087" s="10">
        <v>8</v>
      </c>
      <c r="M2087" s="5">
        <v>7410.140845070423</v>
      </c>
      <c r="N2087" s="5">
        <v>59281.126760563377</v>
      </c>
    </row>
    <row r="2088" spans="1:14" x14ac:dyDescent="0.25">
      <c r="A2088" s="4" t="s">
        <v>2344</v>
      </c>
      <c r="B2088" s="4" t="s">
        <v>5154</v>
      </c>
      <c r="C2088" s="4" t="s">
        <v>2344</v>
      </c>
      <c r="D2088" s="4" t="s">
        <v>237</v>
      </c>
      <c r="E2088" s="4" t="s">
        <v>4727</v>
      </c>
      <c r="F2088" s="4" t="s">
        <v>4570</v>
      </c>
      <c r="G2088" s="4" t="s">
        <v>2263</v>
      </c>
      <c r="H2088" s="9" t="s">
        <v>2263</v>
      </c>
      <c r="I2088" s="4" t="s">
        <v>2263</v>
      </c>
      <c r="J2088" s="4" t="s">
        <v>2263</v>
      </c>
      <c r="K2088" s="4" t="s">
        <v>2290</v>
      </c>
      <c r="L2088" s="10">
        <v>8</v>
      </c>
      <c r="M2088" s="5">
        <v>7724.9152631578954</v>
      </c>
      <c r="N2088" s="5">
        <v>61799.322105263163</v>
      </c>
    </row>
    <row r="2089" spans="1:14" x14ac:dyDescent="0.25">
      <c r="A2089" s="4" t="s">
        <v>2320</v>
      </c>
      <c r="B2089" s="4" t="s">
        <v>4967</v>
      </c>
      <c r="C2089" s="4" t="s">
        <v>2320</v>
      </c>
      <c r="D2089" s="4" t="s">
        <v>242</v>
      </c>
      <c r="E2089" s="4" t="s">
        <v>4243</v>
      </c>
      <c r="F2089" s="4" t="s">
        <v>4242</v>
      </c>
      <c r="G2089" s="4" t="s">
        <v>2263</v>
      </c>
      <c r="H2089" s="9" t="s">
        <v>2263</v>
      </c>
      <c r="I2089" s="4" t="s">
        <v>2317</v>
      </c>
      <c r="J2089" s="4" t="s">
        <v>2316</v>
      </c>
      <c r="K2089" s="4" t="s">
        <v>2263</v>
      </c>
      <c r="L2089" s="10">
        <v>8</v>
      </c>
      <c r="M2089" s="5">
        <v>7737.0401089324614</v>
      </c>
      <c r="N2089" s="5">
        <v>61896.320871459691</v>
      </c>
    </row>
    <row r="2090" spans="1:14" x14ac:dyDescent="0.25">
      <c r="A2090" s="4" t="s">
        <v>2320</v>
      </c>
      <c r="B2090" s="4" t="s">
        <v>4967</v>
      </c>
      <c r="C2090" s="4" t="s">
        <v>2320</v>
      </c>
      <c r="D2090" s="4" t="s">
        <v>242</v>
      </c>
      <c r="E2090" s="4" t="s">
        <v>2833</v>
      </c>
      <c r="F2090" s="4" t="s">
        <v>2832</v>
      </c>
      <c r="G2090" s="4" t="s">
        <v>2263</v>
      </c>
      <c r="H2090" s="9" t="s">
        <v>2263</v>
      </c>
      <c r="I2090" s="4" t="s">
        <v>2317</v>
      </c>
      <c r="J2090" s="4" t="s">
        <v>2316</v>
      </c>
      <c r="K2090" s="4" t="s">
        <v>2263</v>
      </c>
      <c r="L2090" s="10">
        <v>8</v>
      </c>
      <c r="M2090" s="5">
        <v>10030.552222222221</v>
      </c>
      <c r="N2090" s="5">
        <v>80244.41777777778</v>
      </c>
    </row>
    <row r="2091" spans="1:14" x14ac:dyDescent="0.25">
      <c r="A2091" s="4" t="s">
        <v>2320</v>
      </c>
      <c r="B2091" s="4" t="s">
        <v>4967</v>
      </c>
      <c r="C2091" s="4" t="s">
        <v>2344</v>
      </c>
      <c r="D2091" s="4" t="s">
        <v>237</v>
      </c>
      <c r="E2091" s="4" t="s">
        <v>2753</v>
      </c>
      <c r="F2091" s="4" t="s">
        <v>2752</v>
      </c>
      <c r="G2091" s="4" t="s">
        <v>2263</v>
      </c>
      <c r="H2091" s="9" t="s">
        <v>2263</v>
      </c>
      <c r="I2091" s="4" t="s">
        <v>2263</v>
      </c>
      <c r="J2091" s="4" t="s">
        <v>2263</v>
      </c>
      <c r="K2091" s="4" t="s">
        <v>2751</v>
      </c>
      <c r="L2091" s="10">
        <v>8</v>
      </c>
      <c r="M2091" s="5">
        <v>10080.152592592593</v>
      </c>
      <c r="N2091" s="5">
        <v>80641.22074074074</v>
      </c>
    </row>
    <row r="2092" spans="1:14" x14ac:dyDescent="0.25">
      <c r="A2092" s="4" t="s">
        <v>2344</v>
      </c>
      <c r="B2092" s="4" t="s">
        <v>5154</v>
      </c>
      <c r="C2092" s="4" t="s">
        <v>2320</v>
      </c>
      <c r="D2092" s="4" t="s">
        <v>242</v>
      </c>
      <c r="E2092" s="4" t="s">
        <v>2777</v>
      </c>
      <c r="F2092" s="4" t="s">
        <v>2776</v>
      </c>
      <c r="G2092" s="4" t="s">
        <v>2263</v>
      </c>
      <c r="H2092" s="9" t="s">
        <v>2263</v>
      </c>
      <c r="I2092" s="4" t="s">
        <v>2317</v>
      </c>
      <c r="J2092" s="4" t="s">
        <v>2316</v>
      </c>
      <c r="K2092" s="4" t="s">
        <v>2263</v>
      </c>
      <c r="L2092" s="10">
        <v>8</v>
      </c>
      <c r="M2092" s="5">
        <v>10583.331578947367</v>
      </c>
      <c r="N2092" s="5">
        <v>84666.652631578952</v>
      </c>
    </row>
    <row r="2093" spans="1:14" x14ac:dyDescent="0.25">
      <c r="A2093" s="4" t="s">
        <v>2344</v>
      </c>
      <c r="B2093" s="4" t="s">
        <v>5154</v>
      </c>
      <c r="C2093" s="4" t="s">
        <v>2481</v>
      </c>
      <c r="D2093" s="4" t="s">
        <v>2480</v>
      </c>
      <c r="E2093" s="4" t="s">
        <v>4360</v>
      </c>
      <c r="F2093" s="4" t="s">
        <v>4359</v>
      </c>
      <c r="G2093" s="4" t="s">
        <v>2263</v>
      </c>
      <c r="H2093" s="9" t="s">
        <v>2263</v>
      </c>
      <c r="I2093" s="4" t="s">
        <v>2263</v>
      </c>
      <c r="J2093" s="4" t="s">
        <v>2263</v>
      </c>
      <c r="K2093" s="4" t="s">
        <v>4358</v>
      </c>
      <c r="L2093" s="10">
        <v>8</v>
      </c>
      <c r="M2093" s="5">
        <v>11445.761964285715</v>
      </c>
      <c r="N2093" s="5">
        <v>91566.095714285722</v>
      </c>
    </row>
    <row r="2094" spans="1:14" x14ac:dyDescent="0.25">
      <c r="A2094" s="4" t="s">
        <v>2653</v>
      </c>
      <c r="B2094" s="4" t="s">
        <v>3226</v>
      </c>
      <c r="C2094" s="4" t="s">
        <v>3107</v>
      </c>
      <c r="D2094" s="4" t="s">
        <v>1105</v>
      </c>
      <c r="E2094" s="4" t="s">
        <v>3677</v>
      </c>
      <c r="F2094" s="4" t="s">
        <v>3676</v>
      </c>
      <c r="G2094" s="4" t="s">
        <v>2263</v>
      </c>
      <c r="H2094" s="9" t="s">
        <v>2263</v>
      </c>
      <c r="I2094" s="4" t="s">
        <v>2317</v>
      </c>
      <c r="J2094" s="4" t="s">
        <v>2316</v>
      </c>
      <c r="K2094" s="4" t="s">
        <v>2263</v>
      </c>
      <c r="L2094" s="10">
        <v>8</v>
      </c>
      <c r="M2094" s="5">
        <v>11560.684999999999</v>
      </c>
      <c r="N2094" s="5">
        <v>92485.48</v>
      </c>
    </row>
    <row r="2095" spans="1:14" x14ac:dyDescent="0.25">
      <c r="A2095" s="4" t="s">
        <v>2653</v>
      </c>
      <c r="B2095" s="4" t="s">
        <v>3226</v>
      </c>
      <c r="C2095" s="4" t="s">
        <v>3203</v>
      </c>
      <c r="D2095" s="4" t="s">
        <v>256</v>
      </c>
      <c r="E2095" s="4" t="s">
        <v>3602</v>
      </c>
      <c r="F2095" s="4" t="s">
        <v>3601</v>
      </c>
      <c r="G2095" s="4" t="s">
        <v>2263</v>
      </c>
      <c r="H2095" s="9" t="s">
        <v>2263</v>
      </c>
      <c r="I2095" s="4" t="s">
        <v>2317</v>
      </c>
      <c r="J2095" s="4" t="s">
        <v>2316</v>
      </c>
      <c r="K2095" s="4" t="s">
        <v>2263</v>
      </c>
      <c r="L2095" s="10">
        <v>8</v>
      </c>
      <c r="M2095" s="5">
        <v>13072.225</v>
      </c>
      <c r="N2095" s="5">
        <v>104577.8</v>
      </c>
    </row>
    <row r="2096" spans="1:14" x14ac:dyDescent="0.25">
      <c r="A2096" s="4" t="s">
        <v>2274</v>
      </c>
      <c r="B2096" s="4" t="s">
        <v>4348</v>
      </c>
      <c r="C2096" s="4" t="s">
        <v>2481</v>
      </c>
      <c r="D2096" s="4" t="s">
        <v>2480</v>
      </c>
      <c r="E2096" s="4" t="s">
        <v>4364</v>
      </c>
      <c r="F2096" s="4" t="s">
        <v>4363</v>
      </c>
      <c r="G2096" s="4" t="s">
        <v>2263</v>
      </c>
      <c r="H2096" s="9" t="s">
        <v>2263</v>
      </c>
      <c r="I2096" s="4" t="s">
        <v>2263</v>
      </c>
      <c r="J2096" s="4" t="s">
        <v>2263</v>
      </c>
      <c r="K2096" s="4" t="s">
        <v>4358</v>
      </c>
      <c r="L2096" s="10">
        <v>8</v>
      </c>
      <c r="M2096" s="5">
        <v>13569.95090909091</v>
      </c>
      <c r="N2096" s="5">
        <v>108559.60727272728</v>
      </c>
    </row>
    <row r="2097" spans="1:14" x14ac:dyDescent="0.25">
      <c r="A2097" s="4" t="s">
        <v>2317</v>
      </c>
      <c r="B2097" s="4" t="s">
        <v>3839</v>
      </c>
      <c r="C2097" s="4" t="s">
        <v>2320</v>
      </c>
      <c r="D2097" s="4" t="s">
        <v>242</v>
      </c>
      <c r="E2097" s="4" t="s">
        <v>4281</v>
      </c>
      <c r="F2097" s="4" t="s">
        <v>4280</v>
      </c>
      <c r="G2097" s="4" t="s">
        <v>2263</v>
      </c>
      <c r="H2097" s="9" t="s">
        <v>2263</v>
      </c>
      <c r="I2097" s="4" t="s">
        <v>2317</v>
      </c>
      <c r="J2097" s="4" t="s">
        <v>2316</v>
      </c>
      <c r="K2097" s="4" t="s">
        <v>2263</v>
      </c>
      <c r="L2097" s="10">
        <v>8</v>
      </c>
      <c r="M2097" s="5">
        <v>14683.125</v>
      </c>
      <c r="N2097" s="5">
        <v>117465</v>
      </c>
    </row>
    <row r="2098" spans="1:14" x14ac:dyDescent="0.25">
      <c r="A2098" s="4" t="s">
        <v>2653</v>
      </c>
      <c r="B2098" s="4" t="s">
        <v>3226</v>
      </c>
      <c r="C2098" s="4" t="s">
        <v>2384</v>
      </c>
      <c r="D2098" s="4" t="s">
        <v>262</v>
      </c>
      <c r="E2098" s="4" t="s">
        <v>3312</v>
      </c>
      <c r="F2098" s="4" t="s">
        <v>3311</v>
      </c>
      <c r="G2098" s="4" t="s">
        <v>2263</v>
      </c>
      <c r="H2098" s="9" t="s">
        <v>2263</v>
      </c>
      <c r="I2098" s="4" t="s">
        <v>2317</v>
      </c>
      <c r="J2098" s="4" t="s">
        <v>2316</v>
      </c>
      <c r="K2098" s="4" t="s">
        <v>2263</v>
      </c>
      <c r="L2098" s="10">
        <v>8</v>
      </c>
      <c r="M2098" s="5">
        <v>14782.991249999999</v>
      </c>
      <c r="N2098" s="5">
        <v>118263.93</v>
      </c>
    </row>
    <row r="2099" spans="1:14" x14ac:dyDescent="0.25">
      <c r="A2099" s="4" t="s">
        <v>2320</v>
      </c>
      <c r="B2099" s="4" t="s">
        <v>4967</v>
      </c>
      <c r="C2099" s="4" t="s">
        <v>2320</v>
      </c>
      <c r="D2099" s="4" t="s">
        <v>242</v>
      </c>
      <c r="E2099" s="4" t="s">
        <v>4011</v>
      </c>
      <c r="F2099" s="4" t="s">
        <v>4010</v>
      </c>
      <c r="G2099" s="4" t="s">
        <v>2263</v>
      </c>
      <c r="H2099" s="9" t="s">
        <v>2263</v>
      </c>
      <c r="I2099" s="4" t="s">
        <v>2317</v>
      </c>
      <c r="J2099" s="4" t="s">
        <v>2316</v>
      </c>
      <c r="K2099" s="4" t="s">
        <v>2263</v>
      </c>
      <c r="L2099" s="10">
        <v>8</v>
      </c>
      <c r="M2099" s="5">
        <v>14976.094545454545</v>
      </c>
      <c r="N2099" s="5">
        <v>119808.75636363636</v>
      </c>
    </row>
    <row r="2100" spans="1:14" x14ac:dyDescent="0.25">
      <c r="A2100" s="4" t="s">
        <v>2317</v>
      </c>
      <c r="B2100" s="4" t="s">
        <v>3839</v>
      </c>
      <c r="C2100" s="4" t="s">
        <v>2320</v>
      </c>
      <c r="D2100" s="4" t="s">
        <v>242</v>
      </c>
      <c r="E2100" s="4" t="s">
        <v>4055</v>
      </c>
      <c r="F2100" s="4" t="s">
        <v>4054</v>
      </c>
      <c r="G2100" s="4" t="s">
        <v>2263</v>
      </c>
      <c r="H2100" s="9" t="s">
        <v>2263</v>
      </c>
      <c r="I2100" s="4" t="s">
        <v>2317</v>
      </c>
      <c r="J2100" s="4" t="s">
        <v>2316</v>
      </c>
      <c r="K2100" s="4" t="s">
        <v>2263</v>
      </c>
      <c r="L2100" s="10">
        <v>8</v>
      </c>
      <c r="M2100" s="5">
        <v>15428.7</v>
      </c>
      <c r="N2100" s="5">
        <v>123429.6</v>
      </c>
    </row>
    <row r="2101" spans="1:14" x14ac:dyDescent="0.25">
      <c r="A2101" s="4" t="s">
        <v>2320</v>
      </c>
      <c r="B2101" s="4" t="s">
        <v>4967</v>
      </c>
      <c r="C2101" s="4" t="s">
        <v>2320</v>
      </c>
      <c r="D2101" s="4" t="s">
        <v>242</v>
      </c>
      <c r="E2101" s="4" t="s">
        <v>3931</v>
      </c>
      <c r="F2101" s="4" t="s">
        <v>3930</v>
      </c>
      <c r="G2101" s="4" t="s">
        <v>2263</v>
      </c>
      <c r="H2101" s="9" t="s">
        <v>2263</v>
      </c>
      <c r="I2101" s="4" t="s">
        <v>2317</v>
      </c>
      <c r="J2101" s="4" t="s">
        <v>2316</v>
      </c>
      <c r="K2101" s="4" t="s">
        <v>2263</v>
      </c>
      <c r="L2101" s="10">
        <v>8</v>
      </c>
      <c r="M2101" s="5">
        <v>16715.953333333335</v>
      </c>
      <c r="N2101" s="5">
        <v>133727.62666666668</v>
      </c>
    </row>
    <row r="2102" spans="1:14" x14ac:dyDescent="0.25">
      <c r="A2102" s="4" t="s">
        <v>2344</v>
      </c>
      <c r="B2102" s="4" t="s">
        <v>5154</v>
      </c>
      <c r="C2102" s="4" t="s">
        <v>2344</v>
      </c>
      <c r="D2102" s="4" t="s">
        <v>237</v>
      </c>
      <c r="E2102" s="4" t="s">
        <v>5498</v>
      </c>
      <c r="F2102" s="4" t="s">
        <v>5497</v>
      </c>
      <c r="G2102" s="4" t="s">
        <v>2263</v>
      </c>
      <c r="H2102" s="9" t="s">
        <v>2263</v>
      </c>
      <c r="I2102" s="4" t="s">
        <v>2263</v>
      </c>
      <c r="J2102" s="4" t="s">
        <v>2263</v>
      </c>
      <c r="K2102" s="4" t="s">
        <v>5393</v>
      </c>
      <c r="L2102" s="10">
        <v>8</v>
      </c>
      <c r="M2102" s="5">
        <v>22881.53</v>
      </c>
      <c r="N2102" s="5">
        <v>183052.24</v>
      </c>
    </row>
    <row r="2103" spans="1:14" x14ac:dyDescent="0.25">
      <c r="A2103" s="4" t="s">
        <v>2320</v>
      </c>
      <c r="B2103" s="4" t="s">
        <v>4967</v>
      </c>
      <c r="C2103" s="4" t="s">
        <v>2320</v>
      </c>
      <c r="D2103" s="4" t="s">
        <v>242</v>
      </c>
      <c r="E2103" s="4" t="s">
        <v>5021</v>
      </c>
      <c r="F2103" s="4" t="s">
        <v>5020</v>
      </c>
      <c r="G2103" s="4" t="s">
        <v>2263</v>
      </c>
      <c r="H2103" s="9" t="s">
        <v>2263</v>
      </c>
      <c r="I2103" s="4" t="s">
        <v>2317</v>
      </c>
      <c r="J2103" s="4" t="s">
        <v>2316</v>
      </c>
      <c r="K2103" s="4" t="s">
        <v>2263</v>
      </c>
      <c r="L2103" s="10">
        <v>8</v>
      </c>
      <c r="M2103" s="5">
        <v>24238.930714285714</v>
      </c>
      <c r="N2103" s="5">
        <v>193911.44571428571</v>
      </c>
    </row>
    <row r="2104" spans="1:14" x14ac:dyDescent="0.25">
      <c r="A2104" s="4" t="s">
        <v>2653</v>
      </c>
      <c r="B2104" s="4" t="s">
        <v>3226</v>
      </c>
      <c r="C2104" s="4" t="s">
        <v>3107</v>
      </c>
      <c r="D2104" s="4" t="s">
        <v>1105</v>
      </c>
      <c r="E2104" s="4" t="s">
        <v>3771</v>
      </c>
      <c r="F2104" s="4" t="s">
        <v>3770</v>
      </c>
      <c r="G2104" s="4" t="s">
        <v>2263</v>
      </c>
      <c r="H2104" s="9" t="s">
        <v>2263</v>
      </c>
      <c r="I2104" s="4" t="s">
        <v>2317</v>
      </c>
      <c r="J2104" s="4" t="s">
        <v>2316</v>
      </c>
      <c r="K2104" s="4" t="s">
        <v>2263</v>
      </c>
      <c r="L2104" s="10">
        <v>8</v>
      </c>
      <c r="M2104" s="5">
        <v>32969.487500000003</v>
      </c>
      <c r="N2104" s="5">
        <v>263755.90000000002</v>
      </c>
    </row>
    <row r="2105" spans="1:14" x14ac:dyDescent="0.25">
      <c r="A2105" s="4" t="s">
        <v>2653</v>
      </c>
      <c r="B2105" s="4" t="s">
        <v>3226</v>
      </c>
      <c r="C2105" s="4" t="s">
        <v>3107</v>
      </c>
      <c r="D2105" s="4" t="s">
        <v>1105</v>
      </c>
      <c r="E2105" s="4" t="s">
        <v>3665</v>
      </c>
      <c r="F2105" s="4" t="s">
        <v>3664</v>
      </c>
      <c r="G2105" s="4" t="s">
        <v>2263</v>
      </c>
      <c r="H2105" s="9" t="s">
        <v>2263</v>
      </c>
      <c r="I2105" s="4" t="s">
        <v>2317</v>
      </c>
      <c r="J2105" s="4" t="s">
        <v>2316</v>
      </c>
      <c r="K2105" s="4" t="s">
        <v>2263</v>
      </c>
      <c r="L2105" s="10">
        <v>8</v>
      </c>
      <c r="M2105" s="5">
        <v>40983.624999999993</v>
      </c>
      <c r="N2105" s="5">
        <v>327869</v>
      </c>
    </row>
    <row r="2106" spans="1:14" x14ac:dyDescent="0.25">
      <c r="A2106" s="4" t="s">
        <v>2317</v>
      </c>
      <c r="B2106" s="4" t="s">
        <v>3839</v>
      </c>
      <c r="C2106" s="4" t="s">
        <v>2320</v>
      </c>
      <c r="D2106" s="4" t="s">
        <v>242</v>
      </c>
      <c r="E2106" s="4" t="s">
        <v>4321</v>
      </c>
      <c r="F2106" s="4" t="s">
        <v>4320</v>
      </c>
      <c r="G2106" s="4" t="s">
        <v>2263</v>
      </c>
      <c r="H2106" s="9" t="s">
        <v>2263</v>
      </c>
      <c r="I2106" s="4" t="s">
        <v>2317</v>
      </c>
      <c r="J2106" s="4" t="s">
        <v>2316</v>
      </c>
      <c r="K2106" s="4" t="s">
        <v>2263</v>
      </c>
      <c r="L2106" s="10">
        <v>8</v>
      </c>
      <c r="M2106" s="5">
        <v>46306.20444444444</v>
      </c>
      <c r="N2106" s="5">
        <v>370449.63555555552</v>
      </c>
    </row>
    <row r="2107" spans="1:14" x14ac:dyDescent="0.25">
      <c r="A2107" s="4" t="s">
        <v>2317</v>
      </c>
      <c r="B2107" s="4" t="s">
        <v>3839</v>
      </c>
      <c r="C2107" s="4" t="s">
        <v>2320</v>
      </c>
      <c r="D2107" s="4" t="s">
        <v>242</v>
      </c>
      <c r="E2107" s="4" t="s">
        <v>4325</v>
      </c>
      <c r="F2107" s="4" t="s">
        <v>4324</v>
      </c>
      <c r="G2107" s="4" t="s">
        <v>2263</v>
      </c>
      <c r="H2107" s="9" t="s">
        <v>2263</v>
      </c>
      <c r="I2107" s="4" t="s">
        <v>2317</v>
      </c>
      <c r="J2107" s="4" t="s">
        <v>2316</v>
      </c>
      <c r="K2107" s="4" t="s">
        <v>2263</v>
      </c>
      <c r="L2107" s="10">
        <v>8</v>
      </c>
      <c r="M2107" s="5">
        <v>46979.333333333328</v>
      </c>
      <c r="N2107" s="5">
        <v>375834.66666666663</v>
      </c>
    </row>
    <row r="2108" spans="1:14" x14ac:dyDescent="0.25">
      <c r="A2108" s="4" t="s">
        <v>2267</v>
      </c>
      <c r="B2108" s="4" t="s">
        <v>3838</v>
      </c>
      <c r="C2108" s="4" t="s">
        <v>2320</v>
      </c>
      <c r="D2108" s="4" t="s">
        <v>242</v>
      </c>
      <c r="E2108" s="4" t="s">
        <v>2978</v>
      </c>
      <c r="F2108" s="4" t="s">
        <v>2977</v>
      </c>
      <c r="G2108" s="4" t="s">
        <v>2263</v>
      </c>
      <c r="H2108" s="9" t="s">
        <v>2263</v>
      </c>
      <c r="I2108" s="4" t="s">
        <v>2317</v>
      </c>
      <c r="J2108" s="4" t="s">
        <v>2316</v>
      </c>
      <c r="K2108" s="4" t="s">
        <v>2263</v>
      </c>
      <c r="L2108" s="10">
        <v>8</v>
      </c>
      <c r="M2108" s="5">
        <v>53723.454545454544</v>
      </c>
      <c r="N2108" s="5">
        <v>429787.63636363629</v>
      </c>
    </row>
    <row r="2109" spans="1:14" x14ac:dyDescent="0.25">
      <c r="A2109" s="4" t="s">
        <v>2653</v>
      </c>
      <c r="B2109" s="4" t="s">
        <v>3226</v>
      </c>
      <c r="C2109" s="4" t="s">
        <v>2384</v>
      </c>
      <c r="D2109" s="4" t="s">
        <v>262</v>
      </c>
      <c r="E2109" s="4" t="s">
        <v>3356</v>
      </c>
      <c r="F2109" s="4" t="s">
        <v>3355</v>
      </c>
      <c r="G2109" s="4" t="s">
        <v>2263</v>
      </c>
      <c r="H2109" s="9" t="s">
        <v>2263</v>
      </c>
      <c r="I2109" s="4" t="s">
        <v>2317</v>
      </c>
      <c r="J2109" s="4" t="s">
        <v>2316</v>
      </c>
      <c r="K2109" s="4" t="s">
        <v>2263</v>
      </c>
      <c r="L2109" s="10">
        <v>8</v>
      </c>
      <c r="M2109" s="5">
        <v>55464.637500000004</v>
      </c>
      <c r="N2109" s="5">
        <v>443717.1</v>
      </c>
    </row>
    <row r="2110" spans="1:14" x14ac:dyDescent="0.25">
      <c r="A2110" s="4" t="s">
        <v>2761</v>
      </c>
      <c r="B2110" s="4" t="s">
        <v>2760</v>
      </c>
      <c r="C2110" s="4" t="s">
        <v>2384</v>
      </c>
      <c r="D2110" s="4" t="s">
        <v>262</v>
      </c>
      <c r="E2110" s="4" t="s">
        <v>2765</v>
      </c>
      <c r="F2110" s="4" t="s">
        <v>2764</v>
      </c>
      <c r="G2110" s="4" t="s">
        <v>2263</v>
      </c>
      <c r="H2110" s="9" t="s">
        <v>2263</v>
      </c>
      <c r="I2110" s="4" t="s">
        <v>2317</v>
      </c>
      <c r="J2110" s="4" t="s">
        <v>2316</v>
      </c>
      <c r="K2110" s="4" t="s">
        <v>2263</v>
      </c>
      <c r="L2110" s="10">
        <v>8</v>
      </c>
      <c r="M2110" s="5">
        <v>77350</v>
      </c>
      <c r="N2110" s="5">
        <v>618800</v>
      </c>
    </row>
    <row r="2111" spans="1:14" x14ac:dyDescent="0.25">
      <c r="A2111" s="4" t="s">
        <v>2317</v>
      </c>
      <c r="B2111" s="4" t="s">
        <v>3839</v>
      </c>
      <c r="C2111" s="4" t="s">
        <v>2320</v>
      </c>
      <c r="D2111" s="4" t="s">
        <v>242</v>
      </c>
      <c r="E2111" s="4" t="s">
        <v>2418</v>
      </c>
      <c r="F2111" s="4" t="s">
        <v>2417</v>
      </c>
      <c r="G2111" s="4" t="s">
        <v>2263</v>
      </c>
      <c r="H2111" s="9" t="s">
        <v>2263</v>
      </c>
      <c r="I2111" s="4" t="s">
        <v>2317</v>
      </c>
      <c r="J2111" s="4" t="s">
        <v>2316</v>
      </c>
      <c r="K2111" s="4" t="s">
        <v>2263</v>
      </c>
      <c r="L2111" s="10">
        <v>8</v>
      </c>
      <c r="M2111" s="5">
        <v>80197.548536585367</v>
      </c>
      <c r="N2111" s="5">
        <v>641580.38829268294</v>
      </c>
    </row>
    <row r="2112" spans="1:14" x14ac:dyDescent="0.25">
      <c r="A2112" s="4" t="s">
        <v>2344</v>
      </c>
      <c r="B2112" s="4" t="s">
        <v>5154</v>
      </c>
      <c r="C2112" s="4" t="s">
        <v>2320</v>
      </c>
      <c r="D2112" s="4" t="s">
        <v>242</v>
      </c>
      <c r="E2112" s="4" t="s">
        <v>2986</v>
      </c>
      <c r="F2112" s="4" t="s">
        <v>2985</v>
      </c>
      <c r="G2112" s="4" t="s">
        <v>2263</v>
      </c>
      <c r="H2112" s="9" t="s">
        <v>2263</v>
      </c>
      <c r="I2112" s="4" t="s">
        <v>2317</v>
      </c>
      <c r="J2112" s="4" t="s">
        <v>2316</v>
      </c>
      <c r="K2112" s="4" t="s">
        <v>2263</v>
      </c>
      <c r="L2112" s="10">
        <v>8</v>
      </c>
      <c r="M2112" s="5">
        <v>110812.81733333333</v>
      </c>
      <c r="N2112" s="5">
        <v>886502.53866666672</v>
      </c>
    </row>
    <row r="2113" spans="1:14" x14ac:dyDescent="0.25">
      <c r="A2113" s="4" t="s">
        <v>2317</v>
      </c>
      <c r="B2113" s="4" t="s">
        <v>3839</v>
      </c>
      <c r="C2113" s="4" t="s">
        <v>2320</v>
      </c>
      <c r="D2113" s="4" t="s">
        <v>242</v>
      </c>
      <c r="E2113" s="4" t="s">
        <v>4335</v>
      </c>
      <c r="F2113" s="4" t="s">
        <v>4334</v>
      </c>
      <c r="G2113" s="4" t="s">
        <v>2263</v>
      </c>
      <c r="H2113" s="9" t="s">
        <v>2263</v>
      </c>
      <c r="I2113" s="4" t="s">
        <v>2317</v>
      </c>
      <c r="J2113" s="4" t="s">
        <v>2316</v>
      </c>
      <c r="K2113" s="4" t="s">
        <v>2263</v>
      </c>
      <c r="L2113" s="10">
        <v>8</v>
      </c>
      <c r="M2113" s="5">
        <v>124536.58499999999</v>
      </c>
      <c r="N2113" s="5">
        <v>996292.68</v>
      </c>
    </row>
    <row r="2114" spans="1:14" x14ac:dyDescent="0.25">
      <c r="A2114" s="4" t="s">
        <v>2320</v>
      </c>
      <c r="B2114" s="4" t="s">
        <v>4967</v>
      </c>
      <c r="C2114" s="4" t="s">
        <v>2320</v>
      </c>
      <c r="D2114" s="4" t="s">
        <v>242</v>
      </c>
      <c r="E2114" s="4" t="s">
        <v>5025</v>
      </c>
      <c r="F2114" s="4" t="s">
        <v>5024</v>
      </c>
      <c r="G2114" s="4" t="s">
        <v>2263</v>
      </c>
      <c r="H2114" s="9" t="s">
        <v>2263</v>
      </c>
      <c r="I2114" s="4" t="s">
        <v>2317</v>
      </c>
      <c r="J2114" s="4" t="s">
        <v>2316</v>
      </c>
      <c r="K2114" s="4" t="s">
        <v>2263</v>
      </c>
      <c r="L2114" s="10">
        <v>8</v>
      </c>
      <c r="M2114" s="5">
        <v>158332.22875000001</v>
      </c>
      <c r="N2114" s="5">
        <v>1266657.83</v>
      </c>
    </row>
    <row r="2115" spans="1:14" x14ac:dyDescent="0.25">
      <c r="A2115" s="4" t="s">
        <v>2344</v>
      </c>
      <c r="B2115" s="4" t="s">
        <v>5154</v>
      </c>
      <c r="C2115" s="4" t="s">
        <v>2274</v>
      </c>
      <c r="D2115" s="4" t="s">
        <v>2273</v>
      </c>
      <c r="E2115" s="4" t="s">
        <v>5263</v>
      </c>
      <c r="F2115" s="4" t="s">
        <v>5262</v>
      </c>
      <c r="G2115" s="4" t="s">
        <v>2263</v>
      </c>
      <c r="H2115" s="9" t="s">
        <v>2263</v>
      </c>
      <c r="I2115" s="4" t="s">
        <v>2263</v>
      </c>
      <c r="J2115" s="4" t="s">
        <v>2263</v>
      </c>
      <c r="K2115" s="4" t="s">
        <v>2536</v>
      </c>
      <c r="L2115" s="10">
        <v>8</v>
      </c>
      <c r="M2115" s="5">
        <v>224515.89374999999</v>
      </c>
      <c r="N2115" s="5">
        <v>1796127.15</v>
      </c>
    </row>
    <row r="2116" spans="1:14" x14ac:dyDescent="0.25">
      <c r="A2116" s="4" t="s">
        <v>2653</v>
      </c>
      <c r="B2116" s="4" t="s">
        <v>3226</v>
      </c>
      <c r="C2116" s="4" t="s">
        <v>2384</v>
      </c>
      <c r="D2116" s="4" t="s">
        <v>262</v>
      </c>
      <c r="E2116" s="4" t="s">
        <v>3516</v>
      </c>
      <c r="F2116" s="4" t="s">
        <v>3515</v>
      </c>
      <c r="G2116" s="4" t="s">
        <v>2263</v>
      </c>
      <c r="H2116" s="9" t="s">
        <v>2263</v>
      </c>
      <c r="I2116" s="4" t="s">
        <v>2317</v>
      </c>
      <c r="J2116" s="4" t="s">
        <v>2316</v>
      </c>
      <c r="K2116" s="4" t="s">
        <v>2263</v>
      </c>
      <c r="L2116" s="10">
        <v>8</v>
      </c>
      <c r="M2116" s="5">
        <v>239490.75</v>
      </c>
      <c r="N2116" s="5">
        <v>1915926</v>
      </c>
    </row>
    <row r="2117" spans="1:14" x14ac:dyDescent="0.25">
      <c r="A2117" s="4" t="s">
        <v>2653</v>
      </c>
      <c r="B2117" s="4" t="s">
        <v>3226</v>
      </c>
      <c r="C2117" s="4" t="s">
        <v>2384</v>
      </c>
      <c r="D2117" s="4" t="s">
        <v>262</v>
      </c>
      <c r="E2117" s="4" t="s">
        <v>3374</v>
      </c>
      <c r="F2117" s="4" t="s">
        <v>3373</v>
      </c>
      <c r="G2117" s="4" t="s">
        <v>2263</v>
      </c>
      <c r="H2117" s="9" t="s">
        <v>2263</v>
      </c>
      <c r="I2117" s="4" t="s">
        <v>2317</v>
      </c>
      <c r="J2117" s="4" t="s">
        <v>2316</v>
      </c>
      <c r="K2117" s="4" t="s">
        <v>2263</v>
      </c>
      <c r="L2117" s="10">
        <v>8</v>
      </c>
      <c r="M2117" s="5">
        <v>251635.625</v>
      </c>
      <c r="N2117" s="5">
        <v>2013085</v>
      </c>
    </row>
    <row r="2118" spans="1:14" x14ac:dyDescent="0.25">
      <c r="A2118" s="4" t="s">
        <v>2317</v>
      </c>
      <c r="B2118" s="4" t="s">
        <v>3839</v>
      </c>
      <c r="C2118" s="4" t="s">
        <v>2320</v>
      </c>
      <c r="D2118" s="4" t="s">
        <v>242</v>
      </c>
      <c r="E2118" s="4" t="s">
        <v>4175</v>
      </c>
      <c r="F2118" s="4" t="s">
        <v>4174</v>
      </c>
      <c r="G2118" s="4" t="s">
        <v>2263</v>
      </c>
      <c r="H2118" s="9" t="s">
        <v>2263</v>
      </c>
      <c r="I2118" s="4" t="s">
        <v>2317</v>
      </c>
      <c r="J2118" s="4" t="s">
        <v>2316</v>
      </c>
      <c r="K2118" s="4" t="s">
        <v>2263</v>
      </c>
      <c r="L2118" s="10">
        <v>8</v>
      </c>
      <c r="M2118" s="5">
        <v>262484.39545454545</v>
      </c>
      <c r="N2118" s="5">
        <v>2099875.1636363636</v>
      </c>
    </row>
    <row r="2119" spans="1:14" x14ac:dyDescent="0.25">
      <c r="A2119" s="4" t="s">
        <v>2320</v>
      </c>
      <c r="B2119" s="4" t="s">
        <v>4967</v>
      </c>
      <c r="C2119" s="4" t="s">
        <v>2320</v>
      </c>
      <c r="D2119" s="4" t="s">
        <v>242</v>
      </c>
      <c r="E2119" s="4" t="s">
        <v>5097</v>
      </c>
      <c r="F2119" s="4" t="s">
        <v>5096</v>
      </c>
      <c r="G2119" s="4" t="s">
        <v>2263</v>
      </c>
      <c r="H2119" s="9" t="s">
        <v>2263</v>
      </c>
      <c r="I2119" s="4" t="s">
        <v>2317</v>
      </c>
      <c r="J2119" s="4" t="s">
        <v>2316</v>
      </c>
      <c r="K2119" s="4" t="s">
        <v>2263</v>
      </c>
      <c r="L2119" s="10">
        <v>8</v>
      </c>
      <c r="M2119" s="5">
        <v>553041.93999999994</v>
      </c>
      <c r="N2119" s="5">
        <v>4424335.5199999996</v>
      </c>
    </row>
    <row r="2120" spans="1:14" x14ac:dyDescent="0.25">
      <c r="A2120" s="4" t="s">
        <v>2653</v>
      </c>
      <c r="B2120" s="4" t="s">
        <v>3226</v>
      </c>
      <c r="C2120" s="4" t="s">
        <v>2384</v>
      </c>
      <c r="D2120" s="4" t="s">
        <v>262</v>
      </c>
      <c r="E2120" s="4" t="s">
        <v>3342</v>
      </c>
      <c r="F2120" s="4" t="s">
        <v>3341</v>
      </c>
      <c r="G2120" s="4" t="s">
        <v>2263</v>
      </c>
      <c r="H2120" s="9" t="s">
        <v>2263</v>
      </c>
      <c r="I2120" s="4" t="s">
        <v>2317</v>
      </c>
      <c r="J2120" s="4" t="s">
        <v>2316</v>
      </c>
      <c r="K2120" s="4" t="s">
        <v>2263</v>
      </c>
      <c r="L2120" s="10">
        <v>8</v>
      </c>
      <c r="M2120" s="5">
        <v>579133.375</v>
      </c>
      <c r="N2120" s="5">
        <v>4633067</v>
      </c>
    </row>
    <row r="2121" spans="1:14" x14ac:dyDescent="0.25">
      <c r="A2121" s="4" t="s">
        <v>2320</v>
      </c>
      <c r="B2121" s="4" t="s">
        <v>4967</v>
      </c>
      <c r="C2121" s="4" t="s">
        <v>2320</v>
      </c>
      <c r="D2121" s="4" t="s">
        <v>242</v>
      </c>
      <c r="E2121" s="4" t="s">
        <v>2326</v>
      </c>
      <c r="F2121" s="4" t="s">
        <v>2325</v>
      </c>
      <c r="G2121" s="4" t="s">
        <v>2263</v>
      </c>
      <c r="H2121" s="9" t="s">
        <v>2263</v>
      </c>
      <c r="I2121" s="4" t="s">
        <v>2317</v>
      </c>
      <c r="J2121" s="4" t="s">
        <v>2316</v>
      </c>
      <c r="K2121" s="4" t="s">
        <v>2263</v>
      </c>
      <c r="L2121" s="10">
        <v>8</v>
      </c>
      <c r="M2121" s="5">
        <v>807360</v>
      </c>
      <c r="N2121" s="5">
        <v>6458880</v>
      </c>
    </row>
    <row r="2122" spans="1:14" x14ac:dyDescent="0.25">
      <c r="A2122" s="4" t="s">
        <v>2344</v>
      </c>
      <c r="B2122" s="4" t="s">
        <v>5154</v>
      </c>
      <c r="C2122" s="4" t="s">
        <v>2320</v>
      </c>
      <c r="D2122" s="4" t="s">
        <v>242</v>
      </c>
      <c r="E2122" s="4" t="s">
        <v>2769</v>
      </c>
      <c r="F2122" s="4" t="s">
        <v>2768</v>
      </c>
      <c r="G2122" s="4" t="s">
        <v>2263</v>
      </c>
      <c r="H2122" s="9" t="s">
        <v>2263</v>
      </c>
      <c r="I2122" s="4" t="s">
        <v>2317</v>
      </c>
      <c r="J2122" s="4" t="s">
        <v>2316</v>
      </c>
      <c r="K2122" s="4" t="s">
        <v>2263</v>
      </c>
      <c r="L2122" s="10">
        <v>9</v>
      </c>
      <c r="M2122" s="5">
        <v>-133257.26047619048</v>
      </c>
      <c r="N2122" s="5">
        <v>-1199315.3442857142</v>
      </c>
    </row>
    <row r="2123" spans="1:14" x14ac:dyDescent="0.25">
      <c r="A2123" s="4" t="s">
        <v>2761</v>
      </c>
      <c r="B2123" s="4" t="s">
        <v>2760</v>
      </c>
      <c r="C2123" s="4" t="s">
        <v>2320</v>
      </c>
      <c r="D2123" s="4" t="s">
        <v>242</v>
      </c>
      <c r="E2123" s="4" t="s">
        <v>2769</v>
      </c>
      <c r="F2123" s="4" t="s">
        <v>2768</v>
      </c>
      <c r="G2123" s="4" t="s">
        <v>2263</v>
      </c>
      <c r="H2123" s="9" t="s">
        <v>2263</v>
      </c>
      <c r="I2123" s="4" t="s">
        <v>2317</v>
      </c>
      <c r="J2123" s="4" t="s">
        <v>2316</v>
      </c>
      <c r="K2123" s="4" t="s">
        <v>2263</v>
      </c>
      <c r="L2123" s="10">
        <v>9</v>
      </c>
      <c r="M2123" s="5">
        <v>-133257.26047619048</v>
      </c>
      <c r="N2123" s="5">
        <v>-1199315.3442857142</v>
      </c>
    </row>
    <row r="2124" spans="1:14" x14ac:dyDescent="0.25">
      <c r="A2124" s="4" t="s">
        <v>2320</v>
      </c>
      <c r="B2124" s="4" t="s">
        <v>4967</v>
      </c>
      <c r="C2124" s="4" t="s">
        <v>2320</v>
      </c>
      <c r="D2124" s="4" t="s">
        <v>242</v>
      </c>
      <c r="E2124" s="4" t="s">
        <v>4999</v>
      </c>
      <c r="F2124" s="4" t="s">
        <v>4998</v>
      </c>
      <c r="G2124" s="4" t="s">
        <v>2263</v>
      </c>
      <c r="H2124" s="9" t="s">
        <v>2263</v>
      </c>
      <c r="I2124" s="4" t="s">
        <v>2317</v>
      </c>
      <c r="J2124" s="4" t="s">
        <v>2316</v>
      </c>
      <c r="K2124" s="4" t="s">
        <v>2263</v>
      </c>
      <c r="L2124" s="10">
        <v>9</v>
      </c>
      <c r="M2124" s="5">
        <v>185.33333333333334</v>
      </c>
      <c r="N2124" s="5">
        <v>1668</v>
      </c>
    </row>
    <row r="2125" spans="1:14" x14ac:dyDescent="0.25">
      <c r="A2125" s="4" t="s">
        <v>3168</v>
      </c>
      <c r="B2125" s="4" t="s">
        <v>3167</v>
      </c>
      <c r="C2125" s="4" t="s">
        <v>2320</v>
      </c>
      <c r="D2125" s="4" t="s">
        <v>242</v>
      </c>
      <c r="E2125" s="4" t="s">
        <v>2360</v>
      </c>
      <c r="F2125" s="4" t="s">
        <v>2359</v>
      </c>
      <c r="G2125" s="4" t="s">
        <v>2263</v>
      </c>
      <c r="H2125" s="9" t="s">
        <v>2263</v>
      </c>
      <c r="I2125" s="4" t="s">
        <v>2317</v>
      </c>
      <c r="J2125" s="4" t="s">
        <v>2316</v>
      </c>
      <c r="K2125" s="4" t="s">
        <v>2263</v>
      </c>
      <c r="L2125" s="10">
        <v>9</v>
      </c>
      <c r="M2125" s="5">
        <v>261.77091875138365</v>
      </c>
      <c r="N2125" s="5">
        <v>2355.9382687624502</v>
      </c>
    </row>
    <row r="2126" spans="1:14" x14ac:dyDescent="0.25">
      <c r="A2126" s="4" t="s">
        <v>2320</v>
      </c>
      <c r="B2126" s="4" t="s">
        <v>4967</v>
      </c>
      <c r="C2126" s="4" t="s">
        <v>2320</v>
      </c>
      <c r="D2126" s="4" t="s">
        <v>242</v>
      </c>
      <c r="E2126" s="4" t="s">
        <v>4105</v>
      </c>
      <c r="F2126" s="4" t="s">
        <v>4104</v>
      </c>
      <c r="G2126" s="4" t="s">
        <v>2263</v>
      </c>
      <c r="H2126" s="9" t="s">
        <v>2263</v>
      </c>
      <c r="I2126" s="4" t="s">
        <v>2317</v>
      </c>
      <c r="J2126" s="4" t="s">
        <v>2316</v>
      </c>
      <c r="K2126" s="4" t="s">
        <v>2263</v>
      </c>
      <c r="L2126" s="10">
        <v>9</v>
      </c>
      <c r="M2126" s="5">
        <v>409.59333333333331</v>
      </c>
      <c r="N2126" s="5">
        <v>3686.34</v>
      </c>
    </row>
    <row r="2127" spans="1:14" x14ac:dyDescent="0.25">
      <c r="A2127" s="4" t="s">
        <v>2344</v>
      </c>
      <c r="B2127" s="4" t="s">
        <v>5154</v>
      </c>
      <c r="C2127" s="4" t="s">
        <v>2320</v>
      </c>
      <c r="D2127" s="4" t="s">
        <v>242</v>
      </c>
      <c r="E2127" s="4" t="s">
        <v>4201</v>
      </c>
      <c r="F2127" s="4" t="s">
        <v>4200</v>
      </c>
      <c r="G2127" s="4" t="s">
        <v>2263</v>
      </c>
      <c r="H2127" s="9" t="s">
        <v>2263</v>
      </c>
      <c r="I2127" s="4" t="s">
        <v>2317</v>
      </c>
      <c r="J2127" s="4" t="s">
        <v>2316</v>
      </c>
      <c r="K2127" s="4" t="s">
        <v>2263</v>
      </c>
      <c r="L2127" s="10">
        <v>9</v>
      </c>
      <c r="M2127" s="5">
        <v>653</v>
      </c>
      <c r="N2127" s="5">
        <v>5877</v>
      </c>
    </row>
    <row r="2128" spans="1:14" x14ac:dyDescent="0.25">
      <c r="A2128" s="4" t="s">
        <v>2344</v>
      </c>
      <c r="B2128" s="4" t="s">
        <v>5154</v>
      </c>
      <c r="C2128" s="4" t="s">
        <v>2320</v>
      </c>
      <c r="D2128" s="4" t="s">
        <v>242</v>
      </c>
      <c r="E2128" s="4" t="s">
        <v>2725</v>
      </c>
      <c r="F2128" s="4" t="s">
        <v>2724</v>
      </c>
      <c r="G2128" s="4" t="s">
        <v>2263</v>
      </c>
      <c r="H2128" s="9" t="s">
        <v>2263</v>
      </c>
      <c r="I2128" s="4" t="s">
        <v>2317</v>
      </c>
      <c r="J2128" s="4" t="s">
        <v>2316</v>
      </c>
      <c r="K2128" s="4" t="s">
        <v>2263</v>
      </c>
      <c r="L2128" s="10">
        <v>9</v>
      </c>
      <c r="M2128" s="5">
        <v>669.47519999999997</v>
      </c>
      <c r="N2128" s="5">
        <v>6025.2767999999996</v>
      </c>
    </row>
    <row r="2129" spans="1:14" x14ac:dyDescent="0.25">
      <c r="A2129" s="4" t="s">
        <v>2344</v>
      </c>
      <c r="B2129" s="4" t="s">
        <v>5154</v>
      </c>
      <c r="C2129" s="4" t="s">
        <v>2320</v>
      </c>
      <c r="D2129" s="4" t="s">
        <v>242</v>
      </c>
      <c r="E2129" s="4" t="s">
        <v>4157</v>
      </c>
      <c r="F2129" s="4" t="s">
        <v>4156</v>
      </c>
      <c r="G2129" s="4" t="s">
        <v>2263</v>
      </c>
      <c r="H2129" s="9" t="s">
        <v>2263</v>
      </c>
      <c r="I2129" s="4" t="s">
        <v>2317</v>
      </c>
      <c r="J2129" s="4" t="s">
        <v>2316</v>
      </c>
      <c r="K2129" s="4" t="s">
        <v>2263</v>
      </c>
      <c r="L2129" s="10">
        <v>9</v>
      </c>
      <c r="M2129" s="5">
        <v>782.11310344827587</v>
      </c>
      <c r="N2129" s="5">
        <v>7039.0179310344802</v>
      </c>
    </row>
    <row r="2130" spans="1:14" x14ac:dyDescent="0.25">
      <c r="A2130" s="4" t="s">
        <v>2344</v>
      </c>
      <c r="B2130" s="4" t="s">
        <v>5154</v>
      </c>
      <c r="C2130" s="4" t="s">
        <v>2344</v>
      </c>
      <c r="D2130" s="4" t="s">
        <v>237</v>
      </c>
      <c r="E2130" s="4" t="s">
        <v>4966</v>
      </c>
      <c r="F2130" s="4" t="s">
        <v>2471</v>
      </c>
      <c r="G2130" s="4" t="s">
        <v>2263</v>
      </c>
      <c r="H2130" s="9" t="s">
        <v>2263</v>
      </c>
      <c r="I2130" s="4" t="s">
        <v>2263</v>
      </c>
      <c r="J2130" s="4" t="s">
        <v>2263</v>
      </c>
      <c r="K2130" s="4" t="s">
        <v>2470</v>
      </c>
      <c r="L2130" s="10">
        <v>9</v>
      </c>
      <c r="M2130" s="5">
        <v>824.47363636363639</v>
      </c>
      <c r="N2130" s="5">
        <v>7420.2627272727304</v>
      </c>
    </row>
    <row r="2131" spans="1:14" x14ac:dyDescent="0.25">
      <c r="A2131" s="4" t="s">
        <v>2320</v>
      </c>
      <c r="B2131" s="4" t="s">
        <v>4967</v>
      </c>
      <c r="C2131" s="4" t="s">
        <v>2344</v>
      </c>
      <c r="D2131" s="4" t="s">
        <v>237</v>
      </c>
      <c r="E2131" s="4" t="s">
        <v>2450</v>
      </c>
      <c r="F2131" s="4" t="s">
        <v>2449</v>
      </c>
      <c r="G2131" s="4" t="s">
        <v>2263</v>
      </c>
      <c r="H2131" s="9" t="s">
        <v>2263</v>
      </c>
      <c r="I2131" s="4" t="s">
        <v>2263</v>
      </c>
      <c r="J2131" s="4" t="s">
        <v>2263</v>
      </c>
      <c r="K2131" s="4" t="s">
        <v>2448</v>
      </c>
      <c r="L2131" s="10">
        <v>9</v>
      </c>
      <c r="M2131" s="5">
        <v>868.85911602209944</v>
      </c>
      <c r="N2131" s="5">
        <v>7819.7320441989004</v>
      </c>
    </row>
    <row r="2132" spans="1:14" x14ac:dyDescent="0.25">
      <c r="A2132" s="4" t="s">
        <v>2481</v>
      </c>
      <c r="B2132" s="4" t="s">
        <v>3217</v>
      </c>
      <c r="C2132" s="4" t="s">
        <v>2344</v>
      </c>
      <c r="D2132" s="4" t="s">
        <v>237</v>
      </c>
      <c r="E2132" s="4" t="s">
        <v>2450</v>
      </c>
      <c r="F2132" s="4" t="s">
        <v>2449</v>
      </c>
      <c r="G2132" s="4" t="s">
        <v>2263</v>
      </c>
      <c r="H2132" s="9" t="s">
        <v>2263</v>
      </c>
      <c r="I2132" s="4" t="s">
        <v>2263</v>
      </c>
      <c r="J2132" s="4" t="s">
        <v>2263</v>
      </c>
      <c r="K2132" s="4" t="s">
        <v>2448</v>
      </c>
      <c r="L2132" s="10">
        <v>9</v>
      </c>
      <c r="M2132" s="5">
        <v>868.85911602209944</v>
      </c>
      <c r="N2132" s="5">
        <v>7819.7320441989004</v>
      </c>
    </row>
    <row r="2133" spans="1:14" x14ac:dyDescent="0.25">
      <c r="A2133" s="4" t="s">
        <v>2344</v>
      </c>
      <c r="B2133" s="4" t="s">
        <v>5154</v>
      </c>
      <c r="C2133" s="4" t="s">
        <v>2320</v>
      </c>
      <c r="D2133" s="4" t="s">
        <v>242</v>
      </c>
      <c r="E2133" s="4" t="s">
        <v>3034</v>
      </c>
      <c r="F2133" s="4" t="s">
        <v>3033</v>
      </c>
      <c r="G2133" s="4" t="s">
        <v>2263</v>
      </c>
      <c r="H2133" s="9" t="s">
        <v>2263</v>
      </c>
      <c r="I2133" s="4" t="s">
        <v>2317</v>
      </c>
      <c r="J2133" s="4" t="s">
        <v>2316</v>
      </c>
      <c r="K2133" s="4" t="s">
        <v>2263</v>
      </c>
      <c r="L2133" s="10">
        <v>9</v>
      </c>
      <c r="M2133" s="5">
        <v>1072.3889285714286</v>
      </c>
      <c r="N2133" s="5">
        <v>9651.5003571428606</v>
      </c>
    </row>
    <row r="2134" spans="1:14" x14ac:dyDescent="0.25">
      <c r="A2134" s="4" t="s">
        <v>2344</v>
      </c>
      <c r="B2134" s="4" t="s">
        <v>5154</v>
      </c>
      <c r="C2134" s="4" t="s">
        <v>2344</v>
      </c>
      <c r="D2134" s="4" t="s">
        <v>237</v>
      </c>
      <c r="E2134" s="4" t="s">
        <v>5481</v>
      </c>
      <c r="F2134" s="4" t="s">
        <v>5480</v>
      </c>
      <c r="G2134" s="4" t="s">
        <v>2263</v>
      </c>
      <c r="H2134" s="9" t="s">
        <v>2263</v>
      </c>
      <c r="I2134" s="4" t="s">
        <v>2263</v>
      </c>
      <c r="J2134" s="4" t="s">
        <v>2263</v>
      </c>
      <c r="K2134" s="4" t="s">
        <v>5479</v>
      </c>
      <c r="L2134" s="10">
        <v>9</v>
      </c>
      <c r="M2134" s="5">
        <v>1105</v>
      </c>
      <c r="N2134" s="5">
        <v>9945</v>
      </c>
    </row>
    <row r="2135" spans="1:14" x14ac:dyDescent="0.25">
      <c r="A2135" s="4" t="s">
        <v>2344</v>
      </c>
      <c r="B2135" s="4" t="s">
        <v>5154</v>
      </c>
      <c r="C2135" s="4" t="s">
        <v>2320</v>
      </c>
      <c r="D2135" s="4" t="s">
        <v>242</v>
      </c>
      <c r="E2135" s="4" t="s">
        <v>4187</v>
      </c>
      <c r="F2135" s="4" t="s">
        <v>4186</v>
      </c>
      <c r="G2135" s="4" t="s">
        <v>2263</v>
      </c>
      <c r="H2135" s="9" t="s">
        <v>2263</v>
      </c>
      <c r="I2135" s="4" t="s">
        <v>2317</v>
      </c>
      <c r="J2135" s="4" t="s">
        <v>2316</v>
      </c>
      <c r="K2135" s="4" t="s">
        <v>2263</v>
      </c>
      <c r="L2135" s="10">
        <v>9</v>
      </c>
      <c r="M2135" s="5">
        <v>1199.452380952381</v>
      </c>
      <c r="N2135" s="5">
        <v>10795.071428571429</v>
      </c>
    </row>
    <row r="2136" spans="1:14" x14ac:dyDescent="0.25">
      <c r="A2136" s="4" t="s">
        <v>2344</v>
      </c>
      <c r="B2136" s="4" t="s">
        <v>5154</v>
      </c>
      <c r="C2136" s="4" t="s">
        <v>2267</v>
      </c>
      <c r="D2136" s="4" t="s">
        <v>2266</v>
      </c>
      <c r="E2136" s="4" t="s">
        <v>5196</v>
      </c>
      <c r="F2136" s="4" t="s">
        <v>5195</v>
      </c>
      <c r="G2136" s="4" t="s">
        <v>2263</v>
      </c>
      <c r="H2136" s="9" t="s">
        <v>2263</v>
      </c>
      <c r="I2136" s="4" t="s">
        <v>2263</v>
      </c>
      <c r="J2136" s="4" t="s">
        <v>2263</v>
      </c>
      <c r="K2136" s="4" t="s">
        <v>4720</v>
      </c>
      <c r="L2136" s="10">
        <v>9</v>
      </c>
      <c r="M2136" s="5">
        <v>1810</v>
      </c>
      <c r="N2136" s="5">
        <v>16290</v>
      </c>
    </row>
    <row r="2137" spans="1:14" x14ac:dyDescent="0.25">
      <c r="A2137" s="4" t="s">
        <v>2320</v>
      </c>
      <c r="B2137" s="4" t="s">
        <v>4967</v>
      </c>
      <c r="C2137" s="4" t="s">
        <v>2320</v>
      </c>
      <c r="D2137" s="4" t="s">
        <v>242</v>
      </c>
      <c r="E2137" s="4" t="s">
        <v>2412</v>
      </c>
      <c r="F2137" s="4" t="s">
        <v>2411</v>
      </c>
      <c r="G2137" s="4" t="s">
        <v>2263</v>
      </c>
      <c r="H2137" s="9" t="s">
        <v>2263</v>
      </c>
      <c r="I2137" s="4" t="s">
        <v>2317</v>
      </c>
      <c r="J2137" s="4" t="s">
        <v>2316</v>
      </c>
      <c r="K2137" s="4" t="s">
        <v>2263</v>
      </c>
      <c r="L2137" s="10">
        <v>9</v>
      </c>
      <c r="M2137" s="5">
        <v>1999.3788311688313</v>
      </c>
      <c r="N2137" s="5">
        <v>17994.40948051948</v>
      </c>
    </row>
    <row r="2138" spans="1:14" x14ac:dyDescent="0.25">
      <c r="A2138" s="4" t="s">
        <v>2320</v>
      </c>
      <c r="B2138" s="4" t="s">
        <v>4967</v>
      </c>
      <c r="C2138" s="4" t="s">
        <v>2320</v>
      </c>
      <c r="D2138" s="4" t="s">
        <v>242</v>
      </c>
      <c r="E2138" s="4" t="s">
        <v>2729</v>
      </c>
      <c r="F2138" s="4" t="s">
        <v>2728</v>
      </c>
      <c r="G2138" s="4" t="s">
        <v>2263</v>
      </c>
      <c r="H2138" s="9" t="s">
        <v>2263</v>
      </c>
      <c r="I2138" s="4" t="s">
        <v>2317</v>
      </c>
      <c r="J2138" s="4" t="s">
        <v>2316</v>
      </c>
      <c r="K2138" s="4" t="s">
        <v>2263</v>
      </c>
      <c r="L2138" s="10">
        <v>9</v>
      </c>
      <c r="M2138" s="5">
        <v>2343.1153424657537</v>
      </c>
      <c r="N2138" s="5">
        <v>21088.038082191779</v>
      </c>
    </row>
    <row r="2139" spans="1:14" x14ac:dyDescent="0.25">
      <c r="A2139" s="4" t="s">
        <v>2317</v>
      </c>
      <c r="B2139" s="4" t="s">
        <v>3839</v>
      </c>
      <c r="C2139" s="4" t="s">
        <v>2320</v>
      </c>
      <c r="D2139" s="4" t="s">
        <v>242</v>
      </c>
      <c r="E2139" s="4" t="s">
        <v>3026</v>
      </c>
      <c r="F2139" s="4" t="s">
        <v>3025</v>
      </c>
      <c r="G2139" s="4" t="s">
        <v>2263</v>
      </c>
      <c r="H2139" s="9" t="s">
        <v>2263</v>
      </c>
      <c r="I2139" s="4" t="s">
        <v>2317</v>
      </c>
      <c r="J2139" s="4" t="s">
        <v>2316</v>
      </c>
      <c r="K2139" s="4" t="s">
        <v>2263</v>
      </c>
      <c r="L2139" s="10">
        <v>9</v>
      </c>
      <c r="M2139" s="5">
        <v>2355.9733333333334</v>
      </c>
      <c r="N2139" s="5">
        <v>21203.759999999998</v>
      </c>
    </row>
    <row r="2140" spans="1:14" x14ac:dyDescent="0.25">
      <c r="A2140" s="4" t="s">
        <v>2317</v>
      </c>
      <c r="B2140" s="4" t="s">
        <v>3839</v>
      </c>
      <c r="C2140" s="4" t="s">
        <v>2320</v>
      </c>
      <c r="D2140" s="4" t="s">
        <v>242</v>
      </c>
      <c r="E2140" s="4" t="s">
        <v>3867</v>
      </c>
      <c r="F2140" s="4" t="s">
        <v>3866</v>
      </c>
      <c r="G2140" s="4" t="s">
        <v>2263</v>
      </c>
      <c r="H2140" s="9" t="s">
        <v>2263</v>
      </c>
      <c r="I2140" s="4" t="s">
        <v>2317</v>
      </c>
      <c r="J2140" s="4" t="s">
        <v>2316</v>
      </c>
      <c r="K2140" s="4" t="s">
        <v>2263</v>
      </c>
      <c r="L2140" s="10">
        <v>9</v>
      </c>
      <c r="M2140" s="5">
        <v>2546.1666666666665</v>
      </c>
      <c r="N2140" s="5">
        <v>22915.5</v>
      </c>
    </row>
    <row r="2141" spans="1:14" x14ac:dyDescent="0.25">
      <c r="A2141" s="4" t="s">
        <v>2317</v>
      </c>
      <c r="B2141" s="4" t="s">
        <v>3839</v>
      </c>
      <c r="C2141" s="4" t="s">
        <v>2320</v>
      </c>
      <c r="D2141" s="4" t="s">
        <v>242</v>
      </c>
      <c r="E2141" s="4" t="s">
        <v>4221</v>
      </c>
      <c r="F2141" s="4" t="s">
        <v>4220</v>
      </c>
      <c r="G2141" s="4" t="s">
        <v>2263</v>
      </c>
      <c r="H2141" s="9" t="s">
        <v>2263</v>
      </c>
      <c r="I2141" s="4" t="s">
        <v>2317</v>
      </c>
      <c r="J2141" s="4" t="s">
        <v>2316</v>
      </c>
      <c r="K2141" s="4" t="s">
        <v>2263</v>
      </c>
      <c r="L2141" s="10">
        <v>9</v>
      </c>
      <c r="M2141" s="5">
        <v>2831.1111111111113</v>
      </c>
      <c r="N2141" s="5">
        <v>25480</v>
      </c>
    </row>
    <row r="2142" spans="1:14" x14ac:dyDescent="0.25">
      <c r="A2142" s="4" t="s">
        <v>2344</v>
      </c>
      <c r="B2142" s="4" t="s">
        <v>5154</v>
      </c>
      <c r="C2142" s="4" t="s">
        <v>2320</v>
      </c>
      <c r="D2142" s="4" t="s">
        <v>242</v>
      </c>
      <c r="E2142" s="4" t="s">
        <v>2322</v>
      </c>
      <c r="F2142" s="4" t="s">
        <v>2321</v>
      </c>
      <c r="G2142" s="4" t="s">
        <v>2263</v>
      </c>
      <c r="H2142" s="9" t="s">
        <v>2263</v>
      </c>
      <c r="I2142" s="4" t="s">
        <v>2317</v>
      </c>
      <c r="J2142" s="4" t="s">
        <v>2316</v>
      </c>
      <c r="K2142" s="4" t="s">
        <v>2263</v>
      </c>
      <c r="L2142" s="10">
        <v>9</v>
      </c>
      <c r="M2142" s="5">
        <v>3766.5286274509804</v>
      </c>
      <c r="N2142" s="5">
        <v>33898.757647058817</v>
      </c>
    </row>
    <row r="2143" spans="1:14" x14ac:dyDescent="0.25">
      <c r="A2143" s="4" t="s">
        <v>3024</v>
      </c>
      <c r="B2143" s="4" t="s">
        <v>3023</v>
      </c>
      <c r="C2143" s="4" t="s">
        <v>2344</v>
      </c>
      <c r="D2143" s="4" t="s">
        <v>237</v>
      </c>
      <c r="E2143" s="4" t="s">
        <v>3039</v>
      </c>
      <c r="F2143" s="4" t="s">
        <v>2449</v>
      </c>
      <c r="G2143" s="4" t="s">
        <v>2263</v>
      </c>
      <c r="H2143" s="9" t="s">
        <v>2263</v>
      </c>
      <c r="I2143" s="4" t="s">
        <v>2263</v>
      </c>
      <c r="J2143" s="4" t="s">
        <v>2263</v>
      </c>
      <c r="K2143" s="4" t="s">
        <v>2448</v>
      </c>
      <c r="L2143" s="10">
        <v>9</v>
      </c>
      <c r="M2143" s="5">
        <v>3921.962962962963</v>
      </c>
      <c r="N2143" s="5">
        <v>35297.666666666672</v>
      </c>
    </row>
    <row r="2144" spans="1:14" x14ac:dyDescent="0.25">
      <c r="A2144" s="4" t="s">
        <v>2344</v>
      </c>
      <c r="B2144" s="4" t="s">
        <v>5154</v>
      </c>
      <c r="C2144" s="4" t="s">
        <v>2320</v>
      </c>
      <c r="D2144" s="4" t="s">
        <v>242</v>
      </c>
      <c r="E2144" s="4" t="s">
        <v>2392</v>
      </c>
      <c r="F2144" s="4" t="s">
        <v>2391</v>
      </c>
      <c r="G2144" s="4" t="s">
        <v>2263</v>
      </c>
      <c r="H2144" s="9" t="s">
        <v>2263</v>
      </c>
      <c r="I2144" s="4" t="s">
        <v>2317</v>
      </c>
      <c r="J2144" s="4" t="s">
        <v>2316</v>
      </c>
      <c r="K2144" s="4" t="s">
        <v>2263</v>
      </c>
      <c r="L2144" s="10">
        <v>9</v>
      </c>
      <c r="M2144" s="5">
        <v>4436.8685029940125</v>
      </c>
      <c r="N2144" s="5">
        <v>39931.81652694611</v>
      </c>
    </row>
    <row r="2145" spans="1:14" x14ac:dyDescent="0.25">
      <c r="A2145" s="4" t="s">
        <v>2320</v>
      </c>
      <c r="B2145" s="4" t="s">
        <v>4967</v>
      </c>
      <c r="C2145" s="4" t="s">
        <v>2320</v>
      </c>
      <c r="D2145" s="4" t="s">
        <v>242</v>
      </c>
      <c r="E2145" s="4" t="s">
        <v>3945</v>
      </c>
      <c r="F2145" s="4" t="s">
        <v>3944</v>
      </c>
      <c r="G2145" s="4" t="s">
        <v>2263</v>
      </c>
      <c r="H2145" s="9" t="s">
        <v>2263</v>
      </c>
      <c r="I2145" s="4" t="s">
        <v>2317</v>
      </c>
      <c r="J2145" s="4" t="s">
        <v>2316</v>
      </c>
      <c r="K2145" s="4" t="s">
        <v>2263</v>
      </c>
      <c r="L2145" s="10">
        <v>9</v>
      </c>
      <c r="M2145" s="5">
        <v>4553.4851515151513</v>
      </c>
      <c r="N2145" s="5">
        <v>40981.366363636364</v>
      </c>
    </row>
    <row r="2146" spans="1:14" x14ac:dyDescent="0.25">
      <c r="A2146" s="4" t="s">
        <v>2653</v>
      </c>
      <c r="B2146" s="4" t="s">
        <v>3226</v>
      </c>
      <c r="C2146" s="4" t="s">
        <v>3196</v>
      </c>
      <c r="D2146" s="4" t="s">
        <v>254</v>
      </c>
      <c r="E2146" s="4" t="s">
        <v>3552</v>
      </c>
      <c r="F2146" s="4" t="s">
        <v>3551</v>
      </c>
      <c r="G2146" s="4" t="s">
        <v>2263</v>
      </c>
      <c r="H2146" s="9" t="s">
        <v>2263</v>
      </c>
      <c r="I2146" s="4" t="s">
        <v>2317</v>
      </c>
      <c r="J2146" s="4" t="s">
        <v>2316</v>
      </c>
      <c r="K2146" s="4" t="s">
        <v>2263</v>
      </c>
      <c r="L2146" s="10">
        <v>9</v>
      </c>
      <c r="M2146" s="5">
        <v>5289.22</v>
      </c>
      <c r="N2146" s="5">
        <v>47602.98</v>
      </c>
    </row>
    <row r="2147" spans="1:14" x14ac:dyDescent="0.25">
      <c r="A2147" s="4" t="s">
        <v>2320</v>
      </c>
      <c r="B2147" s="4" t="s">
        <v>4967</v>
      </c>
      <c r="C2147" s="4" t="s">
        <v>2320</v>
      </c>
      <c r="D2147" s="4" t="s">
        <v>242</v>
      </c>
      <c r="E2147" s="4" t="s">
        <v>3155</v>
      </c>
      <c r="F2147" s="4" t="s">
        <v>3154</v>
      </c>
      <c r="G2147" s="4" t="s">
        <v>2263</v>
      </c>
      <c r="H2147" s="9" t="s">
        <v>2263</v>
      </c>
      <c r="I2147" s="4" t="s">
        <v>2317</v>
      </c>
      <c r="J2147" s="4" t="s">
        <v>2316</v>
      </c>
      <c r="K2147" s="4" t="s">
        <v>2263</v>
      </c>
      <c r="L2147" s="10">
        <v>9</v>
      </c>
      <c r="M2147" s="5">
        <v>5585.4120765027319</v>
      </c>
      <c r="N2147" s="5">
        <v>50268.708688524588</v>
      </c>
    </row>
    <row r="2148" spans="1:14" x14ac:dyDescent="0.25">
      <c r="A2148" s="4" t="s">
        <v>3168</v>
      </c>
      <c r="B2148" s="4" t="s">
        <v>3167</v>
      </c>
      <c r="C2148" s="4" t="s">
        <v>2320</v>
      </c>
      <c r="D2148" s="4" t="s">
        <v>242</v>
      </c>
      <c r="E2148" s="4" t="s">
        <v>3155</v>
      </c>
      <c r="F2148" s="4" t="s">
        <v>3154</v>
      </c>
      <c r="G2148" s="4" t="s">
        <v>2263</v>
      </c>
      <c r="H2148" s="9" t="s">
        <v>2263</v>
      </c>
      <c r="I2148" s="4" t="s">
        <v>2317</v>
      </c>
      <c r="J2148" s="4" t="s">
        <v>2316</v>
      </c>
      <c r="K2148" s="4" t="s">
        <v>2263</v>
      </c>
      <c r="L2148" s="10">
        <v>9</v>
      </c>
      <c r="M2148" s="5">
        <v>5585.4120765027319</v>
      </c>
      <c r="N2148" s="5">
        <v>50268.708688524588</v>
      </c>
    </row>
    <row r="2149" spans="1:14" x14ac:dyDescent="0.25">
      <c r="A2149" s="4" t="s">
        <v>2653</v>
      </c>
      <c r="B2149" s="4" t="s">
        <v>3226</v>
      </c>
      <c r="C2149" s="4" t="s">
        <v>2384</v>
      </c>
      <c r="D2149" s="4" t="s">
        <v>262</v>
      </c>
      <c r="E2149" s="4" t="s">
        <v>3406</v>
      </c>
      <c r="F2149" s="4" t="s">
        <v>3405</v>
      </c>
      <c r="G2149" s="4" t="s">
        <v>2263</v>
      </c>
      <c r="H2149" s="9" t="s">
        <v>2263</v>
      </c>
      <c r="I2149" s="4" t="s">
        <v>2317</v>
      </c>
      <c r="J2149" s="4" t="s">
        <v>2316</v>
      </c>
      <c r="K2149" s="4" t="s">
        <v>2263</v>
      </c>
      <c r="L2149" s="10">
        <v>9</v>
      </c>
      <c r="M2149" s="5">
        <v>6545</v>
      </c>
      <c r="N2149" s="5">
        <v>58905</v>
      </c>
    </row>
    <row r="2150" spans="1:14" x14ac:dyDescent="0.25">
      <c r="A2150" s="4" t="s">
        <v>2344</v>
      </c>
      <c r="B2150" s="4" t="s">
        <v>5154</v>
      </c>
      <c r="C2150" s="4" t="s">
        <v>2320</v>
      </c>
      <c r="D2150" s="4" t="s">
        <v>242</v>
      </c>
      <c r="E2150" s="4" t="s">
        <v>4077</v>
      </c>
      <c r="F2150" s="4" t="s">
        <v>4076</v>
      </c>
      <c r="G2150" s="4" t="s">
        <v>2263</v>
      </c>
      <c r="H2150" s="9" t="s">
        <v>2263</v>
      </c>
      <c r="I2150" s="4" t="s">
        <v>2317</v>
      </c>
      <c r="J2150" s="4" t="s">
        <v>2316</v>
      </c>
      <c r="K2150" s="4" t="s">
        <v>2263</v>
      </c>
      <c r="L2150" s="10">
        <v>9</v>
      </c>
      <c r="M2150" s="5">
        <v>6722.8188976377951</v>
      </c>
      <c r="N2150" s="5">
        <v>60505.370078740161</v>
      </c>
    </row>
    <row r="2151" spans="1:14" x14ac:dyDescent="0.25">
      <c r="A2151" s="4" t="s">
        <v>2344</v>
      </c>
      <c r="B2151" s="4" t="s">
        <v>5154</v>
      </c>
      <c r="C2151" s="4" t="s">
        <v>2279</v>
      </c>
      <c r="D2151" s="4" t="s">
        <v>2278</v>
      </c>
      <c r="E2151" s="4" t="s">
        <v>5284</v>
      </c>
      <c r="F2151" s="4" t="s">
        <v>5283</v>
      </c>
      <c r="G2151" s="4" t="s">
        <v>2263</v>
      </c>
      <c r="H2151" s="9" t="s">
        <v>2263</v>
      </c>
      <c r="I2151" s="4" t="s">
        <v>2263</v>
      </c>
      <c r="J2151" s="4" t="s">
        <v>2263</v>
      </c>
      <c r="K2151" s="4" t="s">
        <v>5282</v>
      </c>
      <c r="L2151" s="10">
        <v>9</v>
      </c>
      <c r="M2151" s="5">
        <v>7213.333333333333</v>
      </c>
      <c r="N2151" s="5">
        <v>64920</v>
      </c>
    </row>
    <row r="2152" spans="1:14" x14ac:dyDescent="0.25">
      <c r="A2152" s="4" t="s">
        <v>2344</v>
      </c>
      <c r="B2152" s="4" t="s">
        <v>5154</v>
      </c>
      <c r="C2152" s="4" t="s">
        <v>2344</v>
      </c>
      <c r="D2152" s="4" t="s">
        <v>237</v>
      </c>
      <c r="E2152" s="4" t="s">
        <v>4726</v>
      </c>
      <c r="F2152" s="4" t="s">
        <v>4725</v>
      </c>
      <c r="G2152" s="4" t="s">
        <v>2263</v>
      </c>
      <c r="H2152" s="9" t="s">
        <v>2263</v>
      </c>
      <c r="I2152" s="4" t="s">
        <v>2263</v>
      </c>
      <c r="J2152" s="4" t="s">
        <v>2263</v>
      </c>
      <c r="K2152" s="4" t="s">
        <v>4724</v>
      </c>
      <c r="L2152" s="10">
        <v>9</v>
      </c>
      <c r="M2152" s="5">
        <v>7374.5791666666673</v>
      </c>
      <c r="N2152" s="5">
        <v>66371.212499999994</v>
      </c>
    </row>
    <row r="2153" spans="1:14" x14ac:dyDescent="0.25">
      <c r="A2153" s="4" t="s">
        <v>2344</v>
      </c>
      <c r="B2153" s="4" t="s">
        <v>5154</v>
      </c>
      <c r="C2153" s="4" t="s">
        <v>2344</v>
      </c>
      <c r="D2153" s="4" t="s">
        <v>237</v>
      </c>
      <c r="E2153" s="4" t="s">
        <v>4680</v>
      </c>
      <c r="F2153" s="4" t="s">
        <v>2594</v>
      </c>
      <c r="G2153" s="4" t="s">
        <v>2263</v>
      </c>
      <c r="H2153" s="9" t="s">
        <v>2263</v>
      </c>
      <c r="I2153" s="4" t="s">
        <v>2263</v>
      </c>
      <c r="J2153" s="4" t="s">
        <v>2263</v>
      </c>
      <c r="K2153" s="4" t="s">
        <v>2593</v>
      </c>
      <c r="L2153" s="10">
        <v>9</v>
      </c>
      <c r="M2153" s="5">
        <v>8215</v>
      </c>
      <c r="N2153" s="5">
        <v>73935</v>
      </c>
    </row>
    <row r="2154" spans="1:14" x14ac:dyDescent="0.25">
      <c r="A2154" s="4" t="s">
        <v>2344</v>
      </c>
      <c r="B2154" s="4" t="s">
        <v>5154</v>
      </c>
      <c r="C2154" s="4" t="s">
        <v>2344</v>
      </c>
      <c r="D2154" s="4" t="s">
        <v>237</v>
      </c>
      <c r="E2154" s="4" t="s">
        <v>4788</v>
      </c>
      <c r="F2154" s="4" t="s">
        <v>4787</v>
      </c>
      <c r="G2154" s="4" t="s">
        <v>2263</v>
      </c>
      <c r="H2154" s="9" t="s">
        <v>2263</v>
      </c>
      <c r="I2154" s="4" t="s">
        <v>2263</v>
      </c>
      <c r="J2154" s="4" t="s">
        <v>2263</v>
      </c>
      <c r="K2154" s="4" t="s">
        <v>4786</v>
      </c>
      <c r="L2154" s="10">
        <v>9</v>
      </c>
      <c r="M2154" s="5">
        <v>8235</v>
      </c>
      <c r="N2154" s="5">
        <v>74115</v>
      </c>
    </row>
    <row r="2155" spans="1:14" x14ac:dyDescent="0.25">
      <c r="A2155" s="4" t="s">
        <v>2653</v>
      </c>
      <c r="B2155" s="4" t="s">
        <v>3226</v>
      </c>
      <c r="C2155" s="4" t="s">
        <v>3629</v>
      </c>
      <c r="D2155" s="4" t="s">
        <v>264</v>
      </c>
      <c r="E2155" s="4" t="s">
        <v>3633</v>
      </c>
      <c r="F2155" s="4" t="s">
        <v>3632</v>
      </c>
      <c r="G2155" s="4" t="s">
        <v>2263</v>
      </c>
      <c r="H2155" s="9" t="s">
        <v>2263</v>
      </c>
      <c r="I2155" s="4" t="s">
        <v>2317</v>
      </c>
      <c r="J2155" s="4" t="s">
        <v>2316</v>
      </c>
      <c r="K2155" s="4" t="s">
        <v>2263</v>
      </c>
      <c r="L2155" s="10">
        <v>9</v>
      </c>
      <c r="M2155" s="5">
        <v>11326.517777777779</v>
      </c>
      <c r="N2155" s="5">
        <v>101938.66</v>
      </c>
    </row>
    <row r="2156" spans="1:14" x14ac:dyDescent="0.25">
      <c r="A2156" s="4" t="s">
        <v>2865</v>
      </c>
      <c r="B2156" s="4" t="s">
        <v>2864</v>
      </c>
      <c r="C2156" s="4" t="s">
        <v>2279</v>
      </c>
      <c r="D2156" s="4" t="s">
        <v>2278</v>
      </c>
      <c r="E2156" s="4" t="s">
        <v>2872</v>
      </c>
      <c r="F2156" s="4" t="s">
        <v>2276</v>
      </c>
      <c r="G2156" s="4" t="s">
        <v>2263</v>
      </c>
      <c r="H2156" s="9" t="s">
        <v>2263</v>
      </c>
      <c r="I2156" s="4" t="s">
        <v>2263</v>
      </c>
      <c r="J2156" s="4" t="s">
        <v>2263</v>
      </c>
      <c r="K2156" s="4" t="s">
        <v>2275</v>
      </c>
      <c r="L2156" s="10">
        <v>9</v>
      </c>
      <c r="M2156" s="5">
        <v>14380</v>
      </c>
      <c r="N2156" s="5">
        <v>129420</v>
      </c>
    </row>
    <row r="2157" spans="1:14" x14ac:dyDescent="0.25">
      <c r="A2157" s="4" t="s">
        <v>2320</v>
      </c>
      <c r="B2157" s="4" t="s">
        <v>4967</v>
      </c>
      <c r="C2157" s="4" t="s">
        <v>2320</v>
      </c>
      <c r="D2157" s="4" t="s">
        <v>242</v>
      </c>
      <c r="E2157" s="4" t="s">
        <v>4259</v>
      </c>
      <c r="F2157" s="4" t="s">
        <v>4258</v>
      </c>
      <c r="G2157" s="4" t="s">
        <v>2263</v>
      </c>
      <c r="H2157" s="9" t="s">
        <v>2263</v>
      </c>
      <c r="I2157" s="4" t="s">
        <v>2317</v>
      </c>
      <c r="J2157" s="4" t="s">
        <v>2316</v>
      </c>
      <c r="K2157" s="4" t="s">
        <v>2263</v>
      </c>
      <c r="L2157" s="10">
        <v>9</v>
      </c>
      <c r="M2157" s="5">
        <v>17528.672285714285</v>
      </c>
      <c r="N2157" s="5">
        <v>157758.05057142855</v>
      </c>
    </row>
    <row r="2158" spans="1:14" x14ac:dyDescent="0.25">
      <c r="A2158" s="4" t="s">
        <v>2344</v>
      </c>
      <c r="B2158" s="4" t="s">
        <v>5154</v>
      </c>
      <c r="C2158" s="4" t="s">
        <v>2344</v>
      </c>
      <c r="D2158" s="4" t="s">
        <v>237</v>
      </c>
      <c r="E2158" s="4" t="s">
        <v>5366</v>
      </c>
      <c r="F2158" s="4" t="s">
        <v>5365</v>
      </c>
      <c r="G2158" s="4" t="s">
        <v>2263</v>
      </c>
      <c r="H2158" s="9" t="s">
        <v>2263</v>
      </c>
      <c r="I2158" s="4" t="s">
        <v>2263</v>
      </c>
      <c r="J2158" s="4" t="s">
        <v>2263</v>
      </c>
      <c r="K2158" s="4" t="s">
        <v>5364</v>
      </c>
      <c r="L2158" s="10">
        <v>9</v>
      </c>
      <c r="M2158" s="5">
        <v>18903.244444444441</v>
      </c>
      <c r="N2158" s="5">
        <v>170129.2</v>
      </c>
    </row>
    <row r="2159" spans="1:14" x14ac:dyDescent="0.25">
      <c r="A2159" s="4" t="s">
        <v>2320</v>
      </c>
      <c r="B2159" s="4" t="s">
        <v>4967</v>
      </c>
      <c r="C2159" s="4" t="s">
        <v>2320</v>
      </c>
      <c r="D2159" s="4" t="s">
        <v>242</v>
      </c>
      <c r="E2159" s="4" t="s">
        <v>4107</v>
      </c>
      <c r="F2159" s="4" t="s">
        <v>4106</v>
      </c>
      <c r="G2159" s="4" t="s">
        <v>2263</v>
      </c>
      <c r="H2159" s="9" t="s">
        <v>2263</v>
      </c>
      <c r="I2159" s="4" t="s">
        <v>2317</v>
      </c>
      <c r="J2159" s="4" t="s">
        <v>2316</v>
      </c>
      <c r="K2159" s="4" t="s">
        <v>2263</v>
      </c>
      <c r="L2159" s="10">
        <v>9</v>
      </c>
      <c r="M2159" s="5">
        <v>19231.611836734693</v>
      </c>
      <c r="N2159" s="5">
        <v>173084.50653061224</v>
      </c>
    </row>
    <row r="2160" spans="1:14" x14ac:dyDescent="0.25">
      <c r="A2160" s="4" t="s">
        <v>2653</v>
      </c>
      <c r="B2160" s="4" t="s">
        <v>3226</v>
      </c>
      <c r="C2160" s="4" t="s">
        <v>2353</v>
      </c>
      <c r="D2160" s="4" t="s">
        <v>258</v>
      </c>
      <c r="E2160" s="4" t="s">
        <v>3288</v>
      </c>
      <c r="F2160" s="4" t="s">
        <v>3287</v>
      </c>
      <c r="G2160" s="4" t="s">
        <v>2263</v>
      </c>
      <c r="H2160" s="9" t="s">
        <v>2263</v>
      </c>
      <c r="I2160" s="4" t="s">
        <v>2317</v>
      </c>
      <c r="J2160" s="4" t="s">
        <v>2316</v>
      </c>
      <c r="K2160" s="4" t="s">
        <v>2263</v>
      </c>
      <c r="L2160" s="10">
        <v>9</v>
      </c>
      <c r="M2160" s="5">
        <v>19771.751111111109</v>
      </c>
      <c r="N2160" s="5">
        <v>177945.76</v>
      </c>
    </row>
    <row r="2161" spans="1:14" x14ac:dyDescent="0.25">
      <c r="A2161" s="4" t="s">
        <v>2344</v>
      </c>
      <c r="B2161" s="4" t="s">
        <v>5154</v>
      </c>
      <c r="C2161" s="4" t="s">
        <v>2320</v>
      </c>
      <c r="D2161" s="4" t="s">
        <v>242</v>
      </c>
      <c r="E2161" s="4" t="s">
        <v>2948</v>
      </c>
      <c r="F2161" s="4" t="s">
        <v>2947</v>
      </c>
      <c r="G2161" s="4" t="s">
        <v>2263</v>
      </c>
      <c r="H2161" s="9" t="s">
        <v>2263</v>
      </c>
      <c r="I2161" s="4" t="s">
        <v>2317</v>
      </c>
      <c r="J2161" s="4" t="s">
        <v>2316</v>
      </c>
      <c r="K2161" s="4" t="s">
        <v>2263</v>
      </c>
      <c r="L2161" s="10">
        <v>9</v>
      </c>
      <c r="M2161" s="5">
        <v>26190.521951219511</v>
      </c>
      <c r="N2161" s="5">
        <v>235714.69756097559</v>
      </c>
    </row>
    <row r="2162" spans="1:14" x14ac:dyDescent="0.25">
      <c r="A2162" s="4" t="s">
        <v>2317</v>
      </c>
      <c r="B2162" s="4" t="s">
        <v>3839</v>
      </c>
      <c r="C2162" s="4" t="s">
        <v>2320</v>
      </c>
      <c r="D2162" s="4" t="s">
        <v>242</v>
      </c>
      <c r="E2162" s="4" t="s">
        <v>3016</v>
      </c>
      <c r="F2162" s="4" t="s">
        <v>3015</v>
      </c>
      <c r="G2162" s="4" t="s">
        <v>2263</v>
      </c>
      <c r="H2162" s="9" t="s">
        <v>2263</v>
      </c>
      <c r="I2162" s="4" t="s">
        <v>2317</v>
      </c>
      <c r="J2162" s="4" t="s">
        <v>2316</v>
      </c>
      <c r="K2162" s="4" t="s">
        <v>2263</v>
      </c>
      <c r="L2162" s="10">
        <v>9</v>
      </c>
      <c r="M2162" s="5">
        <v>28816.730454545454</v>
      </c>
      <c r="N2162" s="5">
        <v>259350.57409090907</v>
      </c>
    </row>
    <row r="2163" spans="1:14" x14ac:dyDescent="0.25">
      <c r="A2163" s="4" t="s">
        <v>2344</v>
      </c>
      <c r="B2163" s="4" t="s">
        <v>5154</v>
      </c>
      <c r="C2163" s="4" t="s">
        <v>2279</v>
      </c>
      <c r="D2163" s="4" t="s">
        <v>2278</v>
      </c>
      <c r="E2163" s="4" t="s">
        <v>5281</v>
      </c>
      <c r="F2163" s="4" t="s">
        <v>5280</v>
      </c>
      <c r="G2163" s="4" t="s">
        <v>2263</v>
      </c>
      <c r="H2163" s="9" t="s">
        <v>2263</v>
      </c>
      <c r="I2163" s="4" t="s">
        <v>2263</v>
      </c>
      <c r="J2163" s="4" t="s">
        <v>2263</v>
      </c>
      <c r="K2163" s="4" t="s">
        <v>5279</v>
      </c>
      <c r="L2163" s="10">
        <v>9</v>
      </c>
      <c r="M2163" s="5">
        <v>33488.977777777778</v>
      </c>
      <c r="N2163" s="5">
        <v>301400.8</v>
      </c>
    </row>
    <row r="2164" spans="1:14" x14ac:dyDescent="0.25">
      <c r="A2164" s="4" t="s">
        <v>2344</v>
      </c>
      <c r="B2164" s="4" t="s">
        <v>5154</v>
      </c>
      <c r="C2164" s="4" t="s">
        <v>2344</v>
      </c>
      <c r="D2164" s="4" t="s">
        <v>237</v>
      </c>
      <c r="E2164" s="4" t="s">
        <v>3183</v>
      </c>
      <c r="F2164" s="4" t="s">
        <v>3182</v>
      </c>
      <c r="G2164" s="4" t="s">
        <v>2263</v>
      </c>
      <c r="H2164" s="9" t="s">
        <v>2263</v>
      </c>
      <c r="I2164" s="4" t="s">
        <v>2263</v>
      </c>
      <c r="J2164" s="4" t="s">
        <v>2263</v>
      </c>
      <c r="K2164" s="4" t="s">
        <v>3181</v>
      </c>
      <c r="L2164" s="10">
        <v>9</v>
      </c>
      <c r="M2164" s="5">
        <v>35252.121212121208</v>
      </c>
      <c r="N2164" s="5">
        <v>317269.09090909094</v>
      </c>
    </row>
    <row r="2165" spans="1:14" x14ac:dyDescent="0.25">
      <c r="A2165" s="4" t="s">
        <v>2344</v>
      </c>
      <c r="B2165" s="4" t="s">
        <v>5154</v>
      </c>
      <c r="C2165" s="4" t="s">
        <v>2320</v>
      </c>
      <c r="D2165" s="4" t="s">
        <v>242</v>
      </c>
      <c r="E2165" s="4" t="s">
        <v>3006</v>
      </c>
      <c r="F2165" s="4" t="s">
        <v>3005</v>
      </c>
      <c r="G2165" s="4" t="s">
        <v>2263</v>
      </c>
      <c r="H2165" s="9" t="s">
        <v>2263</v>
      </c>
      <c r="I2165" s="4" t="s">
        <v>2317</v>
      </c>
      <c r="J2165" s="4" t="s">
        <v>2316</v>
      </c>
      <c r="K2165" s="4" t="s">
        <v>2263</v>
      </c>
      <c r="L2165" s="10">
        <v>9</v>
      </c>
      <c r="M2165" s="5">
        <v>40459.713207547167</v>
      </c>
      <c r="N2165" s="5">
        <v>364137.41886792454</v>
      </c>
    </row>
    <row r="2166" spans="1:14" x14ac:dyDescent="0.25">
      <c r="A2166" s="4" t="s">
        <v>2317</v>
      </c>
      <c r="B2166" s="4" t="s">
        <v>3839</v>
      </c>
      <c r="C2166" s="4" t="s">
        <v>2320</v>
      </c>
      <c r="D2166" s="4" t="s">
        <v>242</v>
      </c>
      <c r="E2166" s="4" t="s">
        <v>4047</v>
      </c>
      <c r="F2166" s="4" t="s">
        <v>4046</v>
      </c>
      <c r="G2166" s="4" t="s">
        <v>2263</v>
      </c>
      <c r="H2166" s="9" t="s">
        <v>2263</v>
      </c>
      <c r="I2166" s="4" t="s">
        <v>2317</v>
      </c>
      <c r="J2166" s="4" t="s">
        <v>2316</v>
      </c>
      <c r="K2166" s="4" t="s">
        <v>2263</v>
      </c>
      <c r="L2166" s="10">
        <v>9</v>
      </c>
      <c r="M2166" s="5">
        <v>41329.494545454545</v>
      </c>
      <c r="N2166" s="5">
        <v>371965.45090909087</v>
      </c>
    </row>
    <row r="2167" spans="1:14" x14ac:dyDescent="0.25">
      <c r="A2167" s="4" t="s">
        <v>2320</v>
      </c>
      <c r="B2167" s="4" t="s">
        <v>4967</v>
      </c>
      <c r="C2167" s="4" t="s">
        <v>2320</v>
      </c>
      <c r="D2167" s="4" t="s">
        <v>242</v>
      </c>
      <c r="E2167" s="4" t="s">
        <v>2972</v>
      </c>
      <c r="F2167" s="4" t="s">
        <v>2971</v>
      </c>
      <c r="G2167" s="4" t="s">
        <v>2263</v>
      </c>
      <c r="H2167" s="9" t="s">
        <v>2263</v>
      </c>
      <c r="I2167" s="4" t="s">
        <v>2317</v>
      </c>
      <c r="J2167" s="4" t="s">
        <v>2316</v>
      </c>
      <c r="K2167" s="4" t="s">
        <v>2263</v>
      </c>
      <c r="L2167" s="10">
        <v>9</v>
      </c>
      <c r="M2167" s="5">
        <v>64308.11538461539</v>
      </c>
      <c r="N2167" s="5">
        <v>578773.0384615385</v>
      </c>
    </row>
    <row r="2168" spans="1:14" x14ac:dyDescent="0.25">
      <c r="A2168" s="4" t="s">
        <v>2344</v>
      </c>
      <c r="B2168" s="4" t="s">
        <v>5154</v>
      </c>
      <c r="C2168" s="4" t="s">
        <v>2320</v>
      </c>
      <c r="D2168" s="4" t="s">
        <v>242</v>
      </c>
      <c r="E2168" s="4" t="s">
        <v>4121</v>
      </c>
      <c r="F2168" s="4" t="s">
        <v>4120</v>
      </c>
      <c r="G2168" s="4" t="s">
        <v>2263</v>
      </c>
      <c r="H2168" s="9" t="s">
        <v>2263</v>
      </c>
      <c r="I2168" s="4" t="s">
        <v>2317</v>
      </c>
      <c r="J2168" s="4" t="s">
        <v>2316</v>
      </c>
      <c r="K2168" s="4" t="s">
        <v>2263</v>
      </c>
      <c r="L2168" s="10">
        <v>9</v>
      </c>
      <c r="M2168" s="5">
        <v>76993.137647058829</v>
      </c>
      <c r="N2168" s="5">
        <v>692938.23882352945</v>
      </c>
    </row>
    <row r="2169" spans="1:14" x14ac:dyDescent="0.25">
      <c r="A2169" s="4" t="s">
        <v>2267</v>
      </c>
      <c r="B2169" s="4" t="s">
        <v>3838</v>
      </c>
      <c r="C2169" s="4" t="s">
        <v>2320</v>
      </c>
      <c r="D2169" s="4" t="s">
        <v>242</v>
      </c>
      <c r="E2169" s="4" t="s">
        <v>2988</v>
      </c>
      <c r="F2169" s="4" t="s">
        <v>2987</v>
      </c>
      <c r="G2169" s="4" t="s">
        <v>2263</v>
      </c>
      <c r="H2169" s="9" t="s">
        <v>2263</v>
      </c>
      <c r="I2169" s="4" t="s">
        <v>2317</v>
      </c>
      <c r="J2169" s="4" t="s">
        <v>2316</v>
      </c>
      <c r="K2169" s="4" t="s">
        <v>2263</v>
      </c>
      <c r="L2169" s="10">
        <v>9</v>
      </c>
      <c r="M2169" s="5">
        <v>77163.733333333323</v>
      </c>
      <c r="N2169" s="5">
        <v>694473.6</v>
      </c>
    </row>
    <row r="2170" spans="1:14" x14ac:dyDescent="0.25">
      <c r="A2170" s="4" t="s">
        <v>2317</v>
      </c>
      <c r="B2170" s="4" t="s">
        <v>3839</v>
      </c>
      <c r="C2170" s="4" t="s">
        <v>2320</v>
      </c>
      <c r="D2170" s="4" t="s">
        <v>242</v>
      </c>
      <c r="E2170" s="4" t="s">
        <v>4139</v>
      </c>
      <c r="F2170" s="4" t="s">
        <v>4138</v>
      </c>
      <c r="G2170" s="4" t="s">
        <v>2263</v>
      </c>
      <c r="H2170" s="9" t="s">
        <v>2263</v>
      </c>
      <c r="I2170" s="4" t="s">
        <v>2317</v>
      </c>
      <c r="J2170" s="4" t="s">
        <v>2316</v>
      </c>
      <c r="K2170" s="4" t="s">
        <v>2263</v>
      </c>
      <c r="L2170" s="10">
        <v>9</v>
      </c>
      <c r="M2170" s="5">
        <v>77439.036842105255</v>
      </c>
      <c r="N2170" s="5">
        <v>696951.33157894737</v>
      </c>
    </row>
    <row r="2171" spans="1:14" x14ac:dyDescent="0.25">
      <c r="A2171" s="4" t="s">
        <v>2317</v>
      </c>
      <c r="B2171" s="4" t="s">
        <v>3839</v>
      </c>
      <c r="C2171" s="4" t="s">
        <v>2320</v>
      </c>
      <c r="D2171" s="4" t="s">
        <v>242</v>
      </c>
      <c r="E2171" s="4" t="s">
        <v>4091</v>
      </c>
      <c r="F2171" s="4" t="s">
        <v>4090</v>
      </c>
      <c r="G2171" s="4" t="s">
        <v>2263</v>
      </c>
      <c r="H2171" s="9" t="s">
        <v>2263</v>
      </c>
      <c r="I2171" s="4" t="s">
        <v>2317</v>
      </c>
      <c r="J2171" s="4" t="s">
        <v>2316</v>
      </c>
      <c r="K2171" s="4" t="s">
        <v>2263</v>
      </c>
      <c r="L2171" s="10">
        <v>9</v>
      </c>
      <c r="M2171" s="5">
        <v>119288.09538461539</v>
      </c>
      <c r="N2171" s="5">
        <v>1073592.8584615383</v>
      </c>
    </row>
    <row r="2172" spans="1:14" x14ac:dyDescent="0.25">
      <c r="A2172" s="4" t="s">
        <v>2317</v>
      </c>
      <c r="B2172" s="4" t="s">
        <v>3839</v>
      </c>
      <c r="C2172" s="4" t="s">
        <v>2320</v>
      </c>
      <c r="D2172" s="4" t="s">
        <v>242</v>
      </c>
      <c r="E2172" s="4" t="s">
        <v>3170</v>
      </c>
      <c r="F2172" s="4" t="s">
        <v>3169</v>
      </c>
      <c r="G2172" s="4" t="s">
        <v>2263</v>
      </c>
      <c r="H2172" s="9" t="s">
        <v>2263</v>
      </c>
      <c r="I2172" s="4" t="s">
        <v>2317</v>
      </c>
      <c r="J2172" s="4" t="s">
        <v>2316</v>
      </c>
      <c r="K2172" s="4" t="s">
        <v>2263</v>
      </c>
      <c r="L2172" s="10">
        <v>9</v>
      </c>
      <c r="M2172" s="5">
        <v>119623.89538461539</v>
      </c>
      <c r="N2172" s="5">
        <v>1076615.0584615385</v>
      </c>
    </row>
    <row r="2173" spans="1:14" x14ac:dyDescent="0.25">
      <c r="A2173" s="4" t="s">
        <v>2317</v>
      </c>
      <c r="B2173" s="4" t="s">
        <v>3839</v>
      </c>
      <c r="C2173" s="4" t="s">
        <v>2320</v>
      </c>
      <c r="D2173" s="4" t="s">
        <v>242</v>
      </c>
      <c r="E2173" s="4" t="s">
        <v>4289</v>
      </c>
      <c r="F2173" s="4" t="s">
        <v>4288</v>
      </c>
      <c r="G2173" s="4" t="s">
        <v>2263</v>
      </c>
      <c r="H2173" s="9" t="s">
        <v>2263</v>
      </c>
      <c r="I2173" s="4" t="s">
        <v>2317</v>
      </c>
      <c r="J2173" s="4" t="s">
        <v>2316</v>
      </c>
      <c r="K2173" s="4" t="s">
        <v>2263</v>
      </c>
      <c r="L2173" s="10">
        <v>9</v>
      </c>
      <c r="M2173" s="5">
        <v>205427.83333333331</v>
      </c>
      <c r="N2173" s="5">
        <v>1848850.5</v>
      </c>
    </row>
    <row r="2174" spans="1:14" x14ac:dyDescent="0.25">
      <c r="A2174" s="4" t="s">
        <v>2320</v>
      </c>
      <c r="B2174" s="4" t="s">
        <v>4967</v>
      </c>
      <c r="C2174" s="4" t="s">
        <v>2320</v>
      </c>
      <c r="D2174" s="4" t="s">
        <v>242</v>
      </c>
      <c r="E2174" s="4" t="s">
        <v>5035</v>
      </c>
      <c r="F2174" s="4" t="s">
        <v>5034</v>
      </c>
      <c r="G2174" s="4" t="s">
        <v>2263</v>
      </c>
      <c r="H2174" s="9" t="s">
        <v>2263</v>
      </c>
      <c r="I2174" s="4" t="s">
        <v>2317</v>
      </c>
      <c r="J2174" s="4" t="s">
        <v>2316</v>
      </c>
      <c r="K2174" s="4" t="s">
        <v>2263</v>
      </c>
      <c r="L2174" s="10">
        <v>9</v>
      </c>
      <c r="M2174" s="5">
        <v>231201.28444444446</v>
      </c>
      <c r="N2174" s="5">
        <v>2080811.56</v>
      </c>
    </row>
    <row r="2175" spans="1:14" x14ac:dyDescent="0.25">
      <c r="A2175" s="4" t="s">
        <v>2653</v>
      </c>
      <c r="B2175" s="4" t="s">
        <v>3226</v>
      </c>
      <c r="C2175" s="4" t="s">
        <v>2384</v>
      </c>
      <c r="D2175" s="4" t="s">
        <v>262</v>
      </c>
      <c r="E2175" s="4" t="s">
        <v>3488</v>
      </c>
      <c r="F2175" s="4" t="s">
        <v>3487</v>
      </c>
      <c r="G2175" s="4" t="s">
        <v>2263</v>
      </c>
      <c r="H2175" s="9" t="s">
        <v>2263</v>
      </c>
      <c r="I2175" s="4" t="s">
        <v>2317</v>
      </c>
      <c r="J2175" s="4" t="s">
        <v>2316</v>
      </c>
      <c r="K2175" s="4" t="s">
        <v>2263</v>
      </c>
      <c r="L2175" s="10">
        <v>9</v>
      </c>
      <c r="M2175" s="5">
        <v>341318.55555555556</v>
      </c>
      <c r="N2175" s="5">
        <v>3071867</v>
      </c>
    </row>
    <row r="2176" spans="1:14" x14ac:dyDescent="0.25">
      <c r="A2176" s="4" t="s">
        <v>2320</v>
      </c>
      <c r="B2176" s="4" t="s">
        <v>4967</v>
      </c>
      <c r="C2176" s="4" t="s">
        <v>2344</v>
      </c>
      <c r="D2176" s="4" t="s">
        <v>237</v>
      </c>
      <c r="E2176" s="4" t="s">
        <v>5140</v>
      </c>
      <c r="F2176" s="4" t="s">
        <v>2571</v>
      </c>
      <c r="G2176" s="4" t="s">
        <v>2263</v>
      </c>
      <c r="H2176" s="9" t="s">
        <v>2263</v>
      </c>
      <c r="I2176" s="4" t="s">
        <v>2263</v>
      </c>
      <c r="J2176" s="4" t="s">
        <v>2263</v>
      </c>
      <c r="K2176" s="4" t="s">
        <v>2465</v>
      </c>
      <c r="L2176" s="10">
        <v>10</v>
      </c>
      <c r="M2176" s="5">
        <v>-4331.6099999999997</v>
      </c>
      <c r="N2176" s="5">
        <v>-43316.1</v>
      </c>
    </row>
    <row r="2177" spans="1:14" x14ac:dyDescent="0.25">
      <c r="A2177" s="4" t="s">
        <v>2274</v>
      </c>
      <c r="B2177" s="4" t="s">
        <v>4348</v>
      </c>
      <c r="C2177" s="4" t="s">
        <v>2344</v>
      </c>
      <c r="D2177" s="4" t="s">
        <v>237</v>
      </c>
      <c r="E2177" s="4" t="s">
        <v>4811</v>
      </c>
      <c r="F2177" s="4" t="s">
        <v>2565</v>
      </c>
      <c r="G2177" s="4" t="s">
        <v>2263</v>
      </c>
      <c r="H2177" s="9" t="s">
        <v>2263</v>
      </c>
      <c r="I2177" s="4" t="s">
        <v>2263</v>
      </c>
      <c r="J2177" s="4" t="s">
        <v>2263</v>
      </c>
      <c r="K2177" s="4" t="s">
        <v>2564</v>
      </c>
      <c r="L2177" s="10">
        <v>10</v>
      </c>
      <c r="M2177" s="5">
        <v>-115.94615384615383</v>
      </c>
      <c r="N2177" s="5">
        <v>-1159.4615384615399</v>
      </c>
    </row>
    <row r="2178" spans="1:14" x14ac:dyDescent="0.25">
      <c r="A2178" s="4" t="s">
        <v>2344</v>
      </c>
      <c r="B2178" s="4" t="s">
        <v>5154</v>
      </c>
      <c r="C2178" s="4" t="s">
        <v>2344</v>
      </c>
      <c r="D2178" s="4" t="s">
        <v>237</v>
      </c>
      <c r="E2178" s="4" t="s">
        <v>4943</v>
      </c>
      <c r="F2178" s="4" t="s">
        <v>2665</v>
      </c>
      <c r="G2178" s="4" t="s">
        <v>2263</v>
      </c>
      <c r="H2178" s="9" t="s">
        <v>2263</v>
      </c>
      <c r="I2178" s="4" t="s">
        <v>2263</v>
      </c>
      <c r="J2178" s="4" t="s">
        <v>2263</v>
      </c>
      <c r="K2178" s="4" t="s">
        <v>2664</v>
      </c>
      <c r="L2178" s="10">
        <v>10</v>
      </c>
      <c r="M2178" s="5">
        <v>66</v>
      </c>
      <c r="N2178" s="5">
        <v>660</v>
      </c>
    </row>
    <row r="2179" spans="1:14" x14ac:dyDescent="0.25">
      <c r="A2179" s="4" t="s">
        <v>2344</v>
      </c>
      <c r="B2179" s="4" t="s">
        <v>5154</v>
      </c>
      <c r="C2179" s="4" t="s">
        <v>2267</v>
      </c>
      <c r="D2179" s="4" t="s">
        <v>2266</v>
      </c>
      <c r="E2179" s="4" t="s">
        <v>4421</v>
      </c>
      <c r="F2179" s="4" t="s">
        <v>4420</v>
      </c>
      <c r="G2179" s="4" t="s">
        <v>2263</v>
      </c>
      <c r="H2179" s="9" t="s">
        <v>2263</v>
      </c>
      <c r="I2179" s="4" t="s">
        <v>2263</v>
      </c>
      <c r="J2179" s="4" t="s">
        <v>2263</v>
      </c>
      <c r="K2179" s="4" t="s">
        <v>4419</v>
      </c>
      <c r="L2179" s="10">
        <v>10</v>
      </c>
      <c r="M2179" s="5">
        <v>156.63999999999999</v>
      </c>
      <c r="N2179" s="5">
        <v>1566.4</v>
      </c>
    </row>
    <row r="2180" spans="1:14" x14ac:dyDescent="0.25">
      <c r="A2180" s="4" t="s">
        <v>2344</v>
      </c>
      <c r="B2180" s="4" t="s">
        <v>5154</v>
      </c>
      <c r="C2180" s="4" t="s">
        <v>2317</v>
      </c>
      <c r="D2180" s="4" t="s">
        <v>2516</v>
      </c>
      <c r="E2180" s="4" t="s">
        <v>5209</v>
      </c>
      <c r="F2180" s="4" t="s">
        <v>2521</v>
      </c>
      <c r="G2180" s="4" t="s">
        <v>2263</v>
      </c>
      <c r="H2180" s="9" t="s">
        <v>2263</v>
      </c>
      <c r="I2180" s="4" t="s">
        <v>2263</v>
      </c>
      <c r="J2180" s="4" t="s">
        <v>2263</v>
      </c>
      <c r="K2180" s="4" t="s">
        <v>2520</v>
      </c>
      <c r="L2180" s="10">
        <v>10</v>
      </c>
      <c r="M2180" s="5">
        <v>230</v>
      </c>
      <c r="N2180" s="5">
        <v>2300</v>
      </c>
    </row>
    <row r="2181" spans="1:14" x14ac:dyDescent="0.25">
      <c r="A2181" s="4" t="s">
        <v>2653</v>
      </c>
      <c r="B2181" s="4" t="s">
        <v>3226</v>
      </c>
      <c r="C2181" s="4" t="s">
        <v>3107</v>
      </c>
      <c r="D2181" s="4" t="s">
        <v>1105</v>
      </c>
      <c r="E2181" s="4" t="s">
        <v>3705</v>
      </c>
      <c r="F2181" s="4" t="s">
        <v>3704</v>
      </c>
      <c r="G2181" s="4" t="s">
        <v>2263</v>
      </c>
      <c r="H2181" s="9" t="s">
        <v>2263</v>
      </c>
      <c r="I2181" s="4" t="s">
        <v>2317</v>
      </c>
      <c r="J2181" s="4" t="s">
        <v>2316</v>
      </c>
      <c r="K2181" s="4" t="s">
        <v>2263</v>
      </c>
      <c r="L2181" s="10">
        <v>10</v>
      </c>
      <c r="M2181" s="5">
        <v>379.5</v>
      </c>
      <c r="N2181" s="5">
        <v>3795</v>
      </c>
    </row>
    <row r="2182" spans="1:14" x14ac:dyDescent="0.25">
      <c r="A2182" s="4" t="s">
        <v>3174</v>
      </c>
      <c r="B2182" s="4" t="s">
        <v>3173</v>
      </c>
      <c r="C2182" s="4" t="s">
        <v>2344</v>
      </c>
      <c r="D2182" s="4" t="s">
        <v>237</v>
      </c>
      <c r="E2182" s="4" t="s">
        <v>3185</v>
      </c>
      <c r="F2182" s="4" t="s">
        <v>2449</v>
      </c>
      <c r="G2182" s="4" t="s">
        <v>2263</v>
      </c>
      <c r="H2182" s="9" t="s">
        <v>2263</v>
      </c>
      <c r="I2182" s="4" t="s">
        <v>2263</v>
      </c>
      <c r="J2182" s="4" t="s">
        <v>2263</v>
      </c>
      <c r="K2182" s="4" t="s">
        <v>2448</v>
      </c>
      <c r="L2182" s="10">
        <v>10</v>
      </c>
      <c r="M2182" s="5">
        <v>380.6</v>
      </c>
      <c r="N2182" s="5">
        <v>3806</v>
      </c>
    </row>
    <row r="2183" spans="1:14" x14ac:dyDescent="0.25">
      <c r="A2183" s="4" t="s">
        <v>2320</v>
      </c>
      <c r="B2183" s="4" t="s">
        <v>4967</v>
      </c>
      <c r="C2183" s="4" t="s">
        <v>2344</v>
      </c>
      <c r="D2183" s="4" t="s">
        <v>237</v>
      </c>
      <c r="E2183" s="4" t="s">
        <v>2453</v>
      </c>
      <c r="F2183" s="4" t="s">
        <v>2452</v>
      </c>
      <c r="G2183" s="4" t="s">
        <v>2263</v>
      </c>
      <c r="H2183" s="9" t="s">
        <v>2263</v>
      </c>
      <c r="I2183" s="4" t="s">
        <v>2263</v>
      </c>
      <c r="J2183" s="4" t="s">
        <v>2263</v>
      </c>
      <c r="K2183" s="4" t="s">
        <v>2451</v>
      </c>
      <c r="L2183" s="10">
        <v>10</v>
      </c>
      <c r="M2183" s="5">
        <v>480.11012658227844</v>
      </c>
      <c r="N2183" s="5">
        <v>4801.1012658227801</v>
      </c>
    </row>
    <row r="2184" spans="1:14" x14ac:dyDescent="0.25">
      <c r="A2184" s="4" t="s">
        <v>2274</v>
      </c>
      <c r="B2184" s="4" t="s">
        <v>4348</v>
      </c>
      <c r="C2184" s="4" t="s">
        <v>2344</v>
      </c>
      <c r="D2184" s="4" t="s">
        <v>237</v>
      </c>
      <c r="E2184" s="4" t="s">
        <v>2347</v>
      </c>
      <c r="F2184" s="4" t="s">
        <v>2346</v>
      </c>
      <c r="G2184" s="4" t="s">
        <v>2263</v>
      </c>
      <c r="H2184" s="9" t="s">
        <v>2263</v>
      </c>
      <c r="I2184" s="4" t="s">
        <v>2263</v>
      </c>
      <c r="J2184" s="4" t="s">
        <v>2263</v>
      </c>
      <c r="K2184" s="4" t="s">
        <v>2345</v>
      </c>
      <c r="L2184" s="10">
        <v>10</v>
      </c>
      <c r="M2184" s="5">
        <v>650.00016129032258</v>
      </c>
      <c r="N2184" s="5">
        <v>6500.0016129032301</v>
      </c>
    </row>
    <row r="2185" spans="1:14" x14ac:dyDescent="0.25">
      <c r="A2185" s="4" t="s">
        <v>2317</v>
      </c>
      <c r="B2185" s="4" t="s">
        <v>3839</v>
      </c>
      <c r="C2185" s="4" t="s">
        <v>2320</v>
      </c>
      <c r="D2185" s="4" t="s">
        <v>242</v>
      </c>
      <c r="E2185" s="4" t="s">
        <v>4201</v>
      </c>
      <c r="F2185" s="4" t="s">
        <v>4200</v>
      </c>
      <c r="G2185" s="4" t="s">
        <v>2263</v>
      </c>
      <c r="H2185" s="9" t="s">
        <v>2263</v>
      </c>
      <c r="I2185" s="4" t="s">
        <v>2317</v>
      </c>
      <c r="J2185" s="4" t="s">
        <v>2316</v>
      </c>
      <c r="K2185" s="4" t="s">
        <v>2263</v>
      </c>
      <c r="L2185" s="10">
        <v>10</v>
      </c>
      <c r="M2185" s="5">
        <v>653</v>
      </c>
      <c r="N2185" s="5">
        <v>6530</v>
      </c>
    </row>
    <row r="2186" spans="1:14" x14ac:dyDescent="0.25">
      <c r="A2186" s="4" t="s">
        <v>2320</v>
      </c>
      <c r="B2186" s="4" t="s">
        <v>4967</v>
      </c>
      <c r="C2186" s="4" t="s">
        <v>2344</v>
      </c>
      <c r="D2186" s="4" t="s">
        <v>237</v>
      </c>
      <c r="E2186" s="4" t="s">
        <v>4925</v>
      </c>
      <c r="F2186" s="4" t="s">
        <v>2667</v>
      </c>
      <c r="G2186" s="4" t="s">
        <v>2263</v>
      </c>
      <c r="H2186" s="9" t="s">
        <v>2263</v>
      </c>
      <c r="I2186" s="4" t="s">
        <v>2263</v>
      </c>
      <c r="J2186" s="4" t="s">
        <v>2263</v>
      </c>
      <c r="K2186" s="4" t="s">
        <v>2666</v>
      </c>
      <c r="L2186" s="10">
        <v>10</v>
      </c>
      <c r="M2186" s="5">
        <v>680.01049531459171</v>
      </c>
      <c r="N2186" s="5">
        <v>6800.1049531459203</v>
      </c>
    </row>
    <row r="2187" spans="1:14" x14ac:dyDescent="0.25">
      <c r="A2187" s="4" t="s">
        <v>2320</v>
      </c>
      <c r="B2187" s="4" t="s">
        <v>4967</v>
      </c>
      <c r="C2187" s="4" t="s">
        <v>2344</v>
      </c>
      <c r="D2187" s="4" t="s">
        <v>237</v>
      </c>
      <c r="E2187" s="4" t="s">
        <v>4912</v>
      </c>
      <c r="F2187" s="4" t="s">
        <v>3067</v>
      </c>
      <c r="G2187" s="4" t="s">
        <v>2263</v>
      </c>
      <c r="H2187" s="9" t="s">
        <v>2263</v>
      </c>
      <c r="I2187" s="4" t="s">
        <v>2263</v>
      </c>
      <c r="J2187" s="4" t="s">
        <v>2263</v>
      </c>
      <c r="K2187" s="4" t="s">
        <v>2619</v>
      </c>
      <c r="L2187" s="10">
        <v>10</v>
      </c>
      <c r="M2187" s="5">
        <v>724.15287499999999</v>
      </c>
      <c r="N2187" s="5">
        <v>7241.5287500000004</v>
      </c>
    </row>
    <row r="2188" spans="1:14" x14ac:dyDescent="0.25">
      <c r="A2188" s="4" t="s">
        <v>2279</v>
      </c>
      <c r="B2188" s="4" t="s">
        <v>4963</v>
      </c>
      <c r="C2188" s="4" t="s">
        <v>2344</v>
      </c>
      <c r="D2188" s="4" t="s">
        <v>237</v>
      </c>
      <c r="E2188" s="4" t="s">
        <v>2450</v>
      </c>
      <c r="F2188" s="4" t="s">
        <v>2449</v>
      </c>
      <c r="G2188" s="4" t="s">
        <v>2263</v>
      </c>
      <c r="H2188" s="9" t="s">
        <v>2263</v>
      </c>
      <c r="I2188" s="4" t="s">
        <v>2263</v>
      </c>
      <c r="J2188" s="4" t="s">
        <v>2263</v>
      </c>
      <c r="K2188" s="4" t="s">
        <v>2448</v>
      </c>
      <c r="L2188" s="10">
        <v>10</v>
      </c>
      <c r="M2188" s="5">
        <v>868.85911602209944</v>
      </c>
      <c r="N2188" s="5">
        <v>8688.5911602209908</v>
      </c>
    </row>
    <row r="2189" spans="1:14" x14ac:dyDescent="0.25">
      <c r="A2189" s="4" t="s">
        <v>3104</v>
      </c>
      <c r="B2189" s="4" t="s">
        <v>3103</v>
      </c>
      <c r="C2189" s="4" t="s">
        <v>2344</v>
      </c>
      <c r="D2189" s="4" t="s">
        <v>237</v>
      </c>
      <c r="E2189" s="4" t="s">
        <v>2450</v>
      </c>
      <c r="F2189" s="4" t="s">
        <v>2449</v>
      </c>
      <c r="G2189" s="4" t="s">
        <v>2263</v>
      </c>
      <c r="H2189" s="9" t="s">
        <v>2263</v>
      </c>
      <c r="I2189" s="4" t="s">
        <v>2263</v>
      </c>
      <c r="J2189" s="4" t="s">
        <v>2263</v>
      </c>
      <c r="K2189" s="4" t="s">
        <v>2448</v>
      </c>
      <c r="L2189" s="10">
        <v>10</v>
      </c>
      <c r="M2189" s="5">
        <v>868.85911602209944</v>
      </c>
      <c r="N2189" s="5">
        <v>8688.5911602209908</v>
      </c>
    </row>
    <row r="2190" spans="1:14" x14ac:dyDescent="0.25">
      <c r="A2190" s="4" t="s">
        <v>3063</v>
      </c>
      <c r="B2190" s="4" t="s">
        <v>3062</v>
      </c>
      <c r="C2190" s="4" t="s">
        <v>2344</v>
      </c>
      <c r="D2190" s="4" t="s">
        <v>237</v>
      </c>
      <c r="E2190" s="4" t="s">
        <v>2450</v>
      </c>
      <c r="F2190" s="4" t="s">
        <v>2449</v>
      </c>
      <c r="G2190" s="4" t="s">
        <v>2263</v>
      </c>
      <c r="H2190" s="9" t="s">
        <v>2263</v>
      </c>
      <c r="I2190" s="4" t="s">
        <v>2263</v>
      </c>
      <c r="J2190" s="4" t="s">
        <v>2263</v>
      </c>
      <c r="K2190" s="4" t="s">
        <v>2448</v>
      </c>
      <c r="L2190" s="10">
        <v>10</v>
      </c>
      <c r="M2190" s="5">
        <v>868.85911602209944</v>
      </c>
      <c r="N2190" s="5">
        <v>8688.5911602209908</v>
      </c>
    </row>
    <row r="2191" spans="1:14" x14ac:dyDescent="0.25">
      <c r="A2191" s="4" t="s">
        <v>3051</v>
      </c>
      <c r="B2191" s="4" t="s">
        <v>3050</v>
      </c>
      <c r="C2191" s="4" t="s">
        <v>2344</v>
      </c>
      <c r="D2191" s="4" t="s">
        <v>237</v>
      </c>
      <c r="E2191" s="4" t="s">
        <v>2450</v>
      </c>
      <c r="F2191" s="4" t="s">
        <v>2449</v>
      </c>
      <c r="G2191" s="4" t="s">
        <v>2263</v>
      </c>
      <c r="H2191" s="9" t="s">
        <v>2263</v>
      </c>
      <c r="I2191" s="4" t="s">
        <v>2263</v>
      </c>
      <c r="J2191" s="4" t="s">
        <v>2263</v>
      </c>
      <c r="K2191" s="4" t="s">
        <v>2448</v>
      </c>
      <c r="L2191" s="10">
        <v>10</v>
      </c>
      <c r="M2191" s="5">
        <v>868.85911602209944</v>
      </c>
      <c r="N2191" s="5">
        <v>8688.5911602209908</v>
      </c>
    </row>
    <row r="2192" spans="1:14" x14ac:dyDescent="0.25">
      <c r="A2192" s="4" t="s">
        <v>2673</v>
      </c>
      <c r="B2192" s="4" t="s">
        <v>2672</v>
      </c>
      <c r="C2192" s="4" t="s">
        <v>2344</v>
      </c>
      <c r="D2192" s="4" t="s">
        <v>237</v>
      </c>
      <c r="E2192" s="4" t="s">
        <v>2450</v>
      </c>
      <c r="F2192" s="4" t="s">
        <v>2449</v>
      </c>
      <c r="G2192" s="4" t="s">
        <v>2263</v>
      </c>
      <c r="H2192" s="9" t="s">
        <v>2263</v>
      </c>
      <c r="I2192" s="4" t="s">
        <v>2263</v>
      </c>
      <c r="J2192" s="4" t="s">
        <v>2263</v>
      </c>
      <c r="K2192" s="4" t="s">
        <v>2448</v>
      </c>
      <c r="L2192" s="10">
        <v>10</v>
      </c>
      <c r="M2192" s="5">
        <v>868.85911602209944</v>
      </c>
      <c r="N2192" s="5">
        <v>8688.5911602209908</v>
      </c>
    </row>
    <row r="2193" spans="1:14" x14ac:dyDescent="0.25">
      <c r="A2193" s="4" t="s">
        <v>2930</v>
      </c>
      <c r="B2193" s="4" t="s">
        <v>2929</v>
      </c>
      <c r="C2193" s="4" t="s">
        <v>2320</v>
      </c>
      <c r="D2193" s="4" t="s">
        <v>242</v>
      </c>
      <c r="E2193" s="4" t="s">
        <v>2737</v>
      </c>
      <c r="F2193" s="4" t="s">
        <v>2736</v>
      </c>
      <c r="G2193" s="4" t="s">
        <v>2263</v>
      </c>
      <c r="H2193" s="9" t="s">
        <v>2263</v>
      </c>
      <c r="I2193" s="4" t="s">
        <v>2317</v>
      </c>
      <c r="J2193" s="4" t="s">
        <v>2316</v>
      </c>
      <c r="K2193" s="4" t="s">
        <v>2263</v>
      </c>
      <c r="L2193" s="10">
        <v>10</v>
      </c>
      <c r="M2193" s="5">
        <v>1017.2755338691159</v>
      </c>
      <c r="N2193" s="5">
        <v>10172.75533869116</v>
      </c>
    </row>
    <row r="2194" spans="1:14" x14ac:dyDescent="0.25">
      <c r="A2194" s="4" t="s">
        <v>2344</v>
      </c>
      <c r="B2194" s="4" t="s">
        <v>5154</v>
      </c>
      <c r="C2194" s="4" t="s">
        <v>2344</v>
      </c>
      <c r="D2194" s="4" t="s">
        <v>237</v>
      </c>
      <c r="E2194" s="4" t="s">
        <v>5359</v>
      </c>
      <c r="F2194" s="4" t="s">
        <v>5358</v>
      </c>
      <c r="G2194" s="4" t="s">
        <v>2263</v>
      </c>
      <c r="H2194" s="9" t="s">
        <v>2263</v>
      </c>
      <c r="I2194" s="4" t="s">
        <v>2263</v>
      </c>
      <c r="J2194" s="4" t="s">
        <v>2263</v>
      </c>
      <c r="K2194" s="4" t="s">
        <v>2488</v>
      </c>
      <c r="L2194" s="10">
        <v>10</v>
      </c>
      <c r="M2194" s="5">
        <v>1715.12</v>
      </c>
      <c r="N2194" s="5">
        <v>17151.2</v>
      </c>
    </row>
    <row r="2195" spans="1:14" x14ac:dyDescent="0.25">
      <c r="A2195" s="4" t="s">
        <v>3801</v>
      </c>
      <c r="B2195" s="4" t="s">
        <v>4965</v>
      </c>
      <c r="C2195" s="4" t="s">
        <v>2344</v>
      </c>
      <c r="D2195" s="4" t="s">
        <v>237</v>
      </c>
      <c r="E2195" s="4" t="s">
        <v>3060</v>
      </c>
      <c r="F2195" s="4" t="s">
        <v>2449</v>
      </c>
      <c r="G2195" s="4" t="s">
        <v>2263</v>
      </c>
      <c r="H2195" s="9" t="s">
        <v>2263</v>
      </c>
      <c r="I2195" s="4" t="s">
        <v>2263</v>
      </c>
      <c r="J2195" s="4" t="s">
        <v>2263</v>
      </c>
      <c r="K2195" s="4" t="s">
        <v>2448</v>
      </c>
      <c r="L2195" s="10">
        <v>10</v>
      </c>
      <c r="M2195" s="5">
        <v>2115.7913513513513</v>
      </c>
      <c r="N2195" s="5">
        <v>21157.913513513511</v>
      </c>
    </row>
    <row r="2196" spans="1:14" x14ac:dyDescent="0.25">
      <c r="A2196" s="4" t="s">
        <v>3196</v>
      </c>
      <c r="B2196" s="4" t="s">
        <v>3195</v>
      </c>
      <c r="C2196" s="4" t="s">
        <v>2344</v>
      </c>
      <c r="D2196" s="4" t="s">
        <v>237</v>
      </c>
      <c r="E2196" s="4" t="s">
        <v>3060</v>
      </c>
      <c r="F2196" s="4" t="s">
        <v>2449</v>
      </c>
      <c r="G2196" s="4" t="s">
        <v>2263</v>
      </c>
      <c r="H2196" s="9" t="s">
        <v>2263</v>
      </c>
      <c r="I2196" s="4" t="s">
        <v>2263</v>
      </c>
      <c r="J2196" s="4" t="s">
        <v>2263</v>
      </c>
      <c r="K2196" s="4" t="s">
        <v>2448</v>
      </c>
      <c r="L2196" s="10">
        <v>10</v>
      </c>
      <c r="M2196" s="5">
        <v>2115.7913513513513</v>
      </c>
      <c r="N2196" s="5">
        <v>21157.913513513511</v>
      </c>
    </row>
    <row r="2197" spans="1:14" x14ac:dyDescent="0.25">
      <c r="A2197" s="4" t="s">
        <v>3051</v>
      </c>
      <c r="B2197" s="4" t="s">
        <v>3050</v>
      </c>
      <c r="C2197" s="4" t="s">
        <v>2344</v>
      </c>
      <c r="D2197" s="4" t="s">
        <v>237</v>
      </c>
      <c r="E2197" s="4" t="s">
        <v>3060</v>
      </c>
      <c r="F2197" s="4" t="s">
        <v>2449</v>
      </c>
      <c r="G2197" s="4" t="s">
        <v>2263</v>
      </c>
      <c r="H2197" s="9" t="s">
        <v>2263</v>
      </c>
      <c r="I2197" s="4" t="s">
        <v>2263</v>
      </c>
      <c r="J2197" s="4" t="s">
        <v>2263</v>
      </c>
      <c r="K2197" s="4" t="s">
        <v>2448</v>
      </c>
      <c r="L2197" s="10">
        <v>10</v>
      </c>
      <c r="M2197" s="5">
        <v>2115.7913513513513</v>
      </c>
      <c r="N2197" s="5">
        <v>21157.913513513511</v>
      </c>
    </row>
    <row r="2198" spans="1:14" x14ac:dyDescent="0.25">
      <c r="A2198" s="4" t="s">
        <v>2344</v>
      </c>
      <c r="B2198" s="4" t="s">
        <v>5154</v>
      </c>
      <c r="C2198" s="4" t="s">
        <v>2344</v>
      </c>
      <c r="D2198" s="4" t="s">
        <v>237</v>
      </c>
      <c r="E2198" s="4" t="s">
        <v>4868</v>
      </c>
      <c r="F2198" s="4" t="s">
        <v>2563</v>
      </c>
      <c r="G2198" s="4" t="s">
        <v>2263</v>
      </c>
      <c r="H2198" s="9" t="s">
        <v>2263</v>
      </c>
      <c r="I2198" s="4" t="s">
        <v>2263</v>
      </c>
      <c r="J2198" s="4" t="s">
        <v>2263</v>
      </c>
      <c r="K2198" s="4" t="s">
        <v>2562</v>
      </c>
      <c r="L2198" s="10">
        <v>10</v>
      </c>
      <c r="M2198" s="5">
        <v>2200.9333333333334</v>
      </c>
      <c r="N2198" s="5">
        <v>22009.333333333328</v>
      </c>
    </row>
    <row r="2199" spans="1:14" x14ac:dyDescent="0.25">
      <c r="A2199" s="4" t="s">
        <v>2930</v>
      </c>
      <c r="B2199" s="4" t="s">
        <v>2929</v>
      </c>
      <c r="C2199" s="4" t="s">
        <v>2344</v>
      </c>
      <c r="D2199" s="4" t="s">
        <v>237</v>
      </c>
      <c r="E2199" s="4" t="s">
        <v>2381</v>
      </c>
      <c r="F2199" s="4" t="s">
        <v>2380</v>
      </c>
      <c r="G2199" s="4" t="s">
        <v>2263</v>
      </c>
      <c r="H2199" s="9" t="s">
        <v>2263</v>
      </c>
      <c r="I2199" s="4" t="s">
        <v>2263</v>
      </c>
      <c r="J2199" s="4" t="s">
        <v>2263</v>
      </c>
      <c r="K2199" s="4" t="s">
        <v>2379</v>
      </c>
      <c r="L2199" s="10">
        <v>10</v>
      </c>
      <c r="M2199" s="5">
        <v>2206.7211700182816</v>
      </c>
      <c r="N2199" s="5">
        <v>22067.211700182819</v>
      </c>
    </row>
    <row r="2200" spans="1:14" x14ac:dyDescent="0.25">
      <c r="A2200" s="4" t="s">
        <v>2653</v>
      </c>
      <c r="B2200" s="4" t="s">
        <v>3226</v>
      </c>
      <c r="C2200" s="4" t="s">
        <v>2353</v>
      </c>
      <c r="D2200" s="4" t="s">
        <v>258</v>
      </c>
      <c r="E2200" s="4" t="s">
        <v>3232</v>
      </c>
      <c r="F2200" s="4" t="s">
        <v>3231</v>
      </c>
      <c r="G2200" s="4" t="s">
        <v>2263</v>
      </c>
      <c r="H2200" s="9" t="s">
        <v>2263</v>
      </c>
      <c r="I2200" s="4" t="s">
        <v>2317</v>
      </c>
      <c r="J2200" s="4" t="s">
        <v>2316</v>
      </c>
      <c r="K2200" s="4" t="s">
        <v>2263</v>
      </c>
      <c r="L2200" s="10">
        <v>10</v>
      </c>
      <c r="M2200" s="5">
        <v>2300</v>
      </c>
      <c r="N2200" s="5">
        <v>23000</v>
      </c>
    </row>
    <row r="2201" spans="1:14" x14ac:dyDescent="0.25">
      <c r="A2201" s="4" t="s">
        <v>2344</v>
      </c>
      <c r="B2201" s="4" t="s">
        <v>5154</v>
      </c>
      <c r="C2201" s="4" t="s">
        <v>2320</v>
      </c>
      <c r="D2201" s="4" t="s">
        <v>242</v>
      </c>
      <c r="E2201" s="4" t="s">
        <v>3885</v>
      </c>
      <c r="F2201" s="4" t="s">
        <v>3884</v>
      </c>
      <c r="G2201" s="4" t="s">
        <v>2263</v>
      </c>
      <c r="H2201" s="9" t="s">
        <v>2263</v>
      </c>
      <c r="I2201" s="4" t="s">
        <v>2317</v>
      </c>
      <c r="J2201" s="4" t="s">
        <v>2316</v>
      </c>
      <c r="K2201" s="4" t="s">
        <v>2263</v>
      </c>
      <c r="L2201" s="10">
        <v>10</v>
      </c>
      <c r="M2201" s="5">
        <v>2345.8135802469137</v>
      </c>
      <c r="N2201" s="5">
        <v>23458.13580246914</v>
      </c>
    </row>
    <row r="2202" spans="1:14" x14ac:dyDescent="0.25">
      <c r="A2202" s="4" t="s">
        <v>2344</v>
      </c>
      <c r="B2202" s="4" t="s">
        <v>5154</v>
      </c>
      <c r="C2202" s="4" t="s">
        <v>2320</v>
      </c>
      <c r="D2202" s="4" t="s">
        <v>242</v>
      </c>
      <c r="E2202" s="4" t="s">
        <v>2727</v>
      </c>
      <c r="F2202" s="4" t="s">
        <v>2726</v>
      </c>
      <c r="G2202" s="4" t="s">
        <v>2263</v>
      </c>
      <c r="H2202" s="9" t="s">
        <v>2263</v>
      </c>
      <c r="I2202" s="4" t="s">
        <v>2317</v>
      </c>
      <c r="J2202" s="4" t="s">
        <v>2316</v>
      </c>
      <c r="K2202" s="4" t="s">
        <v>2263</v>
      </c>
      <c r="L2202" s="10">
        <v>10</v>
      </c>
      <c r="M2202" s="5">
        <v>2529.7741935483873</v>
      </c>
      <c r="N2202" s="5">
        <v>25297.741935483871</v>
      </c>
    </row>
    <row r="2203" spans="1:14" x14ac:dyDescent="0.25">
      <c r="A2203" s="4" t="s">
        <v>2317</v>
      </c>
      <c r="B2203" s="4" t="s">
        <v>3839</v>
      </c>
      <c r="C2203" s="4" t="s">
        <v>2320</v>
      </c>
      <c r="D2203" s="4" t="s">
        <v>242</v>
      </c>
      <c r="E2203" s="4" t="s">
        <v>4205</v>
      </c>
      <c r="F2203" s="4" t="s">
        <v>4204</v>
      </c>
      <c r="G2203" s="4" t="s">
        <v>2263</v>
      </c>
      <c r="H2203" s="9" t="s">
        <v>2263</v>
      </c>
      <c r="I2203" s="4" t="s">
        <v>2317</v>
      </c>
      <c r="J2203" s="4" t="s">
        <v>2316</v>
      </c>
      <c r="K2203" s="4" t="s">
        <v>2263</v>
      </c>
      <c r="L2203" s="10">
        <v>10</v>
      </c>
      <c r="M2203" s="5">
        <v>2597.4</v>
      </c>
      <c r="N2203" s="5">
        <v>25974</v>
      </c>
    </row>
    <row r="2204" spans="1:14" x14ac:dyDescent="0.25">
      <c r="A2204" s="4" t="s">
        <v>2317</v>
      </c>
      <c r="B2204" s="4" t="s">
        <v>3839</v>
      </c>
      <c r="C2204" s="4" t="s">
        <v>2320</v>
      </c>
      <c r="D2204" s="4" t="s">
        <v>242</v>
      </c>
      <c r="E2204" s="4" t="s">
        <v>4209</v>
      </c>
      <c r="F2204" s="4" t="s">
        <v>4208</v>
      </c>
      <c r="G2204" s="4" t="s">
        <v>2263</v>
      </c>
      <c r="H2204" s="9" t="s">
        <v>2263</v>
      </c>
      <c r="I2204" s="4" t="s">
        <v>2317</v>
      </c>
      <c r="J2204" s="4" t="s">
        <v>2316</v>
      </c>
      <c r="K2204" s="4" t="s">
        <v>2263</v>
      </c>
      <c r="L2204" s="10">
        <v>10</v>
      </c>
      <c r="M2204" s="5">
        <v>2747.9</v>
      </c>
      <c r="N2204" s="5">
        <v>27479</v>
      </c>
    </row>
    <row r="2205" spans="1:14" x14ac:dyDescent="0.25">
      <c r="A2205" s="4" t="s">
        <v>2317</v>
      </c>
      <c r="B2205" s="4" t="s">
        <v>3839</v>
      </c>
      <c r="C2205" s="4" t="s">
        <v>2320</v>
      </c>
      <c r="D2205" s="4" t="s">
        <v>242</v>
      </c>
      <c r="E2205" s="4" t="s">
        <v>4211</v>
      </c>
      <c r="F2205" s="4" t="s">
        <v>4210</v>
      </c>
      <c r="G2205" s="4" t="s">
        <v>2263</v>
      </c>
      <c r="H2205" s="9" t="s">
        <v>2263</v>
      </c>
      <c r="I2205" s="4" t="s">
        <v>2317</v>
      </c>
      <c r="J2205" s="4" t="s">
        <v>2316</v>
      </c>
      <c r="K2205" s="4" t="s">
        <v>2263</v>
      </c>
      <c r="L2205" s="10">
        <v>10</v>
      </c>
      <c r="M2205" s="5">
        <v>2837.2</v>
      </c>
      <c r="N2205" s="5">
        <v>28372</v>
      </c>
    </row>
    <row r="2206" spans="1:14" x14ac:dyDescent="0.25">
      <c r="A2206" s="4" t="s">
        <v>2317</v>
      </c>
      <c r="B2206" s="4" t="s">
        <v>3839</v>
      </c>
      <c r="C2206" s="4" t="s">
        <v>2320</v>
      </c>
      <c r="D2206" s="4" t="s">
        <v>242</v>
      </c>
      <c r="E2206" s="4" t="s">
        <v>2687</v>
      </c>
      <c r="F2206" s="4" t="s">
        <v>2686</v>
      </c>
      <c r="G2206" s="4" t="s">
        <v>2263</v>
      </c>
      <c r="H2206" s="9" t="s">
        <v>2263</v>
      </c>
      <c r="I2206" s="4" t="s">
        <v>2317</v>
      </c>
      <c r="J2206" s="4" t="s">
        <v>2316</v>
      </c>
      <c r="K2206" s="4" t="s">
        <v>2263</v>
      </c>
      <c r="L2206" s="10">
        <v>10</v>
      </c>
      <c r="M2206" s="5">
        <v>3156.7916666666665</v>
      </c>
      <c r="N2206" s="5">
        <v>31567.916666666672</v>
      </c>
    </row>
    <row r="2207" spans="1:14" x14ac:dyDescent="0.25">
      <c r="A2207" s="4" t="s">
        <v>2344</v>
      </c>
      <c r="B2207" s="4" t="s">
        <v>5154</v>
      </c>
      <c r="C2207" s="4" t="s">
        <v>2320</v>
      </c>
      <c r="D2207" s="4" t="s">
        <v>242</v>
      </c>
      <c r="E2207" s="4" t="s">
        <v>4123</v>
      </c>
      <c r="F2207" s="4" t="s">
        <v>4122</v>
      </c>
      <c r="G2207" s="4" t="s">
        <v>2263</v>
      </c>
      <c r="H2207" s="9" t="s">
        <v>2263</v>
      </c>
      <c r="I2207" s="4" t="s">
        <v>2317</v>
      </c>
      <c r="J2207" s="4" t="s">
        <v>2316</v>
      </c>
      <c r="K2207" s="4" t="s">
        <v>2263</v>
      </c>
      <c r="L2207" s="10">
        <v>10</v>
      </c>
      <c r="M2207" s="5">
        <v>3204.7664179104477</v>
      </c>
      <c r="N2207" s="5">
        <v>32047.664179104479</v>
      </c>
    </row>
    <row r="2208" spans="1:14" x14ac:dyDescent="0.25">
      <c r="A2208" s="4" t="s">
        <v>2344</v>
      </c>
      <c r="B2208" s="4" t="s">
        <v>5154</v>
      </c>
      <c r="C2208" s="4" t="s">
        <v>2279</v>
      </c>
      <c r="D2208" s="4" t="s">
        <v>2278</v>
      </c>
      <c r="E2208" s="4" t="s">
        <v>2292</v>
      </c>
      <c r="F2208" s="4" t="s">
        <v>2291</v>
      </c>
      <c r="G2208" s="4" t="s">
        <v>2263</v>
      </c>
      <c r="H2208" s="9" t="s">
        <v>2263</v>
      </c>
      <c r="I2208" s="4" t="s">
        <v>2263</v>
      </c>
      <c r="J2208" s="4" t="s">
        <v>2263</v>
      </c>
      <c r="K2208" s="4" t="s">
        <v>2290</v>
      </c>
      <c r="L2208" s="10">
        <v>10</v>
      </c>
      <c r="M2208" s="5">
        <v>3260.375</v>
      </c>
      <c r="N2208" s="5">
        <v>32603.75</v>
      </c>
    </row>
    <row r="2209" spans="1:14" x14ac:dyDescent="0.25">
      <c r="A2209" s="4" t="s">
        <v>3157</v>
      </c>
      <c r="B2209" s="4" t="s">
        <v>3156</v>
      </c>
      <c r="C2209" s="4" t="s">
        <v>2344</v>
      </c>
      <c r="D2209" s="4" t="s">
        <v>237</v>
      </c>
      <c r="E2209" s="4" t="s">
        <v>3039</v>
      </c>
      <c r="F2209" s="4" t="s">
        <v>2449</v>
      </c>
      <c r="G2209" s="4" t="s">
        <v>2263</v>
      </c>
      <c r="H2209" s="9" t="s">
        <v>2263</v>
      </c>
      <c r="I2209" s="4" t="s">
        <v>2263</v>
      </c>
      <c r="J2209" s="4" t="s">
        <v>2263</v>
      </c>
      <c r="K2209" s="4" t="s">
        <v>2448</v>
      </c>
      <c r="L2209" s="10">
        <v>10</v>
      </c>
      <c r="M2209" s="5">
        <v>3921.962962962963</v>
      </c>
      <c r="N2209" s="5">
        <v>39219.629629629628</v>
      </c>
    </row>
    <row r="2210" spans="1:14" x14ac:dyDescent="0.25">
      <c r="A2210" s="4" t="s">
        <v>2344</v>
      </c>
      <c r="B2210" s="4" t="s">
        <v>5154</v>
      </c>
      <c r="C2210" s="4" t="s">
        <v>2279</v>
      </c>
      <c r="D2210" s="4" t="s">
        <v>2278</v>
      </c>
      <c r="E2210" s="4" t="s">
        <v>5285</v>
      </c>
      <c r="F2210" s="4" t="s">
        <v>2287</v>
      </c>
      <c r="G2210" s="4" t="s">
        <v>2263</v>
      </c>
      <c r="H2210" s="9" t="s">
        <v>2263</v>
      </c>
      <c r="I2210" s="4" t="s">
        <v>2263</v>
      </c>
      <c r="J2210" s="4" t="s">
        <v>2263</v>
      </c>
      <c r="K2210" s="4" t="s">
        <v>2286</v>
      </c>
      <c r="L2210" s="10">
        <v>10</v>
      </c>
      <c r="M2210" s="5">
        <v>4001</v>
      </c>
      <c r="N2210" s="5">
        <v>40010</v>
      </c>
    </row>
    <row r="2211" spans="1:14" x14ac:dyDescent="0.25">
      <c r="A2211" s="4" t="s">
        <v>2344</v>
      </c>
      <c r="B2211" s="4" t="s">
        <v>5154</v>
      </c>
      <c r="C2211" s="4" t="s">
        <v>2320</v>
      </c>
      <c r="D2211" s="4" t="s">
        <v>242</v>
      </c>
      <c r="E2211" s="4" t="s">
        <v>2699</v>
      </c>
      <c r="F2211" s="4" t="s">
        <v>2698</v>
      </c>
      <c r="G2211" s="4" t="s">
        <v>2263</v>
      </c>
      <c r="H2211" s="9" t="s">
        <v>2263</v>
      </c>
      <c r="I2211" s="4" t="s">
        <v>2317</v>
      </c>
      <c r="J2211" s="4" t="s">
        <v>2316</v>
      </c>
      <c r="K2211" s="4" t="s">
        <v>2263</v>
      </c>
      <c r="L2211" s="10">
        <v>10</v>
      </c>
      <c r="M2211" s="5">
        <v>5898.3784375000005</v>
      </c>
      <c r="N2211" s="5">
        <v>58983.784375000003</v>
      </c>
    </row>
    <row r="2212" spans="1:14" x14ac:dyDescent="0.25">
      <c r="A2212" s="4" t="s">
        <v>2344</v>
      </c>
      <c r="B2212" s="4" t="s">
        <v>5154</v>
      </c>
      <c r="C2212" s="4" t="s">
        <v>2320</v>
      </c>
      <c r="D2212" s="4" t="s">
        <v>242</v>
      </c>
      <c r="E2212" s="4" t="s">
        <v>4127</v>
      </c>
      <c r="F2212" s="4" t="s">
        <v>4126</v>
      </c>
      <c r="G2212" s="4" t="s">
        <v>2263</v>
      </c>
      <c r="H2212" s="9" t="s">
        <v>2263</v>
      </c>
      <c r="I2212" s="4" t="s">
        <v>2317</v>
      </c>
      <c r="J2212" s="4" t="s">
        <v>2316</v>
      </c>
      <c r="K2212" s="4" t="s">
        <v>2263</v>
      </c>
      <c r="L2212" s="10">
        <v>10</v>
      </c>
      <c r="M2212" s="5">
        <v>7608.4736842105258</v>
      </c>
      <c r="N2212" s="5">
        <v>76084.736842105267</v>
      </c>
    </row>
    <row r="2213" spans="1:14" x14ac:dyDescent="0.25">
      <c r="A2213" s="4" t="s">
        <v>2344</v>
      </c>
      <c r="B2213" s="4" t="s">
        <v>5154</v>
      </c>
      <c r="C2213" s="4" t="s">
        <v>2320</v>
      </c>
      <c r="D2213" s="4" t="s">
        <v>242</v>
      </c>
      <c r="E2213" s="4" t="s">
        <v>4155</v>
      </c>
      <c r="F2213" s="4" t="s">
        <v>4154</v>
      </c>
      <c r="G2213" s="4" t="s">
        <v>2263</v>
      </c>
      <c r="H2213" s="9" t="s">
        <v>2263</v>
      </c>
      <c r="I2213" s="4" t="s">
        <v>2317</v>
      </c>
      <c r="J2213" s="4" t="s">
        <v>2316</v>
      </c>
      <c r="K2213" s="4" t="s">
        <v>2263</v>
      </c>
      <c r="L2213" s="10">
        <v>10</v>
      </c>
      <c r="M2213" s="5">
        <v>8010.6979411764705</v>
      </c>
      <c r="N2213" s="5">
        <v>80106.979411764711</v>
      </c>
    </row>
    <row r="2214" spans="1:14" x14ac:dyDescent="0.25">
      <c r="A2214" s="4" t="s">
        <v>2274</v>
      </c>
      <c r="B2214" s="4" t="s">
        <v>4348</v>
      </c>
      <c r="C2214" s="4" t="s">
        <v>2344</v>
      </c>
      <c r="D2214" s="4" t="s">
        <v>237</v>
      </c>
      <c r="E2214" s="4" t="s">
        <v>4788</v>
      </c>
      <c r="F2214" s="4" t="s">
        <v>4787</v>
      </c>
      <c r="G2214" s="4" t="s">
        <v>2263</v>
      </c>
      <c r="H2214" s="9" t="s">
        <v>2263</v>
      </c>
      <c r="I2214" s="4" t="s">
        <v>2263</v>
      </c>
      <c r="J2214" s="4" t="s">
        <v>2263</v>
      </c>
      <c r="K2214" s="4" t="s">
        <v>4786</v>
      </c>
      <c r="L2214" s="10">
        <v>10</v>
      </c>
      <c r="M2214" s="5">
        <v>8235</v>
      </c>
      <c r="N2214" s="5">
        <v>82350</v>
      </c>
    </row>
    <row r="2215" spans="1:14" x14ac:dyDescent="0.25">
      <c r="A2215" s="4" t="s">
        <v>2274</v>
      </c>
      <c r="B2215" s="4" t="s">
        <v>4348</v>
      </c>
      <c r="C2215" s="4" t="s">
        <v>2344</v>
      </c>
      <c r="D2215" s="4" t="s">
        <v>237</v>
      </c>
      <c r="E2215" s="4" t="s">
        <v>4654</v>
      </c>
      <c r="F2215" s="4" t="s">
        <v>4653</v>
      </c>
      <c r="G2215" s="4" t="s">
        <v>2263</v>
      </c>
      <c r="H2215" s="9" t="s">
        <v>2263</v>
      </c>
      <c r="I2215" s="4" t="s">
        <v>2263</v>
      </c>
      <c r="J2215" s="4" t="s">
        <v>2263</v>
      </c>
      <c r="K2215" s="4" t="s">
        <v>4652</v>
      </c>
      <c r="L2215" s="10">
        <v>10</v>
      </c>
      <c r="M2215" s="5">
        <v>9399.9156249999996</v>
      </c>
      <c r="N2215" s="5">
        <v>93999.15625</v>
      </c>
    </row>
    <row r="2216" spans="1:14" x14ac:dyDescent="0.25">
      <c r="A2216" s="4" t="s">
        <v>2344</v>
      </c>
      <c r="B2216" s="4" t="s">
        <v>5154</v>
      </c>
      <c r="C2216" s="4" t="s">
        <v>2344</v>
      </c>
      <c r="D2216" s="4" t="s">
        <v>237</v>
      </c>
      <c r="E2216" s="4" t="s">
        <v>5376</v>
      </c>
      <c r="F2216" s="4" t="s">
        <v>4905</v>
      </c>
      <c r="G2216" s="4" t="s">
        <v>2263</v>
      </c>
      <c r="H2216" s="9" t="s">
        <v>2263</v>
      </c>
      <c r="I2216" s="4" t="s">
        <v>2263</v>
      </c>
      <c r="J2216" s="4" t="s">
        <v>2263</v>
      </c>
      <c r="K2216" s="4" t="s">
        <v>4904</v>
      </c>
      <c r="L2216" s="10">
        <v>10</v>
      </c>
      <c r="M2216" s="5">
        <v>9616</v>
      </c>
      <c r="N2216" s="5">
        <v>96160</v>
      </c>
    </row>
    <row r="2217" spans="1:14" x14ac:dyDescent="0.25">
      <c r="A2217" s="4" t="s">
        <v>2344</v>
      </c>
      <c r="B2217" s="4" t="s">
        <v>5154</v>
      </c>
      <c r="C2217" s="4" t="s">
        <v>2267</v>
      </c>
      <c r="D2217" s="4" t="s">
        <v>2266</v>
      </c>
      <c r="E2217" s="4" t="s">
        <v>5192</v>
      </c>
      <c r="F2217" s="4" t="s">
        <v>4395</v>
      </c>
      <c r="G2217" s="4" t="s">
        <v>2263</v>
      </c>
      <c r="H2217" s="9" t="s">
        <v>2263</v>
      </c>
      <c r="I2217" s="4" t="s">
        <v>2263</v>
      </c>
      <c r="J2217" s="4" t="s">
        <v>2263</v>
      </c>
      <c r="K2217" s="4" t="s">
        <v>4394</v>
      </c>
      <c r="L2217" s="10">
        <v>10</v>
      </c>
      <c r="M2217" s="5">
        <v>9871.5879999999997</v>
      </c>
      <c r="N2217" s="5">
        <v>98715.88</v>
      </c>
    </row>
    <row r="2218" spans="1:14" x14ac:dyDescent="0.25">
      <c r="A2218" s="4" t="s">
        <v>2344</v>
      </c>
      <c r="B2218" s="4" t="s">
        <v>5154</v>
      </c>
      <c r="C2218" s="4" t="s">
        <v>2344</v>
      </c>
      <c r="D2218" s="4" t="s">
        <v>237</v>
      </c>
      <c r="E2218" s="4" t="s">
        <v>4655</v>
      </c>
      <c r="F2218" s="4" t="s">
        <v>2576</v>
      </c>
      <c r="G2218" s="4" t="s">
        <v>2263</v>
      </c>
      <c r="H2218" s="9" t="s">
        <v>2263</v>
      </c>
      <c r="I2218" s="4" t="s">
        <v>2263</v>
      </c>
      <c r="J2218" s="4" t="s">
        <v>2263</v>
      </c>
      <c r="K2218" s="4" t="s">
        <v>2305</v>
      </c>
      <c r="L2218" s="10">
        <v>10</v>
      </c>
      <c r="M2218" s="5">
        <v>10622.596</v>
      </c>
      <c r="N2218" s="5">
        <v>106225.96</v>
      </c>
    </row>
    <row r="2219" spans="1:14" x14ac:dyDescent="0.25">
      <c r="A2219" s="4" t="s">
        <v>2930</v>
      </c>
      <c r="B2219" s="4" t="s">
        <v>2929</v>
      </c>
      <c r="C2219" s="4" t="s">
        <v>2320</v>
      </c>
      <c r="D2219" s="4" t="s">
        <v>242</v>
      </c>
      <c r="E2219" s="4" t="s">
        <v>3008</v>
      </c>
      <c r="F2219" s="4" t="s">
        <v>3007</v>
      </c>
      <c r="G2219" s="4" t="s">
        <v>2263</v>
      </c>
      <c r="H2219" s="9" t="s">
        <v>2263</v>
      </c>
      <c r="I2219" s="4" t="s">
        <v>2317</v>
      </c>
      <c r="J2219" s="4" t="s">
        <v>2316</v>
      </c>
      <c r="K2219" s="4" t="s">
        <v>2263</v>
      </c>
      <c r="L2219" s="10">
        <v>10</v>
      </c>
      <c r="M2219" s="5">
        <v>10692.271420345489</v>
      </c>
      <c r="N2219" s="5">
        <v>106922.71420345487</v>
      </c>
    </row>
    <row r="2220" spans="1:14" x14ac:dyDescent="0.25">
      <c r="A2220" s="4" t="s">
        <v>2320</v>
      </c>
      <c r="B2220" s="4" t="s">
        <v>4967</v>
      </c>
      <c r="C2220" s="4" t="s">
        <v>2320</v>
      </c>
      <c r="D2220" s="4" t="s">
        <v>242</v>
      </c>
      <c r="E2220" s="4" t="s">
        <v>2817</v>
      </c>
      <c r="F2220" s="4" t="s">
        <v>2816</v>
      </c>
      <c r="G2220" s="4" t="s">
        <v>2263</v>
      </c>
      <c r="H2220" s="9" t="s">
        <v>2263</v>
      </c>
      <c r="I2220" s="4" t="s">
        <v>2317</v>
      </c>
      <c r="J2220" s="4" t="s">
        <v>2316</v>
      </c>
      <c r="K2220" s="4" t="s">
        <v>2263</v>
      </c>
      <c r="L2220" s="10">
        <v>10</v>
      </c>
      <c r="M2220" s="5">
        <v>11865</v>
      </c>
      <c r="N2220" s="5">
        <v>118650</v>
      </c>
    </row>
    <row r="2221" spans="1:14" x14ac:dyDescent="0.25">
      <c r="A2221" s="4" t="s">
        <v>2653</v>
      </c>
      <c r="B2221" s="4" t="s">
        <v>3226</v>
      </c>
      <c r="C2221" s="4" t="s">
        <v>2384</v>
      </c>
      <c r="D2221" s="4" t="s">
        <v>262</v>
      </c>
      <c r="E2221" s="4" t="s">
        <v>3362</v>
      </c>
      <c r="F2221" s="4" t="s">
        <v>3361</v>
      </c>
      <c r="G2221" s="4" t="s">
        <v>2263</v>
      </c>
      <c r="H2221" s="9" t="s">
        <v>2263</v>
      </c>
      <c r="I2221" s="4" t="s">
        <v>2317</v>
      </c>
      <c r="J2221" s="4" t="s">
        <v>2316</v>
      </c>
      <c r="K2221" s="4" t="s">
        <v>2263</v>
      </c>
      <c r="L2221" s="10">
        <v>10</v>
      </c>
      <c r="M2221" s="5">
        <v>11899.8</v>
      </c>
      <c r="N2221" s="5">
        <v>118998</v>
      </c>
    </row>
    <row r="2222" spans="1:14" x14ac:dyDescent="0.25">
      <c r="A2222" s="4" t="s">
        <v>2344</v>
      </c>
      <c r="B2222" s="4" t="s">
        <v>5154</v>
      </c>
      <c r="C2222" s="4" t="s">
        <v>2317</v>
      </c>
      <c r="D2222" s="4" t="s">
        <v>2516</v>
      </c>
      <c r="E2222" s="4" t="s">
        <v>5213</v>
      </c>
      <c r="F2222" s="4" t="s">
        <v>5212</v>
      </c>
      <c r="G2222" s="4" t="s">
        <v>2263</v>
      </c>
      <c r="H2222" s="9" t="s">
        <v>2263</v>
      </c>
      <c r="I2222" s="4" t="s">
        <v>2263</v>
      </c>
      <c r="J2222" s="4" t="s">
        <v>2263</v>
      </c>
      <c r="K2222" s="4" t="s">
        <v>5211</v>
      </c>
      <c r="L2222" s="10">
        <v>10</v>
      </c>
      <c r="M2222" s="5">
        <v>13386.8</v>
      </c>
      <c r="N2222" s="5">
        <v>133868</v>
      </c>
    </row>
    <row r="2223" spans="1:14" x14ac:dyDescent="0.25">
      <c r="A2223" s="4" t="s">
        <v>2355</v>
      </c>
      <c r="B2223" s="4" t="s">
        <v>2354</v>
      </c>
      <c r="C2223" s="4" t="s">
        <v>2320</v>
      </c>
      <c r="D2223" s="4" t="s">
        <v>242</v>
      </c>
      <c r="E2223" s="4" t="s">
        <v>2372</v>
      </c>
      <c r="F2223" s="4" t="s">
        <v>2371</v>
      </c>
      <c r="G2223" s="4" t="s">
        <v>2263</v>
      </c>
      <c r="H2223" s="9" t="s">
        <v>2263</v>
      </c>
      <c r="I2223" s="4" t="s">
        <v>2317</v>
      </c>
      <c r="J2223" s="4" t="s">
        <v>2316</v>
      </c>
      <c r="K2223" s="4" t="s">
        <v>2263</v>
      </c>
      <c r="L2223" s="10">
        <v>10</v>
      </c>
      <c r="M2223" s="5">
        <v>15064.306117424243</v>
      </c>
      <c r="N2223" s="5">
        <v>150643.06117424241</v>
      </c>
    </row>
    <row r="2224" spans="1:14" x14ac:dyDescent="0.25">
      <c r="A2224" s="4" t="s">
        <v>2274</v>
      </c>
      <c r="B2224" s="4" t="s">
        <v>4348</v>
      </c>
      <c r="C2224" s="4" t="s">
        <v>2274</v>
      </c>
      <c r="D2224" s="4" t="s">
        <v>2273</v>
      </c>
      <c r="E2224" s="4" t="s">
        <v>4495</v>
      </c>
      <c r="F2224" s="4" t="s">
        <v>2526</v>
      </c>
      <c r="G2224" s="4" t="s">
        <v>2263</v>
      </c>
      <c r="H2224" s="9" t="s">
        <v>2263</v>
      </c>
      <c r="I2224" s="4" t="s">
        <v>2263</v>
      </c>
      <c r="J2224" s="4" t="s">
        <v>2263</v>
      </c>
      <c r="K2224" s="4" t="s">
        <v>2262</v>
      </c>
      <c r="L2224" s="10">
        <v>10</v>
      </c>
      <c r="M2224" s="5">
        <v>15216.537037037038</v>
      </c>
      <c r="N2224" s="5">
        <v>152165.37037037036</v>
      </c>
    </row>
    <row r="2225" spans="1:14" x14ac:dyDescent="0.25">
      <c r="A2225" s="4" t="s">
        <v>2653</v>
      </c>
      <c r="B2225" s="4" t="s">
        <v>3226</v>
      </c>
      <c r="C2225" s="4" t="s">
        <v>2384</v>
      </c>
      <c r="D2225" s="4" t="s">
        <v>262</v>
      </c>
      <c r="E2225" s="4" t="s">
        <v>3332</v>
      </c>
      <c r="F2225" s="4" t="s">
        <v>3331</v>
      </c>
      <c r="G2225" s="4" t="s">
        <v>2263</v>
      </c>
      <c r="H2225" s="9" t="s">
        <v>2263</v>
      </c>
      <c r="I2225" s="4" t="s">
        <v>2317</v>
      </c>
      <c r="J2225" s="4" t="s">
        <v>2316</v>
      </c>
      <c r="K2225" s="4" t="s">
        <v>2263</v>
      </c>
      <c r="L2225" s="10">
        <v>10</v>
      </c>
      <c r="M2225" s="5">
        <v>21339.89</v>
      </c>
      <c r="N2225" s="5">
        <v>213398.9</v>
      </c>
    </row>
    <row r="2226" spans="1:14" x14ac:dyDescent="0.25">
      <c r="A2226" s="4" t="s">
        <v>2317</v>
      </c>
      <c r="B2226" s="4" t="s">
        <v>3839</v>
      </c>
      <c r="C2226" s="4" t="s">
        <v>2320</v>
      </c>
      <c r="D2226" s="4" t="s">
        <v>242</v>
      </c>
      <c r="E2226" s="4" t="s">
        <v>3997</v>
      </c>
      <c r="F2226" s="4" t="s">
        <v>3996</v>
      </c>
      <c r="G2226" s="4" t="s">
        <v>2263</v>
      </c>
      <c r="H2226" s="9" t="s">
        <v>2263</v>
      </c>
      <c r="I2226" s="4" t="s">
        <v>2317</v>
      </c>
      <c r="J2226" s="4" t="s">
        <v>2316</v>
      </c>
      <c r="K2226" s="4" t="s">
        <v>2263</v>
      </c>
      <c r="L2226" s="10">
        <v>10</v>
      </c>
      <c r="M2226" s="5">
        <v>22027.811764705883</v>
      </c>
      <c r="N2226" s="5">
        <v>220278.1176470588</v>
      </c>
    </row>
    <row r="2227" spans="1:14" x14ac:dyDescent="0.25">
      <c r="A2227" s="4" t="s">
        <v>2274</v>
      </c>
      <c r="B2227" s="4" t="s">
        <v>4348</v>
      </c>
      <c r="C2227" s="4" t="s">
        <v>2344</v>
      </c>
      <c r="D2227" s="4" t="s">
        <v>237</v>
      </c>
      <c r="E2227" s="4" t="s">
        <v>2926</v>
      </c>
      <c r="F2227" s="4" t="s">
        <v>2925</v>
      </c>
      <c r="G2227" s="4" t="s">
        <v>2263</v>
      </c>
      <c r="H2227" s="9" t="s">
        <v>2263</v>
      </c>
      <c r="I2227" s="4" t="s">
        <v>2263</v>
      </c>
      <c r="J2227" s="4" t="s">
        <v>2263</v>
      </c>
      <c r="K2227" s="4" t="s">
        <v>2924</v>
      </c>
      <c r="L2227" s="10">
        <v>10</v>
      </c>
      <c r="M2227" s="5">
        <v>22303.329230769228</v>
      </c>
      <c r="N2227" s="5">
        <v>223033.29230769232</v>
      </c>
    </row>
    <row r="2228" spans="1:14" x14ac:dyDescent="0.25">
      <c r="A2228" s="4" t="s">
        <v>2274</v>
      </c>
      <c r="B2228" s="4" t="s">
        <v>4348</v>
      </c>
      <c r="C2228" s="4" t="s">
        <v>2344</v>
      </c>
      <c r="D2228" s="4" t="s">
        <v>237</v>
      </c>
      <c r="E2228" s="4" t="s">
        <v>4950</v>
      </c>
      <c r="F2228" s="4" t="s">
        <v>4949</v>
      </c>
      <c r="G2228" s="4" t="s">
        <v>2263</v>
      </c>
      <c r="H2228" s="9" t="s">
        <v>2263</v>
      </c>
      <c r="I2228" s="4" t="s">
        <v>2263</v>
      </c>
      <c r="J2228" s="4" t="s">
        <v>2263</v>
      </c>
      <c r="K2228" s="4" t="s">
        <v>4948</v>
      </c>
      <c r="L2228" s="10">
        <v>10</v>
      </c>
      <c r="M2228" s="5">
        <v>26857.064761904763</v>
      </c>
      <c r="N2228" s="5">
        <v>268570.64761904761</v>
      </c>
    </row>
    <row r="2229" spans="1:14" x14ac:dyDescent="0.25">
      <c r="A2229" s="4" t="s">
        <v>2320</v>
      </c>
      <c r="B2229" s="4" t="s">
        <v>4967</v>
      </c>
      <c r="C2229" s="4" t="s">
        <v>2320</v>
      </c>
      <c r="D2229" s="4" t="s">
        <v>242</v>
      </c>
      <c r="E2229" s="4" t="s">
        <v>5001</v>
      </c>
      <c r="F2229" s="4" t="s">
        <v>5000</v>
      </c>
      <c r="G2229" s="4" t="s">
        <v>2263</v>
      </c>
      <c r="H2229" s="9" t="s">
        <v>2263</v>
      </c>
      <c r="I2229" s="4" t="s">
        <v>2317</v>
      </c>
      <c r="J2229" s="4" t="s">
        <v>2316</v>
      </c>
      <c r="K2229" s="4" t="s">
        <v>2263</v>
      </c>
      <c r="L2229" s="10">
        <v>10</v>
      </c>
      <c r="M2229" s="5">
        <v>28692.595000000001</v>
      </c>
      <c r="N2229" s="5">
        <v>286925.95</v>
      </c>
    </row>
    <row r="2230" spans="1:14" x14ac:dyDescent="0.25">
      <c r="A2230" s="4" t="s">
        <v>2274</v>
      </c>
      <c r="B2230" s="4" t="s">
        <v>4348</v>
      </c>
      <c r="C2230" s="4" t="s">
        <v>2344</v>
      </c>
      <c r="D2230" s="4" t="s">
        <v>237</v>
      </c>
      <c r="E2230" s="4" t="s">
        <v>4709</v>
      </c>
      <c r="F2230" s="4" t="s">
        <v>4548</v>
      </c>
      <c r="G2230" s="4" t="s">
        <v>2263</v>
      </c>
      <c r="H2230" s="9" t="s">
        <v>2263</v>
      </c>
      <c r="I2230" s="4" t="s">
        <v>2263</v>
      </c>
      <c r="J2230" s="4" t="s">
        <v>2263</v>
      </c>
      <c r="K2230" s="4" t="s">
        <v>4547</v>
      </c>
      <c r="L2230" s="10">
        <v>10</v>
      </c>
      <c r="M2230" s="5">
        <v>30902</v>
      </c>
      <c r="N2230" s="5">
        <v>309020</v>
      </c>
    </row>
    <row r="2231" spans="1:14" x14ac:dyDescent="0.25">
      <c r="A2231" s="4" t="s">
        <v>2344</v>
      </c>
      <c r="B2231" s="4" t="s">
        <v>5154</v>
      </c>
      <c r="C2231" s="4" t="s">
        <v>2320</v>
      </c>
      <c r="D2231" s="4" t="s">
        <v>242</v>
      </c>
      <c r="E2231" s="4" t="s">
        <v>4341</v>
      </c>
      <c r="F2231" s="4" t="s">
        <v>4340</v>
      </c>
      <c r="G2231" s="4" t="s">
        <v>2263</v>
      </c>
      <c r="H2231" s="9" t="s">
        <v>2263</v>
      </c>
      <c r="I2231" s="4" t="s">
        <v>2317</v>
      </c>
      <c r="J2231" s="4" t="s">
        <v>2316</v>
      </c>
      <c r="K2231" s="4" t="s">
        <v>2263</v>
      </c>
      <c r="L2231" s="10">
        <v>10</v>
      </c>
      <c r="M2231" s="5">
        <v>30949.8</v>
      </c>
      <c r="N2231" s="5">
        <v>309498</v>
      </c>
    </row>
    <row r="2232" spans="1:14" x14ac:dyDescent="0.25">
      <c r="A2232" s="4" t="s">
        <v>2317</v>
      </c>
      <c r="B2232" s="4" t="s">
        <v>3839</v>
      </c>
      <c r="C2232" s="4" t="s">
        <v>2320</v>
      </c>
      <c r="D2232" s="4" t="s">
        <v>242</v>
      </c>
      <c r="E2232" s="4" t="s">
        <v>4341</v>
      </c>
      <c r="F2232" s="4" t="s">
        <v>4340</v>
      </c>
      <c r="G2232" s="4" t="s">
        <v>2263</v>
      </c>
      <c r="H2232" s="9" t="s">
        <v>2263</v>
      </c>
      <c r="I2232" s="4" t="s">
        <v>2317</v>
      </c>
      <c r="J2232" s="4" t="s">
        <v>2316</v>
      </c>
      <c r="K2232" s="4" t="s">
        <v>2263</v>
      </c>
      <c r="L2232" s="10">
        <v>10</v>
      </c>
      <c r="M2232" s="5">
        <v>30949.8</v>
      </c>
      <c r="N2232" s="5">
        <v>309498</v>
      </c>
    </row>
    <row r="2233" spans="1:14" x14ac:dyDescent="0.25">
      <c r="A2233" s="4" t="s">
        <v>2344</v>
      </c>
      <c r="B2233" s="4" t="s">
        <v>5154</v>
      </c>
      <c r="C2233" s="4" t="s">
        <v>2320</v>
      </c>
      <c r="D2233" s="4" t="s">
        <v>242</v>
      </c>
      <c r="E2233" s="4" t="s">
        <v>4075</v>
      </c>
      <c r="F2233" s="4" t="s">
        <v>4074</v>
      </c>
      <c r="G2233" s="4" t="s">
        <v>2263</v>
      </c>
      <c r="H2233" s="9" t="s">
        <v>2263</v>
      </c>
      <c r="I2233" s="4" t="s">
        <v>2317</v>
      </c>
      <c r="J2233" s="4" t="s">
        <v>2316</v>
      </c>
      <c r="K2233" s="4" t="s">
        <v>2263</v>
      </c>
      <c r="L2233" s="10">
        <v>10</v>
      </c>
      <c r="M2233" s="5">
        <v>33095.185624999998</v>
      </c>
      <c r="N2233" s="5">
        <v>330951.85625000001</v>
      </c>
    </row>
    <row r="2234" spans="1:14" x14ac:dyDescent="0.25">
      <c r="A2234" s="4" t="s">
        <v>2320</v>
      </c>
      <c r="B2234" s="4" t="s">
        <v>4967</v>
      </c>
      <c r="C2234" s="4" t="s">
        <v>2320</v>
      </c>
      <c r="D2234" s="4" t="s">
        <v>242</v>
      </c>
      <c r="E2234" s="4" t="s">
        <v>4321</v>
      </c>
      <c r="F2234" s="4" t="s">
        <v>4320</v>
      </c>
      <c r="G2234" s="4" t="s">
        <v>2263</v>
      </c>
      <c r="H2234" s="9" t="s">
        <v>2263</v>
      </c>
      <c r="I2234" s="4" t="s">
        <v>2317</v>
      </c>
      <c r="J2234" s="4" t="s">
        <v>2316</v>
      </c>
      <c r="K2234" s="4" t="s">
        <v>2263</v>
      </c>
      <c r="L2234" s="10">
        <v>10</v>
      </c>
      <c r="M2234" s="5">
        <v>46306.20444444444</v>
      </c>
      <c r="N2234" s="5">
        <v>463062.04444444447</v>
      </c>
    </row>
    <row r="2235" spans="1:14" x14ac:dyDescent="0.25">
      <c r="A2235" s="4" t="s">
        <v>2344</v>
      </c>
      <c r="B2235" s="4" t="s">
        <v>5154</v>
      </c>
      <c r="C2235" s="4" t="s">
        <v>2320</v>
      </c>
      <c r="D2235" s="4" t="s">
        <v>242</v>
      </c>
      <c r="E2235" s="4" t="s">
        <v>2970</v>
      </c>
      <c r="F2235" s="4" t="s">
        <v>2969</v>
      </c>
      <c r="G2235" s="4" t="s">
        <v>2263</v>
      </c>
      <c r="H2235" s="9" t="s">
        <v>2263</v>
      </c>
      <c r="I2235" s="4" t="s">
        <v>2317</v>
      </c>
      <c r="J2235" s="4" t="s">
        <v>2316</v>
      </c>
      <c r="K2235" s="4" t="s">
        <v>2263</v>
      </c>
      <c r="L2235" s="10">
        <v>10</v>
      </c>
      <c r="M2235" s="5">
        <v>65514.193548387098</v>
      </c>
      <c r="N2235" s="5">
        <v>655141.93548387091</v>
      </c>
    </row>
    <row r="2236" spans="1:14" x14ac:dyDescent="0.25">
      <c r="A2236" s="4" t="s">
        <v>2344</v>
      </c>
      <c r="B2236" s="4" t="s">
        <v>5154</v>
      </c>
      <c r="C2236" s="4" t="s">
        <v>2320</v>
      </c>
      <c r="D2236" s="4" t="s">
        <v>242</v>
      </c>
      <c r="E2236" s="4" t="s">
        <v>2988</v>
      </c>
      <c r="F2236" s="4" t="s">
        <v>2987</v>
      </c>
      <c r="G2236" s="4" t="s">
        <v>2263</v>
      </c>
      <c r="H2236" s="9" t="s">
        <v>2263</v>
      </c>
      <c r="I2236" s="4" t="s">
        <v>2317</v>
      </c>
      <c r="J2236" s="4" t="s">
        <v>2316</v>
      </c>
      <c r="K2236" s="4" t="s">
        <v>2263</v>
      </c>
      <c r="L2236" s="10">
        <v>10</v>
      </c>
      <c r="M2236" s="5">
        <v>77163.733333333323</v>
      </c>
      <c r="N2236" s="5">
        <v>771637.33333333326</v>
      </c>
    </row>
    <row r="2237" spans="1:14" x14ac:dyDescent="0.25">
      <c r="A2237" s="4" t="s">
        <v>2320</v>
      </c>
      <c r="B2237" s="4" t="s">
        <v>4967</v>
      </c>
      <c r="C2237" s="4" t="s">
        <v>2320</v>
      </c>
      <c r="D2237" s="4" t="s">
        <v>242</v>
      </c>
      <c r="E2237" s="4" t="s">
        <v>4139</v>
      </c>
      <c r="F2237" s="4" t="s">
        <v>4138</v>
      </c>
      <c r="G2237" s="4" t="s">
        <v>2263</v>
      </c>
      <c r="H2237" s="9" t="s">
        <v>2263</v>
      </c>
      <c r="I2237" s="4" t="s">
        <v>2317</v>
      </c>
      <c r="J2237" s="4" t="s">
        <v>2316</v>
      </c>
      <c r="K2237" s="4" t="s">
        <v>2263</v>
      </c>
      <c r="L2237" s="10">
        <v>10</v>
      </c>
      <c r="M2237" s="5">
        <v>77439.036842105255</v>
      </c>
      <c r="N2237" s="5">
        <v>774390.36842105258</v>
      </c>
    </row>
    <row r="2238" spans="1:14" x14ac:dyDescent="0.25">
      <c r="A2238" s="4" t="s">
        <v>2274</v>
      </c>
      <c r="B2238" s="4" t="s">
        <v>4348</v>
      </c>
      <c r="C2238" s="4" t="s">
        <v>2274</v>
      </c>
      <c r="D2238" s="4" t="s">
        <v>2273</v>
      </c>
      <c r="E2238" s="4" t="s">
        <v>4504</v>
      </c>
      <c r="F2238" s="4" t="s">
        <v>4503</v>
      </c>
      <c r="G2238" s="4" t="s">
        <v>2263</v>
      </c>
      <c r="H2238" s="9" t="s">
        <v>2263</v>
      </c>
      <c r="I2238" s="4" t="s">
        <v>2263</v>
      </c>
      <c r="J2238" s="4" t="s">
        <v>2263</v>
      </c>
      <c r="K2238" s="4" t="s">
        <v>2494</v>
      </c>
      <c r="L2238" s="10">
        <v>10</v>
      </c>
      <c r="M2238" s="5">
        <v>97265.373529411765</v>
      </c>
      <c r="N2238" s="5">
        <v>972653.73529411759</v>
      </c>
    </row>
    <row r="2239" spans="1:14" x14ac:dyDescent="0.25">
      <c r="A2239" s="4" t="s">
        <v>2653</v>
      </c>
      <c r="B2239" s="4" t="s">
        <v>3226</v>
      </c>
      <c r="C2239" s="4" t="s">
        <v>2384</v>
      </c>
      <c r="D2239" s="4" t="s">
        <v>262</v>
      </c>
      <c r="E2239" s="4" t="s">
        <v>3446</v>
      </c>
      <c r="F2239" s="4" t="s">
        <v>3445</v>
      </c>
      <c r="G2239" s="4" t="s">
        <v>2263</v>
      </c>
      <c r="H2239" s="9" t="s">
        <v>2263</v>
      </c>
      <c r="I2239" s="4" t="s">
        <v>2317</v>
      </c>
      <c r="J2239" s="4" t="s">
        <v>2316</v>
      </c>
      <c r="K2239" s="4" t="s">
        <v>2263</v>
      </c>
      <c r="L2239" s="10">
        <v>10</v>
      </c>
      <c r="M2239" s="5">
        <v>99619.6</v>
      </c>
      <c r="N2239" s="5">
        <v>996196</v>
      </c>
    </row>
    <row r="2240" spans="1:14" x14ac:dyDescent="0.25">
      <c r="A2240" s="4" t="s">
        <v>2317</v>
      </c>
      <c r="B2240" s="4" t="s">
        <v>3839</v>
      </c>
      <c r="C2240" s="4" t="s">
        <v>2320</v>
      </c>
      <c r="D2240" s="4" t="s">
        <v>242</v>
      </c>
      <c r="E2240" s="4" t="s">
        <v>3147</v>
      </c>
      <c r="F2240" s="4" t="s">
        <v>3146</v>
      </c>
      <c r="G2240" s="4" t="s">
        <v>2263</v>
      </c>
      <c r="H2240" s="9" t="s">
        <v>2263</v>
      </c>
      <c r="I2240" s="4" t="s">
        <v>2317</v>
      </c>
      <c r="J2240" s="4" t="s">
        <v>2316</v>
      </c>
      <c r="K2240" s="4" t="s">
        <v>2263</v>
      </c>
      <c r="L2240" s="10">
        <v>10</v>
      </c>
      <c r="M2240" s="5">
        <v>100452.13374999999</v>
      </c>
      <c r="N2240" s="5">
        <v>1004521.3375</v>
      </c>
    </row>
    <row r="2241" spans="1:14" x14ac:dyDescent="0.25">
      <c r="A2241" s="4" t="s">
        <v>2344</v>
      </c>
      <c r="B2241" s="4" t="s">
        <v>5154</v>
      </c>
      <c r="C2241" s="4" t="s">
        <v>2320</v>
      </c>
      <c r="D2241" s="4" t="s">
        <v>242</v>
      </c>
      <c r="E2241" s="4" t="s">
        <v>2982</v>
      </c>
      <c r="F2241" s="4" t="s">
        <v>2981</v>
      </c>
      <c r="G2241" s="4" t="s">
        <v>2263</v>
      </c>
      <c r="H2241" s="9" t="s">
        <v>2263</v>
      </c>
      <c r="I2241" s="4" t="s">
        <v>2317</v>
      </c>
      <c r="J2241" s="4" t="s">
        <v>2316</v>
      </c>
      <c r="K2241" s="4" t="s">
        <v>2263</v>
      </c>
      <c r="L2241" s="10">
        <v>10</v>
      </c>
      <c r="M2241" s="5">
        <v>124027.62773584906</v>
      </c>
      <c r="N2241" s="5">
        <v>1240276.2773584905</v>
      </c>
    </row>
    <row r="2242" spans="1:14" x14ac:dyDescent="0.25">
      <c r="A2242" s="4" t="s">
        <v>2344</v>
      </c>
      <c r="B2242" s="4" t="s">
        <v>5154</v>
      </c>
      <c r="C2242" s="4" t="s">
        <v>2320</v>
      </c>
      <c r="D2242" s="4" t="s">
        <v>242</v>
      </c>
      <c r="E2242" s="4" t="s">
        <v>2992</v>
      </c>
      <c r="F2242" s="4" t="s">
        <v>2991</v>
      </c>
      <c r="G2242" s="4" t="s">
        <v>2263</v>
      </c>
      <c r="H2242" s="9" t="s">
        <v>2263</v>
      </c>
      <c r="I2242" s="4" t="s">
        <v>2317</v>
      </c>
      <c r="J2242" s="4" t="s">
        <v>2316</v>
      </c>
      <c r="K2242" s="4" t="s">
        <v>2263</v>
      </c>
      <c r="L2242" s="10">
        <v>10</v>
      </c>
      <c r="M2242" s="5">
        <v>140199.87282051283</v>
      </c>
      <c r="N2242" s="5">
        <v>1401998.7282051281</v>
      </c>
    </row>
    <row r="2243" spans="1:14" x14ac:dyDescent="0.25">
      <c r="A2243" s="4" t="s">
        <v>2344</v>
      </c>
      <c r="B2243" s="4" t="s">
        <v>5154</v>
      </c>
      <c r="C2243" s="4" t="s">
        <v>2274</v>
      </c>
      <c r="D2243" s="4" t="s">
        <v>2273</v>
      </c>
      <c r="E2243" s="4" t="s">
        <v>5249</v>
      </c>
      <c r="F2243" s="4" t="s">
        <v>5248</v>
      </c>
      <c r="G2243" s="4" t="s">
        <v>2263</v>
      </c>
      <c r="H2243" s="9" t="s">
        <v>2263</v>
      </c>
      <c r="I2243" s="4" t="s">
        <v>2263</v>
      </c>
      <c r="J2243" s="4" t="s">
        <v>2263</v>
      </c>
      <c r="K2243" s="4" t="s">
        <v>2529</v>
      </c>
      <c r="L2243" s="10">
        <v>10</v>
      </c>
      <c r="M2243" s="5">
        <v>155000</v>
      </c>
      <c r="N2243" s="5">
        <v>1550000</v>
      </c>
    </row>
    <row r="2244" spans="1:14" x14ac:dyDescent="0.25">
      <c r="A2244" s="4" t="s">
        <v>2317</v>
      </c>
      <c r="B2244" s="4" t="s">
        <v>3839</v>
      </c>
      <c r="C2244" s="4" t="s">
        <v>2320</v>
      </c>
      <c r="D2244" s="4" t="s">
        <v>242</v>
      </c>
      <c r="E2244" s="4" t="s">
        <v>4313</v>
      </c>
      <c r="F2244" s="4" t="s">
        <v>4312</v>
      </c>
      <c r="G2244" s="4" t="s">
        <v>2263</v>
      </c>
      <c r="H2244" s="9" t="s">
        <v>2263</v>
      </c>
      <c r="I2244" s="4" t="s">
        <v>2317</v>
      </c>
      <c r="J2244" s="4" t="s">
        <v>2316</v>
      </c>
      <c r="K2244" s="4" t="s">
        <v>2263</v>
      </c>
      <c r="L2244" s="10">
        <v>10</v>
      </c>
      <c r="M2244" s="5">
        <v>294637.73333333334</v>
      </c>
      <c r="N2244" s="5">
        <v>2946377.333333333</v>
      </c>
    </row>
    <row r="2245" spans="1:14" x14ac:dyDescent="0.25">
      <c r="A2245" s="4" t="s">
        <v>2344</v>
      </c>
      <c r="B2245" s="4" t="s">
        <v>5154</v>
      </c>
      <c r="C2245" s="4" t="s">
        <v>2320</v>
      </c>
      <c r="D2245" s="4" t="s">
        <v>242</v>
      </c>
      <c r="E2245" s="4" t="s">
        <v>2968</v>
      </c>
      <c r="F2245" s="4" t="s">
        <v>2967</v>
      </c>
      <c r="G2245" s="4" t="s">
        <v>2263</v>
      </c>
      <c r="H2245" s="9" t="s">
        <v>2263</v>
      </c>
      <c r="I2245" s="4" t="s">
        <v>2317</v>
      </c>
      <c r="J2245" s="4" t="s">
        <v>2316</v>
      </c>
      <c r="K2245" s="4" t="s">
        <v>2263</v>
      </c>
      <c r="L2245" s="10">
        <v>11</v>
      </c>
      <c r="M2245" s="5">
        <v>-296.27659574468083</v>
      </c>
      <c r="N2245" s="5">
        <v>-3259.0425531914898</v>
      </c>
    </row>
    <row r="2246" spans="1:14" x14ac:dyDescent="0.25">
      <c r="A2246" s="4" t="s">
        <v>2320</v>
      </c>
      <c r="B2246" s="4" t="s">
        <v>4967</v>
      </c>
      <c r="C2246" s="4" t="s">
        <v>2320</v>
      </c>
      <c r="D2246" s="4" t="s">
        <v>242</v>
      </c>
      <c r="E2246" s="4" t="s">
        <v>3162</v>
      </c>
      <c r="F2246" s="4" t="s">
        <v>3161</v>
      </c>
      <c r="G2246" s="4" t="s">
        <v>2263</v>
      </c>
      <c r="H2246" s="9" t="s">
        <v>2263</v>
      </c>
      <c r="I2246" s="4" t="s">
        <v>2317</v>
      </c>
      <c r="J2246" s="4" t="s">
        <v>2316</v>
      </c>
      <c r="K2246" s="4" t="s">
        <v>2263</v>
      </c>
      <c r="L2246" s="10">
        <v>11</v>
      </c>
      <c r="M2246" s="5">
        <v>70.974907834101387</v>
      </c>
      <c r="N2246" s="5">
        <v>780.72398617511999</v>
      </c>
    </row>
    <row r="2247" spans="1:14" x14ac:dyDescent="0.25">
      <c r="A2247" s="4" t="s">
        <v>2386</v>
      </c>
      <c r="B2247" s="4" t="s">
        <v>2385</v>
      </c>
      <c r="C2247" s="4" t="s">
        <v>2344</v>
      </c>
      <c r="D2247" s="4" t="s">
        <v>237</v>
      </c>
      <c r="E2247" s="4" t="s">
        <v>2450</v>
      </c>
      <c r="F2247" s="4" t="s">
        <v>2449</v>
      </c>
      <c r="G2247" s="4" t="s">
        <v>2263</v>
      </c>
      <c r="H2247" s="9" t="s">
        <v>2263</v>
      </c>
      <c r="I2247" s="4" t="s">
        <v>2263</v>
      </c>
      <c r="J2247" s="4" t="s">
        <v>2263</v>
      </c>
      <c r="K2247" s="4" t="s">
        <v>2448</v>
      </c>
      <c r="L2247" s="10">
        <v>11</v>
      </c>
      <c r="M2247" s="5">
        <v>868.85911602209944</v>
      </c>
      <c r="N2247" s="5">
        <v>9557.4502762430893</v>
      </c>
    </row>
    <row r="2248" spans="1:14" x14ac:dyDescent="0.25">
      <c r="A2248" s="4" t="s">
        <v>2344</v>
      </c>
      <c r="B2248" s="4" t="s">
        <v>5154</v>
      </c>
      <c r="C2248" s="4" t="s">
        <v>2320</v>
      </c>
      <c r="D2248" s="4" t="s">
        <v>242</v>
      </c>
      <c r="E2248" s="4" t="s">
        <v>2901</v>
      </c>
      <c r="F2248" s="4" t="s">
        <v>2900</v>
      </c>
      <c r="G2248" s="4" t="s">
        <v>2263</v>
      </c>
      <c r="H2248" s="9" t="s">
        <v>2263</v>
      </c>
      <c r="I2248" s="4" t="s">
        <v>2317</v>
      </c>
      <c r="J2248" s="4" t="s">
        <v>2316</v>
      </c>
      <c r="K2248" s="4" t="s">
        <v>2263</v>
      </c>
      <c r="L2248" s="10">
        <v>11</v>
      </c>
      <c r="M2248" s="5">
        <v>1692.1930827067667</v>
      </c>
      <c r="N2248" s="5">
        <v>18614.12390977444</v>
      </c>
    </row>
    <row r="2249" spans="1:14" x14ac:dyDescent="0.25">
      <c r="A2249" s="4" t="s">
        <v>2320</v>
      </c>
      <c r="B2249" s="4" t="s">
        <v>4967</v>
      </c>
      <c r="C2249" s="4" t="s">
        <v>2320</v>
      </c>
      <c r="D2249" s="4" t="s">
        <v>242</v>
      </c>
      <c r="E2249" s="4" t="s">
        <v>5023</v>
      </c>
      <c r="F2249" s="4" t="s">
        <v>5022</v>
      </c>
      <c r="G2249" s="4" t="s">
        <v>2263</v>
      </c>
      <c r="H2249" s="9" t="s">
        <v>2263</v>
      </c>
      <c r="I2249" s="4" t="s">
        <v>2317</v>
      </c>
      <c r="J2249" s="4" t="s">
        <v>2316</v>
      </c>
      <c r="K2249" s="4" t="s">
        <v>2263</v>
      </c>
      <c r="L2249" s="10">
        <v>11</v>
      </c>
      <c r="M2249" s="5">
        <v>3412.6313333333337</v>
      </c>
      <c r="N2249" s="5">
        <v>37538.94466666667</v>
      </c>
    </row>
    <row r="2250" spans="1:14" x14ac:dyDescent="0.25">
      <c r="A2250" s="4" t="s">
        <v>2317</v>
      </c>
      <c r="B2250" s="4" t="s">
        <v>3839</v>
      </c>
      <c r="C2250" s="4" t="s">
        <v>2320</v>
      </c>
      <c r="D2250" s="4" t="s">
        <v>242</v>
      </c>
      <c r="E2250" s="4" t="s">
        <v>3875</v>
      </c>
      <c r="F2250" s="4" t="s">
        <v>3874</v>
      </c>
      <c r="G2250" s="4" t="s">
        <v>2263</v>
      </c>
      <c r="H2250" s="9" t="s">
        <v>2263</v>
      </c>
      <c r="I2250" s="4" t="s">
        <v>2317</v>
      </c>
      <c r="J2250" s="4" t="s">
        <v>2316</v>
      </c>
      <c r="K2250" s="4" t="s">
        <v>2263</v>
      </c>
      <c r="L2250" s="10">
        <v>11</v>
      </c>
      <c r="M2250" s="5">
        <v>4519.7368421052633</v>
      </c>
      <c r="N2250" s="5">
        <v>49717.105263157893</v>
      </c>
    </row>
    <row r="2251" spans="1:14" x14ac:dyDescent="0.25">
      <c r="A2251" s="4" t="s">
        <v>2344</v>
      </c>
      <c r="B2251" s="4" t="s">
        <v>5154</v>
      </c>
      <c r="C2251" s="4" t="s">
        <v>2481</v>
      </c>
      <c r="D2251" s="4" t="s">
        <v>2480</v>
      </c>
      <c r="E2251" s="4" t="s">
        <v>5165</v>
      </c>
      <c r="F2251" s="4" t="s">
        <v>5164</v>
      </c>
      <c r="G2251" s="4" t="s">
        <v>2263</v>
      </c>
      <c r="H2251" s="9" t="s">
        <v>2263</v>
      </c>
      <c r="I2251" s="4" t="s">
        <v>2263</v>
      </c>
      <c r="J2251" s="4" t="s">
        <v>2263</v>
      </c>
      <c r="K2251" s="4" t="s">
        <v>5163</v>
      </c>
      <c r="L2251" s="10">
        <v>11</v>
      </c>
      <c r="M2251" s="5">
        <v>4604.7090909090912</v>
      </c>
      <c r="N2251" s="5">
        <v>50651.8</v>
      </c>
    </row>
    <row r="2252" spans="1:14" x14ac:dyDescent="0.25">
      <c r="A2252" s="4" t="s">
        <v>2274</v>
      </c>
      <c r="B2252" s="4" t="s">
        <v>4348</v>
      </c>
      <c r="C2252" s="4" t="s">
        <v>2344</v>
      </c>
      <c r="D2252" s="4" t="s">
        <v>237</v>
      </c>
      <c r="E2252" s="4" t="s">
        <v>4779</v>
      </c>
      <c r="F2252" s="4" t="s">
        <v>2612</v>
      </c>
      <c r="G2252" s="4" t="s">
        <v>2263</v>
      </c>
      <c r="H2252" s="9" t="s">
        <v>2263</v>
      </c>
      <c r="I2252" s="4" t="s">
        <v>2263</v>
      </c>
      <c r="J2252" s="4" t="s">
        <v>2263</v>
      </c>
      <c r="K2252" s="4" t="s">
        <v>2611</v>
      </c>
      <c r="L2252" s="10">
        <v>11</v>
      </c>
      <c r="M2252" s="5">
        <v>4708.1851851851852</v>
      </c>
      <c r="N2252" s="5">
        <v>51790.037037037036</v>
      </c>
    </row>
    <row r="2253" spans="1:14" x14ac:dyDescent="0.25">
      <c r="A2253" s="4" t="s">
        <v>2344</v>
      </c>
      <c r="B2253" s="4" t="s">
        <v>5154</v>
      </c>
      <c r="C2253" s="4" t="s">
        <v>2344</v>
      </c>
      <c r="D2253" s="4" t="s">
        <v>237</v>
      </c>
      <c r="E2253" s="4" t="s">
        <v>5344</v>
      </c>
      <c r="F2253" s="4" t="s">
        <v>4617</v>
      </c>
      <c r="G2253" s="4" t="s">
        <v>2263</v>
      </c>
      <c r="H2253" s="9" t="s">
        <v>2263</v>
      </c>
      <c r="I2253" s="4" t="s">
        <v>2263</v>
      </c>
      <c r="J2253" s="4" t="s">
        <v>2263</v>
      </c>
      <c r="K2253" s="4" t="s">
        <v>4616</v>
      </c>
      <c r="L2253" s="10">
        <v>11</v>
      </c>
      <c r="M2253" s="5">
        <v>4895.6363636363631</v>
      </c>
      <c r="N2253" s="5">
        <v>53852</v>
      </c>
    </row>
    <row r="2254" spans="1:14" x14ac:dyDescent="0.25">
      <c r="A2254" s="4" t="s">
        <v>2320</v>
      </c>
      <c r="B2254" s="4" t="s">
        <v>4967</v>
      </c>
      <c r="C2254" s="4" t="s">
        <v>2320</v>
      </c>
      <c r="D2254" s="4" t="s">
        <v>242</v>
      </c>
      <c r="E2254" s="4" t="s">
        <v>2781</v>
      </c>
      <c r="F2254" s="4" t="s">
        <v>2780</v>
      </c>
      <c r="G2254" s="4" t="s">
        <v>2263</v>
      </c>
      <c r="H2254" s="9" t="s">
        <v>2263</v>
      </c>
      <c r="I2254" s="4" t="s">
        <v>2317</v>
      </c>
      <c r="J2254" s="4" t="s">
        <v>2316</v>
      </c>
      <c r="K2254" s="4" t="s">
        <v>2263</v>
      </c>
      <c r="L2254" s="10">
        <v>11</v>
      </c>
      <c r="M2254" s="5">
        <v>6317.9467326732674</v>
      </c>
      <c r="N2254" s="5">
        <v>69497.414059405943</v>
      </c>
    </row>
    <row r="2255" spans="1:14" x14ac:dyDescent="0.25">
      <c r="A2255" s="4" t="s">
        <v>2274</v>
      </c>
      <c r="B2255" s="4" t="s">
        <v>4348</v>
      </c>
      <c r="C2255" s="4" t="s">
        <v>2344</v>
      </c>
      <c r="D2255" s="4" t="s">
        <v>237</v>
      </c>
      <c r="E2255" s="4" t="s">
        <v>4714</v>
      </c>
      <c r="F2255" s="4" t="s">
        <v>2645</v>
      </c>
      <c r="G2255" s="4" t="s">
        <v>2263</v>
      </c>
      <c r="H2255" s="9" t="s">
        <v>2263</v>
      </c>
      <c r="I2255" s="4" t="s">
        <v>2263</v>
      </c>
      <c r="J2255" s="4" t="s">
        <v>2263</v>
      </c>
      <c r="K2255" s="4" t="s">
        <v>2611</v>
      </c>
      <c r="L2255" s="10">
        <v>11</v>
      </c>
      <c r="M2255" s="5">
        <v>6999.5883333333331</v>
      </c>
      <c r="N2255" s="5">
        <v>76995.471666666665</v>
      </c>
    </row>
    <row r="2256" spans="1:14" x14ac:dyDescent="0.25">
      <c r="A2256" s="4" t="s">
        <v>2653</v>
      </c>
      <c r="B2256" s="4" t="s">
        <v>3226</v>
      </c>
      <c r="C2256" s="4" t="s">
        <v>2384</v>
      </c>
      <c r="D2256" s="4" t="s">
        <v>262</v>
      </c>
      <c r="E2256" s="4" t="s">
        <v>3344</v>
      </c>
      <c r="F2256" s="4" t="s">
        <v>3343</v>
      </c>
      <c r="G2256" s="4" t="s">
        <v>2263</v>
      </c>
      <c r="H2256" s="9" t="s">
        <v>2263</v>
      </c>
      <c r="I2256" s="4" t="s">
        <v>2317</v>
      </c>
      <c r="J2256" s="4" t="s">
        <v>2316</v>
      </c>
      <c r="K2256" s="4" t="s">
        <v>2263</v>
      </c>
      <c r="L2256" s="10">
        <v>11</v>
      </c>
      <c r="M2256" s="5">
        <v>9520</v>
      </c>
      <c r="N2256" s="5">
        <v>104720</v>
      </c>
    </row>
    <row r="2257" spans="1:14" x14ac:dyDescent="0.25">
      <c r="A2257" s="4" t="s">
        <v>2320</v>
      </c>
      <c r="B2257" s="4" t="s">
        <v>4967</v>
      </c>
      <c r="C2257" s="4" t="s">
        <v>2320</v>
      </c>
      <c r="D2257" s="4" t="s">
        <v>242</v>
      </c>
      <c r="E2257" s="4" t="s">
        <v>5041</v>
      </c>
      <c r="F2257" s="4" t="s">
        <v>5040</v>
      </c>
      <c r="G2257" s="4" t="s">
        <v>2263</v>
      </c>
      <c r="H2257" s="9" t="s">
        <v>2263</v>
      </c>
      <c r="I2257" s="4" t="s">
        <v>2317</v>
      </c>
      <c r="J2257" s="4" t="s">
        <v>2316</v>
      </c>
      <c r="K2257" s="4" t="s">
        <v>2263</v>
      </c>
      <c r="L2257" s="10">
        <v>11</v>
      </c>
      <c r="M2257" s="5">
        <v>10051.892727272727</v>
      </c>
      <c r="N2257" s="5">
        <v>110570.82</v>
      </c>
    </row>
    <row r="2258" spans="1:14" x14ac:dyDescent="0.25">
      <c r="A2258" s="4" t="s">
        <v>2344</v>
      </c>
      <c r="B2258" s="4" t="s">
        <v>5154</v>
      </c>
      <c r="C2258" s="4" t="s">
        <v>2481</v>
      </c>
      <c r="D2258" s="4" t="s">
        <v>2480</v>
      </c>
      <c r="E2258" s="4" t="s">
        <v>4368</v>
      </c>
      <c r="F2258" s="4" t="s">
        <v>4367</v>
      </c>
      <c r="G2258" s="4" t="s">
        <v>2263</v>
      </c>
      <c r="H2258" s="9" t="s">
        <v>2263</v>
      </c>
      <c r="I2258" s="4" t="s">
        <v>2263</v>
      </c>
      <c r="J2258" s="4" t="s">
        <v>2263</v>
      </c>
      <c r="K2258" s="4" t="s">
        <v>4358</v>
      </c>
      <c r="L2258" s="10">
        <v>11</v>
      </c>
      <c r="M2258" s="5">
        <v>12504.225915492958</v>
      </c>
      <c r="N2258" s="5">
        <v>137546.48507042255</v>
      </c>
    </row>
    <row r="2259" spans="1:14" x14ac:dyDescent="0.25">
      <c r="A2259" s="4" t="s">
        <v>2344</v>
      </c>
      <c r="B2259" s="4" t="s">
        <v>5154</v>
      </c>
      <c r="C2259" s="4" t="s">
        <v>2344</v>
      </c>
      <c r="D2259" s="4" t="s">
        <v>237</v>
      </c>
      <c r="E2259" s="4" t="s">
        <v>4538</v>
      </c>
      <c r="F2259" s="4" t="s">
        <v>4537</v>
      </c>
      <c r="G2259" s="4" t="s">
        <v>2263</v>
      </c>
      <c r="H2259" s="9" t="s">
        <v>2263</v>
      </c>
      <c r="I2259" s="4" t="s">
        <v>2263</v>
      </c>
      <c r="J2259" s="4" t="s">
        <v>2263</v>
      </c>
      <c r="K2259" s="4" t="s">
        <v>4536</v>
      </c>
      <c r="L2259" s="10">
        <v>11</v>
      </c>
      <c r="M2259" s="5">
        <v>12590.576039603962</v>
      </c>
      <c r="N2259" s="5">
        <v>138496.33643564355</v>
      </c>
    </row>
    <row r="2260" spans="1:14" x14ac:dyDescent="0.25">
      <c r="A2260" s="4" t="s">
        <v>2344</v>
      </c>
      <c r="B2260" s="4" t="s">
        <v>5154</v>
      </c>
      <c r="C2260" s="4" t="s">
        <v>2344</v>
      </c>
      <c r="D2260" s="4" t="s">
        <v>237</v>
      </c>
      <c r="E2260" s="4" t="s">
        <v>5145</v>
      </c>
      <c r="F2260" s="4" t="s">
        <v>2610</v>
      </c>
      <c r="G2260" s="4" t="s">
        <v>2263</v>
      </c>
      <c r="H2260" s="9" t="s">
        <v>2263</v>
      </c>
      <c r="I2260" s="4" t="s">
        <v>2263</v>
      </c>
      <c r="J2260" s="4" t="s">
        <v>2263</v>
      </c>
      <c r="K2260" s="4" t="s">
        <v>2536</v>
      </c>
      <c r="L2260" s="10">
        <v>11</v>
      </c>
      <c r="M2260" s="5">
        <v>13500.487848101266</v>
      </c>
      <c r="N2260" s="5">
        <v>148505.36632911392</v>
      </c>
    </row>
    <row r="2261" spans="1:14" x14ac:dyDescent="0.25">
      <c r="A2261" s="4" t="s">
        <v>2317</v>
      </c>
      <c r="B2261" s="4" t="s">
        <v>3839</v>
      </c>
      <c r="C2261" s="4" t="s">
        <v>2320</v>
      </c>
      <c r="D2261" s="4" t="s">
        <v>242</v>
      </c>
      <c r="E2261" s="4" t="s">
        <v>3951</v>
      </c>
      <c r="F2261" s="4" t="s">
        <v>3950</v>
      </c>
      <c r="G2261" s="4" t="s">
        <v>2263</v>
      </c>
      <c r="H2261" s="9" t="s">
        <v>2263</v>
      </c>
      <c r="I2261" s="4" t="s">
        <v>2317</v>
      </c>
      <c r="J2261" s="4" t="s">
        <v>2316</v>
      </c>
      <c r="K2261" s="4" t="s">
        <v>2263</v>
      </c>
      <c r="L2261" s="10">
        <v>11</v>
      </c>
      <c r="M2261" s="5">
        <v>13757.371714285715</v>
      </c>
      <c r="N2261" s="5">
        <v>151331.08885714287</v>
      </c>
    </row>
    <row r="2262" spans="1:14" x14ac:dyDescent="0.25">
      <c r="A2262" s="4" t="s">
        <v>2317</v>
      </c>
      <c r="B2262" s="4" t="s">
        <v>3839</v>
      </c>
      <c r="C2262" s="4" t="s">
        <v>2320</v>
      </c>
      <c r="D2262" s="4" t="s">
        <v>242</v>
      </c>
      <c r="E2262" s="4" t="s">
        <v>4061</v>
      </c>
      <c r="F2262" s="4" t="s">
        <v>4060</v>
      </c>
      <c r="G2262" s="4" t="s">
        <v>2263</v>
      </c>
      <c r="H2262" s="9" t="s">
        <v>2263</v>
      </c>
      <c r="I2262" s="4" t="s">
        <v>2317</v>
      </c>
      <c r="J2262" s="4" t="s">
        <v>2316</v>
      </c>
      <c r="K2262" s="4" t="s">
        <v>2263</v>
      </c>
      <c r="L2262" s="10">
        <v>11</v>
      </c>
      <c r="M2262" s="5">
        <v>15127.890769230769</v>
      </c>
      <c r="N2262" s="5">
        <v>166406.79846153845</v>
      </c>
    </row>
    <row r="2263" spans="1:14" x14ac:dyDescent="0.25">
      <c r="A2263" s="4" t="s">
        <v>2320</v>
      </c>
      <c r="B2263" s="4" t="s">
        <v>4967</v>
      </c>
      <c r="C2263" s="4" t="s">
        <v>2344</v>
      </c>
      <c r="D2263" s="4" t="s">
        <v>237</v>
      </c>
      <c r="E2263" s="4" t="s">
        <v>4683</v>
      </c>
      <c r="F2263" s="4" t="s">
        <v>2578</v>
      </c>
      <c r="G2263" s="4" t="s">
        <v>2263</v>
      </c>
      <c r="H2263" s="9" t="s">
        <v>2263</v>
      </c>
      <c r="I2263" s="4" t="s">
        <v>2263</v>
      </c>
      <c r="J2263" s="4" t="s">
        <v>2263</v>
      </c>
      <c r="K2263" s="4" t="s">
        <v>2577</v>
      </c>
      <c r="L2263" s="10">
        <v>11</v>
      </c>
      <c r="M2263" s="5">
        <v>15707.147521367522</v>
      </c>
      <c r="N2263" s="5">
        <v>172778.62273504274</v>
      </c>
    </row>
    <row r="2264" spans="1:14" x14ac:dyDescent="0.25">
      <c r="A2264" s="4" t="s">
        <v>2317</v>
      </c>
      <c r="B2264" s="4" t="s">
        <v>3839</v>
      </c>
      <c r="C2264" s="4" t="s">
        <v>2320</v>
      </c>
      <c r="D2264" s="4" t="s">
        <v>242</v>
      </c>
      <c r="E2264" s="4" t="s">
        <v>3931</v>
      </c>
      <c r="F2264" s="4" t="s">
        <v>3930</v>
      </c>
      <c r="G2264" s="4" t="s">
        <v>2263</v>
      </c>
      <c r="H2264" s="9" t="s">
        <v>2263</v>
      </c>
      <c r="I2264" s="4" t="s">
        <v>2317</v>
      </c>
      <c r="J2264" s="4" t="s">
        <v>2316</v>
      </c>
      <c r="K2264" s="4" t="s">
        <v>2263</v>
      </c>
      <c r="L2264" s="10">
        <v>11</v>
      </c>
      <c r="M2264" s="5">
        <v>16715.953333333335</v>
      </c>
      <c r="N2264" s="5">
        <v>183875.48666666669</v>
      </c>
    </row>
    <row r="2265" spans="1:14" x14ac:dyDescent="0.25">
      <c r="A2265" s="4" t="s">
        <v>2320</v>
      </c>
      <c r="B2265" s="4" t="s">
        <v>4967</v>
      </c>
      <c r="C2265" s="4" t="s">
        <v>2344</v>
      </c>
      <c r="D2265" s="4" t="s">
        <v>237</v>
      </c>
      <c r="E2265" s="4" t="s">
        <v>2456</v>
      </c>
      <c r="F2265" s="4" t="s">
        <v>2455</v>
      </c>
      <c r="G2265" s="4" t="s">
        <v>2263</v>
      </c>
      <c r="H2265" s="9" t="s">
        <v>2263</v>
      </c>
      <c r="I2265" s="4" t="s">
        <v>2263</v>
      </c>
      <c r="J2265" s="4" t="s">
        <v>2263</v>
      </c>
      <c r="K2265" s="4" t="s">
        <v>2454</v>
      </c>
      <c r="L2265" s="10">
        <v>11</v>
      </c>
      <c r="M2265" s="5">
        <v>18361.839391304347</v>
      </c>
      <c r="N2265" s="5">
        <v>201980.23330434784</v>
      </c>
    </row>
    <row r="2266" spans="1:14" x14ac:dyDescent="0.25">
      <c r="A2266" s="4" t="s">
        <v>2317</v>
      </c>
      <c r="B2266" s="4" t="s">
        <v>3839</v>
      </c>
      <c r="C2266" s="4" t="s">
        <v>2320</v>
      </c>
      <c r="D2266" s="4" t="s">
        <v>242</v>
      </c>
      <c r="E2266" s="4" t="s">
        <v>2962</v>
      </c>
      <c r="F2266" s="4" t="s">
        <v>2961</v>
      </c>
      <c r="G2266" s="4" t="s">
        <v>2263</v>
      </c>
      <c r="H2266" s="9" t="s">
        <v>2263</v>
      </c>
      <c r="I2266" s="4" t="s">
        <v>2317</v>
      </c>
      <c r="J2266" s="4" t="s">
        <v>2316</v>
      </c>
      <c r="K2266" s="4" t="s">
        <v>2263</v>
      </c>
      <c r="L2266" s="10">
        <v>11</v>
      </c>
      <c r="M2266" s="5">
        <v>20109.540769230771</v>
      </c>
      <c r="N2266" s="5">
        <v>221204.94846153847</v>
      </c>
    </row>
    <row r="2267" spans="1:14" x14ac:dyDescent="0.25">
      <c r="A2267" s="4" t="s">
        <v>2344</v>
      </c>
      <c r="B2267" s="4" t="s">
        <v>5154</v>
      </c>
      <c r="C2267" s="4" t="s">
        <v>2344</v>
      </c>
      <c r="D2267" s="4" t="s">
        <v>237</v>
      </c>
      <c r="E2267" s="4" t="s">
        <v>4950</v>
      </c>
      <c r="F2267" s="4" t="s">
        <v>4949</v>
      </c>
      <c r="G2267" s="4" t="s">
        <v>2263</v>
      </c>
      <c r="H2267" s="9" t="s">
        <v>2263</v>
      </c>
      <c r="I2267" s="4" t="s">
        <v>2263</v>
      </c>
      <c r="J2267" s="4" t="s">
        <v>2263</v>
      </c>
      <c r="K2267" s="4" t="s">
        <v>4948</v>
      </c>
      <c r="L2267" s="10">
        <v>11</v>
      </c>
      <c r="M2267" s="5">
        <v>26857.064761904763</v>
      </c>
      <c r="N2267" s="5">
        <v>295427.71238095238</v>
      </c>
    </row>
    <row r="2268" spans="1:14" x14ac:dyDescent="0.25">
      <c r="A2268" s="4" t="s">
        <v>2344</v>
      </c>
      <c r="B2268" s="4" t="s">
        <v>5154</v>
      </c>
      <c r="C2268" s="4" t="s">
        <v>2274</v>
      </c>
      <c r="D2268" s="4" t="s">
        <v>2273</v>
      </c>
      <c r="E2268" s="4" t="s">
        <v>4485</v>
      </c>
      <c r="F2268" s="4" t="s">
        <v>2533</v>
      </c>
      <c r="G2268" s="4" t="s">
        <v>2263</v>
      </c>
      <c r="H2268" s="9" t="s">
        <v>2263</v>
      </c>
      <c r="I2268" s="4" t="s">
        <v>2263</v>
      </c>
      <c r="J2268" s="4" t="s">
        <v>2263</v>
      </c>
      <c r="K2268" s="4" t="s">
        <v>2532</v>
      </c>
      <c r="L2268" s="10">
        <v>11</v>
      </c>
      <c r="M2268" s="5">
        <v>29979.841269841269</v>
      </c>
      <c r="N2268" s="5">
        <v>329778.25396825396</v>
      </c>
    </row>
    <row r="2269" spans="1:14" x14ac:dyDescent="0.25">
      <c r="A2269" s="4" t="s">
        <v>2653</v>
      </c>
      <c r="B2269" s="4" t="s">
        <v>3226</v>
      </c>
      <c r="C2269" s="4" t="s">
        <v>3107</v>
      </c>
      <c r="D2269" s="4" t="s">
        <v>1105</v>
      </c>
      <c r="E2269" s="4" t="s">
        <v>3679</v>
      </c>
      <c r="F2269" s="4" t="s">
        <v>3678</v>
      </c>
      <c r="G2269" s="4" t="s">
        <v>2263</v>
      </c>
      <c r="H2269" s="9" t="s">
        <v>2263</v>
      </c>
      <c r="I2269" s="4" t="s">
        <v>2317</v>
      </c>
      <c r="J2269" s="4" t="s">
        <v>2316</v>
      </c>
      <c r="K2269" s="4" t="s">
        <v>2263</v>
      </c>
      <c r="L2269" s="10">
        <v>11</v>
      </c>
      <c r="M2269" s="5">
        <v>31427.640909090911</v>
      </c>
      <c r="N2269" s="5">
        <v>345704.05</v>
      </c>
    </row>
    <row r="2270" spans="1:14" x14ac:dyDescent="0.25">
      <c r="A2270" s="4" t="s">
        <v>2320</v>
      </c>
      <c r="B2270" s="4" t="s">
        <v>4967</v>
      </c>
      <c r="C2270" s="4" t="s">
        <v>2320</v>
      </c>
      <c r="D2270" s="4" t="s">
        <v>242</v>
      </c>
      <c r="E2270" s="4" t="s">
        <v>2783</v>
      </c>
      <c r="F2270" s="4" t="s">
        <v>2782</v>
      </c>
      <c r="G2270" s="4" t="s">
        <v>2263</v>
      </c>
      <c r="H2270" s="9" t="s">
        <v>2263</v>
      </c>
      <c r="I2270" s="4" t="s">
        <v>2317</v>
      </c>
      <c r="J2270" s="4" t="s">
        <v>2316</v>
      </c>
      <c r="K2270" s="4" t="s">
        <v>2263</v>
      </c>
      <c r="L2270" s="10">
        <v>11</v>
      </c>
      <c r="M2270" s="5">
        <v>35776.850892857146</v>
      </c>
      <c r="N2270" s="5">
        <v>393545.35982142854</v>
      </c>
    </row>
    <row r="2271" spans="1:14" x14ac:dyDescent="0.25">
      <c r="A2271" s="4" t="s">
        <v>2320</v>
      </c>
      <c r="B2271" s="4" t="s">
        <v>4967</v>
      </c>
      <c r="C2271" s="4" t="s">
        <v>2279</v>
      </c>
      <c r="D2271" s="4" t="s">
        <v>2278</v>
      </c>
      <c r="E2271" s="4" t="s">
        <v>4989</v>
      </c>
      <c r="F2271" s="4" t="s">
        <v>2538</v>
      </c>
      <c r="G2271" s="4" t="s">
        <v>2263</v>
      </c>
      <c r="H2271" s="9" t="s">
        <v>2263</v>
      </c>
      <c r="I2271" s="4" t="s">
        <v>2263</v>
      </c>
      <c r="J2271" s="4" t="s">
        <v>2263</v>
      </c>
      <c r="K2271" s="4" t="s">
        <v>2305</v>
      </c>
      <c r="L2271" s="10">
        <v>11</v>
      </c>
      <c r="M2271" s="5">
        <v>39180.571875000001</v>
      </c>
      <c r="N2271" s="5">
        <v>430986.29062500002</v>
      </c>
    </row>
    <row r="2272" spans="1:14" x14ac:dyDescent="0.25">
      <c r="A2272" s="4" t="s">
        <v>2274</v>
      </c>
      <c r="B2272" s="4" t="s">
        <v>4348</v>
      </c>
      <c r="C2272" s="4" t="s">
        <v>2344</v>
      </c>
      <c r="D2272" s="4" t="s">
        <v>237</v>
      </c>
      <c r="E2272" s="4" t="s">
        <v>4763</v>
      </c>
      <c r="F2272" s="4" t="s">
        <v>4762</v>
      </c>
      <c r="G2272" s="4" t="s">
        <v>2263</v>
      </c>
      <c r="H2272" s="9" t="s">
        <v>2263</v>
      </c>
      <c r="I2272" s="4" t="s">
        <v>2263</v>
      </c>
      <c r="J2272" s="4" t="s">
        <v>2263</v>
      </c>
      <c r="K2272" s="4" t="s">
        <v>4761</v>
      </c>
      <c r="L2272" s="10">
        <v>11</v>
      </c>
      <c r="M2272" s="5">
        <v>43328.285714285717</v>
      </c>
      <c r="N2272" s="5">
        <v>476611.1428571429</v>
      </c>
    </row>
    <row r="2273" spans="1:14" x14ac:dyDescent="0.25">
      <c r="A2273" s="4" t="s">
        <v>2355</v>
      </c>
      <c r="B2273" s="4" t="s">
        <v>2354</v>
      </c>
      <c r="C2273" s="4" t="s">
        <v>2320</v>
      </c>
      <c r="D2273" s="4" t="s">
        <v>242</v>
      </c>
      <c r="E2273" s="4" t="s">
        <v>2362</v>
      </c>
      <c r="F2273" s="4" t="s">
        <v>2361</v>
      </c>
      <c r="G2273" s="4" t="s">
        <v>2263</v>
      </c>
      <c r="H2273" s="9" t="s">
        <v>2263</v>
      </c>
      <c r="I2273" s="4" t="s">
        <v>2317</v>
      </c>
      <c r="J2273" s="4" t="s">
        <v>2316</v>
      </c>
      <c r="K2273" s="4" t="s">
        <v>2263</v>
      </c>
      <c r="L2273" s="10">
        <v>11</v>
      </c>
      <c r="M2273" s="5">
        <v>50605.866129032256</v>
      </c>
      <c r="N2273" s="5">
        <v>556664.52741935488</v>
      </c>
    </row>
    <row r="2274" spans="1:14" x14ac:dyDescent="0.25">
      <c r="A2274" s="4" t="s">
        <v>2274</v>
      </c>
      <c r="B2274" s="4" t="s">
        <v>4348</v>
      </c>
      <c r="C2274" s="4" t="s">
        <v>2274</v>
      </c>
      <c r="D2274" s="4" t="s">
        <v>2273</v>
      </c>
      <c r="E2274" s="4" t="s">
        <v>4481</v>
      </c>
      <c r="F2274" s="4" t="s">
        <v>4480</v>
      </c>
      <c r="G2274" s="4" t="s">
        <v>2263</v>
      </c>
      <c r="H2274" s="9" t="s">
        <v>2263</v>
      </c>
      <c r="I2274" s="4" t="s">
        <v>2263</v>
      </c>
      <c r="J2274" s="4" t="s">
        <v>2263</v>
      </c>
      <c r="K2274" s="4" t="s">
        <v>4479</v>
      </c>
      <c r="L2274" s="10">
        <v>11</v>
      </c>
      <c r="M2274" s="5">
        <v>79836.133333333331</v>
      </c>
      <c r="N2274" s="5">
        <v>878197.46666666667</v>
      </c>
    </row>
    <row r="2275" spans="1:14" x14ac:dyDescent="0.25">
      <c r="A2275" s="4" t="s">
        <v>2653</v>
      </c>
      <c r="B2275" s="4" t="s">
        <v>3226</v>
      </c>
      <c r="C2275" s="4" t="s">
        <v>2353</v>
      </c>
      <c r="D2275" s="4" t="s">
        <v>258</v>
      </c>
      <c r="E2275" s="4" t="s">
        <v>3236</v>
      </c>
      <c r="F2275" s="4" t="s">
        <v>3235</v>
      </c>
      <c r="G2275" s="4" t="s">
        <v>2263</v>
      </c>
      <c r="H2275" s="9" t="s">
        <v>2263</v>
      </c>
      <c r="I2275" s="4" t="s">
        <v>2317</v>
      </c>
      <c r="J2275" s="4" t="s">
        <v>2316</v>
      </c>
      <c r="K2275" s="4" t="s">
        <v>2263</v>
      </c>
      <c r="L2275" s="10">
        <v>11</v>
      </c>
      <c r="M2275" s="5">
        <v>97249.136363636353</v>
      </c>
      <c r="N2275" s="5">
        <v>1069740.5</v>
      </c>
    </row>
    <row r="2276" spans="1:14" x14ac:dyDescent="0.25">
      <c r="A2276" s="4" t="s">
        <v>2344</v>
      </c>
      <c r="B2276" s="4" t="s">
        <v>5154</v>
      </c>
      <c r="C2276" s="4" t="s">
        <v>2274</v>
      </c>
      <c r="D2276" s="4" t="s">
        <v>2273</v>
      </c>
      <c r="E2276" s="4" t="s">
        <v>4985</v>
      </c>
      <c r="F2276" s="4" t="s">
        <v>4984</v>
      </c>
      <c r="G2276" s="4" t="s">
        <v>2263</v>
      </c>
      <c r="H2276" s="9" t="s">
        <v>2263</v>
      </c>
      <c r="I2276" s="4" t="s">
        <v>2263</v>
      </c>
      <c r="J2276" s="4" t="s">
        <v>2263</v>
      </c>
      <c r="K2276" s="4" t="s">
        <v>2534</v>
      </c>
      <c r="L2276" s="10">
        <v>11</v>
      </c>
      <c r="M2276" s="5">
        <v>114428.79285714285</v>
      </c>
      <c r="N2276" s="5">
        <v>1258716.7214285713</v>
      </c>
    </row>
    <row r="2277" spans="1:14" x14ac:dyDescent="0.25">
      <c r="A2277" s="4" t="s">
        <v>2317</v>
      </c>
      <c r="B2277" s="4" t="s">
        <v>3839</v>
      </c>
      <c r="C2277" s="4" t="s">
        <v>2320</v>
      </c>
      <c r="D2277" s="4" t="s">
        <v>242</v>
      </c>
      <c r="E2277" s="4" t="s">
        <v>3857</v>
      </c>
      <c r="F2277" s="4" t="s">
        <v>3856</v>
      </c>
      <c r="G2277" s="4" t="s">
        <v>2263</v>
      </c>
      <c r="H2277" s="9" t="s">
        <v>2263</v>
      </c>
      <c r="I2277" s="4" t="s">
        <v>2317</v>
      </c>
      <c r="J2277" s="4" t="s">
        <v>2316</v>
      </c>
      <c r="K2277" s="4" t="s">
        <v>2263</v>
      </c>
      <c r="L2277" s="10">
        <v>11</v>
      </c>
      <c r="M2277" s="5">
        <v>197535.65384615384</v>
      </c>
      <c r="N2277" s="5">
        <v>2172892.192307692</v>
      </c>
    </row>
    <row r="2278" spans="1:14" x14ac:dyDescent="0.25">
      <c r="A2278" s="4" t="s">
        <v>2317</v>
      </c>
      <c r="B2278" s="4" t="s">
        <v>3839</v>
      </c>
      <c r="C2278" s="4" t="s">
        <v>2320</v>
      </c>
      <c r="D2278" s="4" t="s">
        <v>242</v>
      </c>
      <c r="E2278" s="4" t="s">
        <v>2789</v>
      </c>
      <c r="F2278" s="4" t="s">
        <v>2788</v>
      </c>
      <c r="G2278" s="4" t="s">
        <v>2263</v>
      </c>
      <c r="H2278" s="9" t="s">
        <v>2263</v>
      </c>
      <c r="I2278" s="4" t="s">
        <v>2317</v>
      </c>
      <c r="J2278" s="4" t="s">
        <v>2316</v>
      </c>
      <c r="K2278" s="4" t="s">
        <v>2263</v>
      </c>
      <c r="L2278" s="10">
        <v>11</v>
      </c>
      <c r="M2278" s="5">
        <v>298569.47162162163</v>
      </c>
      <c r="N2278" s="5">
        <v>3284264.1878378382</v>
      </c>
    </row>
    <row r="2279" spans="1:14" x14ac:dyDescent="0.25">
      <c r="A2279" s="4" t="s">
        <v>2317</v>
      </c>
      <c r="B2279" s="4" t="s">
        <v>3839</v>
      </c>
      <c r="C2279" s="4" t="s">
        <v>2320</v>
      </c>
      <c r="D2279" s="4" t="s">
        <v>242</v>
      </c>
      <c r="E2279" s="4" t="s">
        <v>3983</v>
      </c>
      <c r="F2279" s="4" t="s">
        <v>3982</v>
      </c>
      <c r="G2279" s="4" t="s">
        <v>2263</v>
      </c>
      <c r="H2279" s="9" t="s">
        <v>2263</v>
      </c>
      <c r="I2279" s="4" t="s">
        <v>2317</v>
      </c>
      <c r="J2279" s="4" t="s">
        <v>2316</v>
      </c>
      <c r="K2279" s="4" t="s">
        <v>2263</v>
      </c>
      <c r="L2279" s="10">
        <v>11</v>
      </c>
      <c r="M2279" s="5">
        <v>449425.76142857142</v>
      </c>
      <c r="N2279" s="5">
        <v>4943683.3757142853</v>
      </c>
    </row>
    <row r="2280" spans="1:14" x14ac:dyDescent="0.25">
      <c r="A2280" s="4" t="s">
        <v>2344</v>
      </c>
      <c r="B2280" s="4" t="s">
        <v>5154</v>
      </c>
      <c r="C2280" s="4" t="s">
        <v>2320</v>
      </c>
      <c r="D2280" s="4" t="s">
        <v>242</v>
      </c>
      <c r="E2280" s="4" t="s">
        <v>2408</v>
      </c>
      <c r="F2280" s="4" t="s">
        <v>2407</v>
      </c>
      <c r="G2280" s="4" t="s">
        <v>2263</v>
      </c>
      <c r="H2280" s="9" t="s">
        <v>2263</v>
      </c>
      <c r="I2280" s="4" t="s">
        <v>2317</v>
      </c>
      <c r="J2280" s="4" t="s">
        <v>2316</v>
      </c>
      <c r="K2280" s="4" t="s">
        <v>2263</v>
      </c>
      <c r="L2280" s="10">
        <v>12</v>
      </c>
      <c r="M2280" s="5">
        <v>-58082.704199999993</v>
      </c>
      <c r="N2280" s="5">
        <v>-696992.45039999997</v>
      </c>
    </row>
    <row r="2281" spans="1:14" x14ac:dyDescent="0.25">
      <c r="A2281" s="4" t="s">
        <v>2653</v>
      </c>
      <c r="B2281" s="4" t="s">
        <v>3226</v>
      </c>
      <c r="C2281" s="4" t="s">
        <v>2384</v>
      </c>
      <c r="D2281" s="4" t="s">
        <v>262</v>
      </c>
      <c r="E2281" s="4" t="s">
        <v>3506</v>
      </c>
      <c r="F2281" s="4" t="s">
        <v>3505</v>
      </c>
      <c r="G2281" s="4" t="s">
        <v>2263</v>
      </c>
      <c r="H2281" s="9" t="s">
        <v>2263</v>
      </c>
      <c r="I2281" s="4" t="s">
        <v>2317</v>
      </c>
      <c r="J2281" s="4" t="s">
        <v>2316</v>
      </c>
      <c r="K2281" s="4" t="s">
        <v>2263</v>
      </c>
      <c r="L2281" s="10">
        <v>12</v>
      </c>
      <c r="M2281" s="5">
        <v>-22267.615000000002</v>
      </c>
      <c r="N2281" s="5">
        <v>-267211.38</v>
      </c>
    </row>
    <row r="2282" spans="1:14" x14ac:dyDescent="0.25">
      <c r="A2282" s="4" t="s">
        <v>2653</v>
      </c>
      <c r="B2282" s="4" t="s">
        <v>3226</v>
      </c>
      <c r="C2282" s="4" t="s">
        <v>3196</v>
      </c>
      <c r="D2282" s="4" t="s">
        <v>254</v>
      </c>
      <c r="E2282" s="4" t="s">
        <v>3568</v>
      </c>
      <c r="F2282" s="4" t="s">
        <v>3567</v>
      </c>
      <c r="G2282" s="4" t="s">
        <v>2263</v>
      </c>
      <c r="H2282" s="9" t="s">
        <v>2263</v>
      </c>
      <c r="I2282" s="4" t="s">
        <v>2317</v>
      </c>
      <c r="J2282" s="4" t="s">
        <v>2316</v>
      </c>
      <c r="K2282" s="4" t="s">
        <v>2263</v>
      </c>
      <c r="L2282" s="10">
        <v>12</v>
      </c>
      <c r="M2282" s="5">
        <v>-1149.4166666666665</v>
      </c>
      <c r="N2282" s="5">
        <v>-13793</v>
      </c>
    </row>
    <row r="2283" spans="1:14" x14ac:dyDescent="0.25">
      <c r="A2283" s="4" t="s">
        <v>2653</v>
      </c>
      <c r="B2283" s="4" t="s">
        <v>3226</v>
      </c>
      <c r="C2283" s="4" t="s">
        <v>3107</v>
      </c>
      <c r="D2283" s="4" t="s">
        <v>1105</v>
      </c>
      <c r="E2283" s="4" t="s">
        <v>3715</v>
      </c>
      <c r="F2283" s="4" t="s">
        <v>3714</v>
      </c>
      <c r="G2283" s="4" t="s">
        <v>2263</v>
      </c>
      <c r="H2283" s="9" t="s">
        <v>2263</v>
      </c>
      <c r="I2283" s="4" t="s">
        <v>2317</v>
      </c>
      <c r="J2283" s="4" t="s">
        <v>2316</v>
      </c>
      <c r="K2283" s="4" t="s">
        <v>2263</v>
      </c>
      <c r="L2283" s="10">
        <v>12</v>
      </c>
      <c r="M2283" s="5">
        <v>337.94833333333332</v>
      </c>
      <c r="N2283" s="5">
        <v>4055.38</v>
      </c>
    </row>
    <row r="2284" spans="1:14" x14ac:dyDescent="0.25">
      <c r="A2284" s="4" t="s">
        <v>2344</v>
      </c>
      <c r="B2284" s="4" t="s">
        <v>5154</v>
      </c>
      <c r="C2284" s="4" t="s">
        <v>2344</v>
      </c>
      <c r="D2284" s="4" t="s">
        <v>237</v>
      </c>
      <c r="E2284" s="4" t="s">
        <v>4556</v>
      </c>
      <c r="F2284" s="4" t="s">
        <v>4555</v>
      </c>
      <c r="G2284" s="4" t="s">
        <v>2263</v>
      </c>
      <c r="H2284" s="9" t="s">
        <v>2263</v>
      </c>
      <c r="I2284" s="4" t="s">
        <v>2263</v>
      </c>
      <c r="J2284" s="4" t="s">
        <v>2263</v>
      </c>
      <c r="K2284" s="4" t="s">
        <v>4554</v>
      </c>
      <c r="L2284" s="10">
        <v>12</v>
      </c>
      <c r="M2284" s="5">
        <v>812.87333333333333</v>
      </c>
      <c r="N2284" s="5">
        <v>9754.48</v>
      </c>
    </row>
    <row r="2285" spans="1:14" x14ac:dyDescent="0.25">
      <c r="A2285" s="4" t="s">
        <v>2320</v>
      </c>
      <c r="B2285" s="4" t="s">
        <v>4967</v>
      </c>
      <c r="C2285" s="4" t="s">
        <v>2320</v>
      </c>
      <c r="D2285" s="4" t="s">
        <v>242</v>
      </c>
      <c r="E2285" s="4" t="s">
        <v>4253</v>
      </c>
      <c r="F2285" s="4" t="s">
        <v>4252</v>
      </c>
      <c r="G2285" s="4" t="s">
        <v>2263</v>
      </c>
      <c r="H2285" s="9" t="s">
        <v>2263</v>
      </c>
      <c r="I2285" s="4" t="s">
        <v>2317</v>
      </c>
      <c r="J2285" s="4" t="s">
        <v>2316</v>
      </c>
      <c r="K2285" s="4" t="s">
        <v>2263</v>
      </c>
      <c r="L2285" s="10">
        <v>12</v>
      </c>
      <c r="M2285" s="5">
        <v>1000</v>
      </c>
      <c r="N2285" s="5">
        <v>12000</v>
      </c>
    </row>
    <row r="2286" spans="1:14" x14ac:dyDescent="0.25">
      <c r="A2286" s="4" t="s">
        <v>2344</v>
      </c>
      <c r="B2286" s="4" t="s">
        <v>5154</v>
      </c>
      <c r="C2286" s="4" t="s">
        <v>2344</v>
      </c>
      <c r="D2286" s="4" t="s">
        <v>237</v>
      </c>
      <c r="E2286" s="4" t="s">
        <v>3194</v>
      </c>
      <c r="F2286" s="4" t="s">
        <v>2425</v>
      </c>
      <c r="G2286" s="4" t="s">
        <v>2263</v>
      </c>
      <c r="H2286" s="9" t="s">
        <v>2263</v>
      </c>
      <c r="I2286" s="4" t="s">
        <v>2263</v>
      </c>
      <c r="J2286" s="4" t="s">
        <v>2263</v>
      </c>
      <c r="K2286" s="4" t="s">
        <v>2424</v>
      </c>
      <c r="L2286" s="10">
        <v>12</v>
      </c>
      <c r="M2286" s="5">
        <v>1013.732700729927</v>
      </c>
      <c r="N2286" s="5">
        <v>12164.79240875912</v>
      </c>
    </row>
    <row r="2287" spans="1:14" x14ac:dyDescent="0.25">
      <c r="A2287" s="4" t="s">
        <v>2344</v>
      </c>
      <c r="B2287" s="4" t="s">
        <v>5154</v>
      </c>
      <c r="C2287" s="4" t="s">
        <v>2344</v>
      </c>
      <c r="D2287" s="4" t="s">
        <v>237</v>
      </c>
      <c r="E2287" s="4" t="s">
        <v>5429</v>
      </c>
      <c r="F2287" s="4" t="s">
        <v>5355</v>
      </c>
      <c r="G2287" s="4" t="s">
        <v>2263</v>
      </c>
      <c r="H2287" s="9" t="s">
        <v>2263</v>
      </c>
      <c r="I2287" s="4" t="s">
        <v>2263</v>
      </c>
      <c r="J2287" s="4" t="s">
        <v>2263</v>
      </c>
      <c r="K2287" s="4" t="s">
        <v>2609</v>
      </c>
      <c r="L2287" s="10">
        <v>12</v>
      </c>
      <c r="M2287" s="5">
        <v>1071.3333333333335</v>
      </c>
      <c r="N2287" s="5">
        <v>12856</v>
      </c>
    </row>
    <row r="2288" spans="1:14" x14ac:dyDescent="0.25">
      <c r="A2288" s="4" t="s">
        <v>2320</v>
      </c>
      <c r="B2288" s="4" t="s">
        <v>4967</v>
      </c>
      <c r="C2288" s="4" t="s">
        <v>2320</v>
      </c>
      <c r="D2288" s="4" t="s">
        <v>242</v>
      </c>
      <c r="E2288" s="4" t="s">
        <v>2701</v>
      </c>
      <c r="F2288" s="4" t="s">
        <v>2700</v>
      </c>
      <c r="G2288" s="4" t="s">
        <v>2263</v>
      </c>
      <c r="H2288" s="9" t="s">
        <v>2263</v>
      </c>
      <c r="I2288" s="4" t="s">
        <v>2317</v>
      </c>
      <c r="J2288" s="4" t="s">
        <v>2316</v>
      </c>
      <c r="K2288" s="4" t="s">
        <v>2263</v>
      </c>
      <c r="L2288" s="10">
        <v>12</v>
      </c>
      <c r="M2288" s="5">
        <v>1323.9450549450551</v>
      </c>
      <c r="N2288" s="5">
        <v>15887.34065934066</v>
      </c>
    </row>
    <row r="2289" spans="1:14" x14ac:dyDescent="0.25">
      <c r="A2289" s="4" t="s">
        <v>2344</v>
      </c>
      <c r="B2289" s="4" t="s">
        <v>5154</v>
      </c>
      <c r="C2289" s="4" t="s">
        <v>2344</v>
      </c>
      <c r="D2289" s="4" t="s">
        <v>237</v>
      </c>
      <c r="E2289" s="4" t="s">
        <v>5354</v>
      </c>
      <c r="F2289" s="4" t="s">
        <v>5353</v>
      </c>
      <c r="G2289" s="4" t="s">
        <v>2263</v>
      </c>
      <c r="H2289" s="9" t="s">
        <v>2263</v>
      </c>
      <c r="I2289" s="4" t="s">
        <v>2263</v>
      </c>
      <c r="J2289" s="4" t="s">
        <v>2263</v>
      </c>
      <c r="K2289" s="4" t="s">
        <v>2635</v>
      </c>
      <c r="L2289" s="10">
        <v>12</v>
      </c>
      <c r="M2289" s="5">
        <v>1327.6666666666667</v>
      </c>
      <c r="N2289" s="5">
        <v>15932</v>
      </c>
    </row>
    <row r="2290" spans="1:14" x14ac:dyDescent="0.25">
      <c r="A2290" s="4" t="s">
        <v>3801</v>
      </c>
      <c r="B2290" s="4" t="s">
        <v>4965</v>
      </c>
      <c r="C2290" s="4" t="s">
        <v>2344</v>
      </c>
      <c r="D2290" s="4" t="s">
        <v>237</v>
      </c>
      <c r="E2290" s="4" t="s">
        <v>2435</v>
      </c>
      <c r="F2290" s="4" t="s">
        <v>2434</v>
      </c>
      <c r="G2290" s="4" t="s">
        <v>2263</v>
      </c>
      <c r="H2290" s="9" t="s">
        <v>2263</v>
      </c>
      <c r="I2290" s="4" t="s">
        <v>2263</v>
      </c>
      <c r="J2290" s="4" t="s">
        <v>2263</v>
      </c>
      <c r="K2290" s="4" t="s">
        <v>2433</v>
      </c>
      <c r="L2290" s="10">
        <v>12</v>
      </c>
      <c r="M2290" s="5">
        <v>1849.2706606606607</v>
      </c>
      <c r="N2290" s="5">
        <v>22191.247927927929</v>
      </c>
    </row>
    <row r="2291" spans="1:14" x14ac:dyDescent="0.25">
      <c r="A2291" s="4" t="s">
        <v>2279</v>
      </c>
      <c r="B2291" s="4" t="s">
        <v>4963</v>
      </c>
      <c r="C2291" s="4" t="s">
        <v>2344</v>
      </c>
      <c r="D2291" s="4" t="s">
        <v>237</v>
      </c>
      <c r="E2291" s="4" t="s">
        <v>2435</v>
      </c>
      <c r="F2291" s="4" t="s">
        <v>2434</v>
      </c>
      <c r="G2291" s="4" t="s">
        <v>2263</v>
      </c>
      <c r="H2291" s="9" t="s">
        <v>2263</v>
      </c>
      <c r="I2291" s="4" t="s">
        <v>2263</v>
      </c>
      <c r="J2291" s="4" t="s">
        <v>2263</v>
      </c>
      <c r="K2291" s="4" t="s">
        <v>2433</v>
      </c>
      <c r="L2291" s="10">
        <v>12</v>
      </c>
      <c r="M2291" s="5">
        <v>1849.2706606606607</v>
      </c>
      <c r="N2291" s="5">
        <v>22191.247927927929</v>
      </c>
    </row>
    <row r="2292" spans="1:14" x14ac:dyDescent="0.25">
      <c r="A2292" s="4" t="s">
        <v>2481</v>
      </c>
      <c r="B2292" s="4" t="s">
        <v>3217</v>
      </c>
      <c r="C2292" s="4" t="s">
        <v>2344</v>
      </c>
      <c r="D2292" s="4" t="s">
        <v>237</v>
      </c>
      <c r="E2292" s="4" t="s">
        <v>2435</v>
      </c>
      <c r="F2292" s="4" t="s">
        <v>2434</v>
      </c>
      <c r="G2292" s="4" t="s">
        <v>2263</v>
      </c>
      <c r="H2292" s="9" t="s">
        <v>2263</v>
      </c>
      <c r="I2292" s="4" t="s">
        <v>2263</v>
      </c>
      <c r="J2292" s="4" t="s">
        <v>2263</v>
      </c>
      <c r="K2292" s="4" t="s">
        <v>2433</v>
      </c>
      <c r="L2292" s="10">
        <v>12</v>
      </c>
      <c r="M2292" s="5">
        <v>1849.2706606606607</v>
      </c>
      <c r="N2292" s="5">
        <v>22191.247927927929</v>
      </c>
    </row>
    <row r="2293" spans="1:14" x14ac:dyDescent="0.25">
      <c r="A2293" s="4" t="s">
        <v>3196</v>
      </c>
      <c r="B2293" s="4" t="s">
        <v>3195</v>
      </c>
      <c r="C2293" s="4" t="s">
        <v>2344</v>
      </c>
      <c r="D2293" s="4" t="s">
        <v>237</v>
      </c>
      <c r="E2293" s="4" t="s">
        <v>2435</v>
      </c>
      <c r="F2293" s="4" t="s">
        <v>2434</v>
      </c>
      <c r="G2293" s="4" t="s">
        <v>2263</v>
      </c>
      <c r="H2293" s="9" t="s">
        <v>2263</v>
      </c>
      <c r="I2293" s="4" t="s">
        <v>2263</v>
      </c>
      <c r="J2293" s="4" t="s">
        <v>2263</v>
      </c>
      <c r="K2293" s="4" t="s">
        <v>2433</v>
      </c>
      <c r="L2293" s="10">
        <v>12</v>
      </c>
      <c r="M2293" s="5">
        <v>1849.2706606606607</v>
      </c>
      <c r="N2293" s="5">
        <v>22191.247927927929</v>
      </c>
    </row>
    <row r="2294" spans="1:14" x14ac:dyDescent="0.25">
      <c r="A2294" s="4" t="s">
        <v>3104</v>
      </c>
      <c r="B2294" s="4" t="s">
        <v>3103</v>
      </c>
      <c r="C2294" s="4" t="s">
        <v>2344</v>
      </c>
      <c r="D2294" s="4" t="s">
        <v>237</v>
      </c>
      <c r="E2294" s="4" t="s">
        <v>2435</v>
      </c>
      <c r="F2294" s="4" t="s">
        <v>2434</v>
      </c>
      <c r="G2294" s="4" t="s">
        <v>2263</v>
      </c>
      <c r="H2294" s="9" t="s">
        <v>2263</v>
      </c>
      <c r="I2294" s="4" t="s">
        <v>2263</v>
      </c>
      <c r="J2294" s="4" t="s">
        <v>2263</v>
      </c>
      <c r="K2294" s="4" t="s">
        <v>2433</v>
      </c>
      <c r="L2294" s="10">
        <v>12</v>
      </c>
      <c r="M2294" s="5">
        <v>1849.2706606606607</v>
      </c>
      <c r="N2294" s="5">
        <v>22191.247927927929</v>
      </c>
    </row>
    <row r="2295" spans="1:14" x14ac:dyDescent="0.25">
      <c r="A2295" s="4" t="s">
        <v>3063</v>
      </c>
      <c r="B2295" s="4" t="s">
        <v>3062</v>
      </c>
      <c r="C2295" s="4" t="s">
        <v>2344</v>
      </c>
      <c r="D2295" s="4" t="s">
        <v>237</v>
      </c>
      <c r="E2295" s="4" t="s">
        <v>2435</v>
      </c>
      <c r="F2295" s="4" t="s">
        <v>2434</v>
      </c>
      <c r="G2295" s="4" t="s">
        <v>2263</v>
      </c>
      <c r="H2295" s="9" t="s">
        <v>2263</v>
      </c>
      <c r="I2295" s="4" t="s">
        <v>2263</v>
      </c>
      <c r="J2295" s="4" t="s">
        <v>2263</v>
      </c>
      <c r="K2295" s="4" t="s">
        <v>2433</v>
      </c>
      <c r="L2295" s="10">
        <v>12</v>
      </c>
      <c r="M2295" s="5">
        <v>1849.2706606606607</v>
      </c>
      <c r="N2295" s="5">
        <v>22191.247927927929</v>
      </c>
    </row>
    <row r="2296" spans="1:14" x14ac:dyDescent="0.25">
      <c r="A2296" s="4" t="s">
        <v>3051</v>
      </c>
      <c r="B2296" s="4" t="s">
        <v>3050</v>
      </c>
      <c r="C2296" s="4" t="s">
        <v>2344</v>
      </c>
      <c r="D2296" s="4" t="s">
        <v>237</v>
      </c>
      <c r="E2296" s="4" t="s">
        <v>2435</v>
      </c>
      <c r="F2296" s="4" t="s">
        <v>2434</v>
      </c>
      <c r="G2296" s="4" t="s">
        <v>2263</v>
      </c>
      <c r="H2296" s="9" t="s">
        <v>2263</v>
      </c>
      <c r="I2296" s="4" t="s">
        <v>2263</v>
      </c>
      <c r="J2296" s="4" t="s">
        <v>2263</v>
      </c>
      <c r="K2296" s="4" t="s">
        <v>2433</v>
      </c>
      <c r="L2296" s="10">
        <v>12</v>
      </c>
      <c r="M2296" s="5">
        <v>1849.2706606606607</v>
      </c>
      <c r="N2296" s="5">
        <v>22191.247927927929</v>
      </c>
    </row>
    <row r="2297" spans="1:14" x14ac:dyDescent="0.25">
      <c r="A2297" s="4" t="s">
        <v>3024</v>
      </c>
      <c r="B2297" s="4" t="s">
        <v>3023</v>
      </c>
      <c r="C2297" s="4" t="s">
        <v>2344</v>
      </c>
      <c r="D2297" s="4" t="s">
        <v>237</v>
      </c>
      <c r="E2297" s="4" t="s">
        <v>2435</v>
      </c>
      <c r="F2297" s="4" t="s">
        <v>2434</v>
      </c>
      <c r="G2297" s="4" t="s">
        <v>2263</v>
      </c>
      <c r="H2297" s="9" t="s">
        <v>2263</v>
      </c>
      <c r="I2297" s="4" t="s">
        <v>2263</v>
      </c>
      <c r="J2297" s="4" t="s">
        <v>2263</v>
      </c>
      <c r="K2297" s="4" t="s">
        <v>2433</v>
      </c>
      <c r="L2297" s="10">
        <v>12</v>
      </c>
      <c r="M2297" s="5">
        <v>1849.2706606606607</v>
      </c>
      <c r="N2297" s="5">
        <v>22191.247927927929</v>
      </c>
    </row>
    <row r="2298" spans="1:14" x14ac:dyDescent="0.25">
      <c r="A2298" s="4" t="s">
        <v>2673</v>
      </c>
      <c r="B2298" s="4" t="s">
        <v>2672</v>
      </c>
      <c r="C2298" s="4" t="s">
        <v>2344</v>
      </c>
      <c r="D2298" s="4" t="s">
        <v>237</v>
      </c>
      <c r="E2298" s="4" t="s">
        <v>2435</v>
      </c>
      <c r="F2298" s="4" t="s">
        <v>2434</v>
      </c>
      <c r="G2298" s="4" t="s">
        <v>2263</v>
      </c>
      <c r="H2298" s="9" t="s">
        <v>2263</v>
      </c>
      <c r="I2298" s="4" t="s">
        <v>2263</v>
      </c>
      <c r="J2298" s="4" t="s">
        <v>2263</v>
      </c>
      <c r="K2298" s="4" t="s">
        <v>2433</v>
      </c>
      <c r="L2298" s="10">
        <v>12</v>
      </c>
      <c r="M2298" s="5">
        <v>1849.2706606606607</v>
      </c>
      <c r="N2298" s="5">
        <v>22191.247927927929</v>
      </c>
    </row>
    <row r="2299" spans="1:14" x14ac:dyDescent="0.25">
      <c r="A2299" s="4" t="s">
        <v>2320</v>
      </c>
      <c r="B2299" s="4" t="s">
        <v>4967</v>
      </c>
      <c r="C2299" s="4" t="s">
        <v>2344</v>
      </c>
      <c r="D2299" s="4" t="s">
        <v>237</v>
      </c>
      <c r="E2299" s="4" t="s">
        <v>3180</v>
      </c>
      <c r="F2299" s="4" t="s">
        <v>3179</v>
      </c>
      <c r="G2299" s="4" t="s">
        <v>2263</v>
      </c>
      <c r="H2299" s="9" t="s">
        <v>2263</v>
      </c>
      <c r="I2299" s="4" t="s">
        <v>2263</v>
      </c>
      <c r="J2299" s="4" t="s">
        <v>2263</v>
      </c>
      <c r="K2299" s="4" t="s">
        <v>2582</v>
      </c>
      <c r="L2299" s="10">
        <v>12</v>
      </c>
      <c r="M2299" s="5">
        <v>1854.4881250000001</v>
      </c>
      <c r="N2299" s="5">
        <v>22253.857499999998</v>
      </c>
    </row>
    <row r="2300" spans="1:14" x14ac:dyDescent="0.25">
      <c r="A2300" s="4" t="s">
        <v>2344</v>
      </c>
      <c r="B2300" s="4" t="s">
        <v>5154</v>
      </c>
      <c r="C2300" s="4" t="s">
        <v>2320</v>
      </c>
      <c r="D2300" s="4" t="s">
        <v>242</v>
      </c>
      <c r="E2300" s="4" t="s">
        <v>2899</v>
      </c>
      <c r="F2300" s="4" t="s">
        <v>2898</v>
      </c>
      <c r="G2300" s="4" t="s">
        <v>2263</v>
      </c>
      <c r="H2300" s="9" t="s">
        <v>2263</v>
      </c>
      <c r="I2300" s="4" t="s">
        <v>2317</v>
      </c>
      <c r="J2300" s="4" t="s">
        <v>2316</v>
      </c>
      <c r="K2300" s="4" t="s">
        <v>2263</v>
      </c>
      <c r="L2300" s="10">
        <v>12</v>
      </c>
      <c r="M2300" s="5">
        <v>1936.3739855072463</v>
      </c>
      <c r="N2300" s="5">
        <v>23236.487826086959</v>
      </c>
    </row>
    <row r="2301" spans="1:14" x14ac:dyDescent="0.25">
      <c r="A2301" s="4" t="s">
        <v>2274</v>
      </c>
      <c r="B2301" s="4" t="s">
        <v>4348</v>
      </c>
      <c r="C2301" s="4" t="s">
        <v>2344</v>
      </c>
      <c r="D2301" s="4" t="s">
        <v>237</v>
      </c>
      <c r="E2301" s="4" t="s">
        <v>4835</v>
      </c>
      <c r="F2301" s="4" t="s">
        <v>4834</v>
      </c>
      <c r="G2301" s="4" t="s">
        <v>2263</v>
      </c>
      <c r="H2301" s="9" t="s">
        <v>2263</v>
      </c>
      <c r="I2301" s="4" t="s">
        <v>2263</v>
      </c>
      <c r="J2301" s="4" t="s">
        <v>2263</v>
      </c>
      <c r="K2301" s="4" t="s">
        <v>2591</v>
      </c>
      <c r="L2301" s="10">
        <v>12</v>
      </c>
      <c r="M2301" s="5">
        <v>2217</v>
      </c>
      <c r="N2301" s="5">
        <v>26604</v>
      </c>
    </row>
    <row r="2302" spans="1:14" x14ac:dyDescent="0.25">
      <c r="A2302" s="4" t="s">
        <v>2865</v>
      </c>
      <c r="B2302" s="4" t="s">
        <v>2864</v>
      </c>
      <c r="C2302" s="4" t="s">
        <v>2344</v>
      </c>
      <c r="D2302" s="4" t="s">
        <v>237</v>
      </c>
      <c r="E2302" s="4" t="s">
        <v>2378</v>
      </c>
      <c r="F2302" s="4" t="s">
        <v>2377</v>
      </c>
      <c r="G2302" s="4" t="s">
        <v>2263</v>
      </c>
      <c r="H2302" s="9" t="s">
        <v>2263</v>
      </c>
      <c r="I2302" s="4" t="s">
        <v>2263</v>
      </c>
      <c r="J2302" s="4" t="s">
        <v>2263</v>
      </c>
      <c r="K2302" s="4" t="s">
        <v>2376</v>
      </c>
      <c r="L2302" s="10">
        <v>12</v>
      </c>
      <c r="M2302" s="5">
        <v>2635.2512459283389</v>
      </c>
      <c r="N2302" s="5">
        <v>31623.01495114007</v>
      </c>
    </row>
    <row r="2303" spans="1:14" x14ac:dyDescent="0.25">
      <c r="A2303" s="4" t="s">
        <v>2653</v>
      </c>
      <c r="B2303" s="4" t="s">
        <v>3226</v>
      </c>
      <c r="C2303" s="4" t="s">
        <v>3801</v>
      </c>
      <c r="D2303" s="4" t="s">
        <v>3800</v>
      </c>
      <c r="E2303" s="4" t="s">
        <v>3817</v>
      </c>
      <c r="F2303" s="4" t="s">
        <v>3816</v>
      </c>
      <c r="G2303" s="4" t="s">
        <v>2263</v>
      </c>
      <c r="H2303" s="9" t="s">
        <v>2263</v>
      </c>
      <c r="I2303" s="4" t="s">
        <v>2317</v>
      </c>
      <c r="J2303" s="4" t="s">
        <v>2316</v>
      </c>
      <c r="K2303" s="4" t="s">
        <v>2263</v>
      </c>
      <c r="L2303" s="10">
        <v>12</v>
      </c>
      <c r="M2303" s="5">
        <v>2916</v>
      </c>
      <c r="N2303" s="5">
        <v>34992</v>
      </c>
    </row>
    <row r="2304" spans="1:14" x14ac:dyDescent="0.25">
      <c r="A2304" s="4" t="s">
        <v>2269</v>
      </c>
      <c r="B2304" s="4" t="s">
        <v>2268</v>
      </c>
      <c r="C2304" s="4" t="s">
        <v>2344</v>
      </c>
      <c r="D2304" s="4" t="s">
        <v>237</v>
      </c>
      <c r="E2304" s="4" t="s">
        <v>2343</v>
      </c>
      <c r="F2304" s="4" t="s">
        <v>2342</v>
      </c>
      <c r="G2304" s="4" t="s">
        <v>2263</v>
      </c>
      <c r="H2304" s="9" t="s">
        <v>2263</v>
      </c>
      <c r="I2304" s="4" t="s">
        <v>2263</v>
      </c>
      <c r="J2304" s="4" t="s">
        <v>2263</v>
      </c>
      <c r="K2304" s="4" t="s">
        <v>2341</v>
      </c>
      <c r="L2304" s="10">
        <v>12</v>
      </c>
      <c r="M2304" s="5">
        <v>3124.7857142857142</v>
      </c>
      <c r="N2304" s="5">
        <v>37497.428571428572</v>
      </c>
    </row>
    <row r="2305" spans="1:14" x14ac:dyDescent="0.25">
      <c r="A2305" s="4" t="s">
        <v>2344</v>
      </c>
      <c r="B2305" s="4" t="s">
        <v>5154</v>
      </c>
      <c r="C2305" s="4" t="s">
        <v>2320</v>
      </c>
      <c r="D2305" s="4" t="s">
        <v>242</v>
      </c>
      <c r="E2305" s="4" t="s">
        <v>2406</v>
      </c>
      <c r="F2305" s="4" t="s">
        <v>2405</v>
      </c>
      <c r="G2305" s="4" t="s">
        <v>2263</v>
      </c>
      <c r="H2305" s="9" t="s">
        <v>2263</v>
      </c>
      <c r="I2305" s="4" t="s">
        <v>2317</v>
      </c>
      <c r="J2305" s="4" t="s">
        <v>2316</v>
      </c>
      <c r="K2305" s="4" t="s">
        <v>2263</v>
      </c>
      <c r="L2305" s="10">
        <v>12</v>
      </c>
      <c r="M2305" s="5">
        <v>3147.4638144329897</v>
      </c>
      <c r="N2305" s="5">
        <v>37769.565773195878</v>
      </c>
    </row>
    <row r="2306" spans="1:14" x14ac:dyDescent="0.25">
      <c r="A2306" s="4" t="s">
        <v>2344</v>
      </c>
      <c r="B2306" s="4" t="s">
        <v>5154</v>
      </c>
      <c r="C2306" s="4" t="s">
        <v>2267</v>
      </c>
      <c r="D2306" s="4" t="s">
        <v>2266</v>
      </c>
      <c r="E2306" s="4" t="s">
        <v>5201</v>
      </c>
      <c r="F2306" s="4" t="s">
        <v>2502</v>
      </c>
      <c r="G2306" s="4" t="s">
        <v>2263</v>
      </c>
      <c r="H2306" s="9" t="s">
        <v>2263</v>
      </c>
      <c r="I2306" s="4" t="s">
        <v>2263</v>
      </c>
      <c r="J2306" s="4" t="s">
        <v>2263</v>
      </c>
      <c r="K2306" s="4" t="s">
        <v>2494</v>
      </c>
      <c r="L2306" s="10">
        <v>12</v>
      </c>
      <c r="M2306" s="5">
        <v>4356.7533333333331</v>
      </c>
      <c r="N2306" s="5">
        <v>52281.04</v>
      </c>
    </row>
    <row r="2307" spans="1:14" x14ac:dyDescent="0.25">
      <c r="A2307" s="4" t="s">
        <v>2344</v>
      </c>
      <c r="B2307" s="4" t="s">
        <v>5154</v>
      </c>
      <c r="C2307" s="4" t="s">
        <v>2317</v>
      </c>
      <c r="D2307" s="4" t="s">
        <v>2516</v>
      </c>
      <c r="E2307" s="4" t="s">
        <v>5206</v>
      </c>
      <c r="F2307" s="4" t="s">
        <v>4435</v>
      </c>
      <c r="G2307" s="4" t="s">
        <v>2263</v>
      </c>
      <c r="H2307" s="9" t="s">
        <v>2263</v>
      </c>
      <c r="I2307" s="4" t="s">
        <v>2263</v>
      </c>
      <c r="J2307" s="4" t="s">
        <v>2263</v>
      </c>
      <c r="K2307" s="4" t="s">
        <v>2345</v>
      </c>
      <c r="L2307" s="10">
        <v>12</v>
      </c>
      <c r="M2307" s="5">
        <v>4406.1499999999996</v>
      </c>
      <c r="N2307" s="5">
        <v>52873.8</v>
      </c>
    </row>
    <row r="2308" spans="1:14" x14ac:dyDescent="0.25">
      <c r="A2308" s="4" t="s">
        <v>2274</v>
      </c>
      <c r="B2308" s="4" t="s">
        <v>4348</v>
      </c>
      <c r="C2308" s="4" t="s">
        <v>2344</v>
      </c>
      <c r="D2308" s="4" t="s">
        <v>237</v>
      </c>
      <c r="E2308" s="4" t="s">
        <v>4575</v>
      </c>
      <c r="F2308" s="4" t="s">
        <v>4574</v>
      </c>
      <c r="G2308" s="4" t="s">
        <v>2263</v>
      </c>
      <c r="H2308" s="9" t="s">
        <v>2263</v>
      </c>
      <c r="I2308" s="4" t="s">
        <v>2263</v>
      </c>
      <c r="J2308" s="4" t="s">
        <v>2263</v>
      </c>
      <c r="K2308" s="4" t="s">
        <v>4573</v>
      </c>
      <c r="L2308" s="10">
        <v>12</v>
      </c>
      <c r="M2308" s="5">
        <v>4749.7633333333333</v>
      </c>
      <c r="N2308" s="5">
        <v>56997.16</v>
      </c>
    </row>
    <row r="2309" spans="1:14" x14ac:dyDescent="0.25">
      <c r="A2309" s="4" t="s">
        <v>2274</v>
      </c>
      <c r="B2309" s="4" t="s">
        <v>4348</v>
      </c>
      <c r="C2309" s="4" t="s">
        <v>2344</v>
      </c>
      <c r="D2309" s="4" t="s">
        <v>237</v>
      </c>
      <c r="E2309" s="4" t="s">
        <v>4561</v>
      </c>
      <c r="F2309" s="4" t="s">
        <v>4560</v>
      </c>
      <c r="G2309" s="4" t="s">
        <v>2263</v>
      </c>
      <c r="H2309" s="9" t="s">
        <v>2263</v>
      </c>
      <c r="I2309" s="4" t="s">
        <v>2263</v>
      </c>
      <c r="J2309" s="4" t="s">
        <v>2263</v>
      </c>
      <c r="K2309" s="4" t="s">
        <v>4559</v>
      </c>
      <c r="L2309" s="10">
        <v>12</v>
      </c>
      <c r="M2309" s="5">
        <v>5875</v>
      </c>
      <c r="N2309" s="5">
        <v>70500</v>
      </c>
    </row>
    <row r="2310" spans="1:14" x14ac:dyDescent="0.25">
      <c r="A2310" s="4" t="s">
        <v>2274</v>
      </c>
      <c r="B2310" s="4" t="s">
        <v>4348</v>
      </c>
      <c r="C2310" s="4" t="s">
        <v>2344</v>
      </c>
      <c r="D2310" s="4" t="s">
        <v>237</v>
      </c>
      <c r="E2310" s="4" t="s">
        <v>4746</v>
      </c>
      <c r="F2310" s="4" t="s">
        <v>4745</v>
      </c>
      <c r="G2310" s="4" t="s">
        <v>2263</v>
      </c>
      <c r="H2310" s="9" t="s">
        <v>2263</v>
      </c>
      <c r="I2310" s="4" t="s">
        <v>2263</v>
      </c>
      <c r="J2310" s="4" t="s">
        <v>2263</v>
      </c>
      <c r="K2310" s="4" t="s">
        <v>4744</v>
      </c>
      <c r="L2310" s="10">
        <v>12</v>
      </c>
      <c r="M2310" s="5">
        <v>5985.3670588235291</v>
      </c>
      <c r="N2310" s="5">
        <v>71824.404705882349</v>
      </c>
    </row>
    <row r="2311" spans="1:14" x14ac:dyDescent="0.25">
      <c r="A2311" s="4" t="s">
        <v>2320</v>
      </c>
      <c r="B2311" s="4" t="s">
        <v>4967</v>
      </c>
      <c r="C2311" s="4" t="s">
        <v>2320</v>
      </c>
      <c r="D2311" s="4" t="s">
        <v>242</v>
      </c>
      <c r="E2311" s="4" t="s">
        <v>3907</v>
      </c>
      <c r="F2311" s="4" t="s">
        <v>3906</v>
      </c>
      <c r="G2311" s="4" t="s">
        <v>2263</v>
      </c>
      <c r="H2311" s="9" t="s">
        <v>2263</v>
      </c>
      <c r="I2311" s="4" t="s">
        <v>2317</v>
      </c>
      <c r="J2311" s="4" t="s">
        <v>2316</v>
      </c>
      <c r="K2311" s="4" t="s">
        <v>2263</v>
      </c>
      <c r="L2311" s="10">
        <v>12</v>
      </c>
      <c r="M2311" s="5">
        <v>7120.3655555555551</v>
      </c>
      <c r="N2311" s="5">
        <v>85444.386666666673</v>
      </c>
    </row>
    <row r="2312" spans="1:14" x14ac:dyDescent="0.25">
      <c r="A2312" s="4" t="s">
        <v>2317</v>
      </c>
      <c r="B2312" s="4" t="s">
        <v>3839</v>
      </c>
      <c r="C2312" s="4" t="s">
        <v>2320</v>
      </c>
      <c r="D2312" s="4" t="s">
        <v>242</v>
      </c>
      <c r="E2312" s="4" t="s">
        <v>3925</v>
      </c>
      <c r="F2312" s="4" t="s">
        <v>3924</v>
      </c>
      <c r="G2312" s="4" t="s">
        <v>2263</v>
      </c>
      <c r="H2312" s="9" t="s">
        <v>2263</v>
      </c>
      <c r="I2312" s="4" t="s">
        <v>2317</v>
      </c>
      <c r="J2312" s="4" t="s">
        <v>2316</v>
      </c>
      <c r="K2312" s="4" t="s">
        <v>2263</v>
      </c>
      <c r="L2312" s="10">
        <v>12</v>
      </c>
      <c r="M2312" s="5">
        <v>7423.5372413793102</v>
      </c>
      <c r="N2312" s="5">
        <v>89082.446896551715</v>
      </c>
    </row>
    <row r="2313" spans="1:14" x14ac:dyDescent="0.25">
      <c r="A2313" s="4" t="s">
        <v>2653</v>
      </c>
      <c r="B2313" s="4" t="s">
        <v>3226</v>
      </c>
      <c r="C2313" s="4" t="s">
        <v>3107</v>
      </c>
      <c r="D2313" s="4" t="s">
        <v>1105</v>
      </c>
      <c r="E2313" s="4" t="s">
        <v>3649</v>
      </c>
      <c r="F2313" s="4" t="s">
        <v>3648</v>
      </c>
      <c r="G2313" s="4" t="s">
        <v>2263</v>
      </c>
      <c r="H2313" s="9" t="s">
        <v>2263</v>
      </c>
      <c r="I2313" s="4" t="s">
        <v>2317</v>
      </c>
      <c r="J2313" s="4" t="s">
        <v>2316</v>
      </c>
      <c r="K2313" s="4" t="s">
        <v>2263</v>
      </c>
      <c r="L2313" s="10">
        <v>12</v>
      </c>
      <c r="M2313" s="5">
        <v>7569.666666666667</v>
      </c>
      <c r="N2313" s="5">
        <v>90836</v>
      </c>
    </row>
    <row r="2314" spans="1:14" x14ac:dyDescent="0.25">
      <c r="A2314" s="4" t="s">
        <v>2320</v>
      </c>
      <c r="B2314" s="4" t="s">
        <v>4967</v>
      </c>
      <c r="C2314" s="4" t="s">
        <v>2320</v>
      </c>
      <c r="D2314" s="4" t="s">
        <v>242</v>
      </c>
      <c r="E2314" s="4" t="s">
        <v>3963</v>
      </c>
      <c r="F2314" s="4" t="s">
        <v>3962</v>
      </c>
      <c r="G2314" s="4" t="s">
        <v>2263</v>
      </c>
      <c r="H2314" s="9" t="s">
        <v>2263</v>
      </c>
      <c r="I2314" s="4" t="s">
        <v>2317</v>
      </c>
      <c r="J2314" s="4" t="s">
        <v>2316</v>
      </c>
      <c r="K2314" s="4" t="s">
        <v>2263</v>
      </c>
      <c r="L2314" s="10">
        <v>12</v>
      </c>
      <c r="M2314" s="5">
        <v>8998.1188888888901</v>
      </c>
      <c r="N2314" s="5">
        <v>107977.42666666668</v>
      </c>
    </row>
    <row r="2315" spans="1:14" x14ac:dyDescent="0.25">
      <c r="A2315" s="4" t="s">
        <v>2317</v>
      </c>
      <c r="B2315" s="4" t="s">
        <v>3839</v>
      </c>
      <c r="C2315" s="4" t="s">
        <v>2320</v>
      </c>
      <c r="D2315" s="4" t="s">
        <v>242</v>
      </c>
      <c r="E2315" s="4" t="s">
        <v>3977</v>
      </c>
      <c r="F2315" s="4" t="s">
        <v>3976</v>
      </c>
      <c r="G2315" s="4" t="s">
        <v>2263</v>
      </c>
      <c r="H2315" s="9" t="s">
        <v>2263</v>
      </c>
      <c r="I2315" s="4" t="s">
        <v>2317</v>
      </c>
      <c r="J2315" s="4" t="s">
        <v>2316</v>
      </c>
      <c r="K2315" s="4" t="s">
        <v>2263</v>
      </c>
      <c r="L2315" s="10">
        <v>12</v>
      </c>
      <c r="M2315" s="5">
        <v>9011.8305555555562</v>
      </c>
      <c r="N2315" s="5">
        <v>108141.96666666667</v>
      </c>
    </row>
    <row r="2316" spans="1:14" x14ac:dyDescent="0.25">
      <c r="A2316" s="4" t="s">
        <v>2317</v>
      </c>
      <c r="B2316" s="4" t="s">
        <v>3839</v>
      </c>
      <c r="C2316" s="4" t="s">
        <v>2320</v>
      </c>
      <c r="D2316" s="4" t="s">
        <v>242</v>
      </c>
      <c r="E2316" s="4" t="s">
        <v>3975</v>
      </c>
      <c r="F2316" s="4" t="s">
        <v>3974</v>
      </c>
      <c r="G2316" s="4" t="s">
        <v>2263</v>
      </c>
      <c r="H2316" s="9" t="s">
        <v>2263</v>
      </c>
      <c r="I2316" s="4" t="s">
        <v>2317</v>
      </c>
      <c r="J2316" s="4" t="s">
        <v>2316</v>
      </c>
      <c r="K2316" s="4" t="s">
        <v>2263</v>
      </c>
      <c r="L2316" s="10">
        <v>12</v>
      </c>
      <c r="M2316" s="5">
        <v>9360.9473684210516</v>
      </c>
      <c r="N2316" s="5">
        <v>112331.36842105264</v>
      </c>
    </row>
    <row r="2317" spans="1:14" x14ac:dyDescent="0.25">
      <c r="A2317" s="4" t="s">
        <v>2317</v>
      </c>
      <c r="B2317" s="4" t="s">
        <v>3839</v>
      </c>
      <c r="C2317" s="4" t="s">
        <v>2320</v>
      </c>
      <c r="D2317" s="4" t="s">
        <v>242</v>
      </c>
      <c r="E2317" s="4" t="s">
        <v>4315</v>
      </c>
      <c r="F2317" s="4" t="s">
        <v>4314</v>
      </c>
      <c r="G2317" s="4" t="s">
        <v>2263</v>
      </c>
      <c r="H2317" s="9" t="s">
        <v>2263</v>
      </c>
      <c r="I2317" s="4" t="s">
        <v>2317</v>
      </c>
      <c r="J2317" s="4" t="s">
        <v>2316</v>
      </c>
      <c r="K2317" s="4" t="s">
        <v>2263</v>
      </c>
      <c r="L2317" s="10">
        <v>12</v>
      </c>
      <c r="M2317" s="5">
        <v>10061.055555555555</v>
      </c>
      <c r="N2317" s="5">
        <v>120732.66666666669</v>
      </c>
    </row>
    <row r="2318" spans="1:14" x14ac:dyDescent="0.25">
      <c r="A2318" s="4" t="s">
        <v>2344</v>
      </c>
      <c r="B2318" s="4" t="s">
        <v>5154</v>
      </c>
      <c r="C2318" s="4" t="s">
        <v>2320</v>
      </c>
      <c r="D2318" s="4" t="s">
        <v>242</v>
      </c>
      <c r="E2318" s="4" t="s">
        <v>2717</v>
      </c>
      <c r="F2318" s="4" t="s">
        <v>2716</v>
      </c>
      <c r="G2318" s="4" t="s">
        <v>2263</v>
      </c>
      <c r="H2318" s="9" t="s">
        <v>2263</v>
      </c>
      <c r="I2318" s="4" t="s">
        <v>2317</v>
      </c>
      <c r="J2318" s="4" t="s">
        <v>2316</v>
      </c>
      <c r="K2318" s="4" t="s">
        <v>2263</v>
      </c>
      <c r="L2318" s="10">
        <v>12</v>
      </c>
      <c r="M2318" s="5">
        <v>10302.013482142856</v>
      </c>
      <c r="N2318" s="5">
        <v>123624.16178571428</v>
      </c>
    </row>
    <row r="2319" spans="1:14" x14ac:dyDescent="0.25">
      <c r="A2319" s="4" t="s">
        <v>2653</v>
      </c>
      <c r="B2319" s="4" t="s">
        <v>3226</v>
      </c>
      <c r="C2319" s="4" t="s">
        <v>3196</v>
      </c>
      <c r="D2319" s="4" t="s">
        <v>254</v>
      </c>
      <c r="E2319" s="4" t="s">
        <v>3564</v>
      </c>
      <c r="F2319" s="4" t="s">
        <v>3563</v>
      </c>
      <c r="G2319" s="4" t="s">
        <v>2263</v>
      </c>
      <c r="H2319" s="9" t="s">
        <v>2263</v>
      </c>
      <c r="I2319" s="4" t="s">
        <v>2317</v>
      </c>
      <c r="J2319" s="4" t="s">
        <v>2316</v>
      </c>
      <c r="K2319" s="4" t="s">
        <v>2263</v>
      </c>
      <c r="L2319" s="10">
        <v>12</v>
      </c>
      <c r="M2319" s="5">
        <v>11200</v>
      </c>
      <c r="N2319" s="5">
        <v>134400</v>
      </c>
    </row>
    <row r="2320" spans="1:14" x14ac:dyDescent="0.25">
      <c r="A2320" s="4" t="s">
        <v>2317</v>
      </c>
      <c r="B2320" s="4" t="s">
        <v>3839</v>
      </c>
      <c r="C2320" s="4" t="s">
        <v>2320</v>
      </c>
      <c r="D2320" s="4" t="s">
        <v>242</v>
      </c>
      <c r="E2320" s="4" t="s">
        <v>3943</v>
      </c>
      <c r="F2320" s="4" t="s">
        <v>3942</v>
      </c>
      <c r="G2320" s="4" t="s">
        <v>2263</v>
      </c>
      <c r="H2320" s="9" t="s">
        <v>2263</v>
      </c>
      <c r="I2320" s="4" t="s">
        <v>2317</v>
      </c>
      <c r="J2320" s="4" t="s">
        <v>2316</v>
      </c>
      <c r="K2320" s="4" t="s">
        <v>2263</v>
      </c>
      <c r="L2320" s="10">
        <v>12</v>
      </c>
      <c r="M2320" s="5">
        <v>11583.361842105262</v>
      </c>
      <c r="N2320" s="5">
        <v>139000.34210526315</v>
      </c>
    </row>
    <row r="2321" spans="1:14" x14ac:dyDescent="0.25">
      <c r="A2321" s="4" t="s">
        <v>2317</v>
      </c>
      <c r="B2321" s="4" t="s">
        <v>3839</v>
      </c>
      <c r="C2321" s="4" t="s">
        <v>2320</v>
      </c>
      <c r="D2321" s="4" t="s">
        <v>242</v>
      </c>
      <c r="E2321" s="4" t="s">
        <v>3961</v>
      </c>
      <c r="F2321" s="4" t="s">
        <v>3960</v>
      </c>
      <c r="G2321" s="4" t="s">
        <v>2263</v>
      </c>
      <c r="H2321" s="9" t="s">
        <v>2263</v>
      </c>
      <c r="I2321" s="4" t="s">
        <v>2317</v>
      </c>
      <c r="J2321" s="4" t="s">
        <v>2316</v>
      </c>
      <c r="K2321" s="4" t="s">
        <v>2263</v>
      </c>
      <c r="L2321" s="10">
        <v>12</v>
      </c>
      <c r="M2321" s="5">
        <v>12691.384705882354</v>
      </c>
      <c r="N2321" s="5">
        <v>152296.61647058823</v>
      </c>
    </row>
    <row r="2322" spans="1:14" x14ac:dyDescent="0.25">
      <c r="A2322" s="4" t="s">
        <v>2317</v>
      </c>
      <c r="B2322" s="4" t="s">
        <v>3839</v>
      </c>
      <c r="C2322" s="4" t="s">
        <v>2320</v>
      </c>
      <c r="D2322" s="4" t="s">
        <v>242</v>
      </c>
      <c r="E2322" s="4" t="s">
        <v>3939</v>
      </c>
      <c r="F2322" s="4" t="s">
        <v>3938</v>
      </c>
      <c r="G2322" s="4" t="s">
        <v>2263</v>
      </c>
      <c r="H2322" s="9" t="s">
        <v>2263</v>
      </c>
      <c r="I2322" s="4" t="s">
        <v>2317</v>
      </c>
      <c r="J2322" s="4" t="s">
        <v>2316</v>
      </c>
      <c r="K2322" s="4" t="s">
        <v>2263</v>
      </c>
      <c r="L2322" s="10">
        <v>12</v>
      </c>
      <c r="M2322" s="5">
        <v>14371.732413793105</v>
      </c>
      <c r="N2322" s="5">
        <v>172460.78896551725</v>
      </c>
    </row>
    <row r="2323" spans="1:14" x14ac:dyDescent="0.25">
      <c r="A2323" s="4" t="s">
        <v>2320</v>
      </c>
      <c r="B2323" s="4" t="s">
        <v>4967</v>
      </c>
      <c r="C2323" s="4" t="s">
        <v>2320</v>
      </c>
      <c r="D2323" s="4" t="s">
        <v>242</v>
      </c>
      <c r="E2323" s="4" t="s">
        <v>3973</v>
      </c>
      <c r="F2323" s="4" t="s">
        <v>3972</v>
      </c>
      <c r="G2323" s="4" t="s">
        <v>2263</v>
      </c>
      <c r="H2323" s="9" t="s">
        <v>2263</v>
      </c>
      <c r="I2323" s="4" t="s">
        <v>2317</v>
      </c>
      <c r="J2323" s="4" t="s">
        <v>2316</v>
      </c>
      <c r="K2323" s="4" t="s">
        <v>2263</v>
      </c>
      <c r="L2323" s="10">
        <v>12</v>
      </c>
      <c r="M2323" s="5">
        <v>14660.791666666666</v>
      </c>
      <c r="N2323" s="5">
        <v>175929.5</v>
      </c>
    </row>
    <row r="2324" spans="1:14" x14ac:dyDescent="0.25">
      <c r="A2324" s="4" t="s">
        <v>2317</v>
      </c>
      <c r="B2324" s="4" t="s">
        <v>3839</v>
      </c>
      <c r="C2324" s="4" t="s">
        <v>2320</v>
      </c>
      <c r="D2324" s="4" t="s">
        <v>242</v>
      </c>
      <c r="E2324" s="4" t="s">
        <v>3973</v>
      </c>
      <c r="F2324" s="4" t="s">
        <v>3972</v>
      </c>
      <c r="G2324" s="4" t="s">
        <v>2263</v>
      </c>
      <c r="H2324" s="9" t="s">
        <v>2263</v>
      </c>
      <c r="I2324" s="4" t="s">
        <v>2317</v>
      </c>
      <c r="J2324" s="4" t="s">
        <v>2316</v>
      </c>
      <c r="K2324" s="4" t="s">
        <v>2263</v>
      </c>
      <c r="L2324" s="10">
        <v>12</v>
      </c>
      <c r="M2324" s="5">
        <v>14660.791666666666</v>
      </c>
      <c r="N2324" s="5">
        <v>175929.5</v>
      </c>
    </row>
    <row r="2325" spans="1:14" x14ac:dyDescent="0.25">
      <c r="A2325" s="4" t="s">
        <v>2320</v>
      </c>
      <c r="B2325" s="4" t="s">
        <v>4967</v>
      </c>
      <c r="C2325" s="4" t="s">
        <v>2320</v>
      </c>
      <c r="D2325" s="4" t="s">
        <v>242</v>
      </c>
      <c r="E2325" s="4" t="s">
        <v>3971</v>
      </c>
      <c r="F2325" s="4" t="s">
        <v>3970</v>
      </c>
      <c r="G2325" s="4" t="s">
        <v>2263</v>
      </c>
      <c r="H2325" s="9" t="s">
        <v>2263</v>
      </c>
      <c r="I2325" s="4" t="s">
        <v>2317</v>
      </c>
      <c r="J2325" s="4" t="s">
        <v>2316</v>
      </c>
      <c r="K2325" s="4" t="s">
        <v>2263</v>
      </c>
      <c r="L2325" s="10">
        <v>12</v>
      </c>
      <c r="M2325" s="5">
        <v>15750</v>
      </c>
      <c r="N2325" s="5">
        <v>189000</v>
      </c>
    </row>
    <row r="2326" spans="1:14" x14ac:dyDescent="0.25">
      <c r="A2326" s="4" t="s">
        <v>2320</v>
      </c>
      <c r="B2326" s="4" t="s">
        <v>4967</v>
      </c>
      <c r="C2326" s="4" t="s">
        <v>2320</v>
      </c>
      <c r="D2326" s="4" t="s">
        <v>242</v>
      </c>
      <c r="E2326" s="4" t="s">
        <v>3899</v>
      </c>
      <c r="F2326" s="4" t="s">
        <v>3898</v>
      </c>
      <c r="G2326" s="4" t="s">
        <v>2263</v>
      </c>
      <c r="H2326" s="9" t="s">
        <v>2263</v>
      </c>
      <c r="I2326" s="4" t="s">
        <v>2317</v>
      </c>
      <c r="J2326" s="4" t="s">
        <v>2316</v>
      </c>
      <c r="K2326" s="4" t="s">
        <v>2263</v>
      </c>
      <c r="L2326" s="10">
        <v>12</v>
      </c>
      <c r="M2326" s="5">
        <v>18788.875</v>
      </c>
      <c r="N2326" s="5">
        <v>225466.5</v>
      </c>
    </row>
    <row r="2327" spans="1:14" x14ac:dyDescent="0.25">
      <c r="A2327" s="4" t="s">
        <v>2317</v>
      </c>
      <c r="B2327" s="4" t="s">
        <v>3839</v>
      </c>
      <c r="C2327" s="4" t="s">
        <v>2320</v>
      </c>
      <c r="D2327" s="4" t="s">
        <v>242</v>
      </c>
      <c r="E2327" s="4" t="s">
        <v>3899</v>
      </c>
      <c r="F2327" s="4" t="s">
        <v>3898</v>
      </c>
      <c r="G2327" s="4" t="s">
        <v>2263</v>
      </c>
      <c r="H2327" s="9" t="s">
        <v>2263</v>
      </c>
      <c r="I2327" s="4" t="s">
        <v>2317</v>
      </c>
      <c r="J2327" s="4" t="s">
        <v>2316</v>
      </c>
      <c r="K2327" s="4" t="s">
        <v>2263</v>
      </c>
      <c r="L2327" s="10">
        <v>12</v>
      </c>
      <c r="M2327" s="5">
        <v>18788.875</v>
      </c>
      <c r="N2327" s="5">
        <v>225466.5</v>
      </c>
    </row>
    <row r="2328" spans="1:14" x14ac:dyDescent="0.25">
      <c r="A2328" s="4" t="s">
        <v>2320</v>
      </c>
      <c r="B2328" s="4" t="s">
        <v>4967</v>
      </c>
      <c r="C2328" s="4" t="s">
        <v>2320</v>
      </c>
      <c r="D2328" s="4" t="s">
        <v>242</v>
      </c>
      <c r="E2328" s="4" t="s">
        <v>3881</v>
      </c>
      <c r="F2328" s="4" t="s">
        <v>3880</v>
      </c>
      <c r="G2328" s="4" t="s">
        <v>2263</v>
      </c>
      <c r="H2328" s="9" t="s">
        <v>2263</v>
      </c>
      <c r="I2328" s="4" t="s">
        <v>2317</v>
      </c>
      <c r="J2328" s="4" t="s">
        <v>2316</v>
      </c>
      <c r="K2328" s="4" t="s">
        <v>2263</v>
      </c>
      <c r="L2328" s="10">
        <v>12</v>
      </c>
      <c r="M2328" s="5">
        <v>18832.731374999999</v>
      </c>
      <c r="N2328" s="5">
        <v>225992.77650000001</v>
      </c>
    </row>
    <row r="2329" spans="1:14" x14ac:dyDescent="0.25">
      <c r="A2329" s="4" t="s">
        <v>2344</v>
      </c>
      <c r="B2329" s="4" t="s">
        <v>5154</v>
      </c>
      <c r="C2329" s="4" t="s">
        <v>2320</v>
      </c>
      <c r="D2329" s="4" t="s">
        <v>242</v>
      </c>
      <c r="E2329" s="4" t="s">
        <v>4131</v>
      </c>
      <c r="F2329" s="4" t="s">
        <v>4130</v>
      </c>
      <c r="G2329" s="4" t="s">
        <v>2263</v>
      </c>
      <c r="H2329" s="9" t="s">
        <v>2263</v>
      </c>
      <c r="I2329" s="4" t="s">
        <v>2317</v>
      </c>
      <c r="J2329" s="4" t="s">
        <v>2316</v>
      </c>
      <c r="K2329" s="4" t="s">
        <v>2263</v>
      </c>
      <c r="L2329" s="10">
        <v>12</v>
      </c>
      <c r="M2329" s="5">
        <v>21103.222727272725</v>
      </c>
      <c r="N2329" s="5">
        <v>253238.67272727273</v>
      </c>
    </row>
    <row r="2330" spans="1:14" x14ac:dyDescent="0.25">
      <c r="A2330" s="4" t="s">
        <v>2865</v>
      </c>
      <c r="B2330" s="4" t="s">
        <v>2864</v>
      </c>
      <c r="C2330" s="4" t="s">
        <v>2320</v>
      </c>
      <c r="D2330" s="4" t="s">
        <v>242</v>
      </c>
      <c r="E2330" s="4" t="s">
        <v>2877</v>
      </c>
      <c r="F2330" s="4" t="s">
        <v>2876</v>
      </c>
      <c r="G2330" s="4" t="s">
        <v>2263</v>
      </c>
      <c r="H2330" s="9" t="s">
        <v>2263</v>
      </c>
      <c r="I2330" s="4" t="s">
        <v>2317</v>
      </c>
      <c r="J2330" s="4" t="s">
        <v>2316</v>
      </c>
      <c r="K2330" s="4" t="s">
        <v>2263</v>
      </c>
      <c r="L2330" s="10">
        <v>12</v>
      </c>
      <c r="M2330" s="5">
        <v>26231.993161764709</v>
      </c>
      <c r="N2330" s="5">
        <v>314783.91794117651</v>
      </c>
    </row>
    <row r="2331" spans="1:14" x14ac:dyDescent="0.25">
      <c r="A2331" s="4" t="s">
        <v>2320</v>
      </c>
      <c r="B2331" s="4" t="s">
        <v>4967</v>
      </c>
      <c r="C2331" s="4" t="s">
        <v>2344</v>
      </c>
      <c r="D2331" s="4" t="s">
        <v>237</v>
      </c>
      <c r="E2331" s="4" t="s">
        <v>4722</v>
      </c>
      <c r="F2331" s="4" t="s">
        <v>4721</v>
      </c>
      <c r="G2331" s="4" t="s">
        <v>2263</v>
      </c>
      <c r="H2331" s="9" t="s">
        <v>2263</v>
      </c>
      <c r="I2331" s="4" t="s">
        <v>2263</v>
      </c>
      <c r="J2331" s="4" t="s">
        <v>2263</v>
      </c>
      <c r="K2331" s="4" t="s">
        <v>2559</v>
      </c>
      <c r="L2331" s="10">
        <v>12</v>
      </c>
      <c r="M2331" s="5">
        <v>26687.623787878791</v>
      </c>
      <c r="N2331" s="5">
        <v>320251.48545454541</v>
      </c>
    </row>
    <row r="2332" spans="1:14" x14ac:dyDescent="0.25">
      <c r="A2332" s="4" t="s">
        <v>2344</v>
      </c>
      <c r="B2332" s="4" t="s">
        <v>5154</v>
      </c>
      <c r="C2332" s="4" t="s">
        <v>2344</v>
      </c>
      <c r="D2332" s="4" t="s">
        <v>237</v>
      </c>
      <c r="E2332" s="4" t="s">
        <v>4638</v>
      </c>
      <c r="F2332" s="4" t="s">
        <v>4517</v>
      </c>
      <c r="G2332" s="4" t="s">
        <v>2263</v>
      </c>
      <c r="H2332" s="9" t="s">
        <v>2263</v>
      </c>
      <c r="I2332" s="4" t="s">
        <v>2263</v>
      </c>
      <c r="J2332" s="4" t="s">
        <v>2263</v>
      </c>
      <c r="K2332" s="4" t="s">
        <v>2465</v>
      </c>
      <c r="L2332" s="10">
        <v>12</v>
      </c>
      <c r="M2332" s="5">
        <v>26826.743333333332</v>
      </c>
      <c r="N2332" s="5">
        <v>321920.92</v>
      </c>
    </row>
    <row r="2333" spans="1:14" x14ac:dyDescent="0.25">
      <c r="A2333" s="4" t="s">
        <v>2344</v>
      </c>
      <c r="B2333" s="4" t="s">
        <v>5154</v>
      </c>
      <c r="C2333" s="4" t="s">
        <v>2320</v>
      </c>
      <c r="D2333" s="4" t="s">
        <v>242</v>
      </c>
      <c r="E2333" s="4" t="s">
        <v>3016</v>
      </c>
      <c r="F2333" s="4" t="s">
        <v>3015</v>
      </c>
      <c r="G2333" s="4" t="s">
        <v>2263</v>
      </c>
      <c r="H2333" s="9" t="s">
        <v>2263</v>
      </c>
      <c r="I2333" s="4" t="s">
        <v>2317</v>
      </c>
      <c r="J2333" s="4" t="s">
        <v>2316</v>
      </c>
      <c r="K2333" s="4" t="s">
        <v>2263</v>
      </c>
      <c r="L2333" s="10">
        <v>12</v>
      </c>
      <c r="M2333" s="5">
        <v>28816.730454545454</v>
      </c>
      <c r="N2333" s="5">
        <v>345800.76545454544</v>
      </c>
    </row>
    <row r="2334" spans="1:14" x14ac:dyDescent="0.25">
      <c r="A2334" s="4" t="s">
        <v>2317</v>
      </c>
      <c r="B2334" s="4" t="s">
        <v>3839</v>
      </c>
      <c r="C2334" s="4" t="s">
        <v>2320</v>
      </c>
      <c r="D2334" s="4" t="s">
        <v>242</v>
      </c>
      <c r="E2334" s="4" t="s">
        <v>4317</v>
      </c>
      <c r="F2334" s="4" t="s">
        <v>4316</v>
      </c>
      <c r="G2334" s="4" t="s">
        <v>2263</v>
      </c>
      <c r="H2334" s="9" t="s">
        <v>2263</v>
      </c>
      <c r="I2334" s="4" t="s">
        <v>2317</v>
      </c>
      <c r="J2334" s="4" t="s">
        <v>2316</v>
      </c>
      <c r="K2334" s="4" t="s">
        <v>2263</v>
      </c>
      <c r="L2334" s="10">
        <v>12</v>
      </c>
      <c r="M2334" s="5">
        <v>29465</v>
      </c>
      <c r="N2334" s="5">
        <v>353580</v>
      </c>
    </row>
    <row r="2335" spans="1:14" x14ac:dyDescent="0.25">
      <c r="A2335" s="4" t="s">
        <v>2653</v>
      </c>
      <c r="B2335" s="4" t="s">
        <v>3226</v>
      </c>
      <c r="C2335" s="4" t="s">
        <v>2384</v>
      </c>
      <c r="D2335" s="4" t="s">
        <v>262</v>
      </c>
      <c r="E2335" s="4" t="s">
        <v>3448</v>
      </c>
      <c r="F2335" s="4" t="s">
        <v>3447</v>
      </c>
      <c r="G2335" s="4" t="s">
        <v>2263</v>
      </c>
      <c r="H2335" s="9" t="s">
        <v>2263</v>
      </c>
      <c r="I2335" s="4" t="s">
        <v>2317</v>
      </c>
      <c r="J2335" s="4" t="s">
        <v>2316</v>
      </c>
      <c r="K2335" s="4" t="s">
        <v>2263</v>
      </c>
      <c r="L2335" s="10">
        <v>12</v>
      </c>
      <c r="M2335" s="5">
        <v>32004.66333333333</v>
      </c>
      <c r="N2335" s="5">
        <v>384055.96</v>
      </c>
    </row>
    <row r="2336" spans="1:14" x14ac:dyDescent="0.25">
      <c r="A2336" s="4" t="s">
        <v>2320</v>
      </c>
      <c r="B2336" s="4" t="s">
        <v>4967</v>
      </c>
      <c r="C2336" s="4" t="s">
        <v>2320</v>
      </c>
      <c r="D2336" s="4" t="s">
        <v>242</v>
      </c>
      <c r="E2336" s="4" t="s">
        <v>4323</v>
      </c>
      <c r="F2336" s="4" t="s">
        <v>4322</v>
      </c>
      <c r="G2336" s="4" t="s">
        <v>2263</v>
      </c>
      <c r="H2336" s="9" t="s">
        <v>2263</v>
      </c>
      <c r="I2336" s="4" t="s">
        <v>2317</v>
      </c>
      <c r="J2336" s="4" t="s">
        <v>2316</v>
      </c>
      <c r="K2336" s="4" t="s">
        <v>2263</v>
      </c>
      <c r="L2336" s="10">
        <v>12</v>
      </c>
      <c r="M2336" s="5">
        <v>34951.095714285715</v>
      </c>
      <c r="N2336" s="5">
        <v>419413.14857142855</v>
      </c>
    </row>
    <row r="2337" spans="1:14" x14ac:dyDescent="0.25">
      <c r="A2337" s="4" t="s">
        <v>2344</v>
      </c>
      <c r="B2337" s="4" t="s">
        <v>5154</v>
      </c>
      <c r="C2337" s="4" t="s">
        <v>2320</v>
      </c>
      <c r="D2337" s="4" t="s">
        <v>242</v>
      </c>
      <c r="E2337" s="4" t="s">
        <v>2976</v>
      </c>
      <c r="F2337" s="4" t="s">
        <v>2975</v>
      </c>
      <c r="G2337" s="4" t="s">
        <v>2263</v>
      </c>
      <c r="H2337" s="9" t="s">
        <v>2263</v>
      </c>
      <c r="I2337" s="4" t="s">
        <v>2317</v>
      </c>
      <c r="J2337" s="4" t="s">
        <v>2316</v>
      </c>
      <c r="K2337" s="4" t="s">
        <v>2263</v>
      </c>
      <c r="L2337" s="10">
        <v>12</v>
      </c>
      <c r="M2337" s="5">
        <v>36704.470588235294</v>
      </c>
      <c r="N2337" s="5">
        <v>440453.6470588235</v>
      </c>
    </row>
    <row r="2338" spans="1:14" x14ac:dyDescent="0.25">
      <c r="A2338" s="4" t="s">
        <v>2819</v>
      </c>
      <c r="B2338" s="4" t="s">
        <v>2818</v>
      </c>
      <c r="C2338" s="4" t="s">
        <v>2320</v>
      </c>
      <c r="D2338" s="4" t="s">
        <v>242</v>
      </c>
      <c r="E2338" s="4" t="s">
        <v>2825</v>
      </c>
      <c r="F2338" s="4" t="s">
        <v>2824</v>
      </c>
      <c r="G2338" s="4" t="s">
        <v>2263</v>
      </c>
      <c r="H2338" s="9" t="s">
        <v>2263</v>
      </c>
      <c r="I2338" s="4" t="s">
        <v>2317</v>
      </c>
      <c r="J2338" s="4" t="s">
        <v>2316</v>
      </c>
      <c r="K2338" s="4" t="s">
        <v>2263</v>
      </c>
      <c r="L2338" s="10">
        <v>12</v>
      </c>
      <c r="M2338" s="5">
        <v>47361.481176470588</v>
      </c>
      <c r="N2338" s="5">
        <v>568337.77411764709</v>
      </c>
    </row>
    <row r="2339" spans="1:14" x14ac:dyDescent="0.25">
      <c r="A2339" s="4" t="s">
        <v>2344</v>
      </c>
      <c r="B2339" s="4" t="s">
        <v>5154</v>
      </c>
      <c r="C2339" s="4" t="s">
        <v>2274</v>
      </c>
      <c r="D2339" s="4" t="s">
        <v>2273</v>
      </c>
      <c r="E2339" s="4" t="s">
        <v>4449</v>
      </c>
      <c r="F2339" s="4" t="s">
        <v>4448</v>
      </c>
      <c r="G2339" s="4" t="s">
        <v>2263</v>
      </c>
      <c r="H2339" s="9" t="s">
        <v>2263</v>
      </c>
      <c r="I2339" s="4" t="s">
        <v>2263</v>
      </c>
      <c r="J2339" s="4" t="s">
        <v>2263</v>
      </c>
      <c r="K2339" s="4" t="s">
        <v>4447</v>
      </c>
      <c r="L2339" s="10">
        <v>12</v>
      </c>
      <c r="M2339" s="5">
        <v>52782.251078431378</v>
      </c>
      <c r="N2339" s="5">
        <v>633387.01294117654</v>
      </c>
    </row>
    <row r="2340" spans="1:14" x14ac:dyDescent="0.25">
      <c r="A2340" s="4" t="s">
        <v>2344</v>
      </c>
      <c r="B2340" s="4" t="s">
        <v>5154</v>
      </c>
      <c r="C2340" s="4" t="s">
        <v>2320</v>
      </c>
      <c r="D2340" s="4" t="s">
        <v>242</v>
      </c>
      <c r="E2340" s="4" t="s">
        <v>2990</v>
      </c>
      <c r="F2340" s="4" t="s">
        <v>2989</v>
      </c>
      <c r="G2340" s="4" t="s">
        <v>2263</v>
      </c>
      <c r="H2340" s="9" t="s">
        <v>2263</v>
      </c>
      <c r="I2340" s="4" t="s">
        <v>2317</v>
      </c>
      <c r="J2340" s="4" t="s">
        <v>2316</v>
      </c>
      <c r="K2340" s="4" t="s">
        <v>2263</v>
      </c>
      <c r="L2340" s="10">
        <v>12</v>
      </c>
      <c r="M2340" s="5">
        <v>61816.666666666664</v>
      </c>
      <c r="N2340" s="5">
        <v>741800</v>
      </c>
    </row>
    <row r="2341" spans="1:14" x14ac:dyDescent="0.25">
      <c r="A2341" s="4" t="s">
        <v>2317</v>
      </c>
      <c r="B2341" s="4" t="s">
        <v>3839</v>
      </c>
      <c r="C2341" s="4" t="s">
        <v>2320</v>
      </c>
      <c r="D2341" s="4" t="s">
        <v>242</v>
      </c>
      <c r="E2341" s="4" t="s">
        <v>3967</v>
      </c>
      <c r="F2341" s="4" t="s">
        <v>3966</v>
      </c>
      <c r="G2341" s="4" t="s">
        <v>2263</v>
      </c>
      <c r="H2341" s="9" t="s">
        <v>2263</v>
      </c>
      <c r="I2341" s="4" t="s">
        <v>2317</v>
      </c>
      <c r="J2341" s="4" t="s">
        <v>2316</v>
      </c>
      <c r="K2341" s="4" t="s">
        <v>2263</v>
      </c>
      <c r="L2341" s="10">
        <v>12</v>
      </c>
      <c r="M2341" s="5">
        <v>70176.235294117636</v>
      </c>
      <c r="N2341" s="5">
        <v>842114.82352941181</v>
      </c>
    </row>
    <row r="2342" spans="1:14" x14ac:dyDescent="0.25">
      <c r="A2342" s="4" t="s">
        <v>2317</v>
      </c>
      <c r="B2342" s="4" t="s">
        <v>3839</v>
      </c>
      <c r="C2342" s="4" t="s">
        <v>2320</v>
      </c>
      <c r="D2342" s="4" t="s">
        <v>242</v>
      </c>
      <c r="E2342" s="4" t="s">
        <v>2324</v>
      </c>
      <c r="F2342" s="4" t="s">
        <v>2323</v>
      </c>
      <c r="G2342" s="4" t="s">
        <v>2263</v>
      </c>
      <c r="H2342" s="9" t="s">
        <v>2263</v>
      </c>
      <c r="I2342" s="4" t="s">
        <v>2317</v>
      </c>
      <c r="J2342" s="4" t="s">
        <v>2316</v>
      </c>
      <c r="K2342" s="4" t="s">
        <v>2263</v>
      </c>
      <c r="L2342" s="10">
        <v>12</v>
      </c>
      <c r="M2342" s="5">
        <v>607068.11055555556</v>
      </c>
      <c r="N2342" s="5">
        <v>7284817.3266666662</v>
      </c>
    </row>
    <row r="2343" spans="1:14" x14ac:dyDescent="0.25">
      <c r="A2343" s="4" t="s">
        <v>2320</v>
      </c>
      <c r="B2343" s="4" t="s">
        <v>4967</v>
      </c>
      <c r="C2343" s="4" t="s">
        <v>2320</v>
      </c>
      <c r="D2343" s="4" t="s">
        <v>242</v>
      </c>
      <c r="E2343" s="4" t="s">
        <v>3055</v>
      </c>
      <c r="F2343" s="4" t="s">
        <v>3054</v>
      </c>
      <c r="G2343" s="4" t="s">
        <v>2263</v>
      </c>
      <c r="H2343" s="9" t="s">
        <v>2263</v>
      </c>
      <c r="I2343" s="4" t="s">
        <v>2317</v>
      </c>
      <c r="J2343" s="4" t="s">
        <v>2316</v>
      </c>
      <c r="K2343" s="4" t="s">
        <v>2263</v>
      </c>
      <c r="L2343" s="10">
        <v>13</v>
      </c>
      <c r="M2343" s="5">
        <v>229.47137931034484</v>
      </c>
      <c r="N2343" s="5">
        <v>2983.1279310344798</v>
      </c>
    </row>
    <row r="2344" spans="1:14" x14ac:dyDescent="0.25">
      <c r="A2344" s="4" t="s">
        <v>2344</v>
      </c>
      <c r="B2344" s="4" t="s">
        <v>5154</v>
      </c>
      <c r="C2344" s="4" t="s">
        <v>2344</v>
      </c>
      <c r="D2344" s="4" t="s">
        <v>237</v>
      </c>
      <c r="E2344" s="4" t="s">
        <v>4863</v>
      </c>
      <c r="F2344" s="4" t="s">
        <v>2595</v>
      </c>
      <c r="G2344" s="4" t="s">
        <v>2263</v>
      </c>
      <c r="H2344" s="9" t="s">
        <v>2263</v>
      </c>
      <c r="I2344" s="4" t="s">
        <v>2263</v>
      </c>
      <c r="J2344" s="4" t="s">
        <v>2263</v>
      </c>
      <c r="K2344" s="4" t="s">
        <v>2536</v>
      </c>
      <c r="L2344" s="10">
        <v>13</v>
      </c>
      <c r="M2344" s="5">
        <v>865</v>
      </c>
      <c r="N2344" s="5">
        <v>11245</v>
      </c>
    </row>
    <row r="2345" spans="1:14" x14ac:dyDescent="0.25">
      <c r="A2345" s="4" t="s">
        <v>2344</v>
      </c>
      <c r="B2345" s="4" t="s">
        <v>5154</v>
      </c>
      <c r="C2345" s="4" t="s">
        <v>2344</v>
      </c>
      <c r="D2345" s="4" t="s">
        <v>237</v>
      </c>
      <c r="E2345" s="4" t="s">
        <v>2472</v>
      </c>
      <c r="F2345" s="4" t="s">
        <v>2471</v>
      </c>
      <c r="G2345" s="4" t="s">
        <v>2263</v>
      </c>
      <c r="H2345" s="9" t="s">
        <v>2263</v>
      </c>
      <c r="I2345" s="4" t="s">
        <v>2263</v>
      </c>
      <c r="J2345" s="4" t="s">
        <v>2263</v>
      </c>
      <c r="K2345" s="4" t="s">
        <v>2470</v>
      </c>
      <c r="L2345" s="10">
        <v>13</v>
      </c>
      <c r="M2345" s="5">
        <v>958.57</v>
      </c>
      <c r="N2345" s="5">
        <v>12461.41</v>
      </c>
    </row>
    <row r="2346" spans="1:14" x14ac:dyDescent="0.25">
      <c r="A2346" s="4" t="s">
        <v>2344</v>
      </c>
      <c r="B2346" s="4" t="s">
        <v>5154</v>
      </c>
      <c r="C2346" s="4" t="s">
        <v>2344</v>
      </c>
      <c r="D2346" s="4" t="s">
        <v>237</v>
      </c>
      <c r="E2346" s="4" t="s">
        <v>4938</v>
      </c>
      <c r="F2346" s="4" t="s">
        <v>4937</v>
      </c>
      <c r="G2346" s="4" t="s">
        <v>2263</v>
      </c>
      <c r="H2346" s="9" t="s">
        <v>2263</v>
      </c>
      <c r="I2346" s="4" t="s">
        <v>2263</v>
      </c>
      <c r="J2346" s="4" t="s">
        <v>2263</v>
      </c>
      <c r="K2346" s="4" t="s">
        <v>4936</v>
      </c>
      <c r="L2346" s="10">
        <v>13</v>
      </c>
      <c r="M2346" s="5">
        <v>1469.3718840579709</v>
      </c>
      <c r="N2346" s="5">
        <v>19101.83449275362</v>
      </c>
    </row>
    <row r="2347" spans="1:14" x14ac:dyDescent="0.25">
      <c r="A2347" s="4" t="s">
        <v>2344</v>
      </c>
      <c r="B2347" s="4" t="s">
        <v>5154</v>
      </c>
      <c r="C2347" s="4" t="s">
        <v>2267</v>
      </c>
      <c r="D2347" s="4" t="s">
        <v>2266</v>
      </c>
      <c r="E2347" s="4" t="s">
        <v>5191</v>
      </c>
      <c r="F2347" s="4" t="s">
        <v>4391</v>
      </c>
      <c r="G2347" s="4" t="s">
        <v>2263</v>
      </c>
      <c r="H2347" s="9" t="s">
        <v>2263</v>
      </c>
      <c r="I2347" s="4" t="s">
        <v>2263</v>
      </c>
      <c r="J2347" s="4" t="s">
        <v>2263</v>
      </c>
      <c r="K2347" s="4" t="s">
        <v>4390</v>
      </c>
      <c r="L2347" s="10">
        <v>13</v>
      </c>
      <c r="M2347" s="5">
        <v>1750</v>
      </c>
      <c r="N2347" s="5">
        <v>22750</v>
      </c>
    </row>
    <row r="2348" spans="1:14" x14ac:dyDescent="0.25">
      <c r="A2348" s="4" t="s">
        <v>2320</v>
      </c>
      <c r="B2348" s="4" t="s">
        <v>4967</v>
      </c>
      <c r="C2348" s="4" t="s">
        <v>2320</v>
      </c>
      <c r="D2348" s="4" t="s">
        <v>242</v>
      </c>
      <c r="E2348" s="4" t="s">
        <v>3959</v>
      </c>
      <c r="F2348" s="4" t="s">
        <v>3958</v>
      </c>
      <c r="G2348" s="4" t="s">
        <v>2263</v>
      </c>
      <c r="H2348" s="9" t="s">
        <v>2263</v>
      </c>
      <c r="I2348" s="4" t="s">
        <v>2317</v>
      </c>
      <c r="J2348" s="4" t="s">
        <v>2316</v>
      </c>
      <c r="K2348" s="4" t="s">
        <v>2263</v>
      </c>
      <c r="L2348" s="10">
        <v>13</v>
      </c>
      <c r="M2348" s="5">
        <v>2133.8888888888887</v>
      </c>
      <c r="N2348" s="5">
        <v>27740.555555555558</v>
      </c>
    </row>
    <row r="2349" spans="1:14" x14ac:dyDescent="0.25">
      <c r="A2349" s="4" t="s">
        <v>2320</v>
      </c>
      <c r="B2349" s="4" t="s">
        <v>4967</v>
      </c>
      <c r="C2349" s="4" t="s">
        <v>2320</v>
      </c>
      <c r="D2349" s="4" t="s">
        <v>242</v>
      </c>
      <c r="E2349" s="4" t="s">
        <v>2713</v>
      </c>
      <c r="F2349" s="4" t="s">
        <v>2712</v>
      </c>
      <c r="G2349" s="4" t="s">
        <v>2263</v>
      </c>
      <c r="H2349" s="9" t="s">
        <v>2263</v>
      </c>
      <c r="I2349" s="4" t="s">
        <v>2317</v>
      </c>
      <c r="J2349" s="4" t="s">
        <v>2316</v>
      </c>
      <c r="K2349" s="4" t="s">
        <v>2263</v>
      </c>
      <c r="L2349" s="10">
        <v>13</v>
      </c>
      <c r="M2349" s="5">
        <v>2145.7358134490237</v>
      </c>
      <c r="N2349" s="5">
        <v>27894.56557483731</v>
      </c>
    </row>
    <row r="2350" spans="1:14" x14ac:dyDescent="0.25">
      <c r="A2350" s="4" t="s">
        <v>2653</v>
      </c>
      <c r="B2350" s="4" t="s">
        <v>3226</v>
      </c>
      <c r="C2350" s="4" t="s">
        <v>3107</v>
      </c>
      <c r="D2350" s="4" t="s">
        <v>1105</v>
      </c>
      <c r="E2350" s="4" t="s">
        <v>3723</v>
      </c>
      <c r="F2350" s="4" t="s">
        <v>3722</v>
      </c>
      <c r="G2350" s="4" t="s">
        <v>2263</v>
      </c>
      <c r="H2350" s="9" t="s">
        <v>2263</v>
      </c>
      <c r="I2350" s="4" t="s">
        <v>2317</v>
      </c>
      <c r="J2350" s="4" t="s">
        <v>2316</v>
      </c>
      <c r="K2350" s="4" t="s">
        <v>2263</v>
      </c>
      <c r="L2350" s="10">
        <v>13</v>
      </c>
      <c r="M2350" s="5">
        <v>2195.0153846153844</v>
      </c>
      <c r="N2350" s="5">
        <v>28535.200000000001</v>
      </c>
    </row>
    <row r="2351" spans="1:14" x14ac:dyDescent="0.25">
      <c r="A2351" s="4" t="s">
        <v>2344</v>
      </c>
      <c r="B2351" s="4" t="s">
        <v>5154</v>
      </c>
      <c r="C2351" s="4" t="s">
        <v>2344</v>
      </c>
      <c r="D2351" s="4" t="s">
        <v>237</v>
      </c>
      <c r="E2351" s="4" t="s">
        <v>4838</v>
      </c>
      <c r="F2351" s="4" t="s">
        <v>4837</v>
      </c>
      <c r="G2351" s="4" t="s">
        <v>2263</v>
      </c>
      <c r="H2351" s="9" t="s">
        <v>2263</v>
      </c>
      <c r="I2351" s="4" t="s">
        <v>2263</v>
      </c>
      <c r="J2351" s="4" t="s">
        <v>2263</v>
      </c>
      <c r="K2351" s="4" t="s">
        <v>4836</v>
      </c>
      <c r="L2351" s="10">
        <v>13</v>
      </c>
      <c r="M2351" s="5">
        <v>2550</v>
      </c>
      <c r="N2351" s="5">
        <v>33150</v>
      </c>
    </row>
    <row r="2352" spans="1:14" x14ac:dyDescent="0.25">
      <c r="A2352" s="4" t="s">
        <v>2344</v>
      </c>
      <c r="B2352" s="4" t="s">
        <v>5154</v>
      </c>
      <c r="C2352" s="4" t="s">
        <v>2344</v>
      </c>
      <c r="D2352" s="4" t="s">
        <v>237</v>
      </c>
      <c r="E2352" s="4" t="s">
        <v>4601</v>
      </c>
      <c r="F2352" s="4" t="s">
        <v>4600</v>
      </c>
      <c r="G2352" s="4" t="s">
        <v>2263</v>
      </c>
      <c r="H2352" s="9" t="s">
        <v>2263</v>
      </c>
      <c r="I2352" s="4" t="s">
        <v>2263</v>
      </c>
      <c r="J2352" s="4" t="s">
        <v>2263</v>
      </c>
      <c r="K2352" s="4" t="s">
        <v>4599</v>
      </c>
      <c r="L2352" s="10">
        <v>13</v>
      </c>
      <c r="M2352" s="5">
        <v>2833.9621649484534</v>
      </c>
      <c r="N2352" s="5">
        <v>36841.508144329899</v>
      </c>
    </row>
    <row r="2353" spans="1:14" x14ac:dyDescent="0.25">
      <c r="A2353" s="4" t="s">
        <v>2653</v>
      </c>
      <c r="B2353" s="4" t="s">
        <v>3226</v>
      </c>
      <c r="C2353" s="4" t="s">
        <v>3107</v>
      </c>
      <c r="D2353" s="4" t="s">
        <v>1105</v>
      </c>
      <c r="E2353" s="4" t="s">
        <v>3777</v>
      </c>
      <c r="F2353" s="4" t="s">
        <v>3776</v>
      </c>
      <c r="G2353" s="4" t="s">
        <v>2263</v>
      </c>
      <c r="H2353" s="9" t="s">
        <v>2263</v>
      </c>
      <c r="I2353" s="4" t="s">
        <v>2317</v>
      </c>
      <c r="J2353" s="4" t="s">
        <v>2316</v>
      </c>
      <c r="K2353" s="4" t="s">
        <v>2263</v>
      </c>
      <c r="L2353" s="10">
        <v>13</v>
      </c>
      <c r="M2353" s="5">
        <v>2854.4</v>
      </c>
      <c r="N2353" s="5">
        <v>37107.199999999997</v>
      </c>
    </row>
    <row r="2354" spans="1:14" x14ac:dyDescent="0.25">
      <c r="A2354" s="4" t="s">
        <v>2317</v>
      </c>
      <c r="B2354" s="4" t="s">
        <v>3839</v>
      </c>
      <c r="C2354" s="4" t="s">
        <v>2320</v>
      </c>
      <c r="D2354" s="4" t="s">
        <v>242</v>
      </c>
      <c r="E2354" s="4" t="s">
        <v>2693</v>
      </c>
      <c r="F2354" s="4" t="s">
        <v>2692</v>
      </c>
      <c r="G2354" s="4" t="s">
        <v>2263</v>
      </c>
      <c r="H2354" s="9" t="s">
        <v>2263</v>
      </c>
      <c r="I2354" s="4" t="s">
        <v>2317</v>
      </c>
      <c r="J2354" s="4" t="s">
        <v>2316</v>
      </c>
      <c r="K2354" s="4" t="s">
        <v>2263</v>
      </c>
      <c r="L2354" s="10">
        <v>13</v>
      </c>
      <c r="M2354" s="5">
        <v>3056.5454545454545</v>
      </c>
      <c r="N2354" s="5">
        <v>39735.090909090912</v>
      </c>
    </row>
    <row r="2355" spans="1:14" x14ac:dyDescent="0.25">
      <c r="A2355" s="4" t="s">
        <v>2317</v>
      </c>
      <c r="B2355" s="4" t="s">
        <v>3839</v>
      </c>
      <c r="C2355" s="4" t="s">
        <v>2320</v>
      </c>
      <c r="D2355" s="4" t="s">
        <v>242</v>
      </c>
      <c r="E2355" s="4" t="s">
        <v>4207</v>
      </c>
      <c r="F2355" s="4" t="s">
        <v>4206</v>
      </c>
      <c r="G2355" s="4" t="s">
        <v>2263</v>
      </c>
      <c r="H2355" s="9" t="s">
        <v>2263</v>
      </c>
      <c r="I2355" s="4" t="s">
        <v>2317</v>
      </c>
      <c r="J2355" s="4" t="s">
        <v>2316</v>
      </c>
      <c r="K2355" s="4" t="s">
        <v>2263</v>
      </c>
      <c r="L2355" s="10">
        <v>13</v>
      </c>
      <c r="M2355" s="5">
        <v>3607.4894444444449</v>
      </c>
      <c r="N2355" s="5">
        <v>46897.36277777778</v>
      </c>
    </row>
    <row r="2356" spans="1:14" x14ac:dyDescent="0.25">
      <c r="A2356" s="4" t="s">
        <v>2653</v>
      </c>
      <c r="B2356" s="4" t="s">
        <v>3226</v>
      </c>
      <c r="C2356" s="4" t="s">
        <v>3107</v>
      </c>
      <c r="D2356" s="4" t="s">
        <v>1105</v>
      </c>
      <c r="E2356" s="4" t="s">
        <v>3767</v>
      </c>
      <c r="F2356" s="4" t="s">
        <v>3766</v>
      </c>
      <c r="G2356" s="4" t="s">
        <v>2263</v>
      </c>
      <c r="H2356" s="9" t="s">
        <v>2263</v>
      </c>
      <c r="I2356" s="4" t="s">
        <v>2317</v>
      </c>
      <c r="J2356" s="4" t="s">
        <v>2316</v>
      </c>
      <c r="K2356" s="4" t="s">
        <v>2263</v>
      </c>
      <c r="L2356" s="10">
        <v>13</v>
      </c>
      <c r="M2356" s="5">
        <v>3847.7938461538461</v>
      </c>
      <c r="N2356" s="5">
        <v>50021.32</v>
      </c>
    </row>
    <row r="2357" spans="1:14" x14ac:dyDescent="0.25">
      <c r="A2357" s="4" t="s">
        <v>2344</v>
      </c>
      <c r="B2357" s="4" t="s">
        <v>5154</v>
      </c>
      <c r="C2357" s="4" t="s">
        <v>2320</v>
      </c>
      <c r="D2357" s="4" t="s">
        <v>242</v>
      </c>
      <c r="E2357" s="4" t="s">
        <v>4079</v>
      </c>
      <c r="F2357" s="4" t="s">
        <v>4078</v>
      </c>
      <c r="G2357" s="4" t="s">
        <v>2263</v>
      </c>
      <c r="H2357" s="9" t="s">
        <v>2263</v>
      </c>
      <c r="I2357" s="4" t="s">
        <v>2317</v>
      </c>
      <c r="J2357" s="4" t="s">
        <v>2316</v>
      </c>
      <c r="K2357" s="4" t="s">
        <v>2263</v>
      </c>
      <c r="L2357" s="10">
        <v>13</v>
      </c>
      <c r="M2357" s="5">
        <v>3950.5238983050849</v>
      </c>
      <c r="N2357" s="5">
        <v>51356.810677966103</v>
      </c>
    </row>
    <row r="2358" spans="1:14" x14ac:dyDescent="0.25">
      <c r="A2358" s="4" t="s">
        <v>2653</v>
      </c>
      <c r="B2358" s="4" t="s">
        <v>3226</v>
      </c>
      <c r="C2358" s="4" t="s">
        <v>3107</v>
      </c>
      <c r="D2358" s="4" t="s">
        <v>1105</v>
      </c>
      <c r="E2358" s="4" t="s">
        <v>3735</v>
      </c>
      <c r="F2358" s="4" t="s">
        <v>3734</v>
      </c>
      <c r="G2358" s="4" t="s">
        <v>2263</v>
      </c>
      <c r="H2358" s="9" t="s">
        <v>2263</v>
      </c>
      <c r="I2358" s="4" t="s">
        <v>2317</v>
      </c>
      <c r="J2358" s="4" t="s">
        <v>2316</v>
      </c>
      <c r="K2358" s="4" t="s">
        <v>2263</v>
      </c>
      <c r="L2358" s="10">
        <v>13</v>
      </c>
      <c r="M2358" s="5">
        <v>4787.208461538462</v>
      </c>
      <c r="N2358" s="5">
        <v>62233.71</v>
      </c>
    </row>
    <row r="2359" spans="1:14" x14ac:dyDescent="0.25">
      <c r="A2359" s="4" t="s">
        <v>2320</v>
      </c>
      <c r="B2359" s="4" t="s">
        <v>4967</v>
      </c>
      <c r="C2359" s="4" t="s">
        <v>2320</v>
      </c>
      <c r="D2359" s="4" t="s">
        <v>242</v>
      </c>
      <c r="E2359" s="4" t="s">
        <v>2779</v>
      </c>
      <c r="F2359" s="4" t="s">
        <v>2778</v>
      </c>
      <c r="G2359" s="4" t="s">
        <v>2263</v>
      </c>
      <c r="H2359" s="9" t="s">
        <v>2263</v>
      </c>
      <c r="I2359" s="4" t="s">
        <v>2317</v>
      </c>
      <c r="J2359" s="4" t="s">
        <v>2316</v>
      </c>
      <c r="K2359" s="4" t="s">
        <v>2263</v>
      </c>
      <c r="L2359" s="10">
        <v>13</v>
      </c>
      <c r="M2359" s="5">
        <v>5565.0769863013702</v>
      </c>
      <c r="N2359" s="5">
        <v>72346.000821917813</v>
      </c>
    </row>
    <row r="2360" spans="1:14" x14ac:dyDescent="0.25">
      <c r="A2360" s="4" t="s">
        <v>2320</v>
      </c>
      <c r="B2360" s="4" t="s">
        <v>4967</v>
      </c>
      <c r="C2360" s="4" t="s">
        <v>2344</v>
      </c>
      <c r="D2360" s="4" t="s">
        <v>237</v>
      </c>
      <c r="E2360" s="4" t="s">
        <v>4566</v>
      </c>
      <c r="F2360" s="4" t="s">
        <v>4565</v>
      </c>
      <c r="G2360" s="4" t="s">
        <v>2263</v>
      </c>
      <c r="H2360" s="9" t="s">
        <v>2263</v>
      </c>
      <c r="I2360" s="4" t="s">
        <v>2263</v>
      </c>
      <c r="J2360" s="4" t="s">
        <v>2263</v>
      </c>
      <c r="K2360" s="4" t="s">
        <v>2906</v>
      </c>
      <c r="L2360" s="10">
        <v>13</v>
      </c>
      <c r="M2360" s="5">
        <v>5714.86</v>
      </c>
      <c r="N2360" s="5">
        <v>74293.179999999993</v>
      </c>
    </row>
    <row r="2361" spans="1:14" x14ac:dyDescent="0.25">
      <c r="A2361" s="4" t="s">
        <v>2320</v>
      </c>
      <c r="B2361" s="4" t="s">
        <v>4967</v>
      </c>
      <c r="C2361" s="4" t="s">
        <v>2320</v>
      </c>
      <c r="D2361" s="4" t="s">
        <v>242</v>
      </c>
      <c r="E2361" s="4" t="s">
        <v>3979</v>
      </c>
      <c r="F2361" s="4" t="s">
        <v>3978</v>
      </c>
      <c r="G2361" s="4" t="s">
        <v>2263</v>
      </c>
      <c r="H2361" s="9" t="s">
        <v>2263</v>
      </c>
      <c r="I2361" s="4" t="s">
        <v>2317</v>
      </c>
      <c r="J2361" s="4" t="s">
        <v>2316</v>
      </c>
      <c r="K2361" s="4" t="s">
        <v>2263</v>
      </c>
      <c r="L2361" s="10">
        <v>13</v>
      </c>
      <c r="M2361" s="5">
        <v>6398.5135135135142</v>
      </c>
      <c r="N2361" s="5">
        <v>83180.67567567568</v>
      </c>
    </row>
    <row r="2362" spans="1:14" x14ac:dyDescent="0.25">
      <c r="A2362" s="4" t="s">
        <v>2344</v>
      </c>
      <c r="B2362" s="4" t="s">
        <v>5154</v>
      </c>
      <c r="C2362" s="4" t="s">
        <v>2344</v>
      </c>
      <c r="D2362" s="4" t="s">
        <v>237</v>
      </c>
      <c r="E2362" s="4" t="s">
        <v>4862</v>
      </c>
      <c r="F2362" s="4" t="s">
        <v>4861</v>
      </c>
      <c r="G2362" s="4" t="s">
        <v>2263</v>
      </c>
      <c r="H2362" s="9" t="s">
        <v>2263</v>
      </c>
      <c r="I2362" s="4" t="s">
        <v>2263</v>
      </c>
      <c r="J2362" s="4" t="s">
        <v>2263</v>
      </c>
      <c r="K2362" s="4" t="s">
        <v>4860</v>
      </c>
      <c r="L2362" s="10">
        <v>13</v>
      </c>
      <c r="M2362" s="5">
        <v>8076.2247572815531</v>
      </c>
      <c r="N2362" s="5">
        <v>104990.9218446602</v>
      </c>
    </row>
    <row r="2363" spans="1:14" x14ac:dyDescent="0.25">
      <c r="A2363" s="4" t="s">
        <v>2653</v>
      </c>
      <c r="B2363" s="4" t="s">
        <v>3226</v>
      </c>
      <c r="C2363" s="4" t="s">
        <v>3107</v>
      </c>
      <c r="D2363" s="4" t="s">
        <v>1105</v>
      </c>
      <c r="E2363" s="4" t="s">
        <v>3769</v>
      </c>
      <c r="F2363" s="4" t="s">
        <v>3768</v>
      </c>
      <c r="G2363" s="4" t="s">
        <v>2263</v>
      </c>
      <c r="H2363" s="9" t="s">
        <v>2263</v>
      </c>
      <c r="I2363" s="4" t="s">
        <v>2317</v>
      </c>
      <c r="J2363" s="4" t="s">
        <v>2316</v>
      </c>
      <c r="K2363" s="4" t="s">
        <v>2263</v>
      </c>
      <c r="L2363" s="10">
        <v>13</v>
      </c>
      <c r="M2363" s="5">
        <v>10035.4</v>
      </c>
      <c r="N2363" s="5">
        <v>130460.2</v>
      </c>
    </row>
    <row r="2364" spans="1:14" x14ac:dyDescent="0.25">
      <c r="A2364" s="4" t="s">
        <v>2274</v>
      </c>
      <c r="B2364" s="4" t="s">
        <v>4348</v>
      </c>
      <c r="C2364" s="4" t="s">
        <v>2344</v>
      </c>
      <c r="D2364" s="4" t="s">
        <v>237</v>
      </c>
      <c r="E2364" s="4" t="s">
        <v>4604</v>
      </c>
      <c r="F2364" s="4" t="s">
        <v>4603</v>
      </c>
      <c r="G2364" s="4" t="s">
        <v>2263</v>
      </c>
      <c r="H2364" s="9" t="s">
        <v>2263</v>
      </c>
      <c r="I2364" s="4" t="s">
        <v>2263</v>
      </c>
      <c r="J2364" s="4" t="s">
        <v>2263</v>
      </c>
      <c r="K2364" s="4" t="s">
        <v>4602</v>
      </c>
      <c r="L2364" s="10">
        <v>13</v>
      </c>
      <c r="M2364" s="5">
        <v>15909.861052631579</v>
      </c>
      <c r="N2364" s="5">
        <v>206828.19368421051</v>
      </c>
    </row>
    <row r="2365" spans="1:14" x14ac:dyDescent="0.25">
      <c r="A2365" s="4" t="s">
        <v>2344</v>
      </c>
      <c r="B2365" s="4" t="s">
        <v>5154</v>
      </c>
      <c r="C2365" s="4" t="s">
        <v>2344</v>
      </c>
      <c r="D2365" s="4" t="s">
        <v>237</v>
      </c>
      <c r="E2365" s="4" t="s">
        <v>2444</v>
      </c>
      <c r="F2365" s="4" t="s">
        <v>2443</v>
      </c>
      <c r="G2365" s="4" t="s">
        <v>2263</v>
      </c>
      <c r="H2365" s="9" t="s">
        <v>2263</v>
      </c>
      <c r="I2365" s="4" t="s">
        <v>2263</v>
      </c>
      <c r="J2365" s="4" t="s">
        <v>2263</v>
      </c>
      <c r="K2365" s="4" t="s">
        <v>2442</v>
      </c>
      <c r="L2365" s="10">
        <v>13</v>
      </c>
      <c r="M2365" s="5">
        <v>17324.682926829268</v>
      </c>
      <c r="N2365" s="5">
        <v>225220.87804878049</v>
      </c>
    </row>
    <row r="2366" spans="1:14" x14ac:dyDescent="0.25">
      <c r="A2366" s="4" t="s">
        <v>2320</v>
      </c>
      <c r="B2366" s="4" t="s">
        <v>4967</v>
      </c>
      <c r="C2366" s="4" t="s">
        <v>2320</v>
      </c>
      <c r="D2366" s="4" t="s">
        <v>242</v>
      </c>
      <c r="E2366" s="4" t="s">
        <v>5019</v>
      </c>
      <c r="F2366" s="4" t="s">
        <v>5018</v>
      </c>
      <c r="G2366" s="4" t="s">
        <v>2263</v>
      </c>
      <c r="H2366" s="9" t="s">
        <v>2263</v>
      </c>
      <c r="I2366" s="4" t="s">
        <v>2317</v>
      </c>
      <c r="J2366" s="4" t="s">
        <v>2316</v>
      </c>
      <c r="K2366" s="4" t="s">
        <v>2263</v>
      </c>
      <c r="L2366" s="10">
        <v>13</v>
      </c>
      <c r="M2366" s="5">
        <v>25738.623076923075</v>
      </c>
      <c r="N2366" s="5">
        <v>334602.09999999998</v>
      </c>
    </row>
    <row r="2367" spans="1:14" x14ac:dyDescent="0.25">
      <c r="A2367" s="4" t="s">
        <v>2320</v>
      </c>
      <c r="B2367" s="4" t="s">
        <v>4967</v>
      </c>
      <c r="C2367" s="4" t="s">
        <v>2320</v>
      </c>
      <c r="D2367" s="4" t="s">
        <v>242</v>
      </c>
      <c r="E2367" s="4" t="s">
        <v>3991</v>
      </c>
      <c r="F2367" s="4" t="s">
        <v>3990</v>
      </c>
      <c r="G2367" s="4" t="s">
        <v>2263</v>
      </c>
      <c r="H2367" s="9" t="s">
        <v>2263</v>
      </c>
      <c r="I2367" s="4" t="s">
        <v>2317</v>
      </c>
      <c r="J2367" s="4" t="s">
        <v>2316</v>
      </c>
      <c r="K2367" s="4" t="s">
        <v>2263</v>
      </c>
      <c r="L2367" s="10">
        <v>13</v>
      </c>
      <c r="M2367" s="5">
        <v>42941.869189189187</v>
      </c>
      <c r="N2367" s="5">
        <v>558244.29945945949</v>
      </c>
    </row>
    <row r="2368" spans="1:14" x14ac:dyDescent="0.25">
      <c r="A2368" s="4" t="s">
        <v>2320</v>
      </c>
      <c r="B2368" s="4" t="s">
        <v>4967</v>
      </c>
      <c r="C2368" s="4" t="s">
        <v>2320</v>
      </c>
      <c r="D2368" s="4" t="s">
        <v>242</v>
      </c>
      <c r="E2368" s="4" t="s">
        <v>4325</v>
      </c>
      <c r="F2368" s="4" t="s">
        <v>4324</v>
      </c>
      <c r="G2368" s="4" t="s">
        <v>2263</v>
      </c>
      <c r="H2368" s="9" t="s">
        <v>2263</v>
      </c>
      <c r="I2368" s="4" t="s">
        <v>2317</v>
      </c>
      <c r="J2368" s="4" t="s">
        <v>2316</v>
      </c>
      <c r="K2368" s="4" t="s">
        <v>2263</v>
      </c>
      <c r="L2368" s="10">
        <v>13</v>
      </c>
      <c r="M2368" s="5">
        <v>46979.333333333328</v>
      </c>
      <c r="N2368" s="5">
        <v>610731.33333333337</v>
      </c>
    </row>
    <row r="2369" spans="1:14" x14ac:dyDescent="0.25">
      <c r="A2369" s="4" t="s">
        <v>2653</v>
      </c>
      <c r="B2369" s="4" t="s">
        <v>3226</v>
      </c>
      <c r="C2369" s="4" t="s">
        <v>2384</v>
      </c>
      <c r="D2369" s="4" t="s">
        <v>262</v>
      </c>
      <c r="E2369" s="4" t="s">
        <v>3496</v>
      </c>
      <c r="F2369" s="4" t="s">
        <v>3495</v>
      </c>
      <c r="G2369" s="4" t="s">
        <v>2263</v>
      </c>
      <c r="H2369" s="9" t="s">
        <v>2263</v>
      </c>
      <c r="I2369" s="4" t="s">
        <v>2317</v>
      </c>
      <c r="J2369" s="4" t="s">
        <v>2316</v>
      </c>
      <c r="K2369" s="4" t="s">
        <v>2263</v>
      </c>
      <c r="L2369" s="10">
        <v>13</v>
      </c>
      <c r="M2369" s="5">
        <v>178075</v>
      </c>
      <c r="N2369" s="5">
        <v>2314975</v>
      </c>
    </row>
    <row r="2370" spans="1:14" x14ac:dyDescent="0.25">
      <c r="A2370" s="4" t="s">
        <v>2344</v>
      </c>
      <c r="B2370" s="4" t="s">
        <v>5154</v>
      </c>
      <c r="C2370" s="4" t="s">
        <v>2344</v>
      </c>
      <c r="D2370" s="4" t="s">
        <v>237</v>
      </c>
      <c r="E2370" s="4" t="s">
        <v>5346</v>
      </c>
      <c r="F2370" s="4" t="s">
        <v>2264</v>
      </c>
      <c r="G2370" s="4" t="s">
        <v>2263</v>
      </c>
      <c r="H2370" s="9" t="s">
        <v>2263</v>
      </c>
      <c r="I2370" s="4" t="s">
        <v>2263</v>
      </c>
      <c r="J2370" s="4" t="s">
        <v>2263</v>
      </c>
      <c r="K2370" s="4" t="s">
        <v>2262</v>
      </c>
      <c r="L2370" s="10">
        <v>14</v>
      </c>
      <c r="M2370" s="5">
        <v>297.78571428571428</v>
      </c>
      <c r="N2370" s="5">
        <v>4169</v>
      </c>
    </row>
    <row r="2371" spans="1:14" x14ac:dyDescent="0.25">
      <c r="A2371" s="4" t="s">
        <v>2344</v>
      </c>
      <c r="B2371" s="4" t="s">
        <v>5154</v>
      </c>
      <c r="C2371" s="4" t="s">
        <v>2344</v>
      </c>
      <c r="D2371" s="4" t="s">
        <v>237</v>
      </c>
      <c r="E2371" s="4" t="s">
        <v>4695</v>
      </c>
      <c r="F2371" s="4" t="s">
        <v>4694</v>
      </c>
      <c r="G2371" s="4" t="s">
        <v>2263</v>
      </c>
      <c r="H2371" s="9" t="s">
        <v>2263</v>
      </c>
      <c r="I2371" s="4" t="s">
        <v>2263</v>
      </c>
      <c r="J2371" s="4" t="s">
        <v>2263</v>
      </c>
      <c r="K2371" s="4" t="s">
        <v>4693</v>
      </c>
      <c r="L2371" s="10">
        <v>14</v>
      </c>
      <c r="M2371" s="5">
        <v>548.71465968586392</v>
      </c>
      <c r="N2371" s="5">
        <v>7682.0052356020897</v>
      </c>
    </row>
    <row r="2372" spans="1:14" x14ac:dyDescent="0.25">
      <c r="A2372" s="4" t="s">
        <v>2653</v>
      </c>
      <c r="B2372" s="4" t="s">
        <v>3226</v>
      </c>
      <c r="C2372" s="4" t="s">
        <v>3107</v>
      </c>
      <c r="D2372" s="4" t="s">
        <v>1105</v>
      </c>
      <c r="E2372" s="4" t="s">
        <v>3707</v>
      </c>
      <c r="F2372" s="4" t="s">
        <v>3706</v>
      </c>
      <c r="G2372" s="4" t="s">
        <v>2263</v>
      </c>
      <c r="H2372" s="9" t="s">
        <v>2263</v>
      </c>
      <c r="I2372" s="4" t="s">
        <v>2317</v>
      </c>
      <c r="J2372" s="4" t="s">
        <v>2316</v>
      </c>
      <c r="K2372" s="4" t="s">
        <v>2263</v>
      </c>
      <c r="L2372" s="10">
        <v>14</v>
      </c>
      <c r="M2372" s="5">
        <v>1350.1892857142859</v>
      </c>
      <c r="N2372" s="5">
        <v>18902.650000000001</v>
      </c>
    </row>
    <row r="2373" spans="1:14" x14ac:dyDescent="0.25">
      <c r="A2373" s="4" t="s">
        <v>2317</v>
      </c>
      <c r="B2373" s="4" t="s">
        <v>3839</v>
      </c>
      <c r="C2373" s="4" t="s">
        <v>2320</v>
      </c>
      <c r="D2373" s="4" t="s">
        <v>242</v>
      </c>
      <c r="E2373" s="4" t="s">
        <v>2410</v>
      </c>
      <c r="F2373" s="4" t="s">
        <v>2409</v>
      </c>
      <c r="G2373" s="4" t="s">
        <v>2263</v>
      </c>
      <c r="H2373" s="9" t="s">
        <v>2263</v>
      </c>
      <c r="I2373" s="4" t="s">
        <v>2317</v>
      </c>
      <c r="J2373" s="4" t="s">
        <v>2316</v>
      </c>
      <c r="K2373" s="4" t="s">
        <v>2263</v>
      </c>
      <c r="L2373" s="10">
        <v>14</v>
      </c>
      <c r="M2373" s="5">
        <v>1874.4585185185185</v>
      </c>
      <c r="N2373" s="5">
        <v>26242.419259259259</v>
      </c>
    </row>
    <row r="2374" spans="1:14" x14ac:dyDescent="0.25">
      <c r="A2374" s="4" t="s">
        <v>2274</v>
      </c>
      <c r="B2374" s="4" t="s">
        <v>4348</v>
      </c>
      <c r="C2374" s="4" t="s">
        <v>2267</v>
      </c>
      <c r="D2374" s="4" t="s">
        <v>2266</v>
      </c>
      <c r="E2374" s="4" t="s">
        <v>4415</v>
      </c>
      <c r="F2374" s="4" t="s">
        <v>4411</v>
      </c>
      <c r="G2374" s="4" t="s">
        <v>2263</v>
      </c>
      <c r="H2374" s="9" t="s">
        <v>2263</v>
      </c>
      <c r="I2374" s="4" t="s">
        <v>2263</v>
      </c>
      <c r="J2374" s="4" t="s">
        <v>2263</v>
      </c>
      <c r="K2374" s="4" t="s">
        <v>4410</v>
      </c>
      <c r="L2374" s="10">
        <v>14</v>
      </c>
      <c r="M2374" s="5">
        <v>2409.8421052631579</v>
      </c>
      <c r="N2374" s="5">
        <v>33737.789473684214</v>
      </c>
    </row>
    <row r="2375" spans="1:14" x14ac:dyDescent="0.25">
      <c r="A2375" s="4" t="s">
        <v>2320</v>
      </c>
      <c r="B2375" s="4" t="s">
        <v>4967</v>
      </c>
      <c r="C2375" s="4" t="s">
        <v>2320</v>
      </c>
      <c r="D2375" s="4" t="s">
        <v>242</v>
      </c>
      <c r="E2375" s="4" t="s">
        <v>3923</v>
      </c>
      <c r="F2375" s="4" t="s">
        <v>3922</v>
      </c>
      <c r="G2375" s="4" t="s">
        <v>2263</v>
      </c>
      <c r="H2375" s="9" t="s">
        <v>2263</v>
      </c>
      <c r="I2375" s="4" t="s">
        <v>2317</v>
      </c>
      <c r="J2375" s="4" t="s">
        <v>2316</v>
      </c>
      <c r="K2375" s="4" t="s">
        <v>2263</v>
      </c>
      <c r="L2375" s="10">
        <v>14</v>
      </c>
      <c r="M2375" s="5">
        <v>3711.88375</v>
      </c>
      <c r="N2375" s="5">
        <v>51966.372499999998</v>
      </c>
    </row>
    <row r="2376" spans="1:14" x14ac:dyDescent="0.25">
      <c r="A2376" s="4" t="s">
        <v>2320</v>
      </c>
      <c r="B2376" s="4" t="s">
        <v>4967</v>
      </c>
      <c r="C2376" s="4" t="s">
        <v>2320</v>
      </c>
      <c r="D2376" s="4" t="s">
        <v>242</v>
      </c>
      <c r="E2376" s="4" t="s">
        <v>5027</v>
      </c>
      <c r="F2376" s="4" t="s">
        <v>5026</v>
      </c>
      <c r="G2376" s="4" t="s">
        <v>2263</v>
      </c>
      <c r="H2376" s="9" t="s">
        <v>2263</v>
      </c>
      <c r="I2376" s="4" t="s">
        <v>2317</v>
      </c>
      <c r="J2376" s="4" t="s">
        <v>2316</v>
      </c>
      <c r="K2376" s="4" t="s">
        <v>2263</v>
      </c>
      <c r="L2376" s="10">
        <v>14</v>
      </c>
      <c r="M2376" s="5">
        <v>7181.8571428571431</v>
      </c>
      <c r="N2376" s="5">
        <v>100546</v>
      </c>
    </row>
    <row r="2377" spans="1:14" x14ac:dyDescent="0.25">
      <c r="A2377" s="4" t="s">
        <v>2320</v>
      </c>
      <c r="B2377" s="4" t="s">
        <v>4967</v>
      </c>
      <c r="C2377" s="4" t="s">
        <v>2320</v>
      </c>
      <c r="D2377" s="4" t="s">
        <v>242</v>
      </c>
      <c r="E2377" s="4" t="s">
        <v>5031</v>
      </c>
      <c r="F2377" s="4" t="s">
        <v>5030</v>
      </c>
      <c r="G2377" s="4" t="s">
        <v>2263</v>
      </c>
      <c r="H2377" s="9" t="s">
        <v>2263</v>
      </c>
      <c r="I2377" s="4" t="s">
        <v>2317</v>
      </c>
      <c r="J2377" s="4" t="s">
        <v>2316</v>
      </c>
      <c r="K2377" s="4" t="s">
        <v>2263</v>
      </c>
      <c r="L2377" s="10">
        <v>14</v>
      </c>
      <c r="M2377" s="5">
        <v>9238.2857142857156</v>
      </c>
      <c r="N2377" s="5">
        <v>129336</v>
      </c>
    </row>
    <row r="2378" spans="1:14" x14ac:dyDescent="0.25">
      <c r="A2378" s="4" t="s">
        <v>2274</v>
      </c>
      <c r="B2378" s="4" t="s">
        <v>4348</v>
      </c>
      <c r="C2378" s="4" t="s">
        <v>2481</v>
      </c>
      <c r="D2378" s="4" t="s">
        <v>2480</v>
      </c>
      <c r="E2378" s="4" t="s">
        <v>4355</v>
      </c>
      <c r="F2378" s="4" t="s">
        <v>4354</v>
      </c>
      <c r="G2378" s="4" t="s">
        <v>2263</v>
      </c>
      <c r="H2378" s="9" t="s">
        <v>2263</v>
      </c>
      <c r="I2378" s="4" t="s">
        <v>2263</v>
      </c>
      <c r="J2378" s="4" t="s">
        <v>2263</v>
      </c>
      <c r="K2378" s="4" t="s">
        <v>2484</v>
      </c>
      <c r="L2378" s="10">
        <v>14</v>
      </c>
      <c r="M2378" s="5">
        <v>9246.2649999999994</v>
      </c>
      <c r="N2378" s="5">
        <v>129447.71</v>
      </c>
    </row>
    <row r="2379" spans="1:14" x14ac:dyDescent="0.25">
      <c r="A2379" s="4" t="s">
        <v>2653</v>
      </c>
      <c r="B2379" s="4" t="s">
        <v>3226</v>
      </c>
      <c r="C2379" s="4" t="s">
        <v>2384</v>
      </c>
      <c r="D2379" s="4" t="s">
        <v>262</v>
      </c>
      <c r="E2379" s="4" t="s">
        <v>3298</v>
      </c>
      <c r="F2379" s="4" t="s">
        <v>3297</v>
      </c>
      <c r="G2379" s="4" t="s">
        <v>2263</v>
      </c>
      <c r="H2379" s="9" t="s">
        <v>2263</v>
      </c>
      <c r="I2379" s="4" t="s">
        <v>2317</v>
      </c>
      <c r="J2379" s="4" t="s">
        <v>2316</v>
      </c>
      <c r="K2379" s="4" t="s">
        <v>2263</v>
      </c>
      <c r="L2379" s="10">
        <v>14</v>
      </c>
      <c r="M2379" s="5">
        <v>9520</v>
      </c>
      <c r="N2379" s="5">
        <v>133280</v>
      </c>
    </row>
    <row r="2380" spans="1:14" x14ac:dyDescent="0.25">
      <c r="A2380" s="4" t="s">
        <v>2320</v>
      </c>
      <c r="B2380" s="4" t="s">
        <v>4967</v>
      </c>
      <c r="C2380" s="4" t="s">
        <v>2320</v>
      </c>
      <c r="D2380" s="4" t="s">
        <v>242</v>
      </c>
      <c r="E2380" s="4" t="s">
        <v>2917</v>
      </c>
      <c r="F2380" s="4" t="s">
        <v>2916</v>
      </c>
      <c r="G2380" s="4" t="s">
        <v>2263</v>
      </c>
      <c r="H2380" s="9" t="s">
        <v>2263</v>
      </c>
      <c r="I2380" s="4" t="s">
        <v>2317</v>
      </c>
      <c r="J2380" s="4" t="s">
        <v>2316</v>
      </c>
      <c r="K2380" s="4" t="s">
        <v>2263</v>
      </c>
      <c r="L2380" s="10">
        <v>14</v>
      </c>
      <c r="M2380" s="5">
        <v>12420.510985915495</v>
      </c>
      <c r="N2380" s="5">
        <v>173887.1538028169</v>
      </c>
    </row>
    <row r="2381" spans="1:14" x14ac:dyDescent="0.25">
      <c r="A2381" s="4" t="s">
        <v>2320</v>
      </c>
      <c r="B2381" s="4" t="s">
        <v>4967</v>
      </c>
      <c r="C2381" s="4" t="s">
        <v>2320</v>
      </c>
      <c r="D2381" s="4" t="s">
        <v>242</v>
      </c>
      <c r="E2381" s="4" t="s">
        <v>4233</v>
      </c>
      <c r="F2381" s="4" t="s">
        <v>4232</v>
      </c>
      <c r="G2381" s="4" t="s">
        <v>2263</v>
      </c>
      <c r="H2381" s="9" t="s">
        <v>2263</v>
      </c>
      <c r="I2381" s="4" t="s">
        <v>2317</v>
      </c>
      <c r="J2381" s="4" t="s">
        <v>2316</v>
      </c>
      <c r="K2381" s="4" t="s">
        <v>2263</v>
      </c>
      <c r="L2381" s="10">
        <v>14</v>
      </c>
      <c r="M2381" s="5">
        <v>12613.713373493978</v>
      </c>
      <c r="N2381" s="5">
        <v>176591.98722891565</v>
      </c>
    </row>
    <row r="2382" spans="1:14" x14ac:dyDescent="0.25">
      <c r="A2382" s="4" t="s">
        <v>2344</v>
      </c>
      <c r="B2382" s="4" t="s">
        <v>5154</v>
      </c>
      <c r="C2382" s="4" t="s">
        <v>2481</v>
      </c>
      <c r="D2382" s="4" t="s">
        <v>2480</v>
      </c>
      <c r="E2382" s="4" t="s">
        <v>4364</v>
      </c>
      <c r="F2382" s="4" t="s">
        <v>4363</v>
      </c>
      <c r="G2382" s="4" t="s">
        <v>2263</v>
      </c>
      <c r="H2382" s="9" t="s">
        <v>2263</v>
      </c>
      <c r="I2382" s="4" t="s">
        <v>2263</v>
      </c>
      <c r="J2382" s="4" t="s">
        <v>2263</v>
      </c>
      <c r="K2382" s="4" t="s">
        <v>4358</v>
      </c>
      <c r="L2382" s="10">
        <v>14</v>
      </c>
      <c r="M2382" s="5">
        <v>13569.95090909091</v>
      </c>
      <c r="N2382" s="5">
        <v>189979.31272727271</v>
      </c>
    </row>
    <row r="2383" spans="1:14" x14ac:dyDescent="0.25">
      <c r="A2383" s="4" t="s">
        <v>2344</v>
      </c>
      <c r="B2383" s="4" t="s">
        <v>5154</v>
      </c>
      <c r="C2383" s="4" t="s">
        <v>2344</v>
      </c>
      <c r="D2383" s="4" t="s">
        <v>237</v>
      </c>
      <c r="E2383" s="4" t="s">
        <v>2441</v>
      </c>
      <c r="F2383" s="4" t="s">
        <v>2440</v>
      </c>
      <c r="G2383" s="4" t="s">
        <v>2263</v>
      </c>
      <c r="H2383" s="9" t="s">
        <v>2263</v>
      </c>
      <c r="I2383" s="4" t="s">
        <v>2263</v>
      </c>
      <c r="J2383" s="4" t="s">
        <v>2263</v>
      </c>
      <c r="K2383" s="4" t="s">
        <v>2439</v>
      </c>
      <c r="L2383" s="10">
        <v>14</v>
      </c>
      <c r="M2383" s="5">
        <v>19420.206499999997</v>
      </c>
      <c r="N2383" s="5">
        <v>271882.891</v>
      </c>
    </row>
    <row r="2384" spans="1:14" x14ac:dyDescent="0.25">
      <c r="A2384" s="4" t="s">
        <v>2653</v>
      </c>
      <c r="B2384" s="4" t="s">
        <v>3226</v>
      </c>
      <c r="C2384" s="4" t="s">
        <v>3801</v>
      </c>
      <c r="D2384" s="4" t="s">
        <v>3800</v>
      </c>
      <c r="E2384" s="4" t="s">
        <v>3809</v>
      </c>
      <c r="F2384" s="4" t="s">
        <v>3808</v>
      </c>
      <c r="G2384" s="4" t="s">
        <v>2263</v>
      </c>
      <c r="H2384" s="9" t="s">
        <v>2263</v>
      </c>
      <c r="I2384" s="4" t="s">
        <v>2317</v>
      </c>
      <c r="J2384" s="4" t="s">
        <v>2316</v>
      </c>
      <c r="K2384" s="4" t="s">
        <v>2263</v>
      </c>
      <c r="L2384" s="10">
        <v>14</v>
      </c>
      <c r="M2384" s="5">
        <v>20121.371428571427</v>
      </c>
      <c r="N2384" s="5">
        <v>281699.20000000001</v>
      </c>
    </row>
    <row r="2385" spans="1:14" x14ac:dyDescent="0.25">
      <c r="A2385" s="4" t="s">
        <v>2344</v>
      </c>
      <c r="B2385" s="4" t="s">
        <v>5154</v>
      </c>
      <c r="C2385" s="4" t="s">
        <v>2320</v>
      </c>
      <c r="D2385" s="4" t="s">
        <v>242</v>
      </c>
      <c r="E2385" s="4" t="s">
        <v>4129</v>
      </c>
      <c r="F2385" s="4" t="s">
        <v>4128</v>
      </c>
      <c r="G2385" s="4" t="s">
        <v>2263</v>
      </c>
      <c r="H2385" s="9" t="s">
        <v>2263</v>
      </c>
      <c r="I2385" s="4" t="s">
        <v>2317</v>
      </c>
      <c r="J2385" s="4" t="s">
        <v>2316</v>
      </c>
      <c r="K2385" s="4" t="s">
        <v>2263</v>
      </c>
      <c r="L2385" s="10">
        <v>14</v>
      </c>
      <c r="M2385" s="5">
        <v>21070.163559322034</v>
      </c>
      <c r="N2385" s="5">
        <v>294982.28983050847</v>
      </c>
    </row>
    <row r="2386" spans="1:14" x14ac:dyDescent="0.25">
      <c r="A2386" s="4" t="s">
        <v>2344</v>
      </c>
      <c r="B2386" s="4" t="s">
        <v>5154</v>
      </c>
      <c r="C2386" s="4" t="s">
        <v>2274</v>
      </c>
      <c r="D2386" s="4" t="s">
        <v>2273</v>
      </c>
      <c r="E2386" s="4" t="s">
        <v>5252</v>
      </c>
      <c r="F2386" s="4" t="s">
        <v>5251</v>
      </c>
      <c r="G2386" s="4" t="s">
        <v>2263</v>
      </c>
      <c r="H2386" s="9" t="s">
        <v>2263</v>
      </c>
      <c r="I2386" s="4" t="s">
        <v>2263</v>
      </c>
      <c r="J2386" s="4" t="s">
        <v>2263</v>
      </c>
      <c r="K2386" s="4" t="s">
        <v>5250</v>
      </c>
      <c r="L2386" s="10">
        <v>14</v>
      </c>
      <c r="M2386" s="5">
        <v>37579.975000000006</v>
      </c>
      <c r="N2386" s="5">
        <v>526119.65</v>
      </c>
    </row>
    <row r="2387" spans="1:14" x14ac:dyDescent="0.25">
      <c r="A2387" s="4" t="s">
        <v>2317</v>
      </c>
      <c r="B2387" s="4" t="s">
        <v>3839</v>
      </c>
      <c r="C2387" s="4" t="s">
        <v>2320</v>
      </c>
      <c r="D2387" s="4" t="s">
        <v>242</v>
      </c>
      <c r="E2387" s="4" t="s">
        <v>2946</v>
      </c>
      <c r="F2387" s="4" t="s">
        <v>2945</v>
      </c>
      <c r="G2387" s="4" t="s">
        <v>2263</v>
      </c>
      <c r="H2387" s="9" t="s">
        <v>2263</v>
      </c>
      <c r="I2387" s="4" t="s">
        <v>2317</v>
      </c>
      <c r="J2387" s="4" t="s">
        <v>2316</v>
      </c>
      <c r="K2387" s="4" t="s">
        <v>2263</v>
      </c>
      <c r="L2387" s="10">
        <v>14</v>
      </c>
      <c r="M2387" s="5">
        <v>40421.470588235294</v>
      </c>
      <c r="N2387" s="5">
        <v>565900.5882352941</v>
      </c>
    </row>
    <row r="2388" spans="1:14" x14ac:dyDescent="0.25">
      <c r="A2388" s="4" t="s">
        <v>2267</v>
      </c>
      <c r="B2388" s="4" t="s">
        <v>3838</v>
      </c>
      <c r="C2388" s="4" t="s">
        <v>2320</v>
      </c>
      <c r="D2388" s="4" t="s">
        <v>242</v>
      </c>
      <c r="E2388" s="4" t="s">
        <v>2970</v>
      </c>
      <c r="F2388" s="4" t="s">
        <v>2969</v>
      </c>
      <c r="G2388" s="4" t="s">
        <v>2263</v>
      </c>
      <c r="H2388" s="9" t="s">
        <v>2263</v>
      </c>
      <c r="I2388" s="4" t="s">
        <v>2317</v>
      </c>
      <c r="J2388" s="4" t="s">
        <v>2316</v>
      </c>
      <c r="K2388" s="4" t="s">
        <v>2263</v>
      </c>
      <c r="L2388" s="10">
        <v>14</v>
      </c>
      <c r="M2388" s="5">
        <v>65514.193548387098</v>
      </c>
      <c r="N2388" s="5">
        <v>917198.70967741939</v>
      </c>
    </row>
    <row r="2389" spans="1:14" x14ac:dyDescent="0.25">
      <c r="A2389" s="4" t="s">
        <v>2317</v>
      </c>
      <c r="B2389" s="4" t="s">
        <v>3839</v>
      </c>
      <c r="C2389" s="4" t="s">
        <v>2320</v>
      </c>
      <c r="D2389" s="4" t="s">
        <v>242</v>
      </c>
      <c r="E2389" s="4" t="s">
        <v>3018</v>
      </c>
      <c r="F2389" s="4" t="s">
        <v>3017</v>
      </c>
      <c r="G2389" s="4" t="s">
        <v>2263</v>
      </c>
      <c r="H2389" s="9" t="s">
        <v>2263</v>
      </c>
      <c r="I2389" s="4" t="s">
        <v>2317</v>
      </c>
      <c r="J2389" s="4" t="s">
        <v>2316</v>
      </c>
      <c r="K2389" s="4" t="s">
        <v>2263</v>
      </c>
      <c r="L2389" s="10">
        <v>14</v>
      </c>
      <c r="M2389" s="5">
        <v>82157.708333333328</v>
      </c>
      <c r="N2389" s="5">
        <v>1150207.9166666667</v>
      </c>
    </row>
    <row r="2390" spans="1:14" x14ac:dyDescent="0.25">
      <c r="A2390" s="4" t="s">
        <v>2274</v>
      </c>
      <c r="B2390" s="4" t="s">
        <v>4348</v>
      </c>
      <c r="C2390" s="4" t="s">
        <v>2344</v>
      </c>
      <c r="D2390" s="4" t="s">
        <v>237</v>
      </c>
      <c r="E2390" s="4" t="s">
        <v>4556</v>
      </c>
      <c r="F2390" s="4" t="s">
        <v>4555</v>
      </c>
      <c r="G2390" s="4" t="s">
        <v>2263</v>
      </c>
      <c r="H2390" s="9" t="s">
        <v>2263</v>
      </c>
      <c r="I2390" s="4" t="s">
        <v>2263</v>
      </c>
      <c r="J2390" s="4" t="s">
        <v>2263</v>
      </c>
      <c r="K2390" s="4" t="s">
        <v>4554</v>
      </c>
      <c r="L2390" s="10">
        <v>15</v>
      </c>
      <c r="M2390" s="5">
        <v>812.87333333333333</v>
      </c>
      <c r="N2390" s="5">
        <v>12193.1</v>
      </c>
    </row>
    <row r="2391" spans="1:14" x14ac:dyDescent="0.25">
      <c r="A2391" s="4" t="s">
        <v>2344</v>
      </c>
      <c r="B2391" s="4" t="s">
        <v>5154</v>
      </c>
      <c r="C2391" s="4" t="s">
        <v>2344</v>
      </c>
      <c r="D2391" s="4" t="s">
        <v>237</v>
      </c>
      <c r="E2391" s="4" t="s">
        <v>5367</v>
      </c>
      <c r="F2391" s="4" t="s">
        <v>4609</v>
      </c>
      <c r="G2391" s="4" t="s">
        <v>2263</v>
      </c>
      <c r="H2391" s="9" t="s">
        <v>2263</v>
      </c>
      <c r="I2391" s="4" t="s">
        <v>2263</v>
      </c>
      <c r="J2391" s="4" t="s">
        <v>2263</v>
      </c>
      <c r="K2391" s="4" t="s">
        <v>2628</v>
      </c>
      <c r="L2391" s="10">
        <v>15</v>
      </c>
      <c r="M2391" s="5">
        <v>833.8506666666666</v>
      </c>
      <c r="N2391" s="5">
        <v>12507.76</v>
      </c>
    </row>
    <row r="2392" spans="1:14" x14ac:dyDescent="0.25">
      <c r="A2392" s="4" t="s">
        <v>2317</v>
      </c>
      <c r="B2392" s="4" t="s">
        <v>3839</v>
      </c>
      <c r="C2392" s="4" t="s">
        <v>2320</v>
      </c>
      <c r="D2392" s="4" t="s">
        <v>242</v>
      </c>
      <c r="E2392" s="4" t="s">
        <v>2416</v>
      </c>
      <c r="F2392" s="4" t="s">
        <v>2415</v>
      </c>
      <c r="G2392" s="4" t="s">
        <v>2263</v>
      </c>
      <c r="H2392" s="9" t="s">
        <v>2263</v>
      </c>
      <c r="I2392" s="4" t="s">
        <v>2317</v>
      </c>
      <c r="J2392" s="4" t="s">
        <v>2316</v>
      </c>
      <c r="K2392" s="4" t="s">
        <v>2263</v>
      </c>
      <c r="L2392" s="10">
        <v>15</v>
      </c>
      <c r="M2392" s="5">
        <v>841.07974358974366</v>
      </c>
      <c r="N2392" s="5">
        <v>12616.196153846149</v>
      </c>
    </row>
    <row r="2393" spans="1:14" x14ac:dyDescent="0.25">
      <c r="A2393" s="4" t="s">
        <v>2317</v>
      </c>
      <c r="B2393" s="4" t="s">
        <v>3839</v>
      </c>
      <c r="C2393" s="4" t="s">
        <v>2320</v>
      </c>
      <c r="D2393" s="4" t="s">
        <v>242</v>
      </c>
      <c r="E2393" s="4" t="s">
        <v>2390</v>
      </c>
      <c r="F2393" s="4" t="s">
        <v>2389</v>
      </c>
      <c r="G2393" s="4" t="s">
        <v>2263</v>
      </c>
      <c r="H2393" s="9" t="s">
        <v>2263</v>
      </c>
      <c r="I2393" s="4" t="s">
        <v>2317</v>
      </c>
      <c r="J2393" s="4" t="s">
        <v>2316</v>
      </c>
      <c r="K2393" s="4" t="s">
        <v>2263</v>
      </c>
      <c r="L2393" s="10">
        <v>15</v>
      </c>
      <c r="M2393" s="5">
        <v>1537.0346428571427</v>
      </c>
      <c r="N2393" s="5">
        <v>23055.51964285714</v>
      </c>
    </row>
    <row r="2394" spans="1:14" x14ac:dyDescent="0.25">
      <c r="A2394" s="4" t="s">
        <v>2320</v>
      </c>
      <c r="B2394" s="4" t="s">
        <v>4967</v>
      </c>
      <c r="C2394" s="4" t="s">
        <v>2320</v>
      </c>
      <c r="D2394" s="4" t="s">
        <v>242</v>
      </c>
      <c r="E2394" s="4" t="s">
        <v>3189</v>
      </c>
      <c r="F2394" s="4" t="s">
        <v>3188</v>
      </c>
      <c r="G2394" s="4" t="s">
        <v>2263</v>
      </c>
      <c r="H2394" s="9" t="s">
        <v>2263</v>
      </c>
      <c r="I2394" s="4" t="s">
        <v>2317</v>
      </c>
      <c r="J2394" s="4" t="s">
        <v>2316</v>
      </c>
      <c r="K2394" s="4" t="s">
        <v>2263</v>
      </c>
      <c r="L2394" s="10">
        <v>15</v>
      </c>
      <c r="M2394" s="5">
        <v>1813.293306451613</v>
      </c>
      <c r="N2394" s="5">
        <v>27199.39959677419</v>
      </c>
    </row>
    <row r="2395" spans="1:14" x14ac:dyDescent="0.25">
      <c r="A2395" s="4" t="s">
        <v>2653</v>
      </c>
      <c r="B2395" s="4" t="s">
        <v>3226</v>
      </c>
      <c r="C2395" s="4" t="s">
        <v>2384</v>
      </c>
      <c r="D2395" s="4" t="s">
        <v>262</v>
      </c>
      <c r="E2395" s="4" t="s">
        <v>3478</v>
      </c>
      <c r="F2395" s="4" t="s">
        <v>3477</v>
      </c>
      <c r="G2395" s="4" t="s">
        <v>2263</v>
      </c>
      <c r="H2395" s="9" t="s">
        <v>2263</v>
      </c>
      <c r="I2395" s="4" t="s">
        <v>2317</v>
      </c>
      <c r="J2395" s="4" t="s">
        <v>2316</v>
      </c>
      <c r="K2395" s="4" t="s">
        <v>2263</v>
      </c>
      <c r="L2395" s="10">
        <v>15</v>
      </c>
      <c r="M2395" s="5">
        <v>2281.5973333333332</v>
      </c>
      <c r="N2395" s="5">
        <v>34223.96</v>
      </c>
    </row>
    <row r="2396" spans="1:14" x14ac:dyDescent="0.25">
      <c r="A2396" s="4" t="s">
        <v>2320</v>
      </c>
      <c r="B2396" s="4" t="s">
        <v>4967</v>
      </c>
      <c r="C2396" s="4" t="s">
        <v>2344</v>
      </c>
      <c r="D2396" s="4" t="s">
        <v>237</v>
      </c>
      <c r="E2396" s="4" t="s">
        <v>2880</v>
      </c>
      <c r="F2396" s="4" t="s">
        <v>2879</v>
      </c>
      <c r="G2396" s="4" t="s">
        <v>2263</v>
      </c>
      <c r="H2396" s="9" t="s">
        <v>2263</v>
      </c>
      <c r="I2396" s="4" t="s">
        <v>2263</v>
      </c>
      <c r="J2396" s="4" t="s">
        <v>2263</v>
      </c>
      <c r="K2396" s="4" t="s">
        <v>2878</v>
      </c>
      <c r="L2396" s="10">
        <v>15</v>
      </c>
      <c r="M2396" s="5">
        <v>2733.4718861209963</v>
      </c>
      <c r="N2396" s="5">
        <v>41002.078291814949</v>
      </c>
    </row>
    <row r="2397" spans="1:14" x14ac:dyDescent="0.25">
      <c r="A2397" s="4" t="s">
        <v>2653</v>
      </c>
      <c r="B2397" s="4" t="s">
        <v>3226</v>
      </c>
      <c r="C2397" s="4" t="s">
        <v>2384</v>
      </c>
      <c r="D2397" s="4" t="s">
        <v>262</v>
      </c>
      <c r="E2397" s="4" t="s">
        <v>3474</v>
      </c>
      <c r="F2397" s="4" t="s">
        <v>3473</v>
      </c>
      <c r="G2397" s="4" t="s">
        <v>2263</v>
      </c>
      <c r="H2397" s="9" t="s">
        <v>2263</v>
      </c>
      <c r="I2397" s="4" t="s">
        <v>2317</v>
      </c>
      <c r="J2397" s="4" t="s">
        <v>2316</v>
      </c>
      <c r="K2397" s="4" t="s">
        <v>2263</v>
      </c>
      <c r="L2397" s="10">
        <v>15</v>
      </c>
      <c r="M2397" s="5">
        <v>2780.0966666666664</v>
      </c>
      <c r="N2397" s="5">
        <v>41701.449999999997</v>
      </c>
    </row>
    <row r="2398" spans="1:14" x14ac:dyDescent="0.25">
      <c r="A2398" s="4" t="s">
        <v>2320</v>
      </c>
      <c r="B2398" s="4" t="s">
        <v>4967</v>
      </c>
      <c r="C2398" s="4" t="s">
        <v>2320</v>
      </c>
      <c r="D2398" s="4" t="s">
        <v>242</v>
      </c>
      <c r="E2398" s="4" t="s">
        <v>4101</v>
      </c>
      <c r="F2398" s="4" t="s">
        <v>4100</v>
      </c>
      <c r="G2398" s="4" t="s">
        <v>2263</v>
      </c>
      <c r="H2398" s="9" t="s">
        <v>2263</v>
      </c>
      <c r="I2398" s="4" t="s">
        <v>2317</v>
      </c>
      <c r="J2398" s="4" t="s">
        <v>2316</v>
      </c>
      <c r="K2398" s="4" t="s">
        <v>2263</v>
      </c>
      <c r="L2398" s="10">
        <v>15</v>
      </c>
      <c r="M2398" s="5">
        <v>2800.4413461538461</v>
      </c>
      <c r="N2398" s="5">
        <v>42006.620192307688</v>
      </c>
    </row>
    <row r="2399" spans="1:14" x14ac:dyDescent="0.25">
      <c r="A2399" s="4" t="s">
        <v>2317</v>
      </c>
      <c r="B2399" s="4" t="s">
        <v>3839</v>
      </c>
      <c r="C2399" s="4" t="s">
        <v>2320</v>
      </c>
      <c r="D2399" s="4" t="s">
        <v>242</v>
      </c>
      <c r="E2399" s="4" t="s">
        <v>2689</v>
      </c>
      <c r="F2399" s="4" t="s">
        <v>2688</v>
      </c>
      <c r="G2399" s="4" t="s">
        <v>2263</v>
      </c>
      <c r="H2399" s="9" t="s">
        <v>2263</v>
      </c>
      <c r="I2399" s="4" t="s">
        <v>2317</v>
      </c>
      <c r="J2399" s="4" t="s">
        <v>2316</v>
      </c>
      <c r="K2399" s="4" t="s">
        <v>2263</v>
      </c>
      <c r="L2399" s="10">
        <v>15</v>
      </c>
      <c r="M2399" s="5">
        <v>3250.4286666666667</v>
      </c>
      <c r="N2399" s="5">
        <v>48756.43</v>
      </c>
    </row>
    <row r="2400" spans="1:14" x14ac:dyDescent="0.25">
      <c r="A2400" s="4" t="s">
        <v>2320</v>
      </c>
      <c r="B2400" s="4" t="s">
        <v>4967</v>
      </c>
      <c r="C2400" s="4" t="s">
        <v>2320</v>
      </c>
      <c r="D2400" s="4" t="s">
        <v>242</v>
      </c>
      <c r="E2400" s="4" t="s">
        <v>2691</v>
      </c>
      <c r="F2400" s="4" t="s">
        <v>2690</v>
      </c>
      <c r="G2400" s="4" t="s">
        <v>2263</v>
      </c>
      <c r="H2400" s="9" t="s">
        <v>2263</v>
      </c>
      <c r="I2400" s="4" t="s">
        <v>2317</v>
      </c>
      <c r="J2400" s="4" t="s">
        <v>2316</v>
      </c>
      <c r="K2400" s="4" t="s">
        <v>2263</v>
      </c>
      <c r="L2400" s="10">
        <v>15</v>
      </c>
      <c r="M2400" s="5">
        <v>3269.9845714285716</v>
      </c>
      <c r="N2400" s="5">
        <v>49049.768571428569</v>
      </c>
    </row>
    <row r="2401" spans="1:14" x14ac:dyDescent="0.25">
      <c r="A2401" s="4" t="s">
        <v>2320</v>
      </c>
      <c r="B2401" s="4" t="s">
        <v>4967</v>
      </c>
      <c r="C2401" s="4" t="s">
        <v>2320</v>
      </c>
      <c r="D2401" s="4" t="s">
        <v>242</v>
      </c>
      <c r="E2401" s="4" t="s">
        <v>2394</v>
      </c>
      <c r="F2401" s="4" t="s">
        <v>2393</v>
      </c>
      <c r="G2401" s="4" t="s">
        <v>2263</v>
      </c>
      <c r="H2401" s="9" t="s">
        <v>2263</v>
      </c>
      <c r="I2401" s="4" t="s">
        <v>2317</v>
      </c>
      <c r="J2401" s="4" t="s">
        <v>2316</v>
      </c>
      <c r="K2401" s="4" t="s">
        <v>2263</v>
      </c>
      <c r="L2401" s="10">
        <v>15</v>
      </c>
      <c r="M2401" s="5">
        <v>3280.1967213114754</v>
      </c>
      <c r="N2401" s="5">
        <v>49202.950819672129</v>
      </c>
    </row>
    <row r="2402" spans="1:14" x14ac:dyDescent="0.25">
      <c r="A2402" s="4" t="s">
        <v>2320</v>
      </c>
      <c r="B2402" s="4" t="s">
        <v>4967</v>
      </c>
      <c r="C2402" s="4" t="s">
        <v>2320</v>
      </c>
      <c r="D2402" s="4" t="s">
        <v>242</v>
      </c>
      <c r="E2402" s="4" t="s">
        <v>3843</v>
      </c>
      <c r="F2402" s="4" t="s">
        <v>3842</v>
      </c>
      <c r="G2402" s="4" t="s">
        <v>2263</v>
      </c>
      <c r="H2402" s="9" t="s">
        <v>2263</v>
      </c>
      <c r="I2402" s="4" t="s">
        <v>2317</v>
      </c>
      <c r="J2402" s="4" t="s">
        <v>2316</v>
      </c>
      <c r="K2402" s="4" t="s">
        <v>2263</v>
      </c>
      <c r="L2402" s="10">
        <v>15</v>
      </c>
      <c r="M2402" s="5">
        <v>4557.2305263157896</v>
      </c>
      <c r="N2402" s="5">
        <v>68358.457894736843</v>
      </c>
    </row>
    <row r="2403" spans="1:14" x14ac:dyDescent="0.25">
      <c r="A2403" s="4" t="s">
        <v>2344</v>
      </c>
      <c r="B2403" s="4" t="s">
        <v>5154</v>
      </c>
      <c r="C2403" s="4" t="s">
        <v>2267</v>
      </c>
      <c r="D2403" s="4" t="s">
        <v>2266</v>
      </c>
      <c r="E2403" s="4" t="s">
        <v>4409</v>
      </c>
      <c r="F2403" s="4" t="s">
        <v>2506</v>
      </c>
      <c r="G2403" s="4" t="s">
        <v>2263</v>
      </c>
      <c r="H2403" s="9" t="s">
        <v>2263</v>
      </c>
      <c r="I2403" s="4" t="s">
        <v>2263</v>
      </c>
      <c r="J2403" s="4" t="s">
        <v>2263</v>
      </c>
      <c r="K2403" s="4" t="s">
        <v>2505</v>
      </c>
      <c r="L2403" s="10">
        <v>15</v>
      </c>
      <c r="M2403" s="5">
        <v>4610.7261428571428</v>
      </c>
      <c r="N2403" s="5">
        <v>69160.892142857134</v>
      </c>
    </row>
    <row r="2404" spans="1:14" x14ac:dyDescent="0.25">
      <c r="A2404" s="4" t="s">
        <v>2344</v>
      </c>
      <c r="B2404" s="4" t="s">
        <v>5154</v>
      </c>
      <c r="C2404" s="4" t="s">
        <v>2344</v>
      </c>
      <c r="D2404" s="4" t="s">
        <v>237</v>
      </c>
      <c r="E2404" s="4" t="s">
        <v>4779</v>
      </c>
      <c r="F2404" s="4" t="s">
        <v>2612</v>
      </c>
      <c r="G2404" s="4" t="s">
        <v>2263</v>
      </c>
      <c r="H2404" s="9" t="s">
        <v>2263</v>
      </c>
      <c r="I2404" s="4" t="s">
        <v>2263</v>
      </c>
      <c r="J2404" s="4" t="s">
        <v>2263</v>
      </c>
      <c r="K2404" s="4" t="s">
        <v>2611</v>
      </c>
      <c r="L2404" s="10">
        <v>15</v>
      </c>
      <c r="M2404" s="5">
        <v>4708.1851851851852</v>
      </c>
      <c r="N2404" s="5">
        <v>70622.777777777781</v>
      </c>
    </row>
    <row r="2405" spans="1:14" x14ac:dyDescent="0.25">
      <c r="A2405" s="4" t="s">
        <v>2344</v>
      </c>
      <c r="B2405" s="4" t="s">
        <v>5154</v>
      </c>
      <c r="C2405" s="4" t="s">
        <v>2320</v>
      </c>
      <c r="D2405" s="4" t="s">
        <v>242</v>
      </c>
      <c r="E2405" s="4" t="s">
        <v>2697</v>
      </c>
      <c r="F2405" s="4" t="s">
        <v>2696</v>
      </c>
      <c r="G2405" s="4" t="s">
        <v>2263</v>
      </c>
      <c r="H2405" s="9" t="s">
        <v>2263</v>
      </c>
      <c r="I2405" s="4" t="s">
        <v>2317</v>
      </c>
      <c r="J2405" s="4" t="s">
        <v>2316</v>
      </c>
      <c r="K2405" s="4" t="s">
        <v>2263</v>
      </c>
      <c r="L2405" s="10">
        <v>15</v>
      </c>
      <c r="M2405" s="5">
        <v>4942.9965822784807</v>
      </c>
      <c r="N2405" s="5">
        <v>74144.948734177218</v>
      </c>
    </row>
    <row r="2406" spans="1:14" x14ac:dyDescent="0.25">
      <c r="A2406" s="4" t="s">
        <v>2317</v>
      </c>
      <c r="B2406" s="4" t="s">
        <v>3839</v>
      </c>
      <c r="C2406" s="4" t="s">
        <v>2320</v>
      </c>
      <c r="D2406" s="4" t="s">
        <v>242</v>
      </c>
      <c r="E2406" s="4" t="s">
        <v>4217</v>
      </c>
      <c r="F2406" s="4" t="s">
        <v>4216</v>
      </c>
      <c r="G2406" s="4" t="s">
        <v>2263</v>
      </c>
      <c r="H2406" s="9" t="s">
        <v>2263</v>
      </c>
      <c r="I2406" s="4" t="s">
        <v>2317</v>
      </c>
      <c r="J2406" s="4" t="s">
        <v>2316</v>
      </c>
      <c r="K2406" s="4" t="s">
        <v>2263</v>
      </c>
      <c r="L2406" s="10">
        <v>15</v>
      </c>
      <c r="M2406" s="5">
        <v>5011.5231578947369</v>
      </c>
      <c r="N2406" s="5">
        <v>75172.847368421048</v>
      </c>
    </row>
    <row r="2407" spans="1:14" x14ac:dyDescent="0.25">
      <c r="A2407" s="4" t="s">
        <v>2320</v>
      </c>
      <c r="B2407" s="4" t="s">
        <v>4967</v>
      </c>
      <c r="C2407" s="4" t="s">
        <v>2320</v>
      </c>
      <c r="D2407" s="4" t="s">
        <v>242</v>
      </c>
      <c r="E2407" s="4" t="s">
        <v>3143</v>
      </c>
      <c r="F2407" s="4" t="s">
        <v>3142</v>
      </c>
      <c r="G2407" s="4" t="s">
        <v>2263</v>
      </c>
      <c r="H2407" s="9" t="s">
        <v>2263</v>
      </c>
      <c r="I2407" s="4" t="s">
        <v>2317</v>
      </c>
      <c r="J2407" s="4" t="s">
        <v>2316</v>
      </c>
      <c r="K2407" s="4" t="s">
        <v>2263</v>
      </c>
      <c r="L2407" s="10">
        <v>15</v>
      </c>
      <c r="M2407" s="5">
        <v>9283.9847619047632</v>
      </c>
      <c r="N2407" s="5">
        <v>139259.77142857143</v>
      </c>
    </row>
    <row r="2408" spans="1:14" x14ac:dyDescent="0.25">
      <c r="A2408" s="4" t="s">
        <v>2274</v>
      </c>
      <c r="B2408" s="4" t="s">
        <v>4348</v>
      </c>
      <c r="C2408" s="4" t="s">
        <v>2344</v>
      </c>
      <c r="D2408" s="4" t="s">
        <v>237</v>
      </c>
      <c r="E2408" s="4" t="s">
        <v>3193</v>
      </c>
      <c r="F2408" s="4" t="s">
        <v>2431</v>
      </c>
      <c r="G2408" s="4" t="s">
        <v>2263</v>
      </c>
      <c r="H2408" s="9" t="s">
        <v>2263</v>
      </c>
      <c r="I2408" s="4" t="s">
        <v>2263</v>
      </c>
      <c r="J2408" s="4" t="s">
        <v>2263</v>
      </c>
      <c r="K2408" s="4" t="s">
        <v>2430</v>
      </c>
      <c r="L2408" s="10">
        <v>15</v>
      </c>
      <c r="M2408" s="5">
        <v>10942.6564</v>
      </c>
      <c r="N2408" s="5">
        <v>164139.84599999999</v>
      </c>
    </row>
    <row r="2409" spans="1:14" x14ac:dyDescent="0.25">
      <c r="A2409" s="4" t="s">
        <v>2320</v>
      </c>
      <c r="B2409" s="4" t="s">
        <v>4967</v>
      </c>
      <c r="C2409" s="4" t="s">
        <v>2344</v>
      </c>
      <c r="D2409" s="4" t="s">
        <v>237</v>
      </c>
      <c r="E2409" s="4" t="s">
        <v>5144</v>
      </c>
      <c r="F2409" s="4" t="s">
        <v>2610</v>
      </c>
      <c r="G2409" s="4" t="s">
        <v>2263</v>
      </c>
      <c r="H2409" s="9" t="s">
        <v>2263</v>
      </c>
      <c r="I2409" s="4" t="s">
        <v>2263</v>
      </c>
      <c r="J2409" s="4" t="s">
        <v>2263</v>
      </c>
      <c r="K2409" s="4" t="s">
        <v>2536</v>
      </c>
      <c r="L2409" s="10">
        <v>15</v>
      </c>
      <c r="M2409" s="5">
        <v>12940</v>
      </c>
      <c r="N2409" s="5">
        <v>194100</v>
      </c>
    </row>
    <row r="2410" spans="1:14" x14ac:dyDescent="0.25">
      <c r="A2410" s="4" t="s">
        <v>2837</v>
      </c>
      <c r="B2410" s="4" t="s">
        <v>2836</v>
      </c>
      <c r="C2410" s="4" t="s">
        <v>2320</v>
      </c>
      <c r="D2410" s="4" t="s">
        <v>242</v>
      </c>
      <c r="E2410" s="4" t="s">
        <v>2853</v>
      </c>
      <c r="F2410" s="4" t="s">
        <v>2852</v>
      </c>
      <c r="G2410" s="4" t="s">
        <v>2263</v>
      </c>
      <c r="H2410" s="9" t="s">
        <v>2263</v>
      </c>
      <c r="I2410" s="4" t="s">
        <v>2317</v>
      </c>
      <c r="J2410" s="4" t="s">
        <v>2316</v>
      </c>
      <c r="K2410" s="4" t="s">
        <v>2263</v>
      </c>
      <c r="L2410" s="10">
        <v>15</v>
      </c>
      <c r="M2410" s="5">
        <v>13861.523999999999</v>
      </c>
      <c r="N2410" s="5">
        <v>207922.86</v>
      </c>
    </row>
    <row r="2411" spans="1:14" x14ac:dyDescent="0.25">
      <c r="A2411" s="4" t="s">
        <v>2320</v>
      </c>
      <c r="B2411" s="4" t="s">
        <v>4967</v>
      </c>
      <c r="C2411" s="4" t="s">
        <v>2320</v>
      </c>
      <c r="D2411" s="4" t="s">
        <v>242</v>
      </c>
      <c r="E2411" s="4" t="s">
        <v>5009</v>
      </c>
      <c r="F2411" s="4" t="s">
        <v>5008</v>
      </c>
      <c r="G2411" s="4" t="s">
        <v>2263</v>
      </c>
      <c r="H2411" s="9" t="s">
        <v>2263</v>
      </c>
      <c r="I2411" s="4" t="s">
        <v>2317</v>
      </c>
      <c r="J2411" s="4" t="s">
        <v>2316</v>
      </c>
      <c r="K2411" s="4" t="s">
        <v>2263</v>
      </c>
      <c r="L2411" s="10">
        <v>15</v>
      </c>
      <c r="M2411" s="5">
        <v>15735.493333333334</v>
      </c>
      <c r="N2411" s="5">
        <v>236032.4</v>
      </c>
    </row>
    <row r="2412" spans="1:14" x14ac:dyDescent="0.25">
      <c r="A2412" s="4" t="s">
        <v>2653</v>
      </c>
      <c r="B2412" s="4" t="s">
        <v>3226</v>
      </c>
      <c r="C2412" s="4" t="s">
        <v>3107</v>
      </c>
      <c r="D2412" s="4" t="s">
        <v>1105</v>
      </c>
      <c r="E2412" s="4" t="s">
        <v>3685</v>
      </c>
      <c r="F2412" s="4" t="s">
        <v>3684</v>
      </c>
      <c r="G2412" s="4" t="s">
        <v>2263</v>
      </c>
      <c r="H2412" s="9" t="s">
        <v>2263</v>
      </c>
      <c r="I2412" s="4" t="s">
        <v>2317</v>
      </c>
      <c r="J2412" s="4" t="s">
        <v>2316</v>
      </c>
      <c r="K2412" s="4" t="s">
        <v>2263</v>
      </c>
      <c r="L2412" s="10">
        <v>15</v>
      </c>
      <c r="M2412" s="5">
        <v>16905.788</v>
      </c>
      <c r="N2412" s="5">
        <v>253586.82</v>
      </c>
    </row>
    <row r="2413" spans="1:14" x14ac:dyDescent="0.25">
      <c r="A2413" s="4" t="s">
        <v>2317</v>
      </c>
      <c r="B2413" s="4" t="s">
        <v>3839</v>
      </c>
      <c r="C2413" s="4" t="s">
        <v>2320</v>
      </c>
      <c r="D2413" s="4" t="s">
        <v>242</v>
      </c>
      <c r="E2413" s="4" t="s">
        <v>4171</v>
      </c>
      <c r="F2413" s="4" t="s">
        <v>4170</v>
      </c>
      <c r="G2413" s="4" t="s">
        <v>2263</v>
      </c>
      <c r="H2413" s="9" t="s">
        <v>2263</v>
      </c>
      <c r="I2413" s="4" t="s">
        <v>2317</v>
      </c>
      <c r="J2413" s="4" t="s">
        <v>2316</v>
      </c>
      <c r="K2413" s="4" t="s">
        <v>2263</v>
      </c>
      <c r="L2413" s="10">
        <v>15</v>
      </c>
      <c r="M2413" s="5">
        <v>20807.692631578946</v>
      </c>
      <c r="N2413" s="5">
        <v>312115.38947368419</v>
      </c>
    </row>
    <row r="2414" spans="1:14" x14ac:dyDescent="0.25">
      <c r="A2414" s="4" t="s">
        <v>2317</v>
      </c>
      <c r="B2414" s="4" t="s">
        <v>3839</v>
      </c>
      <c r="C2414" s="4" t="s">
        <v>2320</v>
      </c>
      <c r="D2414" s="4" t="s">
        <v>242</v>
      </c>
      <c r="E2414" s="4" t="s">
        <v>3863</v>
      </c>
      <c r="F2414" s="4" t="s">
        <v>3862</v>
      </c>
      <c r="G2414" s="4" t="s">
        <v>2263</v>
      </c>
      <c r="H2414" s="9" t="s">
        <v>2263</v>
      </c>
      <c r="I2414" s="4" t="s">
        <v>2317</v>
      </c>
      <c r="J2414" s="4" t="s">
        <v>2316</v>
      </c>
      <c r="K2414" s="4" t="s">
        <v>2263</v>
      </c>
      <c r="L2414" s="10">
        <v>15</v>
      </c>
      <c r="M2414" s="5">
        <v>22157.21</v>
      </c>
      <c r="N2414" s="5">
        <v>332358.15000000002</v>
      </c>
    </row>
    <row r="2415" spans="1:14" x14ac:dyDescent="0.25">
      <c r="A2415" s="4" t="s">
        <v>2320</v>
      </c>
      <c r="B2415" s="4" t="s">
        <v>4967</v>
      </c>
      <c r="C2415" s="4" t="s">
        <v>2320</v>
      </c>
      <c r="D2415" s="4" t="s">
        <v>242</v>
      </c>
      <c r="E2415" s="4" t="s">
        <v>3995</v>
      </c>
      <c r="F2415" s="4" t="s">
        <v>3994</v>
      </c>
      <c r="G2415" s="4" t="s">
        <v>2263</v>
      </c>
      <c r="H2415" s="9" t="s">
        <v>2263</v>
      </c>
      <c r="I2415" s="4" t="s">
        <v>2317</v>
      </c>
      <c r="J2415" s="4" t="s">
        <v>2316</v>
      </c>
      <c r="K2415" s="4" t="s">
        <v>2263</v>
      </c>
      <c r="L2415" s="10">
        <v>15</v>
      </c>
      <c r="M2415" s="5">
        <v>22891.034782608695</v>
      </c>
      <c r="N2415" s="5">
        <v>343365.52173913043</v>
      </c>
    </row>
    <row r="2416" spans="1:14" x14ac:dyDescent="0.25">
      <c r="A2416" s="4" t="s">
        <v>2653</v>
      </c>
      <c r="B2416" s="4" t="s">
        <v>3226</v>
      </c>
      <c r="C2416" s="4" t="s">
        <v>2353</v>
      </c>
      <c r="D2416" s="4" t="s">
        <v>258</v>
      </c>
      <c r="E2416" s="4" t="s">
        <v>3294</v>
      </c>
      <c r="F2416" s="4" t="s">
        <v>3293</v>
      </c>
      <c r="G2416" s="4" t="s">
        <v>2263</v>
      </c>
      <c r="H2416" s="9" t="s">
        <v>2263</v>
      </c>
      <c r="I2416" s="4" t="s">
        <v>2317</v>
      </c>
      <c r="J2416" s="4" t="s">
        <v>2316</v>
      </c>
      <c r="K2416" s="4" t="s">
        <v>2263</v>
      </c>
      <c r="L2416" s="10">
        <v>15</v>
      </c>
      <c r="M2416" s="5">
        <v>24157</v>
      </c>
      <c r="N2416" s="5">
        <v>362355</v>
      </c>
    </row>
    <row r="2417" spans="1:14" x14ac:dyDescent="0.25">
      <c r="A2417" s="4" t="s">
        <v>2320</v>
      </c>
      <c r="B2417" s="4" t="s">
        <v>4967</v>
      </c>
      <c r="C2417" s="4" t="s">
        <v>2344</v>
      </c>
      <c r="D2417" s="4" t="s">
        <v>237</v>
      </c>
      <c r="E2417" s="4" t="s">
        <v>4798</v>
      </c>
      <c r="F2417" s="4" t="s">
        <v>4797</v>
      </c>
      <c r="G2417" s="4" t="s">
        <v>2263</v>
      </c>
      <c r="H2417" s="9" t="s">
        <v>2263</v>
      </c>
      <c r="I2417" s="4" t="s">
        <v>2263</v>
      </c>
      <c r="J2417" s="4" t="s">
        <v>2263</v>
      </c>
      <c r="K2417" s="4" t="s">
        <v>4796</v>
      </c>
      <c r="L2417" s="10">
        <v>15</v>
      </c>
      <c r="M2417" s="5">
        <v>25320.789896907219</v>
      </c>
      <c r="N2417" s="5">
        <v>379811.84845360823</v>
      </c>
    </row>
    <row r="2418" spans="1:14" x14ac:dyDescent="0.25">
      <c r="A2418" s="4" t="s">
        <v>2317</v>
      </c>
      <c r="B2418" s="4" t="s">
        <v>3839</v>
      </c>
      <c r="C2418" s="4" t="s">
        <v>2320</v>
      </c>
      <c r="D2418" s="4" t="s">
        <v>242</v>
      </c>
      <c r="E2418" s="4" t="s">
        <v>4185</v>
      </c>
      <c r="F2418" s="4" t="s">
        <v>4184</v>
      </c>
      <c r="G2418" s="4" t="s">
        <v>2263</v>
      </c>
      <c r="H2418" s="9" t="s">
        <v>2263</v>
      </c>
      <c r="I2418" s="4" t="s">
        <v>2317</v>
      </c>
      <c r="J2418" s="4" t="s">
        <v>2316</v>
      </c>
      <c r="K2418" s="4" t="s">
        <v>2263</v>
      </c>
      <c r="L2418" s="10">
        <v>15</v>
      </c>
      <c r="M2418" s="5">
        <v>35848.57894736842</v>
      </c>
      <c r="N2418" s="5">
        <v>537728.68421052629</v>
      </c>
    </row>
    <row r="2419" spans="1:14" x14ac:dyDescent="0.25">
      <c r="A2419" s="4" t="s">
        <v>2344</v>
      </c>
      <c r="B2419" s="4" t="s">
        <v>5154</v>
      </c>
      <c r="C2419" s="4" t="s">
        <v>2274</v>
      </c>
      <c r="D2419" s="4" t="s">
        <v>2273</v>
      </c>
      <c r="E2419" s="4" t="s">
        <v>4460</v>
      </c>
      <c r="F2419" s="4" t="s">
        <v>2537</v>
      </c>
      <c r="G2419" s="4" t="s">
        <v>2263</v>
      </c>
      <c r="H2419" s="9" t="s">
        <v>2263</v>
      </c>
      <c r="I2419" s="4" t="s">
        <v>2263</v>
      </c>
      <c r="J2419" s="4" t="s">
        <v>2263</v>
      </c>
      <c r="K2419" s="4" t="s">
        <v>2536</v>
      </c>
      <c r="L2419" s="10">
        <v>15</v>
      </c>
      <c r="M2419" s="5">
        <v>48102</v>
      </c>
      <c r="N2419" s="5">
        <v>721530</v>
      </c>
    </row>
    <row r="2420" spans="1:14" x14ac:dyDescent="0.25">
      <c r="A2420" s="4" t="s">
        <v>2344</v>
      </c>
      <c r="B2420" s="4" t="s">
        <v>5154</v>
      </c>
      <c r="C2420" s="4" t="s">
        <v>2344</v>
      </c>
      <c r="D2420" s="4" t="s">
        <v>237</v>
      </c>
      <c r="E2420" s="4" t="s">
        <v>4625</v>
      </c>
      <c r="F2420" s="4" t="s">
        <v>4624</v>
      </c>
      <c r="G2420" s="4" t="s">
        <v>2263</v>
      </c>
      <c r="H2420" s="9" t="s">
        <v>2263</v>
      </c>
      <c r="I2420" s="4" t="s">
        <v>2263</v>
      </c>
      <c r="J2420" s="4" t="s">
        <v>2263</v>
      </c>
      <c r="K2420" s="4" t="s">
        <v>4623</v>
      </c>
      <c r="L2420" s="10">
        <v>15</v>
      </c>
      <c r="M2420" s="5">
        <v>56343.01155555556</v>
      </c>
      <c r="N2420" s="5">
        <v>845145.17333333322</v>
      </c>
    </row>
    <row r="2421" spans="1:14" x14ac:dyDescent="0.25">
      <c r="A2421" s="4" t="s">
        <v>2317</v>
      </c>
      <c r="B2421" s="4" t="s">
        <v>3839</v>
      </c>
      <c r="C2421" s="4" t="s">
        <v>2320</v>
      </c>
      <c r="D2421" s="4" t="s">
        <v>242</v>
      </c>
      <c r="E2421" s="4" t="s">
        <v>4333</v>
      </c>
      <c r="F2421" s="4" t="s">
        <v>4332</v>
      </c>
      <c r="G2421" s="4" t="s">
        <v>2263</v>
      </c>
      <c r="H2421" s="9" t="s">
        <v>2263</v>
      </c>
      <c r="I2421" s="4" t="s">
        <v>2317</v>
      </c>
      <c r="J2421" s="4" t="s">
        <v>2316</v>
      </c>
      <c r="K2421" s="4" t="s">
        <v>2263</v>
      </c>
      <c r="L2421" s="10">
        <v>15</v>
      </c>
      <c r="M2421" s="5">
        <v>70804.524705882359</v>
      </c>
      <c r="N2421" s="5">
        <v>1062067.8705882353</v>
      </c>
    </row>
    <row r="2422" spans="1:14" x14ac:dyDescent="0.25">
      <c r="A2422" s="4" t="s">
        <v>2653</v>
      </c>
      <c r="B2422" s="4" t="s">
        <v>3226</v>
      </c>
      <c r="C2422" s="4" t="s">
        <v>2384</v>
      </c>
      <c r="D2422" s="4" t="s">
        <v>262</v>
      </c>
      <c r="E2422" s="4" t="s">
        <v>3392</v>
      </c>
      <c r="F2422" s="4" t="s">
        <v>3391</v>
      </c>
      <c r="G2422" s="4" t="s">
        <v>2263</v>
      </c>
      <c r="H2422" s="9" t="s">
        <v>2263</v>
      </c>
      <c r="I2422" s="4" t="s">
        <v>2317</v>
      </c>
      <c r="J2422" s="4" t="s">
        <v>2316</v>
      </c>
      <c r="K2422" s="4" t="s">
        <v>2263</v>
      </c>
      <c r="L2422" s="10">
        <v>15</v>
      </c>
      <c r="M2422" s="5">
        <v>195678.06666666665</v>
      </c>
      <c r="N2422" s="5">
        <v>2935171</v>
      </c>
    </row>
    <row r="2423" spans="1:14" x14ac:dyDescent="0.25">
      <c r="A2423" s="4" t="s">
        <v>2344</v>
      </c>
      <c r="B2423" s="4" t="s">
        <v>5154</v>
      </c>
      <c r="C2423" s="4" t="s">
        <v>2274</v>
      </c>
      <c r="D2423" s="4" t="s">
        <v>2273</v>
      </c>
      <c r="E2423" s="4" t="s">
        <v>5221</v>
      </c>
      <c r="F2423" s="4" t="s">
        <v>5220</v>
      </c>
      <c r="G2423" s="4" t="s">
        <v>2263</v>
      </c>
      <c r="H2423" s="9" t="s">
        <v>2263</v>
      </c>
      <c r="I2423" s="4" t="s">
        <v>2263</v>
      </c>
      <c r="J2423" s="4" t="s">
        <v>2263</v>
      </c>
      <c r="K2423" s="4" t="s">
        <v>5219</v>
      </c>
      <c r="L2423" s="10">
        <v>15</v>
      </c>
      <c r="M2423" s="5">
        <v>353256.23466666671</v>
      </c>
      <c r="N2423" s="5">
        <v>5298843.5199999996</v>
      </c>
    </row>
    <row r="2424" spans="1:14" x14ac:dyDescent="0.25">
      <c r="A2424" s="4" t="s">
        <v>2320</v>
      </c>
      <c r="B2424" s="4" t="s">
        <v>4967</v>
      </c>
      <c r="C2424" s="4" t="s">
        <v>2320</v>
      </c>
      <c r="D2424" s="4" t="s">
        <v>242</v>
      </c>
      <c r="E2424" s="4" t="s">
        <v>5095</v>
      </c>
      <c r="F2424" s="4" t="s">
        <v>5094</v>
      </c>
      <c r="G2424" s="4" t="s">
        <v>2263</v>
      </c>
      <c r="H2424" s="9" t="s">
        <v>2263</v>
      </c>
      <c r="I2424" s="4" t="s">
        <v>2317</v>
      </c>
      <c r="J2424" s="4" t="s">
        <v>2316</v>
      </c>
      <c r="K2424" s="4" t="s">
        <v>2263</v>
      </c>
      <c r="L2424" s="10">
        <v>15</v>
      </c>
      <c r="M2424" s="5">
        <v>455610.89733333333</v>
      </c>
      <c r="N2424" s="5">
        <v>6834163.46</v>
      </c>
    </row>
    <row r="2425" spans="1:14" x14ac:dyDescent="0.25">
      <c r="A2425" s="4" t="s">
        <v>2344</v>
      </c>
      <c r="B2425" s="4" t="s">
        <v>5154</v>
      </c>
      <c r="C2425" s="4" t="s">
        <v>2344</v>
      </c>
      <c r="D2425" s="4" t="s">
        <v>237</v>
      </c>
      <c r="E2425" s="4" t="s">
        <v>5372</v>
      </c>
      <c r="F2425" s="4" t="s">
        <v>2575</v>
      </c>
      <c r="G2425" s="4" t="s">
        <v>2263</v>
      </c>
      <c r="H2425" s="9" t="s">
        <v>2263</v>
      </c>
      <c r="I2425" s="4" t="s">
        <v>2263</v>
      </c>
      <c r="J2425" s="4" t="s">
        <v>2263</v>
      </c>
      <c r="K2425" s="4" t="s">
        <v>2529</v>
      </c>
      <c r="L2425" s="10">
        <v>16</v>
      </c>
      <c r="M2425" s="5">
        <v>179</v>
      </c>
      <c r="N2425" s="5">
        <v>2864</v>
      </c>
    </row>
    <row r="2426" spans="1:14" x14ac:dyDescent="0.25">
      <c r="A2426" s="4" t="s">
        <v>2344</v>
      </c>
      <c r="B2426" s="4" t="s">
        <v>5154</v>
      </c>
      <c r="C2426" s="4" t="s">
        <v>2344</v>
      </c>
      <c r="D2426" s="4" t="s">
        <v>237</v>
      </c>
      <c r="E2426" s="4" t="s">
        <v>4777</v>
      </c>
      <c r="F2426" s="4" t="s">
        <v>2596</v>
      </c>
      <c r="G2426" s="4" t="s">
        <v>2263</v>
      </c>
      <c r="H2426" s="9" t="s">
        <v>2263</v>
      </c>
      <c r="I2426" s="4" t="s">
        <v>2263</v>
      </c>
      <c r="J2426" s="4" t="s">
        <v>2263</v>
      </c>
      <c r="K2426" s="4" t="s">
        <v>2465</v>
      </c>
      <c r="L2426" s="10">
        <v>16</v>
      </c>
      <c r="M2426" s="5">
        <v>254.95909090909092</v>
      </c>
      <c r="N2426" s="5">
        <v>4079.3454545454501</v>
      </c>
    </row>
    <row r="2427" spans="1:14" x14ac:dyDescent="0.25">
      <c r="A2427" s="4" t="s">
        <v>2344</v>
      </c>
      <c r="B2427" s="4" t="s">
        <v>5154</v>
      </c>
      <c r="C2427" s="4" t="s">
        <v>2344</v>
      </c>
      <c r="D2427" s="4" t="s">
        <v>237</v>
      </c>
      <c r="E2427" s="4" t="s">
        <v>4690</v>
      </c>
      <c r="F2427" s="4" t="s">
        <v>4689</v>
      </c>
      <c r="G2427" s="4" t="s">
        <v>2263</v>
      </c>
      <c r="H2427" s="9" t="s">
        <v>2263</v>
      </c>
      <c r="I2427" s="4" t="s">
        <v>2263</v>
      </c>
      <c r="J2427" s="4" t="s">
        <v>2263</v>
      </c>
      <c r="K2427" s="4" t="s">
        <v>4688</v>
      </c>
      <c r="L2427" s="10">
        <v>16</v>
      </c>
      <c r="M2427" s="5">
        <v>482.42697368421051</v>
      </c>
      <c r="N2427" s="5">
        <v>7718.83157894737</v>
      </c>
    </row>
    <row r="2428" spans="1:14" x14ac:dyDescent="0.25">
      <c r="A2428" s="4" t="s">
        <v>2320</v>
      </c>
      <c r="B2428" s="4" t="s">
        <v>4967</v>
      </c>
      <c r="C2428" s="4" t="s">
        <v>2344</v>
      </c>
      <c r="D2428" s="4" t="s">
        <v>237</v>
      </c>
      <c r="E2428" s="4" t="s">
        <v>2472</v>
      </c>
      <c r="F2428" s="4" t="s">
        <v>2471</v>
      </c>
      <c r="G2428" s="4" t="s">
        <v>2263</v>
      </c>
      <c r="H2428" s="9" t="s">
        <v>2263</v>
      </c>
      <c r="I2428" s="4" t="s">
        <v>2263</v>
      </c>
      <c r="J2428" s="4" t="s">
        <v>2263</v>
      </c>
      <c r="K2428" s="4" t="s">
        <v>2470</v>
      </c>
      <c r="L2428" s="10">
        <v>16</v>
      </c>
      <c r="M2428" s="5">
        <v>958.57</v>
      </c>
      <c r="N2428" s="5">
        <v>15337.12</v>
      </c>
    </row>
    <row r="2429" spans="1:14" x14ac:dyDescent="0.25">
      <c r="A2429" s="4" t="s">
        <v>2653</v>
      </c>
      <c r="B2429" s="4" t="s">
        <v>3226</v>
      </c>
      <c r="C2429" s="4" t="s">
        <v>2353</v>
      </c>
      <c r="D2429" s="4" t="s">
        <v>258</v>
      </c>
      <c r="E2429" s="4" t="s">
        <v>3244</v>
      </c>
      <c r="F2429" s="4" t="s">
        <v>3243</v>
      </c>
      <c r="G2429" s="4" t="s">
        <v>2263</v>
      </c>
      <c r="H2429" s="9" t="s">
        <v>2263</v>
      </c>
      <c r="I2429" s="4" t="s">
        <v>2317</v>
      </c>
      <c r="J2429" s="4" t="s">
        <v>2316</v>
      </c>
      <c r="K2429" s="4" t="s">
        <v>2263</v>
      </c>
      <c r="L2429" s="10">
        <v>16</v>
      </c>
      <c r="M2429" s="5">
        <v>1447.5274999999999</v>
      </c>
      <c r="N2429" s="5">
        <v>23160.44</v>
      </c>
    </row>
    <row r="2430" spans="1:14" x14ac:dyDescent="0.25">
      <c r="A2430" s="4" t="s">
        <v>2386</v>
      </c>
      <c r="B2430" s="4" t="s">
        <v>2385</v>
      </c>
      <c r="C2430" s="4" t="s">
        <v>2344</v>
      </c>
      <c r="D2430" s="4" t="s">
        <v>237</v>
      </c>
      <c r="E2430" s="4" t="s">
        <v>2435</v>
      </c>
      <c r="F2430" s="4" t="s">
        <v>2434</v>
      </c>
      <c r="G2430" s="4" t="s">
        <v>2263</v>
      </c>
      <c r="H2430" s="9" t="s">
        <v>2263</v>
      </c>
      <c r="I2430" s="4" t="s">
        <v>2263</v>
      </c>
      <c r="J2430" s="4" t="s">
        <v>2263</v>
      </c>
      <c r="K2430" s="4" t="s">
        <v>2433</v>
      </c>
      <c r="L2430" s="10">
        <v>16</v>
      </c>
      <c r="M2430" s="5">
        <v>1849.2706606606607</v>
      </c>
      <c r="N2430" s="5">
        <v>29588.330570570572</v>
      </c>
    </row>
    <row r="2431" spans="1:14" x14ac:dyDescent="0.25">
      <c r="A2431" s="4" t="s">
        <v>2344</v>
      </c>
      <c r="B2431" s="4" t="s">
        <v>5154</v>
      </c>
      <c r="C2431" s="4" t="s">
        <v>2320</v>
      </c>
      <c r="D2431" s="4" t="s">
        <v>242</v>
      </c>
      <c r="E2431" s="4" t="s">
        <v>2895</v>
      </c>
      <c r="F2431" s="4" t="s">
        <v>2894</v>
      </c>
      <c r="G2431" s="4" t="s">
        <v>2263</v>
      </c>
      <c r="H2431" s="9" t="s">
        <v>2263</v>
      </c>
      <c r="I2431" s="4" t="s">
        <v>2317</v>
      </c>
      <c r="J2431" s="4" t="s">
        <v>2316</v>
      </c>
      <c r="K2431" s="4" t="s">
        <v>2263</v>
      </c>
      <c r="L2431" s="10">
        <v>16</v>
      </c>
      <c r="M2431" s="5">
        <v>2172.9377586206897</v>
      </c>
      <c r="N2431" s="5">
        <v>34767.004137931028</v>
      </c>
    </row>
    <row r="2432" spans="1:14" x14ac:dyDescent="0.25">
      <c r="A2432" s="4" t="s">
        <v>2344</v>
      </c>
      <c r="B2432" s="4" t="s">
        <v>5154</v>
      </c>
      <c r="C2432" s="4" t="s">
        <v>2344</v>
      </c>
      <c r="D2432" s="4" t="s">
        <v>237</v>
      </c>
      <c r="E2432" s="4" t="s">
        <v>4729</v>
      </c>
      <c r="F2432" s="4" t="s">
        <v>4674</v>
      </c>
      <c r="G2432" s="4" t="s">
        <v>2263</v>
      </c>
      <c r="H2432" s="9" t="s">
        <v>2263</v>
      </c>
      <c r="I2432" s="4" t="s">
        <v>2263</v>
      </c>
      <c r="J2432" s="4" t="s">
        <v>2263</v>
      </c>
      <c r="K2432" s="4" t="s">
        <v>4673</v>
      </c>
      <c r="L2432" s="10">
        <v>16</v>
      </c>
      <c r="M2432" s="5">
        <v>2351.5508088235297</v>
      </c>
      <c r="N2432" s="5">
        <v>37624.812941176468</v>
      </c>
    </row>
    <row r="2433" spans="1:14" x14ac:dyDescent="0.25">
      <c r="A2433" s="4" t="s">
        <v>2320</v>
      </c>
      <c r="B2433" s="4" t="s">
        <v>4967</v>
      </c>
      <c r="C2433" s="4" t="s">
        <v>2279</v>
      </c>
      <c r="D2433" s="4" t="s">
        <v>2278</v>
      </c>
      <c r="E2433" s="4" t="s">
        <v>2295</v>
      </c>
      <c r="F2433" s="4" t="s">
        <v>2294</v>
      </c>
      <c r="G2433" s="4" t="s">
        <v>2263</v>
      </c>
      <c r="H2433" s="9" t="s">
        <v>2263</v>
      </c>
      <c r="I2433" s="4" t="s">
        <v>2263</v>
      </c>
      <c r="J2433" s="4" t="s">
        <v>2263</v>
      </c>
      <c r="K2433" s="4" t="s">
        <v>2293</v>
      </c>
      <c r="L2433" s="10">
        <v>16</v>
      </c>
      <c r="M2433" s="5">
        <v>4812.416766370251</v>
      </c>
      <c r="N2433" s="5">
        <v>76998.668261924016</v>
      </c>
    </row>
    <row r="2434" spans="1:14" x14ac:dyDescent="0.25">
      <c r="A2434" s="4" t="s">
        <v>2653</v>
      </c>
      <c r="B2434" s="4" t="s">
        <v>3226</v>
      </c>
      <c r="C2434" s="4" t="s">
        <v>3107</v>
      </c>
      <c r="D2434" s="4" t="s">
        <v>1105</v>
      </c>
      <c r="E2434" s="4" t="s">
        <v>3739</v>
      </c>
      <c r="F2434" s="4" t="s">
        <v>3738</v>
      </c>
      <c r="G2434" s="4" t="s">
        <v>2263</v>
      </c>
      <c r="H2434" s="9" t="s">
        <v>2263</v>
      </c>
      <c r="I2434" s="4" t="s">
        <v>2317</v>
      </c>
      <c r="J2434" s="4" t="s">
        <v>2316</v>
      </c>
      <c r="K2434" s="4" t="s">
        <v>2263</v>
      </c>
      <c r="L2434" s="10">
        <v>16</v>
      </c>
      <c r="M2434" s="5">
        <v>4971.0675000000001</v>
      </c>
      <c r="N2434" s="5">
        <v>79537.08</v>
      </c>
    </row>
    <row r="2435" spans="1:14" x14ac:dyDescent="0.25">
      <c r="A2435" s="4" t="s">
        <v>2344</v>
      </c>
      <c r="B2435" s="4" t="s">
        <v>5154</v>
      </c>
      <c r="C2435" s="4" t="s">
        <v>2320</v>
      </c>
      <c r="D2435" s="4" t="s">
        <v>242</v>
      </c>
      <c r="E2435" s="4" t="s">
        <v>3835</v>
      </c>
      <c r="F2435" s="4" t="s">
        <v>3834</v>
      </c>
      <c r="G2435" s="4" t="s">
        <v>2263</v>
      </c>
      <c r="H2435" s="9" t="s">
        <v>2263</v>
      </c>
      <c r="I2435" s="4" t="s">
        <v>2317</v>
      </c>
      <c r="J2435" s="4" t="s">
        <v>2316</v>
      </c>
      <c r="K2435" s="4" t="s">
        <v>2263</v>
      </c>
      <c r="L2435" s="10">
        <v>16</v>
      </c>
      <c r="M2435" s="5">
        <v>5041.3560273972607</v>
      </c>
      <c r="N2435" s="5">
        <v>80661.696438356157</v>
      </c>
    </row>
    <row r="2436" spans="1:14" x14ac:dyDescent="0.25">
      <c r="A2436" s="4" t="s">
        <v>2317</v>
      </c>
      <c r="B2436" s="4" t="s">
        <v>3839</v>
      </c>
      <c r="C2436" s="4" t="s">
        <v>2320</v>
      </c>
      <c r="D2436" s="4" t="s">
        <v>242</v>
      </c>
      <c r="E2436" s="4" t="s">
        <v>3909</v>
      </c>
      <c r="F2436" s="4" t="s">
        <v>3908</v>
      </c>
      <c r="G2436" s="4" t="s">
        <v>2263</v>
      </c>
      <c r="H2436" s="9" t="s">
        <v>2263</v>
      </c>
      <c r="I2436" s="4" t="s">
        <v>2317</v>
      </c>
      <c r="J2436" s="4" t="s">
        <v>2316</v>
      </c>
      <c r="K2436" s="4" t="s">
        <v>2263</v>
      </c>
      <c r="L2436" s="10">
        <v>16</v>
      </c>
      <c r="M2436" s="5">
        <v>6049.8867924528304</v>
      </c>
      <c r="N2436" s="5">
        <v>96798.188679245286</v>
      </c>
    </row>
    <row r="2437" spans="1:14" x14ac:dyDescent="0.25">
      <c r="A2437" s="4" t="s">
        <v>2344</v>
      </c>
      <c r="B2437" s="4" t="s">
        <v>5154</v>
      </c>
      <c r="C2437" s="4" t="s">
        <v>2267</v>
      </c>
      <c r="D2437" s="4" t="s">
        <v>2266</v>
      </c>
      <c r="E2437" s="4" t="s">
        <v>5188</v>
      </c>
      <c r="F2437" s="4" t="s">
        <v>5187</v>
      </c>
      <c r="G2437" s="4" t="s">
        <v>2263</v>
      </c>
      <c r="H2437" s="9" t="s">
        <v>2263</v>
      </c>
      <c r="I2437" s="4" t="s">
        <v>2263</v>
      </c>
      <c r="J2437" s="4" t="s">
        <v>2263</v>
      </c>
      <c r="K2437" s="4" t="s">
        <v>5186</v>
      </c>
      <c r="L2437" s="10">
        <v>16</v>
      </c>
      <c r="M2437" s="5">
        <v>6788.2124999999996</v>
      </c>
      <c r="N2437" s="5">
        <v>108611.4</v>
      </c>
    </row>
    <row r="2438" spans="1:14" x14ac:dyDescent="0.25">
      <c r="A2438" s="4" t="s">
        <v>2317</v>
      </c>
      <c r="B2438" s="4" t="s">
        <v>3839</v>
      </c>
      <c r="C2438" s="4" t="s">
        <v>2320</v>
      </c>
      <c r="D2438" s="4" t="s">
        <v>242</v>
      </c>
      <c r="E2438" s="4" t="s">
        <v>3929</v>
      </c>
      <c r="F2438" s="4" t="s">
        <v>3928</v>
      </c>
      <c r="G2438" s="4" t="s">
        <v>2263</v>
      </c>
      <c r="H2438" s="9" t="s">
        <v>2263</v>
      </c>
      <c r="I2438" s="4" t="s">
        <v>2317</v>
      </c>
      <c r="J2438" s="4" t="s">
        <v>2316</v>
      </c>
      <c r="K2438" s="4" t="s">
        <v>2263</v>
      </c>
      <c r="L2438" s="10">
        <v>16</v>
      </c>
      <c r="M2438" s="5">
        <v>7309.142045454546</v>
      </c>
      <c r="N2438" s="5">
        <v>116946.27272727272</v>
      </c>
    </row>
    <row r="2439" spans="1:14" x14ac:dyDescent="0.25">
      <c r="A2439" s="4" t="s">
        <v>2320</v>
      </c>
      <c r="B2439" s="4" t="s">
        <v>4967</v>
      </c>
      <c r="C2439" s="4" t="s">
        <v>2320</v>
      </c>
      <c r="D2439" s="4" t="s">
        <v>242</v>
      </c>
      <c r="E2439" s="4" t="s">
        <v>2821</v>
      </c>
      <c r="F2439" s="4" t="s">
        <v>2820</v>
      </c>
      <c r="G2439" s="4" t="s">
        <v>2263</v>
      </c>
      <c r="H2439" s="9" t="s">
        <v>2263</v>
      </c>
      <c r="I2439" s="4" t="s">
        <v>2317</v>
      </c>
      <c r="J2439" s="4" t="s">
        <v>2316</v>
      </c>
      <c r="K2439" s="4" t="s">
        <v>2263</v>
      </c>
      <c r="L2439" s="10">
        <v>16</v>
      </c>
      <c r="M2439" s="5">
        <v>7606.7601136363637</v>
      </c>
      <c r="N2439" s="5">
        <v>121708.16181818182</v>
      </c>
    </row>
    <row r="2440" spans="1:14" x14ac:dyDescent="0.25">
      <c r="A2440" s="4" t="s">
        <v>2320</v>
      </c>
      <c r="B2440" s="4" t="s">
        <v>4967</v>
      </c>
      <c r="C2440" s="4" t="s">
        <v>2320</v>
      </c>
      <c r="D2440" s="4" t="s">
        <v>242</v>
      </c>
      <c r="E2440" s="4" t="s">
        <v>3917</v>
      </c>
      <c r="F2440" s="4" t="s">
        <v>3916</v>
      </c>
      <c r="G2440" s="4" t="s">
        <v>2263</v>
      </c>
      <c r="H2440" s="9" t="s">
        <v>2263</v>
      </c>
      <c r="I2440" s="4" t="s">
        <v>2317</v>
      </c>
      <c r="J2440" s="4" t="s">
        <v>2316</v>
      </c>
      <c r="K2440" s="4" t="s">
        <v>2263</v>
      </c>
      <c r="L2440" s="10">
        <v>16</v>
      </c>
      <c r="M2440" s="5">
        <v>9329.769038461538</v>
      </c>
      <c r="N2440" s="5">
        <v>149276.30461538461</v>
      </c>
    </row>
    <row r="2441" spans="1:14" x14ac:dyDescent="0.25">
      <c r="A2441" s="4" t="s">
        <v>2320</v>
      </c>
      <c r="B2441" s="4" t="s">
        <v>4967</v>
      </c>
      <c r="C2441" s="4" t="s">
        <v>2344</v>
      </c>
      <c r="D2441" s="4" t="s">
        <v>237</v>
      </c>
      <c r="E2441" s="4" t="s">
        <v>3193</v>
      </c>
      <c r="F2441" s="4" t="s">
        <v>2431</v>
      </c>
      <c r="G2441" s="4" t="s">
        <v>2263</v>
      </c>
      <c r="H2441" s="9" t="s">
        <v>2263</v>
      </c>
      <c r="I2441" s="4" t="s">
        <v>2263</v>
      </c>
      <c r="J2441" s="4" t="s">
        <v>2263</v>
      </c>
      <c r="K2441" s="4" t="s">
        <v>2430</v>
      </c>
      <c r="L2441" s="10">
        <v>16</v>
      </c>
      <c r="M2441" s="5">
        <v>10942.6564</v>
      </c>
      <c r="N2441" s="5">
        <v>175082.5024</v>
      </c>
    </row>
    <row r="2442" spans="1:14" x14ac:dyDescent="0.25">
      <c r="A2442" s="4" t="s">
        <v>2344</v>
      </c>
      <c r="B2442" s="4" t="s">
        <v>5154</v>
      </c>
      <c r="C2442" s="4" t="s">
        <v>2344</v>
      </c>
      <c r="D2442" s="4" t="s">
        <v>237</v>
      </c>
      <c r="E2442" s="4" t="s">
        <v>4656</v>
      </c>
      <c r="F2442" s="4" t="s">
        <v>2428</v>
      </c>
      <c r="G2442" s="4" t="s">
        <v>2263</v>
      </c>
      <c r="H2442" s="9" t="s">
        <v>2263</v>
      </c>
      <c r="I2442" s="4" t="s">
        <v>2263</v>
      </c>
      <c r="J2442" s="4" t="s">
        <v>2263</v>
      </c>
      <c r="K2442" s="4" t="s">
        <v>2427</v>
      </c>
      <c r="L2442" s="10">
        <v>16</v>
      </c>
      <c r="M2442" s="5">
        <v>12500</v>
      </c>
      <c r="N2442" s="5">
        <v>200000</v>
      </c>
    </row>
    <row r="2443" spans="1:14" x14ac:dyDescent="0.25">
      <c r="A2443" s="4" t="s">
        <v>2320</v>
      </c>
      <c r="B2443" s="4" t="s">
        <v>4967</v>
      </c>
      <c r="C2443" s="4" t="s">
        <v>2320</v>
      </c>
      <c r="D2443" s="4" t="s">
        <v>242</v>
      </c>
      <c r="E2443" s="4" t="s">
        <v>3935</v>
      </c>
      <c r="F2443" s="4" t="s">
        <v>3934</v>
      </c>
      <c r="G2443" s="4" t="s">
        <v>2263</v>
      </c>
      <c r="H2443" s="9" t="s">
        <v>2263</v>
      </c>
      <c r="I2443" s="4" t="s">
        <v>2317</v>
      </c>
      <c r="J2443" s="4" t="s">
        <v>2316</v>
      </c>
      <c r="K2443" s="4" t="s">
        <v>2263</v>
      </c>
      <c r="L2443" s="10">
        <v>16</v>
      </c>
      <c r="M2443" s="5">
        <v>14024.245185185186</v>
      </c>
      <c r="N2443" s="5">
        <v>224387.92296296297</v>
      </c>
    </row>
    <row r="2444" spans="1:14" x14ac:dyDescent="0.25">
      <c r="A2444" s="4" t="s">
        <v>2317</v>
      </c>
      <c r="B2444" s="4" t="s">
        <v>3839</v>
      </c>
      <c r="C2444" s="4" t="s">
        <v>2320</v>
      </c>
      <c r="D2444" s="4" t="s">
        <v>242</v>
      </c>
      <c r="E2444" s="4" t="s">
        <v>3971</v>
      </c>
      <c r="F2444" s="4" t="s">
        <v>3970</v>
      </c>
      <c r="G2444" s="4" t="s">
        <v>2263</v>
      </c>
      <c r="H2444" s="9" t="s">
        <v>2263</v>
      </c>
      <c r="I2444" s="4" t="s">
        <v>2317</v>
      </c>
      <c r="J2444" s="4" t="s">
        <v>2316</v>
      </c>
      <c r="K2444" s="4" t="s">
        <v>2263</v>
      </c>
      <c r="L2444" s="10">
        <v>16</v>
      </c>
      <c r="M2444" s="5">
        <v>15750</v>
      </c>
      <c r="N2444" s="5">
        <v>252000</v>
      </c>
    </row>
    <row r="2445" spans="1:14" x14ac:dyDescent="0.25">
      <c r="A2445" s="4" t="s">
        <v>2317</v>
      </c>
      <c r="B2445" s="4" t="s">
        <v>3839</v>
      </c>
      <c r="C2445" s="4" t="s">
        <v>2320</v>
      </c>
      <c r="D2445" s="4" t="s">
        <v>242</v>
      </c>
      <c r="E2445" s="4" t="s">
        <v>4059</v>
      </c>
      <c r="F2445" s="4" t="s">
        <v>4058</v>
      </c>
      <c r="G2445" s="4" t="s">
        <v>2263</v>
      </c>
      <c r="H2445" s="9" t="s">
        <v>2263</v>
      </c>
      <c r="I2445" s="4" t="s">
        <v>2317</v>
      </c>
      <c r="J2445" s="4" t="s">
        <v>2316</v>
      </c>
      <c r="K2445" s="4" t="s">
        <v>2263</v>
      </c>
      <c r="L2445" s="10">
        <v>16</v>
      </c>
      <c r="M2445" s="5">
        <v>17629.722222222223</v>
      </c>
      <c r="N2445" s="5">
        <v>282075.55555555556</v>
      </c>
    </row>
    <row r="2446" spans="1:14" x14ac:dyDescent="0.25">
      <c r="A2446" s="4" t="s">
        <v>2317</v>
      </c>
      <c r="B2446" s="4" t="s">
        <v>3839</v>
      </c>
      <c r="C2446" s="4" t="s">
        <v>2320</v>
      </c>
      <c r="D2446" s="4" t="s">
        <v>242</v>
      </c>
      <c r="E2446" s="4" t="s">
        <v>4057</v>
      </c>
      <c r="F2446" s="4" t="s">
        <v>4056</v>
      </c>
      <c r="G2446" s="4" t="s">
        <v>2263</v>
      </c>
      <c r="H2446" s="9" t="s">
        <v>2263</v>
      </c>
      <c r="I2446" s="4" t="s">
        <v>2317</v>
      </c>
      <c r="J2446" s="4" t="s">
        <v>2316</v>
      </c>
      <c r="K2446" s="4" t="s">
        <v>2263</v>
      </c>
      <c r="L2446" s="10">
        <v>16</v>
      </c>
      <c r="M2446" s="5">
        <v>18363.222222222223</v>
      </c>
      <c r="N2446" s="5">
        <v>293811.55555555556</v>
      </c>
    </row>
    <row r="2447" spans="1:14" x14ac:dyDescent="0.25">
      <c r="A2447" s="4" t="s">
        <v>2274</v>
      </c>
      <c r="B2447" s="4" t="s">
        <v>4348</v>
      </c>
      <c r="C2447" s="4" t="s">
        <v>2344</v>
      </c>
      <c r="D2447" s="4" t="s">
        <v>237</v>
      </c>
      <c r="E2447" s="4" t="s">
        <v>4632</v>
      </c>
      <c r="F2447" s="4" t="s">
        <v>2919</v>
      </c>
      <c r="G2447" s="4" t="s">
        <v>2263</v>
      </c>
      <c r="H2447" s="9" t="s">
        <v>2263</v>
      </c>
      <c r="I2447" s="4" t="s">
        <v>2263</v>
      </c>
      <c r="J2447" s="4" t="s">
        <v>2263</v>
      </c>
      <c r="K2447" s="4" t="s">
        <v>4631</v>
      </c>
      <c r="L2447" s="10">
        <v>16</v>
      </c>
      <c r="M2447" s="5">
        <v>29000</v>
      </c>
      <c r="N2447" s="5">
        <v>464000</v>
      </c>
    </row>
    <row r="2448" spans="1:14" x14ac:dyDescent="0.25">
      <c r="A2448" s="4" t="s">
        <v>2344</v>
      </c>
      <c r="B2448" s="4" t="s">
        <v>5154</v>
      </c>
      <c r="C2448" s="4" t="s">
        <v>2320</v>
      </c>
      <c r="D2448" s="4" t="s">
        <v>242</v>
      </c>
      <c r="E2448" s="4" t="s">
        <v>4113</v>
      </c>
      <c r="F2448" s="4" t="s">
        <v>4112</v>
      </c>
      <c r="G2448" s="4" t="s">
        <v>2263</v>
      </c>
      <c r="H2448" s="9" t="s">
        <v>2263</v>
      </c>
      <c r="I2448" s="4" t="s">
        <v>2317</v>
      </c>
      <c r="J2448" s="4" t="s">
        <v>2316</v>
      </c>
      <c r="K2448" s="4" t="s">
        <v>2263</v>
      </c>
      <c r="L2448" s="10">
        <v>16</v>
      </c>
      <c r="M2448" s="5">
        <v>33100</v>
      </c>
      <c r="N2448" s="5">
        <v>529600</v>
      </c>
    </row>
    <row r="2449" spans="1:14" x14ac:dyDescent="0.25">
      <c r="A2449" s="4" t="s">
        <v>2653</v>
      </c>
      <c r="B2449" s="4" t="s">
        <v>3226</v>
      </c>
      <c r="C2449" s="4" t="s">
        <v>2384</v>
      </c>
      <c r="D2449" s="4" t="s">
        <v>262</v>
      </c>
      <c r="E2449" s="4" t="s">
        <v>3534</v>
      </c>
      <c r="F2449" s="4" t="s">
        <v>3533</v>
      </c>
      <c r="G2449" s="4" t="s">
        <v>2263</v>
      </c>
      <c r="H2449" s="9" t="s">
        <v>2263</v>
      </c>
      <c r="I2449" s="4" t="s">
        <v>2317</v>
      </c>
      <c r="J2449" s="4" t="s">
        <v>2316</v>
      </c>
      <c r="K2449" s="4" t="s">
        <v>2263</v>
      </c>
      <c r="L2449" s="10">
        <v>16</v>
      </c>
      <c r="M2449" s="5">
        <v>36974</v>
      </c>
      <c r="N2449" s="5">
        <v>591584</v>
      </c>
    </row>
    <row r="2450" spans="1:14" x14ac:dyDescent="0.25">
      <c r="A2450" s="4" t="s">
        <v>2274</v>
      </c>
      <c r="B2450" s="4" t="s">
        <v>4348</v>
      </c>
      <c r="C2450" s="4" t="s">
        <v>2481</v>
      </c>
      <c r="D2450" s="4" t="s">
        <v>2480</v>
      </c>
      <c r="E2450" s="4" t="s">
        <v>4353</v>
      </c>
      <c r="F2450" s="4" t="s">
        <v>4352</v>
      </c>
      <c r="G2450" s="4" t="s">
        <v>2263</v>
      </c>
      <c r="H2450" s="9" t="s">
        <v>2263</v>
      </c>
      <c r="I2450" s="4" t="s">
        <v>2263</v>
      </c>
      <c r="J2450" s="4" t="s">
        <v>2263</v>
      </c>
      <c r="K2450" s="4" t="s">
        <v>2483</v>
      </c>
      <c r="L2450" s="10">
        <v>16</v>
      </c>
      <c r="M2450" s="5">
        <v>58397.996842105269</v>
      </c>
      <c r="N2450" s="5">
        <v>934367.94947368419</v>
      </c>
    </row>
    <row r="2451" spans="1:14" x14ac:dyDescent="0.25">
      <c r="A2451" s="4" t="s">
        <v>2344</v>
      </c>
      <c r="B2451" s="4" t="s">
        <v>5154</v>
      </c>
      <c r="C2451" s="4" t="s">
        <v>2274</v>
      </c>
      <c r="D2451" s="4" t="s">
        <v>2273</v>
      </c>
      <c r="E2451" s="4" t="s">
        <v>5234</v>
      </c>
      <c r="F2451" s="4" t="s">
        <v>5233</v>
      </c>
      <c r="G2451" s="4" t="s">
        <v>2263</v>
      </c>
      <c r="H2451" s="9" t="s">
        <v>2263</v>
      </c>
      <c r="I2451" s="4" t="s">
        <v>2263</v>
      </c>
      <c r="J2451" s="4" t="s">
        <v>2263</v>
      </c>
      <c r="K2451" s="4" t="s">
        <v>4450</v>
      </c>
      <c r="L2451" s="10">
        <v>16</v>
      </c>
      <c r="M2451" s="5">
        <v>67304.609375</v>
      </c>
      <c r="N2451" s="5">
        <v>1076873.75</v>
      </c>
    </row>
    <row r="2452" spans="1:14" x14ac:dyDescent="0.25">
      <c r="A2452" s="4" t="s">
        <v>2344</v>
      </c>
      <c r="B2452" s="4" t="s">
        <v>5154</v>
      </c>
      <c r="C2452" s="4" t="s">
        <v>2344</v>
      </c>
      <c r="D2452" s="4" t="s">
        <v>237</v>
      </c>
      <c r="E2452" s="4" t="s">
        <v>5472</v>
      </c>
      <c r="F2452" s="4" t="s">
        <v>4815</v>
      </c>
      <c r="G2452" s="4" t="s">
        <v>2263</v>
      </c>
      <c r="H2452" s="9" t="s">
        <v>2263</v>
      </c>
      <c r="I2452" s="4" t="s">
        <v>2263</v>
      </c>
      <c r="J2452" s="4" t="s">
        <v>2263</v>
      </c>
      <c r="K2452" s="4" t="s">
        <v>2465</v>
      </c>
      <c r="L2452" s="10">
        <v>17</v>
      </c>
      <c r="M2452" s="5">
        <v>148.70588235294119</v>
      </c>
      <c r="N2452" s="5">
        <v>2528</v>
      </c>
    </row>
    <row r="2453" spans="1:14" x14ac:dyDescent="0.25">
      <c r="A2453" s="4" t="s">
        <v>2344</v>
      </c>
      <c r="B2453" s="4" t="s">
        <v>5154</v>
      </c>
      <c r="C2453" s="4" t="s">
        <v>2344</v>
      </c>
      <c r="D2453" s="4" t="s">
        <v>237</v>
      </c>
      <c r="E2453" s="4" t="s">
        <v>4841</v>
      </c>
      <c r="F2453" s="4" t="s">
        <v>2625</v>
      </c>
      <c r="G2453" s="4" t="s">
        <v>2263</v>
      </c>
      <c r="H2453" s="9" t="s">
        <v>2263</v>
      </c>
      <c r="I2453" s="4" t="s">
        <v>2263</v>
      </c>
      <c r="J2453" s="4" t="s">
        <v>2263</v>
      </c>
      <c r="K2453" s="4" t="s">
        <v>2624</v>
      </c>
      <c r="L2453" s="10">
        <v>17</v>
      </c>
      <c r="M2453" s="5">
        <v>808.82349206349204</v>
      </c>
      <c r="N2453" s="5">
        <v>13749.999365079369</v>
      </c>
    </row>
    <row r="2454" spans="1:14" x14ac:dyDescent="0.25">
      <c r="A2454" s="4" t="s">
        <v>2344</v>
      </c>
      <c r="B2454" s="4" t="s">
        <v>5154</v>
      </c>
      <c r="C2454" s="4" t="s">
        <v>2344</v>
      </c>
      <c r="D2454" s="4" t="s">
        <v>237</v>
      </c>
      <c r="E2454" s="4" t="s">
        <v>5439</v>
      </c>
      <c r="F2454" s="4" t="s">
        <v>5438</v>
      </c>
      <c r="G2454" s="4" t="s">
        <v>2263</v>
      </c>
      <c r="H2454" s="9" t="s">
        <v>2263</v>
      </c>
      <c r="I2454" s="4" t="s">
        <v>2263</v>
      </c>
      <c r="J2454" s="4" t="s">
        <v>2263</v>
      </c>
      <c r="K2454" s="4" t="s">
        <v>5437</v>
      </c>
      <c r="L2454" s="10">
        <v>17</v>
      </c>
      <c r="M2454" s="5">
        <v>1224</v>
      </c>
      <c r="N2454" s="5">
        <v>20808</v>
      </c>
    </row>
    <row r="2455" spans="1:14" x14ac:dyDescent="0.25">
      <c r="A2455" s="4" t="s">
        <v>2653</v>
      </c>
      <c r="B2455" s="4" t="s">
        <v>3226</v>
      </c>
      <c r="C2455" s="4" t="s">
        <v>3107</v>
      </c>
      <c r="D2455" s="4" t="s">
        <v>1105</v>
      </c>
      <c r="E2455" s="4" t="s">
        <v>3671</v>
      </c>
      <c r="F2455" s="4" t="s">
        <v>3670</v>
      </c>
      <c r="G2455" s="4" t="s">
        <v>2263</v>
      </c>
      <c r="H2455" s="9" t="s">
        <v>2263</v>
      </c>
      <c r="I2455" s="4" t="s">
        <v>2317</v>
      </c>
      <c r="J2455" s="4" t="s">
        <v>2316</v>
      </c>
      <c r="K2455" s="4" t="s">
        <v>2263</v>
      </c>
      <c r="L2455" s="10">
        <v>17</v>
      </c>
      <c r="M2455" s="5">
        <v>1338.9182352941177</v>
      </c>
      <c r="N2455" s="5">
        <v>22761.61</v>
      </c>
    </row>
    <row r="2456" spans="1:14" x14ac:dyDescent="0.25">
      <c r="A2456" s="4" t="s">
        <v>2344</v>
      </c>
      <c r="B2456" s="4" t="s">
        <v>5154</v>
      </c>
      <c r="C2456" s="4" t="s">
        <v>2267</v>
      </c>
      <c r="D2456" s="4" t="s">
        <v>2266</v>
      </c>
      <c r="E2456" s="4" t="s">
        <v>4403</v>
      </c>
      <c r="F2456" s="4" t="s">
        <v>2656</v>
      </c>
      <c r="G2456" s="4" t="s">
        <v>2263</v>
      </c>
      <c r="H2456" s="9" t="s">
        <v>2263</v>
      </c>
      <c r="I2456" s="4" t="s">
        <v>2263</v>
      </c>
      <c r="J2456" s="4" t="s">
        <v>2263</v>
      </c>
      <c r="K2456" s="4" t="s">
        <v>2655</v>
      </c>
      <c r="L2456" s="10">
        <v>17</v>
      </c>
      <c r="M2456" s="5">
        <v>1649.4257391304347</v>
      </c>
      <c r="N2456" s="5">
        <v>28040.237565217391</v>
      </c>
    </row>
    <row r="2457" spans="1:14" x14ac:dyDescent="0.25">
      <c r="A2457" s="4" t="s">
        <v>2344</v>
      </c>
      <c r="B2457" s="4" t="s">
        <v>5154</v>
      </c>
      <c r="C2457" s="4" t="s">
        <v>2344</v>
      </c>
      <c r="D2457" s="4" t="s">
        <v>237</v>
      </c>
      <c r="E2457" s="4" t="s">
        <v>4608</v>
      </c>
      <c r="F2457" s="4" t="s">
        <v>4607</v>
      </c>
      <c r="G2457" s="4" t="s">
        <v>2263</v>
      </c>
      <c r="H2457" s="9" t="s">
        <v>2263</v>
      </c>
      <c r="I2457" s="4" t="s">
        <v>2263</v>
      </c>
      <c r="J2457" s="4" t="s">
        <v>2263</v>
      </c>
      <c r="K2457" s="4" t="s">
        <v>4470</v>
      </c>
      <c r="L2457" s="10">
        <v>17</v>
      </c>
      <c r="M2457" s="5">
        <v>2295.8730927835049</v>
      </c>
      <c r="N2457" s="5">
        <v>39029.842577319592</v>
      </c>
    </row>
    <row r="2458" spans="1:14" x14ac:dyDescent="0.25">
      <c r="A2458" s="4" t="s">
        <v>2320</v>
      </c>
      <c r="B2458" s="4" t="s">
        <v>4967</v>
      </c>
      <c r="C2458" s="4" t="s">
        <v>2320</v>
      </c>
      <c r="D2458" s="4" t="s">
        <v>242</v>
      </c>
      <c r="E2458" s="4" t="s">
        <v>2689</v>
      </c>
      <c r="F2458" s="4" t="s">
        <v>2688</v>
      </c>
      <c r="G2458" s="4" t="s">
        <v>2263</v>
      </c>
      <c r="H2458" s="9" t="s">
        <v>2263</v>
      </c>
      <c r="I2458" s="4" t="s">
        <v>2317</v>
      </c>
      <c r="J2458" s="4" t="s">
        <v>2316</v>
      </c>
      <c r="K2458" s="4" t="s">
        <v>2263</v>
      </c>
      <c r="L2458" s="10">
        <v>17</v>
      </c>
      <c r="M2458" s="5">
        <v>3250.4286666666667</v>
      </c>
      <c r="N2458" s="5">
        <v>55257.287333333326</v>
      </c>
    </row>
    <row r="2459" spans="1:14" x14ac:dyDescent="0.25">
      <c r="A2459" s="4" t="s">
        <v>2344</v>
      </c>
      <c r="B2459" s="4" t="s">
        <v>5154</v>
      </c>
      <c r="C2459" s="4" t="s">
        <v>2344</v>
      </c>
      <c r="D2459" s="4" t="s">
        <v>237</v>
      </c>
      <c r="E2459" s="4" t="s">
        <v>5458</v>
      </c>
      <c r="F2459" s="4" t="s">
        <v>5457</v>
      </c>
      <c r="G2459" s="4" t="s">
        <v>2263</v>
      </c>
      <c r="H2459" s="9" t="s">
        <v>2263</v>
      </c>
      <c r="I2459" s="4" t="s">
        <v>2263</v>
      </c>
      <c r="J2459" s="4" t="s">
        <v>2263</v>
      </c>
      <c r="K2459" s="4" t="s">
        <v>5456</v>
      </c>
      <c r="L2459" s="10">
        <v>17</v>
      </c>
      <c r="M2459" s="5">
        <v>3332.4376470588236</v>
      </c>
      <c r="N2459" s="5">
        <v>56651.44</v>
      </c>
    </row>
    <row r="2460" spans="1:14" x14ac:dyDescent="0.25">
      <c r="A2460" s="4" t="s">
        <v>2653</v>
      </c>
      <c r="B2460" s="4" t="s">
        <v>3226</v>
      </c>
      <c r="C2460" s="4" t="s">
        <v>3629</v>
      </c>
      <c r="D2460" s="4" t="s">
        <v>264</v>
      </c>
      <c r="E2460" s="4" t="s">
        <v>3628</v>
      </c>
      <c r="F2460" s="4" t="s">
        <v>3627</v>
      </c>
      <c r="G2460" s="4" t="s">
        <v>2263</v>
      </c>
      <c r="H2460" s="9" t="s">
        <v>2263</v>
      </c>
      <c r="I2460" s="4" t="s">
        <v>2317</v>
      </c>
      <c r="J2460" s="4" t="s">
        <v>2316</v>
      </c>
      <c r="K2460" s="4" t="s">
        <v>2263</v>
      </c>
      <c r="L2460" s="10">
        <v>17</v>
      </c>
      <c r="M2460" s="5">
        <v>4702.3929411764702</v>
      </c>
      <c r="N2460" s="5">
        <v>79940.679999999993</v>
      </c>
    </row>
    <row r="2461" spans="1:14" x14ac:dyDescent="0.25">
      <c r="A2461" s="4" t="s">
        <v>2320</v>
      </c>
      <c r="B2461" s="4" t="s">
        <v>4967</v>
      </c>
      <c r="C2461" s="4" t="s">
        <v>2320</v>
      </c>
      <c r="D2461" s="4" t="s">
        <v>242</v>
      </c>
      <c r="E2461" s="4" t="s">
        <v>3925</v>
      </c>
      <c r="F2461" s="4" t="s">
        <v>3924</v>
      </c>
      <c r="G2461" s="4" t="s">
        <v>2263</v>
      </c>
      <c r="H2461" s="9" t="s">
        <v>2263</v>
      </c>
      <c r="I2461" s="4" t="s">
        <v>2317</v>
      </c>
      <c r="J2461" s="4" t="s">
        <v>2316</v>
      </c>
      <c r="K2461" s="4" t="s">
        <v>2263</v>
      </c>
      <c r="L2461" s="10">
        <v>17</v>
      </c>
      <c r="M2461" s="5">
        <v>7423.5372413793102</v>
      </c>
      <c r="N2461" s="5">
        <v>126200.13310344829</v>
      </c>
    </row>
    <row r="2462" spans="1:14" x14ac:dyDescent="0.25">
      <c r="A2462" s="4" t="s">
        <v>2317</v>
      </c>
      <c r="B2462" s="4" t="s">
        <v>3839</v>
      </c>
      <c r="C2462" s="4" t="s">
        <v>2320</v>
      </c>
      <c r="D2462" s="4" t="s">
        <v>242</v>
      </c>
      <c r="E2462" s="4" t="s">
        <v>3911</v>
      </c>
      <c r="F2462" s="4" t="s">
        <v>3910</v>
      </c>
      <c r="G2462" s="4" t="s">
        <v>2263</v>
      </c>
      <c r="H2462" s="9" t="s">
        <v>2263</v>
      </c>
      <c r="I2462" s="4" t="s">
        <v>2317</v>
      </c>
      <c r="J2462" s="4" t="s">
        <v>2316</v>
      </c>
      <c r="K2462" s="4" t="s">
        <v>2263</v>
      </c>
      <c r="L2462" s="10">
        <v>17</v>
      </c>
      <c r="M2462" s="5">
        <v>8908.5088372093014</v>
      </c>
      <c r="N2462" s="5">
        <v>151444.65023255814</v>
      </c>
    </row>
    <row r="2463" spans="1:14" x14ac:dyDescent="0.25">
      <c r="A2463" s="4" t="s">
        <v>2344</v>
      </c>
      <c r="B2463" s="4" t="s">
        <v>5154</v>
      </c>
      <c r="C2463" s="4" t="s">
        <v>2344</v>
      </c>
      <c r="D2463" s="4" t="s">
        <v>237</v>
      </c>
      <c r="E2463" s="4" t="s">
        <v>3193</v>
      </c>
      <c r="F2463" s="4" t="s">
        <v>2431</v>
      </c>
      <c r="G2463" s="4" t="s">
        <v>2263</v>
      </c>
      <c r="H2463" s="9" t="s">
        <v>2263</v>
      </c>
      <c r="I2463" s="4" t="s">
        <v>2263</v>
      </c>
      <c r="J2463" s="4" t="s">
        <v>2263</v>
      </c>
      <c r="K2463" s="4" t="s">
        <v>2430</v>
      </c>
      <c r="L2463" s="10">
        <v>17</v>
      </c>
      <c r="M2463" s="5">
        <v>10942.6564</v>
      </c>
      <c r="N2463" s="5">
        <v>186025.1588</v>
      </c>
    </row>
    <row r="2464" spans="1:14" x14ac:dyDescent="0.25">
      <c r="A2464" s="4" t="s">
        <v>2320</v>
      </c>
      <c r="B2464" s="4" t="s">
        <v>4967</v>
      </c>
      <c r="C2464" s="4" t="s">
        <v>2320</v>
      </c>
      <c r="D2464" s="4" t="s">
        <v>242</v>
      </c>
      <c r="E2464" s="4" t="s">
        <v>3951</v>
      </c>
      <c r="F2464" s="4" t="s">
        <v>3950</v>
      </c>
      <c r="G2464" s="4" t="s">
        <v>2263</v>
      </c>
      <c r="H2464" s="9" t="s">
        <v>2263</v>
      </c>
      <c r="I2464" s="4" t="s">
        <v>2317</v>
      </c>
      <c r="J2464" s="4" t="s">
        <v>2316</v>
      </c>
      <c r="K2464" s="4" t="s">
        <v>2263</v>
      </c>
      <c r="L2464" s="10">
        <v>17</v>
      </c>
      <c r="M2464" s="5">
        <v>13757.371714285715</v>
      </c>
      <c r="N2464" s="5">
        <v>233875.31914285713</v>
      </c>
    </row>
    <row r="2465" spans="1:14" x14ac:dyDescent="0.25">
      <c r="A2465" s="4" t="s">
        <v>2320</v>
      </c>
      <c r="B2465" s="4" t="s">
        <v>4967</v>
      </c>
      <c r="C2465" s="4" t="s">
        <v>2320</v>
      </c>
      <c r="D2465" s="4" t="s">
        <v>242</v>
      </c>
      <c r="E2465" s="4" t="s">
        <v>3939</v>
      </c>
      <c r="F2465" s="4" t="s">
        <v>3938</v>
      </c>
      <c r="G2465" s="4" t="s">
        <v>2263</v>
      </c>
      <c r="H2465" s="9" t="s">
        <v>2263</v>
      </c>
      <c r="I2465" s="4" t="s">
        <v>2317</v>
      </c>
      <c r="J2465" s="4" t="s">
        <v>2316</v>
      </c>
      <c r="K2465" s="4" t="s">
        <v>2263</v>
      </c>
      <c r="L2465" s="10">
        <v>17</v>
      </c>
      <c r="M2465" s="5">
        <v>14371.732413793105</v>
      </c>
      <c r="N2465" s="5">
        <v>244319.45103448277</v>
      </c>
    </row>
    <row r="2466" spans="1:14" x14ac:dyDescent="0.25">
      <c r="A2466" s="4" t="s">
        <v>2344</v>
      </c>
      <c r="B2466" s="4" t="s">
        <v>5154</v>
      </c>
      <c r="C2466" s="4" t="s">
        <v>2274</v>
      </c>
      <c r="D2466" s="4" t="s">
        <v>2273</v>
      </c>
      <c r="E2466" s="4" t="s">
        <v>4495</v>
      </c>
      <c r="F2466" s="4" t="s">
        <v>2526</v>
      </c>
      <c r="G2466" s="4" t="s">
        <v>2263</v>
      </c>
      <c r="H2466" s="9" t="s">
        <v>2263</v>
      </c>
      <c r="I2466" s="4" t="s">
        <v>2263</v>
      </c>
      <c r="J2466" s="4" t="s">
        <v>2263</v>
      </c>
      <c r="K2466" s="4" t="s">
        <v>2262</v>
      </c>
      <c r="L2466" s="10">
        <v>17</v>
      </c>
      <c r="M2466" s="5">
        <v>15216.537037037038</v>
      </c>
      <c r="N2466" s="5">
        <v>258681.12962962964</v>
      </c>
    </row>
    <row r="2467" spans="1:14" x14ac:dyDescent="0.25">
      <c r="A2467" s="4" t="s">
        <v>2865</v>
      </c>
      <c r="B2467" s="4" t="s">
        <v>2864</v>
      </c>
      <c r="C2467" s="4" t="s">
        <v>2317</v>
      </c>
      <c r="D2467" s="4" t="s">
        <v>2516</v>
      </c>
      <c r="E2467" s="4" t="s">
        <v>2870</v>
      </c>
      <c r="F2467" s="4" t="s">
        <v>2869</v>
      </c>
      <c r="G2467" s="4" t="s">
        <v>2263</v>
      </c>
      <c r="H2467" s="9" t="s">
        <v>2263</v>
      </c>
      <c r="I2467" s="4" t="s">
        <v>2263</v>
      </c>
      <c r="J2467" s="4" t="s">
        <v>2263</v>
      </c>
      <c r="K2467" s="4" t="s">
        <v>2868</v>
      </c>
      <c r="L2467" s="10">
        <v>17</v>
      </c>
      <c r="M2467" s="5">
        <v>18540.913461538461</v>
      </c>
      <c r="N2467" s="5">
        <v>315195.52884615381</v>
      </c>
    </row>
    <row r="2468" spans="1:14" x14ac:dyDescent="0.25">
      <c r="A2468" s="4" t="s">
        <v>2317</v>
      </c>
      <c r="B2468" s="4" t="s">
        <v>3839</v>
      </c>
      <c r="C2468" s="4" t="s">
        <v>2320</v>
      </c>
      <c r="D2468" s="4" t="s">
        <v>242</v>
      </c>
      <c r="E2468" s="4" t="s">
        <v>3861</v>
      </c>
      <c r="F2468" s="4" t="s">
        <v>3860</v>
      </c>
      <c r="G2468" s="4" t="s">
        <v>2263</v>
      </c>
      <c r="H2468" s="9" t="s">
        <v>2263</v>
      </c>
      <c r="I2468" s="4" t="s">
        <v>2317</v>
      </c>
      <c r="J2468" s="4" t="s">
        <v>2316</v>
      </c>
      <c r="K2468" s="4" t="s">
        <v>2263</v>
      </c>
      <c r="L2468" s="10">
        <v>17</v>
      </c>
      <c r="M2468" s="5">
        <v>24478.484782608695</v>
      </c>
      <c r="N2468" s="5">
        <v>416134.24130434782</v>
      </c>
    </row>
    <row r="2469" spans="1:14" x14ac:dyDescent="0.25">
      <c r="A2469" s="4" t="s">
        <v>2344</v>
      </c>
      <c r="B2469" s="4" t="s">
        <v>5154</v>
      </c>
      <c r="C2469" s="4" t="s">
        <v>2320</v>
      </c>
      <c r="D2469" s="4" t="s">
        <v>242</v>
      </c>
      <c r="E2469" s="4" t="s">
        <v>4137</v>
      </c>
      <c r="F2469" s="4" t="s">
        <v>4136</v>
      </c>
      <c r="G2469" s="4" t="s">
        <v>2263</v>
      </c>
      <c r="H2469" s="9" t="s">
        <v>2263</v>
      </c>
      <c r="I2469" s="4" t="s">
        <v>2317</v>
      </c>
      <c r="J2469" s="4" t="s">
        <v>2316</v>
      </c>
      <c r="K2469" s="4" t="s">
        <v>2263</v>
      </c>
      <c r="L2469" s="10">
        <v>17</v>
      </c>
      <c r="M2469" s="5">
        <v>26677.178571428569</v>
      </c>
      <c r="N2469" s="5">
        <v>453512.03571428568</v>
      </c>
    </row>
    <row r="2470" spans="1:14" x14ac:dyDescent="0.25">
      <c r="A2470" s="4" t="s">
        <v>2317</v>
      </c>
      <c r="B2470" s="4" t="s">
        <v>3839</v>
      </c>
      <c r="C2470" s="4" t="s">
        <v>2320</v>
      </c>
      <c r="D2470" s="4" t="s">
        <v>242</v>
      </c>
      <c r="E2470" s="4" t="s">
        <v>4251</v>
      </c>
      <c r="F2470" s="4" t="s">
        <v>4250</v>
      </c>
      <c r="G2470" s="4" t="s">
        <v>2263</v>
      </c>
      <c r="H2470" s="9" t="s">
        <v>2263</v>
      </c>
      <c r="I2470" s="4" t="s">
        <v>2317</v>
      </c>
      <c r="J2470" s="4" t="s">
        <v>2316</v>
      </c>
      <c r="K2470" s="4" t="s">
        <v>2263</v>
      </c>
      <c r="L2470" s="10">
        <v>17</v>
      </c>
      <c r="M2470" s="5">
        <v>35363.481200000002</v>
      </c>
      <c r="N2470" s="5">
        <v>601179.18039999995</v>
      </c>
    </row>
    <row r="2471" spans="1:14" x14ac:dyDescent="0.25">
      <c r="A2471" s="4" t="s">
        <v>2317</v>
      </c>
      <c r="B2471" s="4" t="s">
        <v>3839</v>
      </c>
      <c r="C2471" s="4" t="s">
        <v>2320</v>
      </c>
      <c r="D2471" s="4" t="s">
        <v>242</v>
      </c>
      <c r="E2471" s="4" t="s">
        <v>3859</v>
      </c>
      <c r="F2471" s="4" t="s">
        <v>3858</v>
      </c>
      <c r="G2471" s="4" t="s">
        <v>2263</v>
      </c>
      <c r="H2471" s="9" t="s">
        <v>2263</v>
      </c>
      <c r="I2471" s="4" t="s">
        <v>2317</v>
      </c>
      <c r="J2471" s="4" t="s">
        <v>2316</v>
      </c>
      <c r="K2471" s="4" t="s">
        <v>2263</v>
      </c>
      <c r="L2471" s="10">
        <v>17</v>
      </c>
      <c r="M2471" s="5">
        <v>37188.424999999996</v>
      </c>
      <c r="N2471" s="5">
        <v>632203.22499999998</v>
      </c>
    </row>
    <row r="2472" spans="1:14" x14ac:dyDescent="0.25">
      <c r="A2472" s="4" t="s">
        <v>2274</v>
      </c>
      <c r="B2472" s="4" t="s">
        <v>4348</v>
      </c>
      <c r="C2472" s="4" t="s">
        <v>2344</v>
      </c>
      <c r="D2472" s="4" t="s">
        <v>237</v>
      </c>
      <c r="E2472" s="4" t="s">
        <v>4549</v>
      </c>
      <c r="F2472" s="4" t="s">
        <v>4548</v>
      </c>
      <c r="G2472" s="4" t="s">
        <v>2263</v>
      </c>
      <c r="H2472" s="9" t="s">
        <v>2263</v>
      </c>
      <c r="I2472" s="4" t="s">
        <v>2263</v>
      </c>
      <c r="J2472" s="4" t="s">
        <v>2263</v>
      </c>
      <c r="K2472" s="4" t="s">
        <v>4547</v>
      </c>
      <c r="L2472" s="10">
        <v>17</v>
      </c>
      <c r="M2472" s="5">
        <v>38481.096521739135</v>
      </c>
      <c r="N2472" s="5">
        <v>654178.64086956519</v>
      </c>
    </row>
    <row r="2473" spans="1:14" x14ac:dyDescent="0.25">
      <c r="A2473" s="4" t="s">
        <v>2344</v>
      </c>
      <c r="B2473" s="4" t="s">
        <v>5154</v>
      </c>
      <c r="C2473" s="4" t="s">
        <v>2320</v>
      </c>
      <c r="D2473" s="4" t="s">
        <v>242</v>
      </c>
      <c r="E2473" s="4" t="s">
        <v>2980</v>
      </c>
      <c r="F2473" s="4" t="s">
        <v>2979</v>
      </c>
      <c r="G2473" s="4" t="s">
        <v>2263</v>
      </c>
      <c r="H2473" s="9" t="s">
        <v>2263</v>
      </c>
      <c r="I2473" s="4" t="s">
        <v>2317</v>
      </c>
      <c r="J2473" s="4" t="s">
        <v>2316</v>
      </c>
      <c r="K2473" s="4" t="s">
        <v>2263</v>
      </c>
      <c r="L2473" s="10">
        <v>17</v>
      </c>
      <c r="M2473" s="5">
        <v>95230.947368421053</v>
      </c>
      <c r="N2473" s="5">
        <v>1618926.1052631577</v>
      </c>
    </row>
    <row r="2474" spans="1:14" x14ac:dyDescent="0.25">
      <c r="A2474" s="4" t="s">
        <v>2344</v>
      </c>
      <c r="B2474" s="4" t="s">
        <v>5154</v>
      </c>
      <c r="C2474" s="4" t="s">
        <v>2320</v>
      </c>
      <c r="D2474" s="4" t="s">
        <v>242</v>
      </c>
      <c r="E2474" s="4" t="s">
        <v>2984</v>
      </c>
      <c r="F2474" s="4" t="s">
        <v>2983</v>
      </c>
      <c r="G2474" s="4" t="s">
        <v>2263</v>
      </c>
      <c r="H2474" s="9" t="s">
        <v>2263</v>
      </c>
      <c r="I2474" s="4" t="s">
        <v>2317</v>
      </c>
      <c r="J2474" s="4" t="s">
        <v>2316</v>
      </c>
      <c r="K2474" s="4" t="s">
        <v>2263</v>
      </c>
      <c r="L2474" s="10">
        <v>17</v>
      </c>
      <c r="M2474" s="5">
        <v>131177.4588372093</v>
      </c>
      <c r="N2474" s="5">
        <v>2230016.800232558</v>
      </c>
    </row>
    <row r="2475" spans="1:14" x14ac:dyDescent="0.25">
      <c r="A2475" s="4" t="s">
        <v>2267</v>
      </c>
      <c r="B2475" s="4" t="s">
        <v>3838</v>
      </c>
      <c r="C2475" s="4" t="s">
        <v>2320</v>
      </c>
      <c r="D2475" s="4" t="s">
        <v>242</v>
      </c>
      <c r="E2475" s="4" t="s">
        <v>2992</v>
      </c>
      <c r="F2475" s="4" t="s">
        <v>2991</v>
      </c>
      <c r="G2475" s="4" t="s">
        <v>2263</v>
      </c>
      <c r="H2475" s="9" t="s">
        <v>2263</v>
      </c>
      <c r="I2475" s="4" t="s">
        <v>2317</v>
      </c>
      <c r="J2475" s="4" t="s">
        <v>2316</v>
      </c>
      <c r="K2475" s="4" t="s">
        <v>2263</v>
      </c>
      <c r="L2475" s="10">
        <v>17</v>
      </c>
      <c r="M2475" s="5">
        <v>140199.87282051283</v>
      </c>
      <c r="N2475" s="5">
        <v>2383397.8379487181</v>
      </c>
    </row>
    <row r="2476" spans="1:14" x14ac:dyDescent="0.25">
      <c r="A2476" s="4" t="s">
        <v>2344</v>
      </c>
      <c r="B2476" s="4" t="s">
        <v>5154</v>
      </c>
      <c r="C2476" s="4" t="s">
        <v>2274</v>
      </c>
      <c r="D2476" s="4" t="s">
        <v>2273</v>
      </c>
      <c r="E2476" s="4" t="s">
        <v>4472</v>
      </c>
      <c r="F2476" s="4" t="s">
        <v>4471</v>
      </c>
      <c r="G2476" s="4" t="s">
        <v>2263</v>
      </c>
      <c r="H2476" s="9" t="s">
        <v>2263</v>
      </c>
      <c r="I2476" s="4" t="s">
        <v>2263</v>
      </c>
      <c r="J2476" s="4" t="s">
        <v>2263</v>
      </c>
      <c r="K2476" s="4" t="s">
        <v>4470</v>
      </c>
      <c r="L2476" s="10">
        <v>17</v>
      </c>
      <c r="M2476" s="5">
        <v>309095.68122807017</v>
      </c>
      <c r="N2476" s="5">
        <v>5254626.5808771932</v>
      </c>
    </row>
    <row r="2477" spans="1:14" x14ac:dyDescent="0.25">
      <c r="A2477" s="4" t="s">
        <v>2344</v>
      </c>
      <c r="B2477" s="4" t="s">
        <v>5154</v>
      </c>
      <c r="C2477" s="4" t="s">
        <v>2267</v>
      </c>
      <c r="D2477" s="4" t="s">
        <v>2266</v>
      </c>
      <c r="E2477" s="4" t="s">
        <v>4412</v>
      </c>
      <c r="F2477" s="4" t="s">
        <v>2492</v>
      </c>
      <c r="G2477" s="4" t="s">
        <v>2263</v>
      </c>
      <c r="H2477" s="9" t="s">
        <v>2263</v>
      </c>
      <c r="I2477" s="4" t="s">
        <v>2263</v>
      </c>
      <c r="J2477" s="4" t="s">
        <v>2263</v>
      </c>
      <c r="K2477" s="4" t="s">
        <v>2488</v>
      </c>
      <c r="L2477" s="10">
        <v>18</v>
      </c>
      <c r="M2477" s="5">
        <v>349</v>
      </c>
      <c r="N2477" s="5">
        <v>6282</v>
      </c>
    </row>
    <row r="2478" spans="1:14" x14ac:dyDescent="0.25">
      <c r="A2478" s="4" t="s">
        <v>2344</v>
      </c>
      <c r="B2478" s="4" t="s">
        <v>5154</v>
      </c>
      <c r="C2478" s="4" t="s">
        <v>2320</v>
      </c>
      <c r="D2478" s="4" t="s">
        <v>242</v>
      </c>
      <c r="E2478" s="4" t="s">
        <v>2709</v>
      </c>
      <c r="F2478" s="4" t="s">
        <v>2708</v>
      </c>
      <c r="G2478" s="4" t="s">
        <v>2263</v>
      </c>
      <c r="H2478" s="9" t="s">
        <v>2263</v>
      </c>
      <c r="I2478" s="4" t="s">
        <v>2317</v>
      </c>
      <c r="J2478" s="4" t="s">
        <v>2316</v>
      </c>
      <c r="K2478" s="4" t="s">
        <v>2263</v>
      </c>
      <c r="L2478" s="10">
        <v>18</v>
      </c>
      <c r="M2478" s="5">
        <v>2022.0220430107527</v>
      </c>
      <c r="N2478" s="5">
        <v>36396.396774193548</v>
      </c>
    </row>
    <row r="2479" spans="1:14" x14ac:dyDescent="0.25">
      <c r="A2479" s="4" t="s">
        <v>2320</v>
      </c>
      <c r="B2479" s="4" t="s">
        <v>4967</v>
      </c>
      <c r="C2479" s="4" t="s">
        <v>2274</v>
      </c>
      <c r="D2479" s="4" t="s">
        <v>2273</v>
      </c>
      <c r="E2479" s="4" t="s">
        <v>4973</v>
      </c>
      <c r="F2479" s="4" t="s">
        <v>2527</v>
      </c>
      <c r="G2479" s="4" t="s">
        <v>2263</v>
      </c>
      <c r="H2479" s="9" t="s">
        <v>2263</v>
      </c>
      <c r="I2479" s="4" t="s">
        <v>2263</v>
      </c>
      <c r="J2479" s="4" t="s">
        <v>2263</v>
      </c>
      <c r="K2479" s="4" t="s">
        <v>2494</v>
      </c>
      <c r="L2479" s="10">
        <v>18</v>
      </c>
      <c r="M2479" s="5">
        <v>2061</v>
      </c>
      <c r="N2479" s="5">
        <v>37098</v>
      </c>
    </row>
    <row r="2480" spans="1:14" x14ac:dyDescent="0.25">
      <c r="A2480" s="4" t="s">
        <v>2320</v>
      </c>
      <c r="B2480" s="4" t="s">
        <v>4967</v>
      </c>
      <c r="C2480" s="4" t="s">
        <v>2344</v>
      </c>
      <c r="D2480" s="4" t="s">
        <v>237</v>
      </c>
      <c r="E2480" s="4" t="s">
        <v>4524</v>
      </c>
      <c r="F2480" s="4" t="s">
        <v>4523</v>
      </c>
      <c r="G2480" s="4" t="s">
        <v>2263</v>
      </c>
      <c r="H2480" s="9" t="s">
        <v>2263</v>
      </c>
      <c r="I2480" s="4" t="s">
        <v>2263</v>
      </c>
      <c r="J2480" s="4" t="s">
        <v>2263</v>
      </c>
      <c r="K2480" s="4" t="s">
        <v>4522</v>
      </c>
      <c r="L2480" s="10">
        <v>18</v>
      </c>
      <c r="M2480" s="5">
        <v>6012.7747826086952</v>
      </c>
      <c r="N2480" s="5">
        <v>108229.94608695652</v>
      </c>
    </row>
    <row r="2481" spans="1:14" x14ac:dyDescent="0.25">
      <c r="A2481" s="4" t="s">
        <v>2344</v>
      </c>
      <c r="B2481" s="4" t="s">
        <v>5154</v>
      </c>
      <c r="C2481" s="4" t="s">
        <v>2320</v>
      </c>
      <c r="D2481" s="4" t="s">
        <v>242</v>
      </c>
      <c r="E2481" s="4" t="s">
        <v>3149</v>
      </c>
      <c r="F2481" s="4" t="s">
        <v>3148</v>
      </c>
      <c r="G2481" s="4" t="s">
        <v>2263</v>
      </c>
      <c r="H2481" s="9" t="s">
        <v>2263</v>
      </c>
      <c r="I2481" s="4" t="s">
        <v>2317</v>
      </c>
      <c r="J2481" s="4" t="s">
        <v>2316</v>
      </c>
      <c r="K2481" s="4" t="s">
        <v>2263</v>
      </c>
      <c r="L2481" s="10">
        <v>18</v>
      </c>
      <c r="M2481" s="5">
        <v>6438.768</v>
      </c>
      <c r="N2481" s="5">
        <v>115897.82399999999</v>
      </c>
    </row>
    <row r="2482" spans="1:14" x14ac:dyDescent="0.25">
      <c r="A2482" s="4" t="s">
        <v>2653</v>
      </c>
      <c r="B2482" s="4" t="s">
        <v>3226</v>
      </c>
      <c r="C2482" s="4" t="s">
        <v>2384</v>
      </c>
      <c r="D2482" s="4" t="s">
        <v>262</v>
      </c>
      <c r="E2482" s="4" t="s">
        <v>3296</v>
      </c>
      <c r="F2482" s="4" t="s">
        <v>3295</v>
      </c>
      <c r="G2482" s="4" t="s">
        <v>2263</v>
      </c>
      <c r="H2482" s="9" t="s">
        <v>2263</v>
      </c>
      <c r="I2482" s="4" t="s">
        <v>2317</v>
      </c>
      <c r="J2482" s="4" t="s">
        <v>2316</v>
      </c>
      <c r="K2482" s="4" t="s">
        <v>2263</v>
      </c>
      <c r="L2482" s="10">
        <v>18</v>
      </c>
      <c r="M2482" s="5">
        <v>6604.4444444444443</v>
      </c>
      <c r="N2482" s="5">
        <v>118880</v>
      </c>
    </row>
    <row r="2483" spans="1:14" x14ac:dyDescent="0.25">
      <c r="A2483" s="4" t="s">
        <v>2317</v>
      </c>
      <c r="B2483" s="4" t="s">
        <v>3839</v>
      </c>
      <c r="C2483" s="4" t="s">
        <v>2320</v>
      </c>
      <c r="D2483" s="4" t="s">
        <v>242</v>
      </c>
      <c r="E2483" s="4" t="s">
        <v>3919</v>
      </c>
      <c r="F2483" s="4" t="s">
        <v>3918</v>
      </c>
      <c r="G2483" s="4" t="s">
        <v>2263</v>
      </c>
      <c r="H2483" s="9" t="s">
        <v>2263</v>
      </c>
      <c r="I2483" s="4" t="s">
        <v>2317</v>
      </c>
      <c r="J2483" s="4" t="s">
        <v>2316</v>
      </c>
      <c r="K2483" s="4" t="s">
        <v>2263</v>
      </c>
      <c r="L2483" s="10">
        <v>18</v>
      </c>
      <c r="M2483" s="5">
        <v>6786.375</v>
      </c>
      <c r="N2483" s="5">
        <v>122154.75</v>
      </c>
    </row>
    <row r="2484" spans="1:14" x14ac:dyDescent="0.25">
      <c r="A2484" s="4" t="s">
        <v>2344</v>
      </c>
      <c r="B2484" s="4" t="s">
        <v>5154</v>
      </c>
      <c r="C2484" s="4" t="s">
        <v>2344</v>
      </c>
      <c r="D2484" s="4" t="s">
        <v>237</v>
      </c>
      <c r="E2484" s="4" t="s">
        <v>5415</v>
      </c>
      <c r="F2484" s="4" t="s">
        <v>5414</v>
      </c>
      <c r="G2484" s="4" t="s">
        <v>2263</v>
      </c>
      <c r="H2484" s="9" t="s">
        <v>2263</v>
      </c>
      <c r="I2484" s="4" t="s">
        <v>2263</v>
      </c>
      <c r="J2484" s="4" t="s">
        <v>2263</v>
      </c>
      <c r="K2484" s="4" t="s">
        <v>2520</v>
      </c>
      <c r="L2484" s="10">
        <v>18</v>
      </c>
      <c r="M2484" s="5">
        <v>7500</v>
      </c>
      <c r="N2484" s="5">
        <v>135000</v>
      </c>
    </row>
    <row r="2485" spans="1:14" x14ac:dyDescent="0.25">
      <c r="A2485" s="4" t="s">
        <v>2320</v>
      </c>
      <c r="B2485" s="4" t="s">
        <v>4967</v>
      </c>
      <c r="C2485" s="4" t="s">
        <v>2320</v>
      </c>
      <c r="D2485" s="4" t="s">
        <v>242</v>
      </c>
      <c r="E2485" s="4" t="s">
        <v>3927</v>
      </c>
      <c r="F2485" s="4" t="s">
        <v>3926</v>
      </c>
      <c r="G2485" s="4" t="s">
        <v>2263</v>
      </c>
      <c r="H2485" s="9" t="s">
        <v>2263</v>
      </c>
      <c r="I2485" s="4" t="s">
        <v>2317</v>
      </c>
      <c r="J2485" s="4" t="s">
        <v>2316</v>
      </c>
      <c r="K2485" s="4" t="s">
        <v>2263</v>
      </c>
      <c r="L2485" s="10">
        <v>18</v>
      </c>
      <c r="M2485" s="5">
        <v>8377.6663636363628</v>
      </c>
      <c r="N2485" s="5">
        <v>150797.99454545457</v>
      </c>
    </row>
    <row r="2486" spans="1:14" x14ac:dyDescent="0.25">
      <c r="A2486" s="4" t="s">
        <v>2344</v>
      </c>
      <c r="B2486" s="4" t="s">
        <v>5154</v>
      </c>
      <c r="C2486" s="4" t="s">
        <v>2481</v>
      </c>
      <c r="D2486" s="4" t="s">
        <v>2480</v>
      </c>
      <c r="E2486" s="4" t="s">
        <v>4351</v>
      </c>
      <c r="F2486" s="4" t="s">
        <v>4350</v>
      </c>
      <c r="G2486" s="4" t="s">
        <v>2263</v>
      </c>
      <c r="H2486" s="9" t="s">
        <v>2263</v>
      </c>
      <c r="I2486" s="4" t="s">
        <v>2263</v>
      </c>
      <c r="J2486" s="4" t="s">
        <v>2263</v>
      </c>
      <c r="K2486" s="4" t="s">
        <v>4349</v>
      </c>
      <c r="L2486" s="10">
        <v>18</v>
      </c>
      <c r="M2486" s="5">
        <v>8497.0020338983049</v>
      </c>
      <c r="N2486" s="5">
        <v>152946.03661016948</v>
      </c>
    </row>
    <row r="2487" spans="1:14" x14ac:dyDescent="0.25">
      <c r="A2487" s="4" t="s">
        <v>2653</v>
      </c>
      <c r="B2487" s="4" t="s">
        <v>3226</v>
      </c>
      <c r="C2487" s="4" t="s">
        <v>3107</v>
      </c>
      <c r="D2487" s="4" t="s">
        <v>1105</v>
      </c>
      <c r="E2487" s="4" t="s">
        <v>3733</v>
      </c>
      <c r="F2487" s="4" t="s">
        <v>3732</v>
      </c>
      <c r="G2487" s="4" t="s">
        <v>2263</v>
      </c>
      <c r="H2487" s="9" t="s">
        <v>2263</v>
      </c>
      <c r="I2487" s="4" t="s">
        <v>2317</v>
      </c>
      <c r="J2487" s="4" t="s">
        <v>2316</v>
      </c>
      <c r="K2487" s="4" t="s">
        <v>2263</v>
      </c>
      <c r="L2487" s="10">
        <v>18</v>
      </c>
      <c r="M2487" s="5">
        <v>9424.6005555555548</v>
      </c>
      <c r="N2487" s="5">
        <v>169642.81</v>
      </c>
    </row>
    <row r="2488" spans="1:14" x14ac:dyDescent="0.25">
      <c r="A2488" s="4" t="s">
        <v>2320</v>
      </c>
      <c r="B2488" s="4" t="s">
        <v>4967</v>
      </c>
      <c r="C2488" s="4" t="s">
        <v>2320</v>
      </c>
      <c r="D2488" s="4" t="s">
        <v>242</v>
      </c>
      <c r="E2488" s="4" t="s">
        <v>3957</v>
      </c>
      <c r="F2488" s="4" t="s">
        <v>3956</v>
      </c>
      <c r="G2488" s="4" t="s">
        <v>2263</v>
      </c>
      <c r="H2488" s="9" t="s">
        <v>2263</v>
      </c>
      <c r="I2488" s="4" t="s">
        <v>2317</v>
      </c>
      <c r="J2488" s="4" t="s">
        <v>2316</v>
      </c>
      <c r="K2488" s="4" t="s">
        <v>2263</v>
      </c>
      <c r="L2488" s="10">
        <v>18</v>
      </c>
      <c r="M2488" s="5">
        <v>9973.8160465116289</v>
      </c>
      <c r="N2488" s="5">
        <v>179528.68883720931</v>
      </c>
    </row>
    <row r="2489" spans="1:14" x14ac:dyDescent="0.25">
      <c r="A2489" s="4" t="s">
        <v>2320</v>
      </c>
      <c r="B2489" s="4" t="s">
        <v>4967</v>
      </c>
      <c r="C2489" s="4" t="s">
        <v>2320</v>
      </c>
      <c r="D2489" s="4" t="s">
        <v>242</v>
      </c>
      <c r="E2489" s="4" t="s">
        <v>2717</v>
      </c>
      <c r="F2489" s="4" t="s">
        <v>2716</v>
      </c>
      <c r="G2489" s="4" t="s">
        <v>2263</v>
      </c>
      <c r="H2489" s="9" t="s">
        <v>2263</v>
      </c>
      <c r="I2489" s="4" t="s">
        <v>2317</v>
      </c>
      <c r="J2489" s="4" t="s">
        <v>2316</v>
      </c>
      <c r="K2489" s="4" t="s">
        <v>2263</v>
      </c>
      <c r="L2489" s="10">
        <v>18</v>
      </c>
      <c r="M2489" s="5">
        <v>10302.013482142856</v>
      </c>
      <c r="N2489" s="5">
        <v>185436.24267857143</v>
      </c>
    </row>
    <row r="2490" spans="1:14" x14ac:dyDescent="0.25">
      <c r="A2490" s="4" t="s">
        <v>2274</v>
      </c>
      <c r="B2490" s="4" t="s">
        <v>4348</v>
      </c>
      <c r="C2490" s="4" t="s">
        <v>2344</v>
      </c>
      <c r="D2490" s="4" t="s">
        <v>237</v>
      </c>
      <c r="E2490" s="4" t="s">
        <v>2438</v>
      </c>
      <c r="F2490" s="4" t="s">
        <v>2437</v>
      </c>
      <c r="G2490" s="4" t="s">
        <v>2263</v>
      </c>
      <c r="H2490" s="9" t="s">
        <v>2263</v>
      </c>
      <c r="I2490" s="4" t="s">
        <v>2263</v>
      </c>
      <c r="J2490" s="4" t="s">
        <v>2263</v>
      </c>
      <c r="K2490" s="4" t="s">
        <v>2436</v>
      </c>
      <c r="L2490" s="10">
        <v>18</v>
      </c>
      <c r="M2490" s="5">
        <v>10404.861842105262</v>
      </c>
      <c r="N2490" s="5">
        <v>187287.51315789472</v>
      </c>
    </row>
    <row r="2491" spans="1:14" x14ac:dyDescent="0.25">
      <c r="A2491" s="4" t="s">
        <v>2344</v>
      </c>
      <c r="B2491" s="4" t="s">
        <v>5154</v>
      </c>
      <c r="C2491" s="4" t="s">
        <v>2320</v>
      </c>
      <c r="D2491" s="4" t="s">
        <v>242</v>
      </c>
      <c r="E2491" s="4" t="s">
        <v>3176</v>
      </c>
      <c r="F2491" s="4" t="s">
        <v>3175</v>
      </c>
      <c r="G2491" s="4" t="s">
        <v>2263</v>
      </c>
      <c r="H2491" s="9" t="s">
        <v>2263</v>
      </c>
      <c r="I2491" s="4" t="s">
        <v>2317</v>
      </c>
      <c r="J2491" s="4" t="s">
        <v>2316</v>
      </c>
      <c r="K2491" s="4" t="s">
        <v>2263</v>
      </c>
      <c r="L2491" s="10">
        <v>18</v>
      </c>
      <c r="M2491" s="5">
        <v>10464.536519337018</v>
      </c>
      <c r="N2491" s="5">
        <v>188361.65734806631</v>
      </c>
    </row>
    <row r="2492" spans="1:14" x14ac:dyDescent="0.25">
      <c r="A2492" s="4" t="s">
        <v>2344</v>
      </c>
      <c r="B2492" s="4" t="s">
        <v>5154</v>
      </c>
      <c r="C2492" s="4" t="s">
        <v>2317</v>
      </c>
      <c r="D2492" s="4" t="s">
        <v>2516</v>
      </c>
      <c r="E2492" s="4" t="s">
        <v>4439</v>
      </c>
      <c r="F2492" s="4" t="s">
        <v>2517</v>
      </c>
      <c r="G2492" s="4" t="s">
        <v>2263</v>
      </c>
      <c r="H2492" s="9" t="s">
        <v>2263</v>
      </c>
      <c r="I2492" s="4" t="s">
        <v>2263</v>
      </c>
      <c r="J2492" s="4" t="s">
        <v>2263</v>
      </c>
      <c r="K2492" s="4" t="s">
        <v>2514</v>
      </c>
      <c r="L2492" s="10">
        <v>18</v>
      </c>
      <c r="M2492" s="5">
        <v>11499.597701149425</v>
      </c>
      <c r="N2492" s="5">
        <v>206992.75862068968</v>
      </c>
    </row>
    <row r="2493" spans="1:14" x14ac:dyDescent="0.25">
      <c r="A2493" s="4" t="s">
        <v>2320</v>
      </c>
      <c r="B2493" s="4" t="s">
        <v>4967</v>
      </c>
      <c r="C2493" s="4" t="s">
        <v>2320</v>
      </c>
      <c r="D2493" s="4" t="s">
        <v>242</v>
      </c>
      <c r="E2493" s="4" t="s">
        <v>2823</v>
      </c>
      <c r="F2493" s="4" t="s">
        <v>2822</v>
      </c>
      <c r="G2493" s="4" t="s">
        <v>2263</v>
      </c>
      <c r="H2493" s="9" t="s">
        <v>2263</v>
      </c>
      <c r="I2493" s="4" t="s">
        <v>2317</v>
      </c>
      <c r="J2493" s="4" t="s">
        <v>2316</v>
      </c>
      <c r="K2493" s="4" t="s">
        <v>2263</v>
      </c>
      <c r="L2493" s="10">
        <v>18</v>
      </c>
      <c r="M2493" s="5">
        <v>12324.101428571428</v>
      </c>
      <c r="N2493" s="5">
        <v>221833.82571428572</v>
      </c>
    </row>
    <row r="2494" spans="1:14" x14ac:dyDescent="0.25">
      <c r="A2494" s="4" t="s">
        <v>2317</v>
      </c>
      <c r="B2494" s="4" t="s">
        <v>3839</v>
      </c>
      <c r="C2494" s="4" t="s">
        <v>2320</v>
      </c>
      <c r="D2494" s="4" t="s">
        <v>242</v>
      </c>
      <c r="E2494" s="4" t="s">
        <v>3955</v>
      </c>
      <c r="F2494" s="4" t="s">
        <v>3954</v>
      </c>
      <c r="G2494" s="4" t="s">
        <v>2263</v>
      </c>
      <c r="H2494" s="9" t="s">
        <v>2263</v>
      </c>
      <c r="I2494" s="4" t="s">
        <v>2317</v>
      </c>
      <c r="J2494" s="4" t="s">
        <v>2316</v>
      </c>
      <c r="K2494" s="4" t="s">
        <v>2263</v>
      </c>
      <c r="L2494" s="10">
        <v>18</v>
      </c>
      <c r="M2494" s="5">
        <v>12353.265681818182</v>
      </c>
      <c r="N2494" s="5">
        <v>222358.78227272729</v>
      </c>
    </row>
    <row r="2495" spans="1:14" x14ac:dyDescent="0.25">
      <c r="A2495" s="4" t="s">
        <v>2344</v>
      </c>
      <c r="B2495" s="4" t="s">
        <v>5154</v>
      </c>
      <c r="C2495" s="4" t="s">
        <v>2344</v>
      </c>
      <c r="D2495" s="4" t="s">
        <v>237</v>
      </c>
      <c r="E2495" s="4" t="s">
        <v>4530</v>
      </c>
      <c r="F2495" s="4" t="s">
        <v>4529</v>
      </c>
      <c r="G2495" s="4" t="s">
        <v>2263</v>
      </c>
      <c r="H2495" s="9" t="s">
        <v>2263</v>
      </c>
      <c r="I2495" s="4" t="s">
        <v>2263</v>
      </c>
      <c r="J2495" s="4" t="s">
        <v>2263</v>
      </c>
      <c r="K2495" s="4" t="s">
        <v>4528</v>
      </c>
      <c r="L2495" s="10">
        <v>18</v>
      </c>
      <c r="M2495" s="5">
        <v>13745.000454545452</v>
      </c>
      <c r="N2495" s="5">
        <v>247410.00818181815</v>
      </c>
    </row>
    <row r="2496" spans="1:14" x14ac:dyDescent="0.25">
      <c r="A2496" s="4" t="s">
        <v>2267</v>
      </c>
      <c r="B2496" s="4" t="s">
        <v>3838</v>
      </c>
      <c r="C2496" s="4" t="s">
        <v>2320</v>
      </c>
      <c r="D2496" s="4" t="s">
        <v>242</v>
      </c>
      <c r="E2496" s="4" t="s">
        <v>2972</v>
      </c>
      <c r="F2496" s="4" t="s">
        <v>2971</v>
      </c>
      <c r="G2496" s="4" t="s">
        <v>2263</v>
      </c>
      <c r="H2496" s="9" t="s">
        <v>2263</v>
      </c>
      <c r="I2496" s="4" t="s">
        <v>2317</v>
      </c>
      <c r="J2496" s="4" t="s">
        <v>2316</v>
      </c>
      <c r="K2496" s="4" t="s">
        <v>2263</v>
      </c>
      <c r="L2496" s="10">
        <v>18</v>
      </c>
      <c r="M2496" s="5">
        <v>64308.11538461539</v>
      </c>
      <c r="N2496" s="5">
        <v>1157546.076923077</v>
      </c>
    </row>
    <row r="2497" spans="1:14" x14ac:dyDescent="0.25">
      <c r="A2497" s="4" t="s">
        <v>2653</v>
      </c>
      <c r="B2497" s="4" t="s">
        <v>3226</v>
      </c>
      <c r="C2497" s="4" t="s">
        <v>3203</v>
      </c>
      <c r="D2497" s="4" t="s">
        <v>256</v>
      </c>
      <c r="E2497" s="4" t="s">
        <v>3610</v>
      </c>
      <c r="F2497" s="4" t="s">
        <v>3609</v>
      </c>
      <c r="G2497" s="4" t="s">
        <v>2263</v>
      </c>
      <c r="H2497" s="9" t="s">
        <v>2263</v>
      </c>
      <c r="I2497" s="4" t="s">
        <v>2317</v>
      </c>
      <c r="J2497" s="4" t="s">
        <v>2316</v>
      </c>
      <c r="K2497" s="4" t="s">
        <v>2263</v>
      </c>
      <c r="L2497" s="10">
        <v>18</v>
      </c>
      <c r="M2497" s="5">
        <v>64405.166666666664</v>
      </c>
      <c r="N2497" s="5">
        <v>1159293</v>
      </c>
    </row>
    <row r="2498" spans="1:14" x14ac:dyDescent="0.25">
      <c r="A2498" s="4" t="s">
        <v>2317</v>
      </c>
      <c r="B2498" s="4" t="s">
        <v>3839</v>
      </c>
      <c r="C2498" s="4" t="s">
        <v>2320</v>
      </c>
      <c r="D2498" s="4" t="s">
        <v>242</v>
      </c>
      <c r="E2498" s="4" t="s">
        <v>3903</v>
      </c>
      <c r="F2498" s="4" t="s">
        <v>3902</v>
      </c>
      <c r="G2498" s="4" t="s">
        <v>2263</v>
      </c>
      <c r="H2498" s="9" t="s">
        <v>2263</v>
      </c>
      <c r="I2498" s="4" t="s">
        <v>2317</v>
      </c>
      <c r="J2498" s="4" t="s">
        <v>2316</v>
      </c>
      <c r="K2498" s="4" t="s">
        <v>2263</v>
      </c>
      <c r="L2498" s="10">
        <v>18</v>
      </c>
      <c r="M2498" s="5">
        <v>110400</v>
      </c>
      <c r="N2498" s="5">
        <v>1987200</v>
      </c>
    </row>
    <row r="2499" spans="1:14" x14ac:dyDescent="0.25">
      <c r="A2499" s="4" t="s">
        <v>2344</v>
      </c>
      <c r="B2499" s="4" t="s">
        <v>5154</v>
      </c>
      <c r="C2499" s="4" t="s">
        <v>2344</v>
      </c>
      <c r="D2499" s="4" t="s">
        <v>237</v>
      </c>
      <c r="E2499" s="4" t="s">
        <v>5447</v>
      </c>
      <c r="F2499" s="4" t="s">
        <v>2632</v>
      </c>
      <c r="G2499" s="4" t="s">
        <v>2263</v>
      </c>
      <c r="H2499" s="9" t="s">
        <v>2263</v>
      </c>
      <c r="I2499" s="4" t="s">
        <v>2263</v>
      </c>
      <c r="J2499" s="4" t="s">
        <v>2263</v>
      </c>
      <c r="K2499" s="4" t="s">
        <v>2631</v>
      </c>
      <c r="L2499" s="10">
        <v>19</v>
      </c>
      <c r="M2499" s="5">
        <v>134.04</v>
      </c>
      <c r="N2499" s="5">
        <v>2546.7600000000002</v>
      </c>
    </row>
    <row r="2500" spans="1:14" x14ac:dyDescent="0.25">
      <c r="A2500" s="4" t="s">
        <v>2930</v>
      </c>
      <c r="B2500" s="4" t="s">
        <v>2929</v>
      </c>
      <c r="C2500" s="4" t="s">
        <v>2320</v>
      </c>
      <c r="D2500" s="4" t="s">
        <v>242</v>
      </c>
      <c r="E2500" s="4" t="s">
        <v>2370</v>
      </c>
      <c r="F2500" s="4" t="s">
        <v>2369</v>
      </c>
      <c r="G2500" s="4" t="s">
        <v>2263</v>
      </c>
      <c r="H2500" s="9" t="s">
        <v>2263</v>
      </c>
      <c r="I2500" s="4" t="s">
        <v>2317</v>
      </c>
      <c r="J2500" s="4" t="s">
        <v>2316</v>
      </c>
      <c r="K2500" s="4" t="s">
        <v>2263</v>
      </c>
      <c r="L2500" s="10">
        <v>19</v>
      </c>
      <c r="M2500" s="5">
        <v>303.54016676418956</v>
      </c>
      <c r="N2500" s="5">
        <v>5767.2631685196002</v>
      </c>
    </row>
    <row r="2501" spans="1:14" x14ac:dyDescent="0.25">
      <c r="A2501" s="4" t="s">
        <v>2344</v>
      </c>
      <c r="B2501" s="4" t="s">
        <v>5154</v>
      </c>
      <c r="C2501" s="4" t="s">
        <v>2344</v>
      </c>
      <c r="D2501" s="4" t="s">
        <v>237</v>
      </c>
      <c r="E2501" s="4" t="s">
        <v>4844</v>
      </c>
      <c r="F2501" s="4" t="s">
        <v>4843</v>
      </c>
      <c r="G2501" s="4" t="s">
        <v>2263</v>
      </c>
      <c r="H2501" s="9" t="s">
        <v>2263</v>
      </c>
      <c r="I2501" s="4" t="s">
        <v>2263</v>
      </c>
      <c r="J2501" s="4" t="s">
        <v>2263</v>
      </c>
      <c r="K2501" s="4" t="s">
        <v>4842</v>
      </c>
      <c r="L2501" s="10">
        <v>19</v>
      </c>
      <c r="M2501" s="5">
        <v>313</v>
      </c>
      <c r="N2501" s="5">
        <v>5947</v>
      </c>
    </row>
    <row r="2502" spans="1:14" x14ac:dyDescent="0.25">
      <c r="A2502" s="4" t="s">
        <v>2320</v>
      </c>
      <c r="B2502" s="4" t="s">
        <v>4967</v>
      </c>
      <c r="C2502" s="4" t="s">
        <v>2320</v>
      </c>
      <c r="D2502" s="4" t="s">
        <v>242</v>
      </c>
      <c r="E2502" s="4" t="s">
        <v>2402</v>
      </c>
      <c r="F2502" s="4" t="s">
        <v>2401</v>
      </c>
      <c r="G2502" s="4" t="s">
        <v>2263</v>
      </c>
      <c r="H2502" s="9" t="s">
        <v>2263</v>
      </c>
      <c r="I2502" s="4" t="s">
        <v>2317</v>
      </c>
      <c r="J2502" s="4" t="s">
        <v>2316</v>
      </c>
      <c r="K2502" s="4" t="s">
        <v>2263</v>
      </c>
      <c r="L2502" s="10">
        <v>19</v>
      </c>
      <c r="M2502" s="5">
        <v>1015.8373846153846</v>
      </c>
      <c r="N2502" s="5">
        <v>19300.910307692309</v>
      </c>
    </row>
    <row r="2503" spans="1:14" x14ac:dyDescent="0.25">
      <c r="A2503" s="4" t="s">
        <v>2344</v>
      </c>
      <c r="B2503" s="4" t="s">
        <v>5154</v>
      </c>
      <c r="C2503" s="4" t="s">
        <v>2344</v>
      </c>
      <c r="D2503" s="4" t="s">
        <v>237</v>
      </c>
      <c r="E2503" s="4" t="s">
        <v>4806</v>
      </c>
      <c r="F2503" s="4" t="s">
        <v>4805</v>
      </c>
      <c r="G2503" s="4" t="s">
        <v>2263</v>
      </c>
      <c r="H2503" s="9" t="s">
        <v>2263</v>
      </c>
      <c r="I2503" s="4" t="s">
        <v>2263</v>
      </c>
      <c r="J2503" s="4" t="s">
        <v>2263</v>
      </c>
      <c r="K2503" s="4" t="s">
        <v>4804</v>
      </c>
      <c r="L2503" s="10">
        <v>19</v>
      </c>
      <c r="M2503" s="5">
        <v>1117.5525423728814</v>
      </c>
      <c r="N2503" s="5">
        <v>21233.498305084751</v>
      </c>
    </row>
    <row r="2504" spans="1:14" x14ac:dyDescent="0.25">
      <c r="A2504" s="4" t="s">
        <v>2344</v>
      </c>
      <c r="B2504" s="4" t="s">
        <v>5154</v>
      </c>
      <c r="C2504" s="4" t="s">
        <v>2344</v>
      </c>
      <c r="D2504" s="4" t="s">
        <v>237</v>
      </c>
      <c r="E2504" s="4" t="s">
        <v>5369</v>
      </c>
      <c r="F2504" s="4" t="s">
        <v>5368</v>
      </c>
      <c r="G2504" s="4" t="s">
        <v>2263</v>
      </c>
      <c r="H2504" s="9" t="s">
        <v>2263</v>
      </c>
      <c r="I2504" s="4" t="s">
        <v>2263</v>
      </c>
      <c r="J2504" s="4" t="s">
        <v>2263</v>
      </c>
      <c r="K2504" s="4" t="s">
        <v>2305</v>
      </c>
      <c r="L2504" s="10">
        <v>19</v>
      </c>
      <c r="M2504" s="5">
        <v>1704.9263157894738</v>
      </c>
      <c r="N2504" s="5">
        <v>32393.599999999999</v>
      </c>
    </row>
    <row r="2505" spans="1:14" x14ac:dyDescent="0.25">
      <c r="A2505" s="4" t="s">
        <v>2320</v>
      </c>
      <c r="B2505" s="4" t="s">
        <v>4967</v>
      </c>
      <c r="C2505" s="4" t="s">
        <v>2320</v>
      </c>
      <c r="D2505" s="4" t="s">
        <v>242</v>
      </c>
      <c r="E2505" s="4" t="s">
        <v>4339</v>
      </c>
      <c r="F2505" s="4" t="s">
        <v>4338</v>
      </c>
      <c r="G2505" s="4" t="s">
        <v>2263</v>
      </c>
      <c r="H2505" s="9" t="s">
        <v>2263</v>
      </c>
      <c r="I2505" s="4" t="s">
        <v>2317</v>
      </c>
      <c r="J2505" s="4" t="s">
        <v>2316</v>
      </c>
      <c r="K2505" s="4" t="s">
        <v>2263</v>
      </c>
      <c r="L2505" s="10">
        <v>19</v>
      </c>
      <c r="M2505" s="5">
        <v>3098.8842028985509</v>
      </c>
      <c r="N2505" s="5">
        <v>58878.799855072459</v>
      </c>
    </row>
    <row r="2506" spans="1:14" x14ac:dyDescent="0.25">
      <c r="A2506" s="4" t="s">
        <v>2344</v>
      </c>
      <c r="B2506" s="4" t="s">
        <v>5154</v>
      </c>
      <c r="C2506" s="4" t="s">
        <v>2344</v>
      </c>
      <c r="D2506" s="4" t="s">
        <v>237</v>
      </c>
      <c r="E2506" s="4" t="s">
        <v>4615</v>
      </c>
      <c r="F2506" s="4" t="s">
        <v>4614</v>
      </c>
      <c r="G2506" s="4" t="s">
        <v>2263</v>
      </c>
      <c r="H2506" s="9" t="s">
        <v>2263</v>
      </c>
      <c r="I2506" s="4" t="s">
        <v>2263</v>
      </c>
      <c r="J2506" s="4" t="s">
        <v>2263</v>
      </c>
      <c r="K2506" s="4" t="s">
        <v>2557</v>
      </c>
      <c r="L2506" s="10">
        <v>19</v>
      </c>
      <c r="M2506" s="5">
        <v>3243.3902499999999</v>
      </c>
      <c r="N2506" s="5">
        <v>61624.414750000004</v>
      </c>
    </row>
    <row r="2507" spans="1:14" x14ac:dyDescent="0.25">
      <c r="A2507" s="4" t="s">
        <v>2653</v>
      </c>
      <c r="B2507" s="4" t="s">
        <v>3226</v>
      </c>
      <c r="C2507" s="4" t="s">
        <v>3107</v>
      </c>
      <c r="D2507" s="4" t="s">
        <v>1105</v>
      </c>
      <c r="E2507" s="4" t="s">
        <v>3661</v>
      </c>
      <c r="F2507" s="4" t="s">
        <v>3660</v>
      </c>
      <c r="G2507" s="4" t="s">
        <v>2263</v>
      </c>
      <c r="H2507" s="9" t="s">
        <v>2263</v>
      </c>
      <c r="I2507" s="4" t="s">
        <v>2317</v>
      </c>
      <c r="J2507" s="4" t="s">
        <v>2316</v>
      </c>
      <c r="K2507" s="4" t="s">
        <v>2263</v>
      </c>
      <c r="L2507" s="10">
        <v>19</v>
      </c>
      <c r="M2507" s="5">
        <v>5349.9973684210527</v>
      </c>
      <c r="N2507" s="5">
        <v>101649.95</v>
      </c>
    </row>
    <row r="2508" spans="1:14" x14ac:dyDescent="0.25">
      <c r="A2508" s="4" t="s">
        <v>2344</v>
      </c>
      <c r="B2508" s="4" t="s">
        <v>5154</v>
      </c>
      <c r="C2508" s="4" t="s">
        <v>2344</v>
      </c>
      <c r="D2508" s="4" t="s">
        <v>237</v>
      </c>
      <c r="E2508" s="4" t="s">
        <v>4728</v>
      </c>
      <c r="F2508" s="4" t="s">
        <v>2607</v>
      </c>
      <c r="G2508" s="4" t="s">
        <v>2263</v>
      </c>
      <c r="H2508" s="9" t="s">
        <v>2263</v>
      </c>
      <c r="I2508" s="4" t="s">
        <v>2263</v>
      </c>
      <c r="J2508" s="4" t="s">
        <v>2263</v>
      </c>
      <c r="K2508" s="4" t="s">
        <v>2588</v>
      </c>
      <c r="L2508" s="10">
        <v>19</v>
      </c>
      <c r="M2508" s="5">
        <v>8973.6524000000009</v>
      </c>
      <c r="N2508" s="5">
        <v>170499.39559999999</v>
      </c>
    </row>
    <row r="2509" spans="1:14" x14ac:dyDescent="0.25">
      <c r="A2509" s="4" t="s">
        <v>2320</v>
      </c>
      <c r="B2509" s="4" t="s">
        <v>4967</v>
      </c>
      <c r="C2509" s="4" t="s">
        <v>2320</v>
      </c>
      <c r="D2509" s="4" t="s">
        <v>242</v>
      </c>
      <c r="E2509" s="4" t="s">
        <v>4133</v>
      </c>
      <c r="F2509" s="4" t="s">
        <v>4132</v>
      </c>
      <c r="G2509" s="4" t="s">
        <v>2263</v>
      </c>
      <c r="H2509" s="9" t="s">
        <v>2263</v>
      </c>
      <c r="I2509" s="4" t="s">
        <v>2317</v>
      </c>
      <c r="J2509" s="4" t="s">
        <v>2316</v>
      </c>
      <c r="K2509" s="4" t="s">
        <v>2263</v>
      </c>
      <c r="L2509" s="10">
        <v>19</v>
      </c>
      <c r="M2509" s="5">
        <v>20132.750175438599</v>
      </c>
      <c r="N2509" s="5">
        <v>382522.25333333336</v>
      </c>
    </row>
    <row r="2510" spans="1:14" x14ac:dyDescent="0.25">
      <c r="A2510" s="4" t="s">
        <v>2653</v>
      </c>
      <c r="B2510" s="4" t="s">
        <v>3226</v>
      </c>
      <c r="C2510" s="4" t="s">
        <v>2384</v>
      </c>
      <c r="D2510" s="4" t="s">
        <v>262</v>
      </c>
      <c r="E2510" s="4" t="s">
        <v>3472</v>
      </c>
      <c r="F2510" s="4" t="s">
        <v>3471</v>
      </c>
      <c r="G2510" s="4" t="s">
        <v>2263</v>
      </c>
      <c r="H2510" s="9" t="s">
        <v>2263</v>
      </c>
      <c r="I2510" s="4" t="s">
        <v>2317</v>
      </c>
      <c r="J2510" s="4" t="s">
        <v>2316</v>
      </c>
      <c r="K2510" s="4" t="s">
        <v>2263</v>
      </c>
      <c r="L2510" s="10">
        <v>19</v>
      </c>
      <c r="M2510" s="5">
        <v>21717.8</v>
      </c>
      <c r="N2510" s="5">
        <v>412638.2</v>
      </c>
    </row>
    <row r="2511" spans="1:14" x14ac:dyDescent="0.25">
      <c r="A2511" s="4" t="s">
        <v>2320</v>
      </c>
      <c r="B2511" s="4" t="s">
        <v>4967</v>
      </c>
      <c r="C2511" s="4" t="s">
        <v>2320</v>
      </c>
      <c r="D2511" s="4" t="s">
        <v>242</v>
      </c>
      <c r="E2511" s="4" t="s">
        <v>5013</v>
      </c>
      <c r="F2511" s="4" t="s">
        <v>5012</v>
      </c>
      <c r="G2511" s="4" t="s">
        <v>2263</v>
      </c>
      <c r="H2511" s="9" t="s">
        <v>2263</v>
      </c>
      <c r="I2511" s="4" t="s">
        <v>2317</v>
      </c>
      <c r="J2511" s="4" t="s">
        <v>2316</v>
      </c>
      <c r="K2511" s="4" t="s">
        <v>2263</v>
      </c>
      <c r="L2511" s="10">
        <v>19</v>
      </c>
      <c r="M2511" s="5">
        <v>22391</v>
      </c>
      <c r="N2511" s="5">
        <v>425429</v>
      </c>
    </row>
    <row r="2512" spans="1:14" x14ac:dyDescent="0.25">
      <c r="A2512" s="4" t="s">
        <v>2267</v>
      </c>
      <c r="B2512" s="4" t="s">
        <v>3838</v>
      </c>
      <c r="C2512" s="4" t="s">
        <v>2320</v>
      </c>
      <c r="D2512" s="4" t="s">
        <v>242</v>
      </c>
      <c r="E2512" s="4" t="s">
        <v>2966</v>
      </c>
      <c r="F2512" s="4" t="s">
        <v>2965</v>
      </c>
      <c r="G2512" s="4" t="s">
        <v>2263</v>
      </c>
      <c r="H2512" s="9" t="s">
        <v>2263</v>
      </c>
      <c r="I2512" s="4" t="s">
        <v>2317</v>
      </c>
      <c r="J2512" s="4" t="s">
        <v>2316</v>
      </c>
      <c r="K2512" s="4" t="s">
        <v>2263</v>
      </c>
      <c r="L2512" s="10">
        <v>19</v>
      </c>
      <c r="M2512" s="5">
        <v>26442.580645161292</v>
      </c>
      <c r="N2512" s="5">
        <v>502409.03225806449</v>
      </c>
    </row>
    <row r="2513" spans="1:14" x14ac:dyDescent="0.25">
      <c r="A2513" s="4" t="s">
        <v>2653</v>
      </c>
      <c r="B2513" s="4" t="s">
        <v>3226</v>
      </c>
      <c r="C2513" s="4" t="s">
        <v>3203</v>
      </c>
      <c r="D2513" s="4" t="s">
        <v>256</v>
      </c>
      <c r="E2513" s="4" t="s">
        <v>3594</v>
      </c>
      <c r="F2513" s="4" t="s">
        <v>3593</v>
      </c>
      <c r="G2513" s="4" t="s">
        <v>2263</v>
      </c>
      <c r="H2513" s="9" t="s">
        <v>2263</v>
      </c>
      <c r="I2513" s="4" t="s">
        <v>2317</v>
      </c>
      <c r="J2513" s="4" t="s">
        <v>2316</v>
      </c>
      <c r="K2513" s="4" t="s">
        <v>2263</v>
      </c>
      <c r="L2513" s="10">
        <v>19</v>
      </c>
      <c r="M2513" s="5">
        <v>40649.473684210527</v>
      </c>
      <c r="N2513" s="5">
        <v>772340</v>
      </c>
    </row>
    <row r="2514" spans="1:14" x14ac:dyDescent="0.25">
      <c r="A2514" s="4" t="s">
        <v>2317</v>
      </c>
      <c r="B2514" s="4" t="s">
        <v>3839</v>
      </c>
      <c r="C2514" s="4" t="s">
        <v>2320</v>
      </c>
      <c r="D2514" s="4" t="s">
        <v>242</v>
      </c>
      <c r="E2514" s="4" t="s">
        <v>2362</v>
      </c>
      <c r="F2514" s="4" t="s">
        <v>2361</v>
      </c>
      <c r="G2514" s="4" t="s">
        <v>2263</v>
      </c>
      <c r="H2514" s="9" t="s">
        <v>2263</v>
      </c>
      <c r="I2514" s="4" t="s">
        <v>2317</v>
      </c>
      <c r="J2514" s="4" t="s">
        <v>2316</v>
      </c>
      <c r="K2514" s="4" t="s">
        <v>2263</v>
      </c>
      <c r="L2514" s="10">
        <v>19</v>
      </c>
      <c r="M2514" s="5">
        <v>50605.866129032256</v>
      </c>
      <c r="N2514" s="5">
        <v>961511.45645161299</v>
      </c>
    </row>
    <row r="2515" spans="1:14" x14ac:dyDescent="0.25">
      <c r="A2515" s="4" t="s">
        <v>2320</v>
      </c>
      <c r="B2515" s="4" t="s">
        <v>4967</v>
      </c>
      <c r="C2515" s="4" t="s">
        <v>2320</v>
      </c>
      <c r="D2515" s="4" t="s">
        <v>242</v>
      </c>
      <c r="E2515" s="4" t="s">
        <v>3949</v>
      </c>
      <c r="F2515" s="4" t="s">
        <v>3948</v>
      </c>
      <c r="G2515" s="4" t="s">
        <v>2263</v>
      </c>
      <c r="H2515" s="9" t="s">
        <v>2263</v>
      </c>
      <c r="I2515" s="4" t="s">
        <v>2317</v>
      </c>
      <c r="J2515" s="4" t="s">
        <v>2316</v>
      </c>
      <c r="K2515" s="4" t="s">
        <v>2263</v>
      </c>
      <c r="L2515" s="10">
        <v>19</v>
      </c>
      <c r="M2515" s="5">
        <v>54795.059701492537</v>
      </c>
      <c r="N2515" s="5">
        <v>1041106.1343283582</v>
      </c>
    </row>
    <row r="2516" spans="1:14" x14ac:dyDescent="0.25">
      <c r="A2516" s="4" t="s">
        <v>2653</v>
      </c>
      <c r="B2516" s="4" t="s">
        <v>3226</v>
      </c>
      <c r="C2516" s="4" t="s">
        <v>2384</v>
      </c>
      <c r="D2516" s="4" t="s">
        <v>262</v>
      </c>
      <c r="E2516" s="4" t="s">
        <v>2679</v>
      </c>
      <c r="F2516" s="4" t="s">
        <v>2678</v>
      </c>
      <c r="G2516" s="4" t="s">
        <v>2263</v>
      </c>
      <c r="H2516" s="9" t="s">
        <v>2263</v>
      </c>
      <c r="I2516" s="4" t="s">
        <v>2317</v>
      </c>
      <c r="J2516" s="4" t="s">
        <v>2316</v>
      </c>
      <c r="K2516" s="4" t="s">
        <v>2263</v>
      </c>
      <c r="L2516" s="10">
        <v>19</v>
      </c>
      <c r="M2516" s="5">
        <v>76942.326774193556</v>
      </c>
      <c r="N2516" s="5">
        <v>1461904.2087096774</v>
      </c>
    </row>
    <row r="2517" spans="1:14" x14ac:dyDescent="0.25">
      <c r="A2517" s="4" t="s">
        <v>2267</v>
      </c>
      <c r="B2517" s="4" t="s">
        <v>3838</v>
      </c>
      <c r="C2517" s="4" t="s">
        <v>2320</v>
      </c>
      <c r="D2517" s="4" t="s">
        <v>242</v>
      </c>
      <c r="E2517" s="4" t="s">
        <v>2980</v>
      </c>
      <c r="F2517" s="4" t="s">
        <v>2979</v>
      </c>
      <c r="G2517" s="4" t="s">
        <v>2263</v>
      </c>
      <c r="H2517" s="9" t="s">
        <v>2263</v>
      </c>
      <c r="I2517" s="4" t="s">
        <v>2317</v>
      </c>
      <c r="J2517" s="4" t="s">
        <v>2316</v>
      </c>
      <c r="K2517" s="4" t="s">
        <v>2263</v>
      </c>
      <c r="L2517" s="10">
        <v>19</v>
      </c>
      <c r="M2517" s="5">
        <v>95230.947368421053</v>
      </c>
      <c r="N2517" s="5">
        <v>1809388</v>
      </c>
    </row>
    <row r="2518" spans="1:14" x14ac:dyDescent="0.25">
      <c r="A2518" s="4" t="s">
        <v>2653</v>
      </c>
      <c r="B2518" s="4" t="s">
        <v>3226</v>
      </c>
      <c r="C2518" s="4" t="s">
        <v>2384</v>
      </c>
      <c r="D2518" s="4" t="s">
        <v>262</v>
      </c>
      <c r="E2518" s="4" t="s">
        <v>3302</v>
      </c>
      <c r="F2518" s="4" t="s">
        <v>3301</v>
      </c>
      <c r="G2518" s="4" t="s">
        <v>2263</v>
      </c>
      <c r="H2518" s="9" t="s">
        <v>2263</v>
      </c>
      <c r="I2518" s="4" t="s">
        <v>2317</v>
      </c>
      <c r="J2518" s="4" t="s">
        <v>2316</v>
      </c>
      <c r="K2518" s="4" t="s">
        <v>2263</v>
      </c>
      <c r="L2518" s="10">
        <v>19</v>
      </c>
      <c r="M2518" s="5">
        <v>101150</v>
      </c>
      <c r="N2518" s="5">
        <v>1921850</v>
      </c>
    </row>
    <row r="2519" spans="1:14" x14ac:dyDescent="0.25">
      <c r="A2519" s="4" t="s">
        <v>2344</v>
      </c>
      <c r="B2519" s="4" t="s">
        <v>5154</v>
      </c>
      <c r="C2519" s="4" t="s">
        <v>2344</v>
      </c>
      <c r="D2519" s="4" t="s">
        <v>237</v>
      </c>
      <c r="E2519" s="4" t="s">
        <v>4896</v>
      </c>
      <c r="F2519" s="4" t="s">
        <v>4895</v>
      </c>
      <c r="G2519" s="4" t="s">
        <v>2263</v>
      </c>
      <c r="H2519" s="9" t="s">
        <v>2263</v>
      </c>
      <c r="I2519" s="4" t="s">
        <v>2263</v>
      </c>
      <c r="J2519" s="4" t="s">
        <v>2263</v>
      </c>
      <c r="K2519" s="4" t="s">
        <v>2465</v>
      </c>
      <c r="L2519" s="10">
        <v>20</v>
      </c>
      <c r="M2519" s="5">
        <v>63.133333333333333</v>
      </c>
      <c r="N2519" s="5">
        <v>1262.6666666666699</v>
      </c>
    </row>
    <row r="2520" spans="1:14" x14ac:dyDescent="0.25">
      <c r="A2520" s="4" t="s">
        <v>2274</v>
      </c>
      <c r="B2520" s="4" t="s">
        <v>4348</v>
      </c>
      <c r="C2520" s="4" t="s">
        <v>2344</v>
      </c>
      <c r="D2520" s="4" t="s">
        <v>237</v>
      </c>
      <c r="E2520" s="4" t="s">
        <v>4821</v>
      </c>
      <c r="F2520" s="4" t="s">
        <v>4820</v>
      </c>
      <c r="G2520" s="4" t="s">
        <v>2263</v>
      </c>
      <c r="H2520" s="9" t="s">
        <v>2263</v>
      </c>
      <c r="I2520" s="4" t="s">
        <v>2263</v>
      </c>
      <c r="J2520" s="4" t="s">
        <v>2263</v>
      </c>
      <c r="K2520" s="4" t="s">
        <v>2439</v>
      </c>
      <c r="L2520" s="10">
        <v>20</v>
      </c>
      <c r="M2520" s="5">
        <v>196.57063829787236</v>
      </c>
      <c r="N2520" s="5">
        <v>3931.4127659574501</v>
      </c>
    </row>
    <row r="2521" spans="1:14" x14ac:dyDescent="0.25">
      <c r="A2521" s="4" t="s">
        <v>2344</v>
      </c>
      <c r="B2521" s="4" t="s">
        <v>5154</v>
      </c>
      <c r="C2521" s="4" t="s">
        <v>2267</v>
      </c>
      <c r="D2521" s="4" t="s">
        <v>2266</v>
      </c>
      <c r="E2521" s="4" t="s">
        <v>4426</v>
      </c>
      <c r="F2521" s="4" t="s">
        <v>4377</v>
      </c>
      <c r="G2521" s="4" t="s">
        <v>2263</v>
      </c>
      <c r="H2521" s="9" t="s">
        <v>2263</v>
      </c>
      <c r="I2521" s="4" t="s">
        <v>2263</v>
      </c>
      <c r="J2521" s="4" t="s">
        <v>2263</v>
      </c>
      <c r="K2521" s="4" t="s">
        <v>2262</v>
      </c>
      <c r="L2521" s="10">
        <v>20</v>
      </c>
      <c r="M2521" s="5">
        <v>214</v>
      </c>
      <c r="N2521" s="5">
        <v>4280</v>
      </c>
    </row>
    <row r="2522" spans="1:14" x14ac:dyDescent="0.25">
      <c r="A2522" s="4" t="s">
        <v>2344</v>
      </c>
      <c r="B2522" s="4" t="s">
        <v>5154</v>
      </c>
      <c r="C2522" s="4" t="s">
        <v>2344</v>
      </c>
      <c r="D2522" s="4" t="s">
        <v>237</v>
      </c>
      <c r="E2522" s="4" t="s">
        <v>4894</v>
      </c>
      <c r="F2522" s="4" t="s">
        <v>4893</v>
      </c>
      <c r="G2522" s="4" t="s">
        <v>2263</v>
      </c>
      <c r="H2522" s="9" t="s">
        <v>2263</v>
      </c>
      <c r="I2522" s="4" t="s">
        <v>2263</v>
      </c>
      <c r="J2522" s="4" t="s">
        <v>2263</v>
      </c>
      <c r="K2522" s="4" t="s">
        <v>2462</v>
      </c>
      <c r="L2522" s="10">
        <v>20</v>
      </c>
      <c r="M2522" s="5">
        <v>365.56</v>
      </c>
      <c r="N2522" s="5">
        <v>7311.2</v>
      </c>
    </row>
    <row r="2523" spans="1:14" x14ac:dyDescent="0.25">
      <c r="A2523" s="4" t="s">
        <v>2653</v>
      </c>
      <c r="B2523" s="4" t="s">
        <v>3226</v>
      </c>
      <c r="C2523" s="4" t="s">
        <v>3107</v>
      </c>
      <c r="D2523" s="4" t="s">
        <v>1105</v>
      </c>
      <c r="E2523" s="4" t="s">
        <v>3791</v>
      </c>
      <c r="F2523" s="4" t="s">
        <v>3790</v>
      </c>
      <c r="G2523" s="4" t="s">
        <v>2263</v>
      </c>
      <c r="H2523" s="9" t="s">
        <v>2263</v>
      </c>
      <c r="I2523" s="4" t="s">
        <v>2317</v>
      </c>
      <c r="J2523" s="4" t="s">
        <v>2316</v>
      </c>
      <c r="K2523" s="4" t="s">
        <v>2263</v>
      </c>
      <c r="L2523" s="10">
        <v>20</v>
      </c>
      <c r="M2523" s="5">
        <v>412.02</v>
      </c>
      <c r="N2523" s="5">
        <v>8240.4</v>
      </c>
    </row>
    <row r="2524" spans="1:14" x14ac:dyDescent="0.25">
      <c r="A2524" s="4" t="s">
        <v>2317</v>
      </c>
      <c r="B2524" s="4" t="s">
        <v>3839</v>
      </c>
      <c r="C2524" s="4" t="s">
        <v>2320</v>
      </c>
      <c r="D2524" s="4" t="s">
        <v>242</v>
      </c>
      <c r="E2524" s="4" t="s">
        <v>4203</v>
      </c>
      <c r="F2524" s="4" t="s">
        <v>4202</v>
      </c>
      <c r="G2524" s="4" t="s">
        <v>2263</v>
      </c>
      <c r="H2524" s="9" t="s">
        <v>2263</v>
      </c>
      <c r="I2524" s="4" t="s">
        <v>2317</v>
      </c>
      <c r="J2524" s="4" t="s">
        <v>2316</v>
      </c>
      <c r="K2524" s="4" t="s">
        <v>2263</v>
      </c>
      <c r="L2524" s="10">
        <v>20</v>
      </c>
      <c r="M2524" s="5">
        <v>426.17857142857144</v>
      </c>
      <c r="N2524" s="5">
        <v>8523.5714285714294</v>
      </c>
    </row>
    <row r="2525" spans="1:14" x14ac:dyDescent="0.25">
      <c r="A2525" s="4" t="s">
        <v>2274</v>
      </c>
      <c r="B2525" s="4" t="s">
        <v>4348</v>
      </c>
      <c r="C2525" s="4" t="s">
        <v>2344</v>
      </c>
      <c r="D2525" s="4" t="s">
        <v>237</v>
      </c>
      <c r="E2525" s="4" t="s">
        <v>4527</v>
      </c>
      <c r="F2525" s="4" t="s">
        <v>4526</v>
      </c>
      <c r="G2525" s="4" t="s">
        <v>2263</v>
      </c>
      <c r="H2525" s="9" t="s">
        <v>2263</v>
      </c>
      <c r="I2525" s="4" t="s">
        <v>2263</v>
      </c>
      <c r="J2525" s="4" t="s">
        <v>2263</v>
      </c>
      <c r="K2525" s="4" t="s">
        <v>4525</v>
      </c>
      <c r="L2525" s="10">
        <v>20</v>
      </c>
      <c r="M2525" s="5">
        <v>536.02531645569616</v>
      </c>
      <c r="N2525" s="5">
        <v>10720.506329113919</v>
      </c>
    </row>
    <row r="2526" spans="1:14" x14ac:dyDescent="0.25">
      <c r="A2526" s="4" t="s">
        <v>2344</v>
      </c>
      <c r="B2526" s="4" t="s">
        <v>5154</v>
      </c>
      <c r="C2526" s="4" t="s">
        <v>2344</v>
      </c>
      <c r="D2526" s="4" t="s">
        <v>237</v>
      </c>
      <c r="E2526" s="4" t="s">
        <v>5443</v>
      </c>
      <c r="F2526" s="4" t="s">
        <v>5442</v>
      </c>
      <c r="G2526" s="4" t="s">
        <v>2263</v>
      </c>
      <c r="H2526" s="9" t="s">
        <v>2263</v>
      </c>
      <c r="I2526" s="4" t="s">
        <v>2263</v>
      </c>
      <c r="J2526" s="4" t="s">
        <v>2263</v>
      </c>
      <c r="K2526" s="4" t="s">
        <v>5441</v>
      </c>
      <c r="L2526" s="10">
        <v>20</v>
      </c>
      <c r="M2526" s="5">
        <v>600</v>
      </c>
      <c r="N2526" s="5">
        <v>12000</v>
      </c>
    </row>
    <row r="2527" spans="1:14" x14ac:dyDescent="0.25">
      <c r="A2527" s="4" t="s">
        <v>2274</v>
      </c>
      <c r="B2527" s="4" t="s">
        <v>4348</v>
      </c>
      <c r="C2527" s="4" t="s">
        <v>2344</v>
      </c>
      <c r="D2527" s="4" t="s">
        <v>237</v>
      </c>
      <c r="E2527" s="4" t="s">
        <v>4597</v>
      </c>
      <c r="F2527" s="4" t="s">
        <v>4596</v>
      </c>
      <c r="G2527" s="4" t="s">
        <v>2263</v>
      </c>
      <c r="H2527" s="9" t="s">
        <v>2263</v>
      </c>
      <c r="I2527" s="4" t="s">
        <v>2263</v>
      </c>
      <c r="J2527" s="4" t="s">
        <v>2263</v>
      </c>
      <c r="K2527" s="4" t="s">
        <v>2885</v>
      </c>
      <c r="L2527" s="10">
        <v>20</v>
      </c>
      <c r="M2527" s="5">
        <v>602.40909090909099</v>
      </c>
      <c r="N2527" s="5">
        <v>12048.18181818182</v>
      </c>
    </row>
    <row r="2528" spans="1:14" x14ac:dyDescent="0.25">
      <c r="A2528" s="4" t="s">
        <v>2344</v>
      </c>
      <c r="B2528" s="4" t="s">
        <v>5154</v>
      </c>
      <c r="C2528" s="4" t="s">
        <v>2344</v>
      </c>
      <c r="D2528" s="4" t="s">
        <v>237</v>
      </c>
      <c r="E2528" s="4" t="s">
        <v>5419</v>
      </c>
      <c r="F2528" s="4" t="s">
        <v>2886</v>
      </c>
      <c r="G2528" s="4" t="s">
        <v>2263</v>
      </c>
      <c r="H2528" s="9" t="s">
        <v>2263</v>
      </c>
      <c r="I2528" s="4" t="s">
        <v>2263</v>
      </c>
      <c r="J2528" s="4" t="s">
        <v>2263</v>
      </c>
      <c r="K2528" s="4" t="s">
        <v>2885</v>
      </c>
      <c r="L2528" s="10">
        <v>20</v>
      </c>
      <c r="M2528" s="5">
        <v>625</v>
      </c>
      <c r="N2528" s="5">
        <v>12500</v>
      </c>
    </row>
    <row r="2529" spans="1:14" x14ac:dyDescent="0.25">
      <c r="A2529" s="4" t="s">
        <v>2344</v>
      </c>
      <c r="B2529" s="4" t="s">
        <v>5154</v>
      </c>
      <c r="C2529" s="4" t="s">
        <v>2344</v>
      </c>
      <c r="D2529" s="4" t="s">
        <v>237</v>
      </c>
      <c r="E2529" s="4" t="s">
        <v>4870</v>
      </c>
      <c r="F2529" s="4" t="s">
        <v>4869</v>
      </c>
      <c r="G2529" s="4" t="s">
        <v>2263</v>
      </c>
      <c r="H2529" s="9" t="s">
        <v>2263</v>
      </c>
      <c r="I2529" s="4" t="s">
        <v>2263</v>
      </c>
      <c r="J2529" s="4" t="s">
        <v>2263</v>
      </c>
      <c r="K2529" s="4" t="s">
        <v>2602</v>
      </c>
      <c r="L2529" s="10">
        <v>20</v>
      </c>
      <c r="M2529" s="5">
        <v>696</v>
      </c>
      <c r="N2529" s="5">
        <v>13920</v>
      </c>
    </row>
    <row r="2530" spans="1:14" x14ac:dyDescent="0.25">
      <c r="A2530" s="4" t="s">
        <v>2317</v>
      </c>
      <c r="B2530" s="4" t="s">
        <v>3839</v>
      </c>
      <c r="C2530" s="4" t="s">
        <v>2320</v>
      </c>
      <c r="D2530" s="4" t="s">
        <v>242</v>
      </c>
      <c r="E2530" s="4" t="s">
        <v>4157</v>
      </c>
      <c r="F2530" s="4" t="s">
        <v>4156</v>
      </c>
      <c r="G2530" s="4" t="s">
        <v>2263</v>
      </c>
      <c r="H2530" s="9" t="s">
        <v>2263</v>
      </c>
      <c r="I2530" s="4" t="s">
        <v>2317</v>
      </c>
      <c r="J2530" s="4" t="s">
        <v>2316</v>
      </c>
      <c r="K2530" s="4" t="s">
        <v>2263</v>
      </c>
      <c r="L2530" s="10">
        <v>20</v>
      </c>
      <c r="M2530" s="5">
        <v>782.11310344827587</v>
      </c>
      <c r="N2530" s="5">
        <v>15642.26206896552</v>
      </c>
    </row>
    <row r="2531" spans="1:14" x14ac:dyDescent="0.25">
      <c r="A2531" s="4" t="s">
        <v>2274</v>
      </c>
      <c r="B2531" s="4" t="s">
        <v>4348</v>
      </c>
      <c r="C2531" s="4" t="s">
        <v>2344</v>
      </c>
      <c r="D2531" s="4" t="s">
        <v>237</v>
      </c>
      <c r="E2531" s="4" t="s">
        <v>4863</v>
      </c>
      <c r="F2531" s="4" t="s">
        <v>2595</v>
      </c>
      <c r="G2531" s="4" t="s">
        <v>2263</v>
      </c>
      <c r="H2531" s="9" t="s">
        <v>2263</v>
      </c>
      <c r="I2531" s="4" t="s">
        <v>2263</v>
      </c>
      <c r="J2531" s="4" t="s">
        <v>2263</v>
      </c>
      <c r="K2531" s="4" t="s">
        <v>2536</v>
      </c>
      <c r="L2531" s="10">
        <v>20</v>
      </c>
      <c r="M2531" s="5">
        <v>865</v>
      </c>
      <c r="N2531" s="5">
        <v>17300</v>
      </c>
    </row>
    <row r="2532" spans="1:14" x14ac:dyDescent="0.25">
      <c r="A2532" s="4" t="s">
        <v>2653</v>
      </c>
      <c r="B2532" s="4" t="s">
        <v>3226</v>
      </c>
      <c r="C2532" s="4" t="s">
        <v>3107</v>
      </c>
      <c r="D2532" s="4" t="s">
        <v>1105</v>
      </c>
      <c r="E2532" s="4" t="s">
        <v>3779</v>
      </c>
      <c r="F2532" s="4" t="s">
        <v>3778</v>
      </c>
      <c r="G2532" s="4" t="s">
        <v>2263</v>
      </c>
      <c r="H2532" s="9" t="s">
        <v>2263</v>
      </c>
      <c r="I2532" s="4" t="s">
        <v>2317</v>
      </c>
      <c r="J2532" s="4" t="s">
        <v>2316</v>
      </c>
      <c r="K2532" s="4" t="s">
        <v>2263</v>
      </c>
      <c r="L2532" s="10">
        <v>20</v>
      </c>
      <c r="M2532" s="5">
        <v>1071.8834999999999</v>
      </c>
      <c r="N2532" s="5">
        <v>21437.67</v>
      </c>
    </row>
    <row r="2533" spans="1:14" x14ac:dyDescent="0.25">
      <c r="A2533" s="4" t="s">
        <v>2274</v>
      </c>
      <c r="B2533" s="4" t="s">
        <v>4348</v>
      </c>
      <c r="C2533" s="4" t="s">
        <v>2344</v>
      </c>
      <c r="D2533" s="4" t="s">
        <v>237</v>
      </c>
      <c r="E2533" s="4" t="s">
        <v>4903</v>
      </c>
      <c r="F2533" s="4" t="s">
        <v>4902</v>
      </c>
      <c r="G2533" s="4" t="s">
        <v>2263</v>
      </c>
      <c r="H2533" s="9" t="s">
        <v>2263</v>
      </c>
      <c r="I2533" s="4" t="s">
        <v>2263</v>
      </c>
      <c r="J2533" s="4" t="s">
        <v>2263</v>
      </c>
      <c r="K2533" s="4" t="s">
        <v>2262</v>
      </c>
      <c r="L2533" s="10">
        <v>20</v>
      </c>
      <c r="M2533" s="5">
        <v>1240.4666666666667</v>
      </c>
      <c r="N2533" s="5">
        <v>24809.333333333328</v>
      </c>
    </row>
    <row r="2534" spans="1:14" x14ac:dyDescent="0.25">
      <c r="A2534" s="4" t="s">
        <v>2344</v>
      </c>
      <c r="B2534" s="4" t="s">
        <v>5154</v>
      </c>
      <c r="C2534" s="4" t="s">
        <v>2344</v>
      </c>
      <c r="D2534" s="4" t="s">
        <v>237</v>
      </c>
      <c r="E2534" s="4" t="s">
        <v>5356</v>
      </c>
      <c r="F2534" s="4" t="s">
        <v>5355</v>
      </c>
      <c r="G2534" s="4" t="s">
        <v>2263</v>
      </c>
      <c r="H2534" s="9" t="s">
        <v>2263</v>
      </c>
      <c r="I2534" s="4" t="s">
        <v>2263</v>
      </c>
      <c r="J2534" s="4" t="s">
        <v>2263</v>
      </c>
      <c r="K2534" s="4" t="s">
        <v>2609</v>
      </c>
      <c r="L2534" s="10">
        <v>20</v>
      </c>
      <c r="M2534" s="5">
        <v>1300</v>
      </c>
      <c r="N2534" s="5">
        <v>26000</v>
      </c>
    </row>
    <row r="2535" spans="1:14" x14ac:dyDescent="0.25">
      <c r="A2535" s="4" t="s">
        <v>2274</v>
      </c>
      <c r="B2535" s="4" t="s">
        <v>4348</v>
      </c>
      <c r="C2535" s="4" t="s">
        <v>2344</v>
      </c>
      <c r="D2535" s="4" t="s">
        <v>237</v>
      </c>
      <c r="E2535" s="4" t="s">
        <v>4734</v>
      </c>
      <c r="F2535" s="4" t="s">
        <v>4733</v>
      </c>
      <c r="G2535" s="4" t="s">
        <v>2263</v>
      </c>
      <c r="H2535" s="9" t="s">
        <v>2263</v>
      </c>
      <c r="I2535" s="4" t="s">
        <v>2263</v>
      </c>
      <c r="J2535" s="4" t="s">
        <v>2263</v>
      </c>
      <c r="K2535" s="4" t="s">
        <v>2520</v>
      </c>
      <c r="L2535" s="10">
        <v>20</v>
      </c>
      <c r="M2535" s="5">
        <v>1616.088181818182</v>
      </c>
      <c r="N2535" s="5">
        <v>32321.763636363641</v>
      </c>
    </row>
    <row r="2536" spans="1:14" x14ac:dyDescent="0.25">
      <c r="A2536" s="4" t="s">
        <v>2274</v>
      </c>
      <c r="B2536" s="4" t="s">
        <v>4348</v>
      </c>
      <c r="C2536" s="4" t="s">
        <v>2267</v>
      </c>
      <c r="D2536" s="4" t="s">
        <v>2266</v>
      </c>
      <c r="E2536" s="4" t="s">
        <v>4392</v>
      </c>
      <c r="F2536" s="4" t="s">
        <v>4391</v>
      </c>
      <c r="G2536" s="4" t="s">
        <v>2263</v>
      </c>
      <c r="H2536" s="9" t="s">
        <v>2263</v>
      </c>
      <c r="I2536" s="4" t="s">
        <v>2263</v>
      </c>
      <c r="J2536" s="4" t="s">
        <v>2263</v>
      </c>
      <c r="K2536" s="4" t="s">
        <v>4390</v>
      </c>
      <c r="L2536" s="10">
        <v>20</v>
      </c>
      <c r="M2536" s="5">
        <v>1802</v>
      </c>
      <c r="N2536" s="5">
        <v>36040</v>
      </c>
    </row>
    <row r="2537" spans="1:14" x14ac:dyDescent="0.25">
      <c r="A2537" s="4" t="s">
        <v>2355</v>
      </c>
      <c r="B2537" s="4" t="s">
        <v>2354</v>
      </c>
      <c r="C2537" s="4" t="s">
        <v>2320</v>
      </c>
      <c r="D2537" s="4" t="s">
        <v>242</v>
      </c>
      <c r="E2537" s="4" t="s">
        <v>2366</v>
      </c>
      <c r="F2537" s="4" t="s">
        <v>2365</v>
      </c>
      <c r="G2537" s="4" t="s">
        <v>2263</v>
      </c>
      <c r="H2537" s="9" t="s">
        <v>2263</v>
      </c>
      <c r="I2537" s="4" t="s">
        <v>2317</v>
      </c>
      <c r="J2537" s="4" t="s">
        <v>2316</v>
      </c>
      <c r="K2537" s="4" t="s">
        <v>2263</v>
      </c>
      <c r="L2537" s="10">
        <v>20</v>
      </c>
      <c r="M2537" s="5">
        <v>2428.3562711864406</v>
      </c>
      <c r="N2537" s="5">
        <v>48567.125423728809</v>
      </c>
    </row>
    <row r="2538" spans="1:14" x14ac:dyDescent="0.25">
      <c r="A2538" s="4" t="s">
        <v>2274</v>
      </c>
      <c r="B2538" s="4" t="s">
        <v>4348</v>
      </c>
      <c r="C2538" s="4" t="s">
        <v>2344</v>
      </c>
      <c r="D2538" s="4" t="s">
        <v>237</v>
      </c>
      <c r="E2538" s="4" t="s">
        <v>4838</v>
      </c>
      <c r="F2538" s="4" t="s">
        <v>4837</v>
      </c>
      <c r="G2538" s="4" t="s">
        <v>2263</v>
      </c>
      <c r="H2538" s="9" t="s">
        <v>2263</v>
      </c>
      <c r="I2538" s="4" t="s">
        <v>2263</v>
      </c>
      <c r="J2538" s="4" t="s">
        <v>2263</v>
      </c>
      <c r="K2538" s="4" t="s">
        <v>4836</v>
      </c>
      <c r="L2538" s="10">
        <v>20</v>
      </c>
      <c r="M2538" s="5">
        <v>2550</v>
      </c>
      <c r="N2538" s="5">
        <v>51000</v>
      </c>
    </row>
    <row r="2539" spans="1:14" x14ac:dyDescent="0.25">
      <c r="A2539" s="4" t="s">
        <v>2274</v>
      </c>
      <c r="B2539" s="4" t="s">
        <v>4348</v>
      </c>
      <c r="C2539" s="4" t="s">
        <v>2344</v>
      </c>
      <c r="D2539" s="4" t="s">
        <v>237</v>
      </c>
      <c r="E2539" s="4" t="s">
        <v>4628</v>
      </c>
      <c r="F2539" s="4" t="s">
        <v>4627</v>
      </c>
      <c r="G2539" s="4" t="s">
        <v>2263</v>
      </c>
      <c r="H2539" s="9" t="s">
        <v>2263</v>
      </c>
      <c r="I2539" s="4" t="s">
        <v>2263</v>
      </c>
      <c r="J2539" s="4" t="s">
        <v>2263</v>
      </c>
      <c r="K2539" s="4" t="s">
        <v>2262</v>
      </c>
      <c r="L2539" s="10">
        <v>20</v>
      </c>
      <c r="M2539" s="5">
        <v>2875</v>
      </c>
      <c r="N2539" s="5">
        <v>57500</v>
      </c>
    </row>
    <row r="2540" spans="1:14" x14ac:dyDescent="0.25">
      <c r="A2540" s="4" t="s">
        <v>2274</v>
      </c>
      <c r="B2540" s="4" t="s">
        <v>4348</v>
      </c>
      <c r="C2540" s="4" t="s">
        <v>2344</v>
      </c>
      <c r="D2540" s="4" t="s">
        <v>237</v>
      </c>
      <c r="E2540" s="4" t="s">
        <v>4635</v>
      </c>
      <c r="F2540" s="4" t="s">
        <v>2542</v>
      </c>
      <c r="G2540" s="4" t="s">
        <v>2263</v>
      </c>
      <c r="H2540" s="9" t="s">
        <v>2263</v>
      </c>
      <c r="I2540" s="4" t="s">
        <v>2263</v>
      </c>
      <c r="J2540" s="4" t="s">
        <v>2263</v>
      </c>
      <c r="K2540" s="4" t="s">
        <v>2541</v>
      </c>
      <c r="L2540" s="10">
        <v>20</v>
      </c>
      <c r="M2540" s="5">
        <v>3007</v>
      </c>
      <c r="N2540" s="5">
        <v>60140</v>
      </c>
    </row>
    <row r="2541" spans="1:14" x14ac:dyDescent="0.25">
      <c r="A2541" s="4" t="s">
        <v>2274</v>
      </c>
      <c r="B2541" s="4" t="s">
        <v>4348</v>
      </c>
      <c r="C2541" s="4" t="s">
        <v>2344</v>
      </c>
      <c r="D2541" s="4" t="s">
        <v>237</v>
      </c>
      <c r="E2541" s="4" t="s">
        <v>4615</v>
      </c>
      <c r="F2541" s="4" t="s">
        <v>4614</v>
      </c>
      <c r="G2541" s="4" t="s">
        <v>2263</v>
      </c>
      <c r="H2541" s="9" t="s">
        <v>2263</v>
      </c>
      <c r="I2541" s="4" t="s">
        <v>2263</v>
      </c>
      <c r="J2541" s="4" t="s">
        <v>2263</v>
      </c>
      <c r="K2541" s="4" t="s">
        <v>2557</v>
      </c>
      <c r="L2541" s="10">
        <v>20</v>
      </c>
      <c r="M2541" s="5">
        <v>3243.3902499999999</v>
      </c>
      <c r="N2541" s="5">
        <v>64867.805</v>
      </c>
    </row>
    <row r="2542" spans="1:14" x14ac:dyDescent="0.25">
      <c r="A2542" s="4" t="s">
        <v>2317</v>
      </c>
      <c r="B2542" s="4" t="s">
        <v>3839</v>
      </c>
      <c r="C2542" s="4" t="s">
        <v>2320</v>
      </c>
      <c r="D2542" s="4" t="s">
        <v>242</v>
      </c>
      <c r="E2542" s="4" t="s">
        <v>3869</v>
      </c>
      <c r="F2542" s="4" t="s">
        <v>3868</v>
      </c>
      <c r="G2542" s="4" t="s">
        <v>2263</v>
      </c>
      <c r="H2542" s="9" t="s">
        <v>2263</v>
      </c>
      <c r="I2542" s="4" t="s">
        <v>2317</v>
      </c>
      <c r="J2542" s="4" t="s">
        <v>2316</v>
      </c>
      <c r="K2542" s="4" t="s">
        <v>2263</v>
      </c>
      <c r="L2542" s="10">
        <v>20</v>
      </c>
      <c r="M2542" s="5">
        <v>3411.1904761904761</v>
      </c>
      <c r="N2542" s="5">
        <v>68223.809523809527</v>
      </c>
    </row>
    <row r="2543" spans="1:14" x14ac:dyDescent="0.25">
      <c r="A2543" s="4" t="s">
        <v>2274</v>
      </c>
      <c r="B2543" s="4" t="s">
        <v>4348</v>
      </c>
      <c r="C2543" s="4" t="s">
        <v>2344</v>
      </c>
      <c r="D2543" s="4" t="s">
        <v>237</v>
      </c>
      <c r="E2543" s="4" t="s">
        <v>4952</v>
      </c>
      <c r="F2543" s="4" t="s">
        <v>4951</v>
      </c>
      <c r="G2543" s="4" t="s">
        <v>2263</v>
      </c>
      <c r="H2543" s="9" t="s">
        <v>2263</v>
      </c>
      <c r="I2543" s="4" t="s">
        <v>2263</v>
      </c>
      <c r="J2543" s="4" t="s">
        <v>2263</v>
      </c>
      <c r="K2543" s="4" t="s">
        <v>4381</v>
      </c>
      <c r="L2543" s="10">
        <v>20</v>
      </c>
      <c r="M2543" s="5">
        <v>3889.1462962962964</v>
      </c>
      <c r="N2543" s="5">
        <v>77782.925925925927</v>
      </c>
    </row>
    <row r="2544" spans="1:14" x14ac:dyDescent="0.25">
      <c r="A2544" s="4" t="s">
        <v>2344</v>
      </c>
      <c r="B2544" s="4" t="s">
        <v>5154</v>
      </c>
      <c r="C2544" s="4" t="s">
        <v>2344</v>
      </c>
      <c r="D2544" s="4" t="s">
        <v>237</v>
      </c>
      <c r="E2544" s="4" t="s">
        <v>4598</v>
      </c>
      <c r="F2544" s="4" t="s">
        <v>2592</v>
      </c>
      <c r="G2544" s="4" t="s">
        <v>2263</v>
      </c>
      <c r="H2544" s="9" t="s">
        <v>2263</v>
      </c>
      <c r="I2544" s="4" t="s">
        <v>2263</v>
      </c>
      <c r="J2544" s="4" t="s">
        <v>2263</v>
      </c>
      <c r="K2544" s="4" t="s">
        <v>2591</v>
      </c>
      <c r="L2544" s="10">
        <v>20</v>
      </c>
      <c r="M2544" s="5">
        <v>4195.1464687500002</v>
      </c>
      <c r="N2544" s="5">
        <v>83902.929375000007</v>
      </c>
    </row>
    <row r="2545" spans="1:14" x14ac:dyDescent="0.25">
      <c r="A2545" s="4" t="s">
        <v>2320</v>
      </c>
      <c r="B2545" s="4" t="s">
        <v>4967</v>
      </c>
      <c r="C2545" s="4" t="s">
        <v>2344</v>
      </c>
      <c r="D2545" s="4" t="s">
        <v>237</v>
      </c>
      <c r="E2545" s="4" t="s">
        <v>4598</v>
      </c>
      <c r="F2545" s="4" t="s">
        <v>2592</v>
      </c>
      <c r="G2545" s="4" t="s">
        <v>2263</v>
      </c>
      <c r="H2545" s="9" t="s">
        <v>2263</v>
      </c>
      <c r="I2545" s="4" t="s">
        <v>2263</v>
      </c>
      <c r="J2545" s="4" t="s">
        <v>2263</v>
      </c>
      <c r="K2545" s="4" t="s">
        <v>2591</v>
      </c>
      <c r="L2545" s="10">
        <v>20</v>
      </c>
      <c r="M2545" s="5">
        <v>4195.1464687500002</v>
      </c>
      <c r="N2545" s="5">
        <v>83902.929375000007</v>
      </c>
    </row>
    <row r="2546" spans="1:14" x14ac:dyDescent="0.25">
      <c r="A2546" s="4" t="s">
        <v>2317</v>
      </c>
      <c r="B2546" s="4" t="s">
        <v>3839</v>
      </c>
      <c r="C2546" s="4" t="s">
        <v>2320</v>
      </c>
      <c r="D2546" s="4" t="s">
        <v>242</v>
      </c>
      <c r="E2546" s="4" t="s">
        <v>2695</v>
      </c>
      <c r="F2546" s="4" t="s">
        <v>2694</v>
      </c>
      <c r="G2546" s="4" t="s">
        <v>2263</v>
      </c>
      <c r="H2546" s="9" t="s">
        <v>2263</v>
      </c>
      <c r="I2546" s="4" t="s">
        <v>2317</v>
      </c>
      <c r="J2546" s="4" t="s">
        <v>2316</v>
      </c>
      <c r="K2546" s="4" t="s">
        <v>2263</v>
      </c>
      <c r="L2546" s="10">
        <v>20</v>
      </c>
      <c r="M2546" s="5">
        <v>4259.3705405405408</v>
      </c>
      <c r="N2546" s="5">
        <v>85187.410810810805</v>
      </c>
    </row>
    <row r="2547" spans="1:14" x14ac:dyDescent="0.25">
      <c r="A2547" s="4" t="s">
        <v>2320</v>
      </c>
      <c r="B2547" s="4" t="s">
        <v>4967</v>
      </c>
      <c r="C2547" s="4" t="s">
        <v>2320</v>
      </c>
      <c r="D2547" s="4" t="s">
        <v>242</v>
      </c>
      <c r="E2547" s="4" t="s">
        <v>2392</v>
      </c>
      <c r="F2547" s="4" t="s">
        <v>2391</v>
      </c>
      <c r="G2547" s="4" t="s">
        <v>2263</v>
      </c>
      <c r="H2547" s="9" t="s">
        <v>2263</v>
      </c>
      <c r="I2547" s="4" t="s">
        <v>2317</v>
      </c>
      <c r="J2547" s="4" t="s">
        <v>2316</v>
      </c>
      <c r="K2547" s="4" t="s">
        <v>2263</v>
      </c>
      <c r="L2547" s="10">
        <v>20</v>
      </c>
      <c r="M2547" s="5">
        <v>4436.8685029940125</v>
      </c>
      <c r="N2547" s="5">
        <v>88737.370059880239</v>
      </c>
    </row>
    <row r="2548" spans="1:14" x14ac:dyDescent="0.25">
      <c r="A2548" s="4" t="s">
        <v>2653</v>
      </c>
      <c r="B2548" s="4" t="s">
        <v>3226</v>
      </c>
      <c r="C2548" s="4" t="s">
        <v>2320</v>
      </c>
      <c r="D2548" s="4" t="s">
        <v>242</v>
      </c>
      <c r="E2548" s="4" t="s">
        <v>3835</v>
      </c>
      <c r="F2548" s="4" t="s">
        <v>3834</v>
      </c>
      <c r="G2548" s="4" t="s">
        <v>2263</v>
      </c>
      <c r="H2548" s="9" t="s">
        <v>2263</v>
      </c>
      <c r="I2548" s="4" t="s">
        <v>2317</v>
      </c>
      <c r="J2548" s="4" t="s">
        <v>2316</v>
      </c>
      <c r="K2548" s="4" t="s">
        <v>2263</v>
      </c>
      <c r="L2548" s="10">
        <v>20</v>
      </c>
      <c r="M2548" s="5">
        <v>5041.3560273972607</v>
      </c>
      <c r="N2548" s="5">
        <v>100827.1205479452</v>
      </c>
    </row>
    <row r="2549" spans="1:14" x14ac:dyDescent="0.25">
      <c r="A2549" s="4" t="s">
        <v>2344</v>
      </c>
      <c r="B2549" s="4" t="s">
        <v>5154</v>
      </c>
      <c r="C2549" s="4" t="s">
        <v>2320</v>
      </c>
      <c r="D2549" s="4" t="s">
        <v>242</v>
      </c>
      <c r="E2549" s="4" t="s">
        <v>4991</v>
      </c>
      <c r="F2549" s="4" t="s">
        <v>4990</v>
      </c>
      <c r="G2549" s="4" t="s">
        <v>2263</v>
      </c>
      <c r="H2549" s="9" t="s">
        <v>2263</v>
      </c>
      <c r="I2549" s="4" t="s">
        <v>2317</v>
      </c>
      <c r="J2549" s="4" t="s">
        <v>2316</v>
      </c>
      <c r="K2549" s="4" t="s">
        <v>2263</v>
      </c>
      <c r="L2549" s="10">
        <v>20</v>
      </c>
      <c r="M2549" s="5">
        <v>5266.5013636363628</v>
      </c>
      <c r="N2549" s="5">
        <v>105330.02727272728</v>
      </c>
    </row>
    <row r="2550" spans="1:14" x14ac:dyDescent="0.25">
      <c r="A2550" s="4" t="s">
        <v>2355</v>
      </c>
      <c r="B2550" s="4" t="s">
        <v>2354</v>
      </c>
      <c r="C2550" s="4" t="s">
        <v>2320</v>
      </c>
      <c r="D2550" s="4" t="s">
        <v>242</v>
      </c>
      <c r="E2550" s="4" t="s">
        <v>2364</v>
      </c>
      <c r="F2550" s="4" t="s">
        <v>2363</v>
      </c>
      <c r="G2550" s="4" t="s">
        <v>2263</v>
      </c>
      <c r="H2550" s="9" t="s">
        <v>2263</v>
      </c>
      <c r="I2550" s="4" t="s">
        <v>2317</v>
      </c>
      <c r="J2550" s="4" t="s">
        <v>2316</v>
      </c>
      <c r="K2550" s="4" t="s">
        <v>2263</v>
      </c>
      <c r="L2550" s="10">
        <v>20</v>
      </c>
      <c r="M2550" s="5">
        <v>5822.2279354838711</v>
      </c>
      <c r="N2550" s="5">
        <v>116444.55870967743</v>
      </c>
    </row>
    <row r="2551" spans="1:14" x14ac:dyDescent="0.25">
      <c r="A2551" s="4" t="s">
        <v>2865</v>
      </c>
      <c r="B2551" s="4" t="s">
        <v>2864</v>
      </c>
      <c r="C2551" s="4" t="s">
        <v>2267</v>
      </c>
      <c r="D2551" s="4" t="s">
        <v>2266</v>
      </c>
      <c r="E2551" s="4" t="s">
        <v>2867</v>
      </c>
      <c r="F2551" s="4" t="s">
        <v>2866</v>
      </c>
      <c r="G2551" s="4" t="s">
        <v>2263</v>
      </c>
      <c r="H2551" s="9" t="s">
        <v>2263</v>
      </c>
      <c r="I2551" s="4" t="s">
        <v>2263</v>
      </c>
      <c r="J2551" s="4" t="s">
        <v>2263</v>
      </c>
      <c r="K2551" s="4" t="s">
        <v>2262</v>
      </c>
      <c r="L2551" s="10">
        <v>20</v>
      </c>
      <c r="M2551" s="5">
        <v>5874.1665745856362</v>
      </c>
      <c r="N2551" s="5">
        <v>117483.33149171271</v>
      </c>
    </row>
    <row r="2552" spans="1:14" x14ac:dyDescent="0.25">
      <c r="A2552" s="4" t="s">
        <v>2274</v>
      </c>
      <c r="B2552" s="4" t="s">
        <v>4348</v>
      </c>
      <c r="C2552" s="4" t="s">
        <v>2344</v>
      </c>
      <c r="D2552" s="4" t="s">
        <v>237</v>
      </c>
      <c r="E2552" s="4" t="s">
        <v>4774</v>
      </c>
      <c r="F2552" s="4" t="s">
        <v>4773</v>
      </c>
      <c r="G2552" s="4" t="s">
        <v>2263</v>
      </c>
      <c r="H2552" s="9" t="s">
        <v>2263</v>
      </c>
      <c r="I2552" s="4" t="s">
        <v>2263</v>
      </c>
      <c r="J2552" s="4" t="s">
        <v>2263</v>
      </c>
      <c r="K2552" s="4" t="s">
        <v>2602</v>
      </c>
      <c r="L2552" s="10">
        <v>20</v>
      </c>
      <c r="M2552" s="5">
        <v>6138.7555000000002</v>
      </c>
      <c r="N2552" s="5">
        <v>122775.11</v>
      </c>
    </row>
    <row r="2553" spans="1:14" x14ac:dyDescent="0.25">
      <c r="A2553" s="4" t="s">
        <v>2320</v>
      </c>
      <c r="B2553" s="4" t="s">
        <v>4967</v>
      </c>
      <c r="C2553" s="4" t="s">
        <v>2320</v>
      </c>
      <c r="D2553" s="4" t="s">
        <v>242</v>
      </c>
      <c r="E2553" s="4" t="s">
        <v>3941</v>
      </c>
      <c r="F2553" s="4" t="s">
        <v>3940</v>
      </c>
      <c r="G2553" s="4" t="s">
        <v>2263</v>
      </c>
      <c r="H2553" s="9" t="s">
        <v>2263</v>
      </c>
      <c r="I2553" s="4" t="s">
        <v>2317</v>
      </c>
      <c r="J2553" s="4" t="s">
        <v>2316</v>
      </c>
      <c r="K2553" s="4" t="s">
        <v>2263</v>
      </c>
      <c r="L2553" s="10">
        <v>20</v>
      </c>
      <c r="M2553" s="5">
        <v>8151.5147058823522</v>
      </c>
      <c r="N2553" s="5">
        <v>163030.29411764705</v>
      </c>
    </row>
    <row r="2554" spans="1:14" x14ac:dyDescent="0.25">
      <c r="A2554" s="4" t="s">
        <v>2317</v>
      </c>
      <c r="B2554" s="4" t="s">
        <v>3839</v>
      </c>
      <c r="C2554" s="4" t="s">
        <v>2320</v>
      </c>
      <c r="D2554" s="4" t="s">
        <v>242</v>
      </c>
      <c r="E2554" s="4" t="s">
        <v>4195</v>
      </c>
      <c r="F2554" s="4" t="s">
        <v>4194</v>
      </c>
      <c r="G2554" s="4" t="s">
        <v>2263</v>
      </c>
      <c r="H2554" s="9" t="s">
        <v>2263</v>
      </c>
      <c r="I2554" s="4" t="s">
        <v>2317</v>
      </c>
      <c r="J2554" s="4" t="s">
        <v>2316</v>
      </c>
      <c r="K2554" s="4" t="s">
        <v>2263</v>
      </c>
      <c r="L2554" s="10">
        <v>20</v>
      </c>
      <c r="M2554" s="5">
        <v>8365.636363636364</v>
      </c>
      <c r="N2554" s="5">
        <v>167312.72727272729</v>
      </c>
    </row>
    <row r="2555" spans="1:14" x14ac:dyDescent="0.25">
      <c r="A2555" s="4" t="s">
        <v>2653</v>
      </c>
      <c r="B2555" s="4" t="s">
        <v>3226</v>
      </c>
      <c r="C2555" s="4" t="s">
        <v>2384</v>
      </c>
      <c r="D2555" s="4" t="s">
        <v>262</v>
      </c>
      <c r="E2555" s="4" t="s">
        <v>3340</v>
      </c>
      <c r="F2555" s="4" t="s">
        <v>3339</v>
      </c>
      <c r="G2555" s="4" t="s">
        <v>2263</v>
      </c>
      <c r="H2555" s="9" t="s">
        <v>2263</v>
      </c>
      <c r="I2555" s="4" t="s">
        <v>2317</v>
      </c>
      <c r="J2555" s="4" t="s">
        <v>2316</v>
      </c>
      <c r="K2555" s="4" t="s">
        <v>2263</v>
      </c>
      <c r="L2555" s="10">
        <v>20</v>
      </c>
      <c r="M2555" s="5">
        <v>10055</v>
      </c>
      <c r="N2555" s="5">
        <v>201100</v>
      </c>
    </row>
    <row r="2556" spans="1:14" x14ac:dyDescent="0.25">
      <c r="A2556" s="4" t="s">
        <v>2274</v>
      </c>
      <c r="B2556" s="4" t="s">
        <v>4348</v>
      </c>
      <c r="C2556" s="4" t="s">
        <v>2344</v>
      </c>
      <c r="D2556" s="4" t="s">
        <v>237</v>
      </c>
      <c r="E2556" s="4" t="s">
        <v>4655</v>
      </c>
      <c r="F2556" s="4" t="s">
        <v>2576</v>
      </c>
      <c r="G2556" s="4" t="s">
        <v>2263</v>
      </c>
      <c r="H2556" s="9" t="s">
        <v>2263</v>
      </c>
      <c r="I2556" s="4" t="s">
        <v>2263</v>
      </c>
      <c r="J2556" s="4" t="s">
        <v>2263</v>
      </c>
      <c r="K2556" s="4" t="s">
        <v>2305</v>
      </c>
      <c r="L2556" s="10">
        <v>20</v>
      </c>
      <c r="M2556" s="5">
        <v>10622.596</v>
      </c>
      <c r="N2556" s="5">
        <v>212451.92</v>
      </c>
    </row>
    <row r="2557" spans="1:14" x14ac:dyDescent="0.25">
      <c r="A2557" s="4" t="s">
        <v>2274</v>
      </c>
      <c r="B2557" s="4" t="s">
        <v>4348</v>
      </c>
      <c r="C2557" s="4" t="s">
        <v>2267</v>
      </c>
      <c r="D2557" s="4" t="s">
        <v>2266</v>
      </c>
      <c r="E2557" s="4" t="s">
        <v>4397</v>
      </c>
      <c r="F2557" s="4" t="s">
        <v>4396</v>
      </c>
      <c r="G2557" s="4" t="s">
        <v>2263</v>
      </c>
      <c r="H2557" s="9" t="s">
        <v>2263</v>
      </c>
      <c r="I2557" s="4" t="s">
        <v>2263</v>
      </c>
      <c r="J2557" s="4" t="s">
        <v>2263</v>
      </c>
      <c r="K2557" s="4" t="s">
        <v>2494</v>
      </c>
      <c r="L2557" s="10">
        <v>20</v>
      </c>
      <c r="M2557" s="5">
        <v>12681.622916666667</v>
      </c>
      <c r="N2557" s="5">
        <v>253632.45833333331</v>
      </c>
    </row>
    <row r="2558" spans="1:14" x14ac:dyDescent="0.25">
      <c r="A2558" s="4" t="s">
        <v>2274</v>
      </c>
      <c r="B2558" s="4" t="s">
        <v>4348</v>
      </c>
      <c r="C2558" s="4" t="s">
        <v>2481</v>
      </c>
      <c r="D2558" s="4" t="s">
        <v>2480</v>
      </c>
      <c r="E2558" s="4" t="s">
        <v>4366</v>
      </c>
      <c r="F2558" s="4" t="s">
        <v>4365</v>
      </c>
      <c r="G2558" s="4" t="s">
        <v>2263</v>
      </c>
      <c r="H2558" s="9" t="s">
        <v>2263</v>
      </c>
      <c r="I2558" s="4" t="s">
        <v>2263</v>
      </c>
      <c r="J2558" s="4" t="s">
        <v>2263</v>
      </c>
      <c r="K2558" s="4" t="s">
        <v>4358</v>
      </c>
      <c r="L2558" s="10">
        <v>20</v>
      </c>
      <c r="M2558" s="5">
        <v>15352.716923076923</v>
      </c>
      <c r="N2558" s="5">
        <v>307054.33846153849</v>
      </c>
    </row>
    <row r="2559" spans="1:14" x14ac:dyDescent="0.25">
      <c r="A2559" s="4" t="s">
        <v>2653</v>
      </c>
      <c r="B2559" s="4" t="s">
        <v>3226</v>
      </c>
      <c r="C2559" s="4" t="s">
        <v>2384</v>
      </c>
      <c r="D2559" s="4" t="s">
        <v>262</v>
      </c>
      <c r="E2559" s="4" t="s">
        <v>3304</v>
      </c>
      <c r="F2559" s="4" t="s">
        <v>3303</v>
      </c>
      <c r="G2559" s="4" t="s">
        <v>2263</v>
      </c>
      <c r="H2559" s="9" t="s">
        <v>2263</v>
      </c>
      <c r="I2559" s="4" t="s">
        <v>2317</v>
      </c>
      <c r="J2559" s="4" t="s">
        <v>2316</v>
      </c>
      <c r="K2559" s="4" t="s">
        <v>2263</v>
      </c>
      <c r="L2559" s="10">
        <v>20</v>
      </c>
      <c r="M2559" s="5">
        <v>16660</v>
      </c>
      <c r="N2559" s="5">
        <v>333200</v>
      </c>
    </row>
    <row r="2560" spans="1:14" x14ac:dyDescent="0.25">
      <c r="A2560" s="4" t="s">
        <v>2344</v>
      </c>
      <c r="B2560" s="4" t="s">
        <v>5154</v>
      </c>
      <c r="C2560" s="4" t="s">
        <v>2274</v>
      </c>
      <c r="D2560" s="4" t="s">
        <v>2273</v>
      </c>
      <c r="E2560" s="4" t="s">
        <v>5274</v>
      </c>
      <c r="F2560" s="4" t="s">
        <v>5273</v>
      </c>
      <c r="G2560" s="4" t="s">
        <v>2263</v>
      </c>
      <c r="H2560" s="9" t="s">
        <v>2263</v>
      </c>
      <c r="I2560" s="4" t="s">
        <v>2263</v>
      </c>
      <c r="J2560" s="4" t="s">
        <v>2263</v>
      </c>
      <c r="K2560" s="4" t="s">
        <v>5272</v>
      </c>
      <c r="L2560" s="10">
        <v>20</v>
      </c>
      <c r="M2560" s="5">
        <v>18429</v>
      </c>
      <c r="N2560" s="5">
        <v>368580</v>
      </c>
    </row>
    <row r="2561" spans="1:14" x14ac:dyDescent="0.25">
      <c r="A2561" s="4" t="s">
        <v>2274</v>
      </c>
      <c r="B2561" s="4" t="s">
        <v>4348</v>
      </c>
      <c r="C2561" s="4" t="s">
        <v>2344</v>
      </c>
      <c r="D2561" s="4" t="s">
        <v>237</v>
      </c>
      <c r="E2561" s="4" t="s">
        <v>4874</v>
      </c>
      <c r="F2561" s="4" t="s">
        <v>4873</v>
      </c>
      <c r="G2561" s="4" t="s">
        <v>2263</v>
      </c>
      <c r="H2561" s="9" t="s">
        <v>2263</v>
      </c>
      <c r="I2561" s="4" t="s">
        <v>2263</v>
      </c>
      <c r="J2561" s="4" t="s">
        <v>2263</v>
      </c>
      <c r="K2561" s="4" t="s">
        <v>4872</v>
      </c>
      <c r="L2561" s="10">
        <v>20</v>
      </c>
      <c r="M2561" s="5">
        <v>21111.7</v>
      </c>
      <c r="N2561" s="5">
        <v>422234</v>
      </c>
    </row>
    <row r="2562" spans="1:14" x14ac:dyDescent="0.25">
      <c r="A2562" s="4" t="s">
        <v>2320</v>
      </c>
      <c r="B2562" s="4" t="s">
        <v>4967</v>
      </c>
      <c r="C2562" s="4" t="s">
        <v>2320</v>
      </c>
      <c r="D2562" s="4" t="s">
        <v>242</v>
      </c>
      <c r="E2562" s="4" t="s">
        <v>4327</v>
      </c>
      <c r="F2562" s="4" t="s">
        <v>4326</v>
      </c>
      <c r="G2562" s="4" t="s">
        <v>2263</v>
      </c>
      <c r="H2562" s="9" t="s">
        <v>2263</v>
      </c>
      <c r="I2562" s="4" t="s">
        <v>2317</v>
      </c>
      <c r="J2562" s="4" t="s">
        <v>2316</v>
      </c>
      <c r="K2562" s="4" t="s">
        <v>2263</v>
      </c>
      <c r="L2562" s="10">
        <v>20</v>
      </c>
      <c r="M2562" s="5">
        <v>24672.913978494624</v>
      </c>
      <c r="N2562" s="5">
        <v>493458.2795698925</v>
      </c>
    </row>
    <row r="2563" spans="1:14" x14ac:dyDescent="0.25">
      <c r="A2563" s="4" t="s">
        <v>2274</v>
      </c>
      <c r="B2563" s="4" t="s">
        <v>4348</v>
      </c>
      <c r="C2563" s="4" t="s">
        <v>2344</v>
      </c>
      <c r="D2563" s="4" t="s">
        <v>237</v>
      </c>
      <c r="E2563" s="4" t="s">
        <v>4638</v>
      </c>
      <c r="F2563" s="4" t="s">
        <v>4517</v>
      </c>
      <c r="G2563" s="4" t="s">
        <v>2263</v>
      </c>
      <c r="H2563" s="9" t="s">
        <v>2263</v>
      </c>
      <c r="I2563" s="4" t="s">
        <v>2263</v>
      </c>
      <c r="J2563" s="4" t="s">
        <v>2263</v>
      </c>
      <c r="K2563" s="4" t="s">
        <v>2465</v>
      </c>
      <c r="L2563" s="10">
        <v>20</v>
      </c>
      <c r="M2563" s="5">
        <v>26826.743333333332</v>
      </c>
      <c r="N2563" s="5">
        <v>536534.8666666667</v>
      </c>
    </row>
    <row r="2564" spans="1:14" x14ac:dyDescent="0.25">
      <c r="A2564" s="4" t="s">
        <v>2317</v>
      </c>
      <c r="B2564" s="4" t="s">
        <v>3839</v>
      </c>
      <c r="C2564" s="4" t="s">
        <v>2320</v>
      </c>
      <c r="D2564" s="4" t="s">
        <v>242</v>
      </c>
      <c r="E2564" s="4" t="s">
        <v>2783</v>
      </c>
      <c r="F2564" s="4" t="s">
        <v>2782</v>
      </c>
      <c r="G2564" s="4" t="s">
        <v>2263</v>
      </c>
      <c r="H2564" s="9" t="s">
        <v>2263</v>
      </c>
      <c r="I2564" s="4" t="s">
        <v>2317</v>
      </c>
      <c r="J2564" s="4" t="s">
        <v>2316</v>
      </c>
      <c r="K2564" s="4" t="s">
        <v>2263</v>
      </c>
      <c r="L2564" s="10">
        <v>20</v>
      </c>
      <c r="M2564" s="5">
        <v>35776.850892857146</v>
      </c>
      <c r="N2564" s="5">
        <v>715537.01785714284</v>
      </c>
    </row>
    <row r="2565" spans="1:14" x14ac:dyDescent="0.25">
      <c r="A2565" s="4" t="s">
        <v>2274</v>
      </c>
      <c r="B2565" s="4" t="s">
        <v>4348</v>
      </c>
      <c r="C2565" s="4" t="s">
        <v>2274</v>
      </c>
      <c r="D2565" s="4" t="s">
        <v>2273</v>
      </c>
      <c r="E2565" s="4" t="s">
        <v>4452</v>
      </c>
      <c r="F2565" s="4" t="s">
        <v>4451</v>
      </c>
      <c r="G2565" s="4" t="s">
        <v>2263</v>
      </c>
      <c r="H2565" s="9" t="s">
        <v>2263</v>
      </c>
      <c r="I2565" s="4" t="s">
        <v>2263</v>
      </c>
      <c r="J2565" s="4" t="s">
        <v>2263</v>
      </c>
      <c r="K2565" s="4" t="s">
        <v>4450</v>
      </c>
      <c r="L2565" s="10">
        <v>20</v>
      </c>
      <c r="M2565" s="5">
        <v>40000</v>
      </c>
      <c r="N2565" s="5">
        <v>800000</v>
      </c>
    </row>
    <row r="2566" spans="1:14" x14ac:dyDescent="0.25">
      <c r="A2566" s="4" t="s">
        <v>2320</v>
      </c>
      <c r="B2566" s="4" t="s">
        <v>4967</v>
      </c>
      <c r="C2566" s="4" t="s">
        <v>2320</v>
      </c>
      <c r="D2566" s="4" t="s">
        <v>242</v>
      </c>
      <c r="E2566" s="4" t="s">
        <v>5115</v>
      </c>
      <c r="F2566" s="4" t="s">
        <v>5114</v>
      </c>
      <c r="G2566" s="4" t="s">
        <v>2263</v>
      </c>
      <c r="H2566" s="9" t="s">
        <v>2263</v>
      </c>
      <c r="I2566" s="4" t="s">
        <v>2317</v>
      </c>
      <c r="J2566" s="4" t="s">
        <v>2316</v>
      </c>
      <c r="K2566" s="4" t="s">
        <v>2263</v>
      </c>
      <c r="L2566" s="10">
        <v>20</v>
      </c>
      <c r="M2566" s="5">
        <v>44058.254000000001</v>
      </c>
      <c r="N2566" s="5">
        <v>881165.08</v>
      </c>
    </row>
    <row r="2567" spans="1:14" x14ac:dyDescent="0.25">
      <c r="A2567" s="4" t="s">
        <v>2274</v>
      </c>
      <c r="B2567" s="4" t="s">
        <v>4348</v>
      </c>
      <c r="C2567" s="4" t="s">
        <v>2274</v>
      </c>
      <c r="D2567" s="4" t="s">
        <v>2273</v>
      </c>
      <c r="E2567" s="4" t="s">
        <v>4460</v>
      </c>
      <c r="F2567" s="4" t="s">
        <v>2537</v>
      </c>
      <c r="G2567" s="4" t="s">
        <v>2263</v>
      </c>
      <c r="H2567" s="9" t="s">
        <v>2263</v>
      </c>
      <c r="I2567" s="4" t="s">
        <v>2263</v>
      </c>
      <c r="J2567" s="4" t="s">
        <v>2263</v>
      </c>
      <c r="K2567" s="4" t="s">
        <v>2536</v>
      </c>
      <c r="L2567" s="10">
        <v>20</v>
      </c>
      <c r="M2567" s="5">
        <v>48102</v>
      </c>
      <c r="N2567" s="5">
        <v>962040</v>
      </c>
    </row>
    <row r="2568" spans="1:14" x14ac:dyDescent="0.25">
      <c r="A2568" s="4" t="s">
        <v>2344</v>
      </c>
      <c r="B2568" s="4" t="s">
        <v>5154</v>
      </c>
      <c r="C2568" s="4" t="s">
        <v>2320</v>
      </c>
      <c r="D2568" s="4" t="s">
        <v>242</v>
      </c>
      <c r="E2568" s="4" t="s">
        <v>2978</v>
      </c>
      <c r="F2568" s="4" t="s">
        <v>2977</v>
      </c>
      <c r="G2568" s="4" t="s">
        <v>2263</v>
      </c>
      <c r="H2568" s="9" t="s">
        <v>2263</v>
      </c>
      <c r="I2568" s="4" t="s">
        <v>2317</v>
      </c>
      <c r="J2568" s="4" t="s">
        <v>2316</v>
      </c>
      <c r="K2568" s="4" t="s">
        <v>2263</v>
      </c>
      <c r="L2568" s="10">
        <v>20</v>
      </c>
      <c r="M2568" s="5">
        <v>53723.454545454544</v>
      </c>
      <c r="N2568" s="5">
        <v>1074469.0909090908</v>
      </c>
    </row>
    <row r="2569" spans="1:14" x14ac:dyDescent="0.25">
      <c r="A2569" s="4" t="s">
        <v>2320</v>
      </c>
      <c r="B2569" s="4" t="s">
        <v>4967</v>
      </c>
      <c r="C2569" s="4" t="s">
        <v>2320</v>
      </c>
      <c r="D2569" s="4" t="s">
        <v>242</v>
      </c>
      <c r="E2569" s="4" t="s">
        <v>3965</v>
      </c>
      <c r="F2569" s="4" t="s">
        <v>3964</v>
      </c>
      <c r="G2569" s="4" t="s">
        <v>2263</v>
      </c>
      <c r="H2569" s="9" t="s">
        <v>2263</v>
      </c>
      <c r="I2569" s="4" t="s">
        <v>2317</v>
      </c>
      <c r="J2569" s="4" t="s">
        <v>2316</v>
      </c>
      <c r="K2569" s="4" t="s">
        <v>2263</v>
      </c>
      <c r="L2569" s="10">
        <v>20</v>
      </c>
      <c r="M2569" s="5">
        <v>62044.190476190473</v>
      </c>
      <c r="N2569" s="5">
        <v>1240883.8095238097</v>
      </c>
    </row>
    <row r="2570" spans="1:14" x14ac:dyDescent="0.25">
      <c r="A2570" s="4" t="s">
        <v>2317</v>
      </c>
      <c r="B2570" s="4" t="s">
        <v>3839</v>
      </c>
      <c r="C2570" s="4" t="s">
        <v>2320</v>
      </c>
      <c r="D2570" s="4" t="s">
        <v>242</v>
      </c>
      <c r="E2570" s="4" t="s">
        <v>4301</v>
      </c>
      <c r="F2570" s="4" t="s">
        <v>4300</v>
      </c>
      <c r="G2570" s="4" t="s">
        <v>2263</v>
      </c>
      <c r="H2570" s="9" t="s">
        <v>2263</v>
      </c>
      <c r="I2570" s="4" t="s">
        <v>2317</v>
      </c>
      <c r="J2570" s="4" t="s">
        <v>2316</v>
      </c>
      <c r="K2570" s="4" t="s">
        <v>2263</v>
      </c>
      <c r="L2570" s="10">
        <v>20</v>
      </c>
      <c r="M2570" s="5">
        <v>78712.004761904755</v>
      </c>
      <c r="N2570" s="5">
        <v>1574240.0952380954</v>
      </c>
    </row>
    <row r="2571" spans="1:14" x14ac:dyDescent="0.25">
      <c r="A2571" s="4" t="s">
        <v>2653</v>
      </c>
      <c r="B2571" s="4" t="s">
        <v>3226</v>
      </c>
      <c r="C2571" s="4" t="s">
        <v>2384</v>
      </c>
      <c r="D2571" s="4" t="s">
        <v>262</v>
      </c>
      <c r="E2571" s="4" t="s">
        <v>3468</v>
      </c>
      <c r="F2571" s="4" t="s">
        <v>3467</v>
      </c>
      <c r="G2571" s="4" t="s">
        <v>2263</v>
      </c>
      <c r="H2571" s="9" t="s">
        <v>2263</v>
      </c>
      <c r="I2571" s="4" t="s">
        <v>2317</v>
      </c>
      <c r="J2571" s="4" t="s">
        <v>2316</v>
      </c>
      <c r="K2571" s="4" t="s">
        <v>2263</v>
      </c>
      <c r="L2571" s="10">
        <v>20</v>
      </c>
      <c r="M2571" s="5">
        <v>213486.85</v>
      </c>
      <c r="N2571" s="5">
        <v>4269737</v>
      </c>
    </row>
    <row r="2572" spans="1:14" x14ac:dyDescent="0.25">
      <c r="A2572" s="4" t="s">
        <v>2761</v>
      </c>
      <c r="B2572" s="4" t="s">
        <v>2760</v>
      </c>
      <c r="C2572" s="4" t="s">
        <v>2320</v>
      </c>
      <c r="D2572" s="4" t="s">
        <v>242</v>
      </c>
      <c r="E2572" s="4" t="s">
        <v>2789</v>
      </c>
      <c r="F2572" s="4" t="s">
        <v>2788</v>
      </c>
      <c r="G2572" s="4" t="s">
        <v>2263</v>
      </c>
      <c r="H2572" s="9" t="s">
        <v>2263</v>
      </c>
      <c r="I2572" s="4" t="s">
        <v>2317</v>
      </c>
      <c r="J2572" s="4" t="s">
        <v>2316</v>
      </c>
      <c r="K2572" s="4" t="s">
        <v>2263</v>
      </c>
      <c r="L2572" s="10">
        <v>20</v>
      </c>
      <c r="M2572" s="5">
        <v>298569.47162162163</v>
      </c>
      <c r="N2572" s="5">
        <v>5971389.4324324327</v>
      </c>
    </row>
    <row r="2573" spans="1:14" x14ac:dyDescent="0.25">
      <c r="A2573" s="4" t="s">
        <v>2344</v>
      </c>
      <c r="B2573" s="4" t="s">
        <v>5154</v>
      </c>
      <c r="C2573" s="4" t="s">
        <v>2320</v>
      </c>
      <c r="D2573" s="4" t="s">
        <v>242</v>
      </c>
      <c r="E2573" s="4" t="s">
        <v>3151</v>
      </c>
      <c r="F2573" s="4" t="s">
        <v>3150</v>
      </c>
      <c r="G2573" s="4" t="s">
        <v>2263</v>
      </c>
      <c r="H2573" s="9" t="s">
        <v>2263</v>
      </c>
      <c r="I2573" s="4" t="s">
        <v>2317</v>
      </c>
      <c r="J2573" s="4" t="s">
        <v>2316</v>
      </c>
      <c r="K2573" s="4" t="s">
        <v>2263</v>
      </c>
      <c r="L2573" s="10">
        <v>21</v>
      </c>
      <c r="M2573" s="5">
        <v>-7674.6067999999996</v>
      </c>
      <c r="N2573" s="5">
        <v>-161166.74280000001</v>
      </c>
    </row>
    <row r="2574" spans="1:14" x14ac:dyDescent="0.25">
      <c r="A2574" s="4" t="s">
        <v>2344</v>
      </c>
      <c r="B2574" s="4" t="s">
        <v>5154</v>
      </c>
      <c r="C2574" s="4" t="s">
        <v>2267</v>
      </c>
      <c r="D2574" s="4" t="s">
        <v>2266</v>
      </c>
      <c r="E2574" s="4" t="s">
        <v>4380</v>
      </c>
      <c r="F2574" s="4" t="s">
        <v>2489</v>
      </c>
      <c r="G2574" s="4" t="s">
        <v>2263</v>
      </c>
      <c r="H2574" s="9" t="s">
        <v>2263</v>
      </c>
      <c r="I2574" s="4" t="s">
        <v>2263</v>
      </c>
      <c r="J2574" s="4" t="s">
        <v>2263</v>
      </c>
      <c r="K2574" s="4" t="s">
        <v>2488</v>
      </c>
      <c r="L2574" s="10">
        <v>21</v>
      </c>
      <c r="M2574" s="5">
        <v>268.56938775510207</v>
      </c>
      <c r="N2574" s="5">
        <v>5639.9571428571398</v>
      </c>
    </row>
    <row r="2575" spans="1:14" x14ac:dyDescent="0.25">
      <c r="A2575" s="4" t="s">
        <v>2344</v>
      </c>
      <c r="B2575" s="4" t="s">
        <v>5154</v>
      </c>
      <c r="C2575" s="4" t="s">
        <v>2344</v>
      </c>
      <c r="D2575" s="4" t="s">
        <v>237</v>
      </c>
      <c r="E2575" s="4" t="s">
        <v>4611</v>
      </c>
      <c r="F2575" s="4" t="s">
        <v>4610</v>
      </c>
      <c r="G2575" s="4" t="s">
        <v>2263</v>
      </c>
      <c r="H2575" s="9" t="s">
        <v>2263</v>
      </c>
      <c r="I2575" s="4" t="s">
        <v>2263</v>
      </c>
      <c r="J2575" s="4" t="s">
        <v>2263</v>
      </c>
      <c r="K2575" s="4" t="s">
        <v>2547</v>
      </c>
      <c r="L2575" s="10">
        <v>21</v>
      </c>
      <c r="M2575" s="5">
        <v>453.66857142857145</v>
      </c>
      <c r="N2575" s="5">
        <v>9527.0400000000009</v>
      </c>
    </row>
    <row r="2576" spans="1:14" x14ac:dyDescent="0.25">
      <c r="A2576" s="4" t="s">
        <v>2653</v>
      </c>
      <c r="B2576" s="4" t="s">
        <v>3226</v>
      </c>
      <c r="C2576" s="4" t="s">
        <v>3107</v>
      </c>
      <c r="D2576" s="4" t="s">
        <v>1105</v>
      </c>
      <c r="E2576" s="4" t="s">
        <v>3775</v>
      </c>
      <c r="F2576" s="4" t="s">
        <v>3774</v>
      </c>
      <c r="G2576" s="4" t="s">
        <v>2263</v>
      </c>
      <c r="H2576" s="9" t="s">
        <v>2263</v>
      </c>
      <c r="I2576" s="4" t="s">
        <v>2317</v>
      </c>
      <c r="J2576" s="4" t="s">
        <v>2316</v>
      </c>
      <c r="K2576" s="4" t="s">
        <v>2263</v>
      </c>
      <c r="L2576" s="10">
        <v>21</v>
      </c>
      <c r="M2576" s="5">
        <v>879.92619047619041</v>
      </c>
      <c r="N2576" s="5">
        <v>18478.45</v>
      </c>
    </row>
    <row r="2577" spans="1:14" x14ac:dyDescent="0.25">
      <c r="A2577" s="4" t="s">
        <v>2317</v>
      </c>
      <c r="B2577" s="4" t="s">
        <v>3839</v>
      </c>
      <c r="C2577" s="4" t="s">
        <v>2320</v>
      </c>
      <c r="D2577" s="4" t="s">
        <v>242</v>
      </c>
      <c r="E2577" s="4" t="s">
        <v>2388</v>
      </c>
      <c r="F2577" s="4" t="s">
        <v>2387</v>
      </c>
      <c r="G2577" s="4" t="s">
        <v>2263</v>
      </c>
      <c r="H2577" s="9" t="s">
        <v>2263</v>
      </c>
      <c r="I2577" s="4" t="s">
        <v>2317</v>
      </c>
      <c r="J2577" s="4" t="s">
        <v>2316</v>
      </c>
      <c r="K2577" s="4" t="s">
        <v>2263</v>
      </c>
      <c r="L2577" s="10">
        <v>21</v>
      </c>
      <c r="M2577" s="5">
        <v>1061.3860465116279</v>
      </c>
      <c r="N2577" s="5">
        <v>22289.106976744191</v>
      </c>
    </row>
    <row r="2578" spans="1:14" x14ac:dyDescent="0.25">
      <c r="A2578" s="4" t="s">
        <v>2320</v>
      </c>
      <c r="B2578" s="4" t="s">
        <v>4967</v>
      </c>
      <c r="C2578" s="4" t="s">
        <v>2320</v>
      </c>
      <c r="D2578" s="4" t="s">
        <v>242</v>
      </c>
      <c r="E2578" s="4" t="s">
        <v>2901</v>
      </c>
      <c r="F2578" s="4" t="s">
        <v>2900</v>
      </c>
      <c r="G2578" s="4" t="s">
        <v>2263</v>
      </c>
      <c r="H2578" s="9" t="s">
        <v>2263</v>
      </c>
      <c r="I2578" s="4" t="s">
        <v>2317</v>
      </c>
      <c r="J2578" s="4" t="s">
        <v>2316</v>
      </c>
      <c r="K2578" s="4" t="s">
        <v>2263</v>
      </c>
      <c r="L2578" s="10">
        <v>21</v>
      </c>
      <c r="M2578" s="5">
        <v>1692.1930827067667</v>
      </c>
      <c r="N2578" s="5">
        <v>35536.05473684211</v>
      </c>
    </row>
    <row r="2579" spans="1:14" x14ac:dyDescent="0.25">
      <c r="A2579" s="4" t="s">
        <v>2344</v>
      </c>
      <c r="B2579" s="4" t="s">
        <v>5154</v>
      </c>
      <c r="C2579" s="4" t="s">
        <v>2320</v>
      </c>
      <c r="D2579" s="4" t="s">
        <v>242</v>
      </c>
      <c r="E2579" s="4" t="s">
        <v>2903</v>
      </c>
      <c r="F2579" s="4" t="s">
        <v>2902</v>
      </c>
      <c r="G2579" s="4" t="s">
        <v>2263</v>
      </c>
      <c r="H2579" s="9" t="s">
        <v>2263</v>
      </c>
      <c r="I2579" s="4" t="s">
        <v>2317</v>
      </c>
      <c r="J2579" s="4" t="s">
        <v>2316</v>
      </c>
      <c r="K2579" s="4" t="s">
        <v>2263</v>
      </c>
      <c r="L2579" s="10">
        <v>21</v>
      </c>
      <c r="M2579" s="5">
        <v>1697.6609375</v>
      </c>
      <c r="N2579" s="5">
        <v>35650.879687499997</v>
      </c>
    </row>
    <row r="2580" spans="1:14" x14ac:dyDescent="0.25">
      <c r="A2580" s="4" t="s">
        <v>2653</v>
      </c>
      <c r="B2580" s="4" t="s">
        <v>3226</v>
      </c>
      <c r="C2580" s="4" t="s">
        <v>3107</v>
      </c>
      <c r="D2580" s="4" t="s">
        <v>1105</v>
      </c>
      <c r="E2580" s="4" t="s">
        <v>3753</v>
      </c>
      <c r="F2580" s="4" t="s">
        <v>3752</v>
      </c>
      <c r="G2580" s="4" t="s">
        <v>2263</v>
      </c>
      <c r="H2580" s="9" t="s">
        <v>2263</v>
      </c>
      <c r="I2580" s="4" t="s">
        <v>2317</v>
      </c>
      <c r="J2580" s="4" t="s">
        <v>2316</v>
      </c>
      <c r="K2580" s="4" t="s">
        <v>2263</v>
      </c>
      <c r="L2580" s="10">
        <v>21</v>
      </c>
      <c r="M2580" s="5">
        <v>1929.3933333333332</v>
      </c>
      <c r="N2580" s="5">
        <v>40517.26</v>
      </c>
    </row>
    <row r="2581" spans="1:14" x14ac:dyDescent="0.25">
      <c r="A2581" s="4" t="s">
        <v>2344</v>
      </c>
      <c r="B2581" s="4" t="s">
        <v>5154</v>
      </c>
      <c r="C2581" s="4" t="s">
        <v>2344</v>
      </c>
      <c r="D2581" s="4" t="s">
        <v>237</v>
      </c>
      <c r="E2581" s="4" t="s">
        <v>5471</v>
      </c>
      <c r="F2581" s="4" t="s">
        <v>5470</v>
      </c>
      <c r="G2581" s="4" t="s">
        <v>2263</v>
      </c>
      <c r="H2581" s="9" t="s">
        <v>2263</v>
      </c>
      <c r="I2581" s="4" t="s">
        <v>2263</v>
      </c>
      <c r="J2581" s="4" t="s">
        <v>2263</v>
      </c>
      <c r="K2581" s="4" t="s">
        <v>5469</v>
      </c>
      <c r="L2581" s="10">
        <v>21</v>
      </c>
      <c r="M2581" s="5">
        <v>2588.9595238095235</v>
      </c>
      <c r="N2581" s="5">
        <v>54368.15</v>
      </c>
    </row>
    <row r="2582" spans="1:14" x14ac:dyDescent="0.25">
      <c r="A2582" s="4" t="s">
        <v>2344</v>
      </c>
      <c r="B2582" s="4" t="s">
        <v>5154</v>
      </c>
      <c r="C2582" s="4" t="s">
        <v>2320</v>
      </c>
      <c r="D2582" s="4" t="s">
        <v>242</v>
      </c>
      <c r="E2582" s="4" t="s">
        <v>4229</v>
      </c>
      <c r="F2582" s="4" t="s">
        <v>4228</v>
      </c>
      <c r="G2582" s="4" t="s">
        <v>2263</v>
      </c>
      <c r="H2582" s="9" t="s">
        <v>2263</v>
      </c>
      <c r="I2582" s="4" t="s">
        <v>2317</v>
      </c>
      <c r="J2582" s="4" t="s">
        <v>2316</v>
      </c>
      <c r="K2582" s="4" t="s">
        <v>2263</v>
      </c>
      <c r="L2582" s="10">
        <v>21</v>
      </c>
      <c r="M2582" s="5">
        <v>3639.3177049180331</v>
      </c>
      <c r="N2582" s="5">
        <v>76425.671803278688</v>
      </c>
    </row>
    <row r="2583" spans="1:14" x14ac:dyDescent="0.25">
      <c r="A2583" s="4" t="s">
        <v>2344</v>
      </c>
      <c r="B2583" s="4" t="s">
        <v>5154</v>
      </c>
      <c r="C2583" s="4" t="s">
        <v>2317</v>
      </c>
      <c r="D2583" s="4" t="s">
        <v>2516</v>
      </c>
      <c r="E2583" s="4" t="s">
        <v>5208</v>
      </c>
      <c r="F2583" s="4" t="s">
        <v>5207</v>
      </c>
      <c r="G2583" s="4" t="s">
        <v>2263</v>
      </c>
      <c r="H2583" s="9" t="s">
        <v>2263</v>
      </c>
      <c r="I2583" s="4" t="s">
        <v>2263</v>
      </c>
      <c r="J2583" s="4" t="s">
        <v>2263</v>
      </c>
      <c r="K2583" s="4" t="s">
        <v>4684</v>
      </c>
      <c r="L2583" s="10">
        <v>21</v>
      </c>
      <c r="M2583" s="5">
        <v>4269.5200000000004</v>
      </c>
      <c r="N2583" s="5">
        <v>89659.92</v>
      </c>
    </row>
    <row r="2584" spans="1:14" x14ac:dyDescent="0.25">
      <c r="A2584" s="4" t="s">
        <v>2320</v>
      </c>
      <c r="B2584" s="4" t="s">
        <v>4967</v>
      </c>
      <c r="C2584" s="4" t="s">
        <v>2344</v>
      </c>
      <c r="D2584" s="4" t="s">
        <v>237</v>
      </c>
      <c r="E2584" s="4" t="s">
        <v>2884</v>
      </c>
      <c r="F2584" s="4" t="s">
        <v>2883</v>
      </c>
      <c r="G2584" s="4" t="s">
        <v>2263</v>
      </c>
      <c r="H2584" s="9" t="s">
        <v>2263</v>
      </c>
      <c r="I2584" s="4" t="s">
        <v>2263</v>
      </c>
      <c r="J2584" s="4" t="s">
        <v>2263</v>
      </c>
      <c r="K2584" s="4" t="s">
        <v>2566</v>
      </c>
      <c r="L2584" s="10">
        <v>21</v>
      </c>
      <c r="M2584" s="5">
        <v>7714.5542857142855</v>
      </c>
      <c r="N2584" s="5">
        <v>162005.64000000001</v>
      </c>
    </row>
    <row r="2585" spans="1:14" x14ac:dyDescent="0.25">
      <c r="A2585" s="4" t="s">
        <v>2317</v>
      </c>
      <c r="B2585" s="4" t="s">
        <v>3839</v>
      </c>
      <c r="C2585" s="4" t="s">
        <v>2320</v>
      </c>
      <c r="D2585" s="4" t="s">
        <v>242</v>
      </c>
      <c r="E2585" s="4" t="s">
        <v>4067</v>
      </c>
      <c r="F2585" s="4" t="s">
        <v>4066</v>
      </c>
      <c r="G2585" s="4" t="s">
        <v>2263</v>
      </c>
      <c r="H2585" s="9" t="s">
        <v>2263</v>
      </c>
      <c r="I2585" s="4" t="s">
        <v>2317</v>
      </c>
      <c r="J2585" s="4" t="s">
        <v>2316</v>
      </c>
      <c r="K2585" s="4" t="s">
        <v>2263</v>
      </c>
      <c r="L2585" s="10">
        <v>21</v>
      </c>
      <c r="M2585" s="5">
        <v>9463.0059259259251</v>
      </c>
      <c r="N2585" s="5">
        <v>198723.12444444443</v>
      </c>
    </row>
    <row r="2586" spans="1:14" x14ac:dyDescent="0.25">
      <c r="A2586" s="4" t="s">
        <v>2344</v>
      </c>
      <c r="B2586" s="4" t="s">
        <v>5154</v>
      </c>
      <c r="C2586" s="4" t="s">
        <v>2320</v>
      </c>
      <c r="D2586" s="4" t="s">
        <v>242</v>
      </c>
      <c r="E2586" s="4" t="s">
        <v>3008</v>
      </c>
      <c r="F2586" s="4" t="s">
        <v>3007</v>
      </c>
      <c r="G2586" s="4" t="s">
        <v>2263</v>
      </c>
      <c r="H2586" s="9" t="s">
        <v>2263</v>
      </c>
      <c r="I2586" s="4" t="s">
        <v>2317</v>
      </c>
      <c r="J2586" s="4" t="s">
        <v>2316</v>
      </c>
      <c r="K2586" s="4" t="s">
        <v>2263</v>
      </c>
      <c r="L2586" s="10">
        <v>21</v>
      </c>
      <c r="M2586" s="5">
        <v>10692.271420345489</v>
      </c>
      <c r="N2586" s="5">
        <v>224537.69982725527</v>
      </c>
    </row>
    <row r="2587" spans="1:14" x14ac:dyDescent="0.25">
      <c r="A2587" s="4" t="s">
        <v>2344</v>
      </c>
      <c r="B2587" s="4" t="s">
        <v>5154</v>
      </c>
      <c r="C2587" s="4" t="s">
        <v>2481</v>
      </c>
      <c r="D2587" s="4" t="s">
        <v>2480</v>
      </c>
      <c r="E2587" s="4" t="s">
        <v>4362</v>
      </c>
      <c r="F2587" s="4" t="s">
        <v>4361</v>
      </c>
      <c r="G2587" s="4" t="s">
        <v>2263</v>
      </c>
      <c r="H2587" s="9" t="s">
        <v>2263</v>
      </c>
      <c r="I2587" s="4" t="s">
        <v>2263</v>
      </c>
      <c r="J2587" s="4" t="s">
        <v>2263</v>
      </c>
      <c r="K2587" s="4" t="s">
        <v>2485</v>
      </c>
      <c r="L2587" s="10">
        <v>21</v>
      </c>
      <c r="M2587" s="5">
        <v>12324.562702702702</v>
      </c>
      <c r="N2587" s="5">
        <v>258815.81675675677</v>
      </c>
    </row>
    <row r="2588" spans="1:14" x14ac:dyDescent="0.25">
      <c r="A2588" s="4" t="s">
        <v>2653</v>
      </c>
      <c r="B2588" s="4" t="s">
        <v>3226</v>
      </c>
      <c r="C2588" s="4" t="s">
        <v>2353</v>
      </c>
      <c r="D2588" s="4" t="s">
        <v>258</v>
      </c>
      <c r="E2588" s="4" t="s">
        <v>3230</v>
      </c>
      <c r="F2588" s="4" t="s">
        <v>3229</v>
      </c>
      <c r="G2588" s="4" t="s">
        <v>2263</v>
      </c>
      <c r="H2588" s="9" t="s">
        <v>2263</v>
      </c>
      <c r="I2588" s="4" t="s">
        <v>2317</v>
      </c>
      <c r="J2588" s="4" t="s">
        <v>2316</v>
      </c>
      <c r="K2588" s="4" t="s">
        <v>2263</v>
      </c>
      <c r="L2588" s="10">
        <v>21</v>
      </c>
      <c r="M2588" s="5">
        <v>13300</v>
      </c>
      <c r="N2588" s="5">
        <v>279300</v>
      </c>
    </row>
    <row r="2589" spans="1:14" x14ac:dyDescent="0.25">
      <c r="A2589" s="4" t="s">
        <v>2344</v>
      </c>
      <c r="B2589" s="4" t="s">
        <v>5154</v>
      </c>
      <c r="C2589" s="4" t="s">
        <v>2274</v>
      </c>
      <c r="D2589" s="4" t="s">
        <v>2273</v>
      </c>
      <c r="E2589" s="4" t="s">
        <v>2358</v>
      </c>
      <c r="F2589" s="4" t="s">
        <v>2357</v>
      </c>
      <c r="G2589" s="4" t="s">
        <v>2263</v>
      </c>
      <c r="H2589" s="9" t="s">
        <v>2263</v>
      </c>
      <c r="I2589" s="4" t="s">
        <v>2263</v>
      </c>
      <c r="J2589" s="4" t="s">
        <v>2263</v>
      </c>
      <c r="K2589" s="4" t="s">
        <v>2356</v>
      </c>
      <c r="L2589" s="10">
        <v>21</v>
      </c>
      <c r="M2589" s="5">
        <v>92812.845025641014</v>
      </c>
      <c r="N2589" s="5">
        <v>1949069.7455384615</v>
      </c>
    </row>
    <row r="2590" spans="1:14" x14ac:dyDescent="0.25">
      <c r="A2590" s="4" t="s">
        <v>2317</v>
      </c>
      <c r="B2590" s="4" t="s">
        <v>3839</v>
      </c>
      <c r="C2590" s="4" t="s">
        <v>2320</v>
      </c>
      <c r="D2590" s="4" t="s">
        <v>242</v>
      </c>
      <c r="E2590" s="4" t="s">
        <v>3879</v>
      </c>
      <c r="F2590" s="4" t="s">
        <v>3878</v>
      </c>
      <c r="G2590" s="4" t="s">
        <v>2263</v>
      </c>
      <c r="H2590" s="9" t="s">
        <v>2263</v>
      </c>
      <c r="I2590" s="4" t="s">
        <v>2317</v>
      </c>
      <c r="J2590" s="4" t="s">
        <v>2316</v>
      </c>
      <c r="K2590" s="4" t="s">
        <v>2263</v>
      </c>
      <c r="L2590" s="10">
        <v>21</v>
      </c>
      <c r="M2590" s="5">
        <v>147133.30192307694</v>
      </c>
      <c r="N2590" s="5">
        <v>3089799.3403846156</v>
      </c>
    </row>
    <row r="2591" spans="1:14" x14ac:dyDescent="0.25">
      <c r="A2591" s="4" t="s">
        <v>2344</v>
      </c>
      <c r="B2591" s="4" t="s">
        <v>5154</v>
      </c>
      <c r="C2591" s="4" t="s">
        <v>2344</v>
      </c>
      <c r="D2591" s="4" t="s">
        <v>237</v>
      </c>
      <c r="E2591" s="4" t="s">
        <v>5345</v>
      </c>
      <c r="F2591" s="4" t="s">
        <v>4802</v>
      </c>
      <c r="G2591" s="4" t="s">
        <v>2263</v>
      </c>
      <c r="H2591" s="9" t="s">
        <v>2263</v>
      </c>
      <c r="I2591" s="4" t="s">
        <v>2263</v>
      </c>
      <c r="J2591" s="4" t="s">
        <v>2263</v>
      </c>
      <c r="K2591" s="4" t="s">
        <v>2545</v>
      </c>
      <c r="L2591" s="10">
        <v>22</v>
      </c>
      <c r="M2591" s="5">
        <v>33.910454545454542</v>
      </c>
      <c r="N2591" s="5">
        <v>746.03</v>
      </c>
    </row>
    <row r="2592" spans="1:14" x14ac:dyDescent="0.25">
      <c r="A2592" s="4" t="s">
        <v>2320</v>
      </c>
      <c r="B2592" s="4" t="s">
        <v>4967</v>
      </c>
      <c r="C2592" s="4" t="s">
        <v>2344</v>
      </c>
      <c r="D2592" s="4" t="s">
        <v>237</v>
      </c>
      <c r="E2592" s="4" t="s">
        <v>2350</v>
      </c>
      <c r="F2592" s="4" t="s">
        <v>2349</v>
      </c>
      <c r="G2592" s="4" t="s">
        <v>2263</v>
      </c>
      <c r="H2592" s="9" t="s">
        <v>2263</v>
      </c>
      <c r="I2592" s="4" t="s">
        <v>2263</v>
      </c>
      <c r="J2592" s="4" t="s">
        <v>2263</v>
      </c>
      <c r="K2592" s="4" t="s">
        <v>2348</v>
      </c>
      <c r="L2592" s="10">
        <v>22</v>
      </c>
      <c r="M2592" s="5">
        <v>709.34430088495583</v>
      </c>
      <c r="N2592" s="5">
        <v>15605.574619469029</v>
      </c>
    </row>
    <row r="2593" spans="1:14" x14ac:dyDescent="0.25">
      <c r="A2593" s="4" t="s">
        <v>2344</v>
      </c>
      <c r="B2593" s="4" t="s">
        <v>5154</v>
      </c>
      <c r="C2593" s="4" t="s">
        <v>2320</v>
      </c>
      <c r="D2593" s="4" t="s">
        <v>242</v>
      </c>
      <c r="E2593" s="4" t="s">
        <v>2701</v>
      </c>
      <c r="F2593" s="4" t="s">
        <v>2700</v>
      </c>
      <c r="G2593" s="4" t="s">
        <v>2263</v>
      </c>
      <c r="H2593" s="9" t="s">
        <v>2263</v>
      </c>
      <c r="I2593" s="4" t="s">
        <v>2317</v>
      </c>
      <c r="J2593" s="4" t="s">
        <v>2316</v>
      </c>
      <c r="K2593" s="4" t="s">
        <v>2263</v>
      </c>
      <c r="L2593" s="10">
        <v>22</v>
      </c>
      <c r="M2593" s="5">
        <v>1323.9450549450551</v>
      </c>
      <c r="N2593" s="5">
        <v>29126.791208791208</v>
      </c>
    </row>
    <row r="2594" spans="1:14" x14ac:dyDescent="0.25">
      <c r="A2594" s="4" t="s">
        <v>2320</v>
      </c>
      <c r="B2594" s="4" t="s">
        <v>4967</v>
      </c>
      <c r="C2594" s="4" t="s">
        <v>2320</v>
      </c>
      <c r="D2594" s="4" t="s">
        <v>242</v>
      </c>
      <c r="E2594" s="4" t="s">
        <v>2895</v>
      </c>
      <c r="F2594" s="4" t="s">
        <v>2894</v>
      </c>
      <c r="G2594" s="4" t="s">
        <v>2263</v>
      </c>
      <c r="H2594" s="9" t="s">
        <v>2263</v>
      </c>
      <c r="I2594" s="4" t="s">
        <v>2317</v>
      </c>
      <c r="J2594" s="4" t="s">
        <v>2316</v>
      </c>
      <c r="K2594" s="4" t="s">
        <v>2263</v>
      </c>
      <c r="L2594" s="10">
        <v>22</v>
      </c>
      <c r="M2594" s="5">
        <v>2172.9377586206897</v>
      </c>
      <c r="N2594" s="5">
        <v>47804.630689655169</v>
      </c>
    </row>
    <row r="2595" spans="1:14" x14ac:dyDescent="0.25">
      <c r="A2595" s="4" t="s">
        <v>2344</v>
      </c>
      <c r="B2595" s="4" t="s">
        <v>5154</v>
      </c>
      <c r="C2595" s="4" t="s">
        <v>2274</v>
      </c>
      <c r="D2595" s="4" t="s">
        <v>2273</v>
      </c>
      <c r="E2595" s="4" t="s">
        <v>4469</v>
      </c>
      <c r="F2595" s="4" t="s">
        <v>4468</v>
      </c>
      <c r="G2595" s="4" t="s">
        <v>2263</v>
      </c>
      <c r="H2595" s="9" t="s">
        <v>2263</v>
      </c>
      <c r="I2595" s="4" t="s">
        <v>2263</v>
      </c>
      <c r="J2595" s="4" t="s">
        <v>2263</v>
      </c>
      <c r="K2595" s="4" t="s">
        <v>4467</v>
      </c>
      <c r="L2595" s="10">
        <v>22</v>
      </c>
      <c r="M2595" s="5">
        <v>3685.6808928571427</v>
      </c>
      <c r="N2595" s="5">
        <v>81084.979642857143</v>
      </c>
    </row>
    <row r="2596" spans="1:14" x14ac:dyDescent="0.25">
      <c r="A2596" s="4" t="s">
        <v>2344</v>
      </c>
      <c r="B2596" s="4" t="s">
        <v>5154</v>
      </c>
      <c r="C2596" s="4" t="s">
        <v>2274</v>
      </c>
      <c r="D2596" s="4" t="s">
        <v>2273</v>
      </c>
      <c r="E2596" s="4" t="s">
        <v>4488</v>
      </c>
      <c r="F2596" s="4" t="s">
        <v>4487</v>
      </c>
      <c r="G2596" s="4" t="s">
        <v>2263</v>
      </c>
      <c r="H2596" s="9" t="s">
        <v>2263</v>
      </c>
      <c r="I2596" s="4" t="s">
        <v>2263</v>
      </c>
      <c r="J2596" s="4" t="s">
        <v>2263</v>
      </c>
      <c r="K2596" s="4" t="s">
        <v>4486</v>
      </c>
      <c r="L2596" s="10">
        <v>22</v>
      </c>
      <c r="M2596" s="5">
        <v>4385.3731707317074</v>
      </c>
      <c r="N2596" s="5">
        <v>96478.209756097567</v>
      </c>
    </row>
    <row r="2597" spans="1:14" x14ac:dyDescent="0.25">
      <c r="A2597" s="4" t="s">
        <v>2317</v>
      </c>
      <c r="B2597" s="4" t="s">
        <v>3839</v>
      </c>
      <c r="C2597" s="4" t="s">
        <v>2320</v>
      </c>
      <c r="D2597" s="4" t="s">
        <v>242</v>
      </c>
      <c r="E2597" s="4" t="s">
        <v>3887</v>
      </c>
      <c r="F2597" s="4" t="s">
        <v>3886</v>
      </c>
      <c r="G2597" s="4" t="s">
        <v>2263</v>
      </c>
      <c r="H2597" s="9" t="s">
        <v>2263</v>
      </c>
      <c r="I2597" s="4" t="s">
        <v>2317</v>
      </c>
      <c r="J2597" s="4" t="s">
        <v>2316</v>
      </c>
      <c r="K2597" s="4" t="s">
        <v>2263</v>
      </c>
      <c r="L2597" s="10">
        <v>22</v>
      </c>
      <c r="M2597" s="5">
        <v>5686.5397999999996</v>
      </c>
      <c r="N2597" s="5">
        <v>125103.8756</v>
      </c>
    </row>
    <row r="2598" spans="1:14" x14ac:dyDescent="0.25">
      <c r="A2598" s="4" t="s">
        <v>2344</v>
      </c>
      <c r="B2598" s="4" t="s">
        <v>5154</v>
      </c>
      <c r="C2598" s="4" t="s">
        <v>2344</v>
      </c>
      <c r="D2598" s="4" t="s">
        <v>237</v>
      </c>
      <c r="E2598" s="4" t="s">
        <v>4746</v>
      </c>
      <c r="F2598" s="4" t="s">
        <v>4745</v>
      </c>
      <c r="G2598" s="4" t="s">
        <v>2263</v>
      </c>
      <c r="H2598" s="9" t="s">
        <v>2263</v>
      </c>
      <c r="I2598" s="4" t="s">
        <v>2263</v>
      </c>
      <c r="J2598" s="4" t="s">
        <v>2263</v>
      </c>
      <c r="K2598" s="4" t="s">
        <v>4744</v>
      </c>
      <c r="L2598" s="10">
        <v>22</v>
      </c>
      <c r="M2598" s="5">
        <v>5985.3670588235291</v>
      </c>
      <c r="N2598" s="5">
        <v>131678.07529411765</v>
      </c>
    </row>
    <row r="2599" spans="1:14" x14ac:dyDescent="0.25">
      <c r="A2599" s="4" t="s">
        <v>2653</v>
      </c>
      <c r="B2599" s="4" t="s">
        <v>3226</v>
      </c>
      <c r="C2599" s="4" t="s">
        <v>2384</v>
      </c>
      <c r="D2599" s="4" t="s">
        <v>262</v>
      </c>
      <c r="E2599" s="4" t="s">
        <v>3368</v>
      </c>
      <c r="F2599" s="4" t="s">
        <v>3367</v>
      </c>
      <c r="G2599" s="4" t="s">
        <v>2263</v>
      </c>
      <c r="H2599" s="9" t="s">
        <v>2263</v>
      </c>
      <c r="I2599" s="4" t="s">
        <v>2317</v>
      </c>
      <c r="J2599" s="4" t="s">
        <v>2316</v>
      </c>
      <c r="K2599" s="4" t="s">
        <v>2263</v>
      </c>
      <c r="L2599" s="10">
        <v>22</v>
      </c>
      <c r="M2599" s="5">
        <v>6803.7681818181818</v>
      </c>
      <c r="N2599" s="5">
        <v>149682.9</v>
      </c>
    </row>
    <row r="2600" spans="1:14" x14ac:dyDescent="0.25">
      <c r="A2600" s="4" t="s">
        <v>2317</v>
      </c>
      <c r="B2600" s="4" t="s">
        <v>3839</v>
      </c>
      <c r="C2600" s="4" t="s">
        <v>2320</v>
      </c>
      <c r="D2600" s="4" t="s">
        <v>242</v>
      </c>
      <c r="E2600" s="4" t="s">
        <v>3969</v>
      </c>
      <c r="F2600" s="4" t="s">
        <v>3968</v>
      </c>
      <c r="G2600" s="4" t="s">
        <v>2263</v>
      </c>
      <c r="H2600" s="9" t="s">
        <v>2263</v>
      </c>
      <c r="I2600" s="4" t="s">
        <v>2317</v>
      </c>
      <c r="J2600" s="4" t="s">
        <v>2316</v>
      </c>
      <c r="K2600" s="4" t="s">
        <v>2263</v>
      </c>
      <c r="L2600" s="10">
        <v>22</v>
      </c>
      <c r="M2600" s="5">
        <v>7002</v>
      </c>
      <c r="N2600" s="5">
        <v>154044</v>
      </c>
    </row>
    <row r="2601" spans="1:14" x14ac:dyDescent="0.25">
      <c r="A2601" s="4" t="s">
        <v>2344</v>
      </c>
      <c r="B2601" s="4" t="s">
        <v>5154</v>
      </c>
      <c r="C2601" s="4" t="s">
        <v>2320</v>
      </c>
      <c r="D2601" s="4" t="s">
        <v>242</v>
      </c>
      <c r="E2601" s="4" t="s">
        <v>4117</v>
      </c>
      <c r="F2601" s="4" t="s">
        <v>4116</v>
      </c>
      <c r="G2601" s="4" t="s">
        <v>2263</v>
      </c>
      <c r="H2601" s="9" t="s">
        <v>2263</v>
      </c>
      <c r="I2601" s="4" t="s">
        <v>2317</v>
      </c>
      <c r="J2601" s="4" t="s">
        <v>2316</v>
      </c>
      <c r="K2601" s="4" t="s">
        <v>2263</v>
      </c>
      <c r="L2601" s="10">
        <v>22</v>
      </c>
      <c r="M2601" s="5">
        <v>9295.0561538461534</v>
      </c>
      <c r="N2601" s="5">
        <v>204491.23538461537</v>
      </c>
    </row>
    <row r="2602" spans="1:14" x14ac:dyDescent="0.25">
      <c r="A2602" s="4" t="s">
        <v>2320</v>
      </c>
      <c r="B2602" s="4" t="s">
        <v>4967</v>
      </c>
      <c r="C2602" s="4" t="s">
        <v>2320</v>
      </c>
      <c r="D2602" s="4" t="s">
        <v>242</v>
      </c>
      <c r="E2602" s="4" t="s">
        <v>3176</v>
      </c>
      <c r="F2602" s="4" t="s">
        <v>3175</v>
      </c>
      <c r="G2602" s="4" t="s">
        <v>2263</v>
      </c>
      <c r="H2602" s="9" t="s">
        <v>2263</v>
      </c>
      <c r="I2602" s="4" t="s">
        <v>2317</v>
      </c>
      <c r="J2602" s="4" t="s">
        <v>2316</v>
      </c>
      <c r="K2602" s="4" t="s">
        <v>2263</v>
      </c>
      <c r="L2602" s="10">
        <v>22</v>
      </c>
      <c r="M2602" s="5">
        <v>10464.536519337018</v>
      </c>
      <c r="N2602" s="5">
        <v>230219.80342541437</v>
      </c>
    </row>
    <row r="2603" spans="1:14" x14ac:dyDescent="0.25">
      <c r="A2603" s="4" t="s">
        <v>2320</v>
      </c>
      <c r="B2603" s="4" t="s">
        <v>4967</v>
      </c>
      <c r="C2603" s="4" t="s">
        <v>2320</v>
      </c>
      <c r="D2603" s="4" t="s">
        <v>242</v>
      </c>
      <c r="E2603" s="4" t="s">
        <v>3955</v>
      </c>
      <c r="F2603" s="4" t="s">
        <v>3954</v>
      </c>
      <c r="G2603" s="4" t="s">
        <v>2263</v>
      </c>
      <c r="H2603" s="9" t="s">
        <v>2263</v>
      </c>
      <c r="I2603" s="4" t="s">
        <v>2317</v>
      </c>
      <c r="J2603" s="4" t="s">
        <v>2316</v>
      </c>
      <c r="K2603" s="4" t="s">
        <v>2263</v>
      </c>
      <c r="L2603" s="10">
        <v>22</v>
      </c>
      <c r="M2603" s="5">
        <v>12353.265681818182</v>
      </c>
      <c r="N2603" s="5">
        <v>271771.84499999997</v>
      </c>
    </row>
    <row r="2604" spans="1:14" x14ac:dyDescent="0.25">
      <c r="A2604" s="4" t="s">
        <v>2320</v>
      </c>
      <c r="B2604" s="4" t="s">
        <v>4967</v>
      </c>
      <c r="C2604" s="4" t="s">
        <v>2320</v>
      </c>
      <c r="D2604" s="4" t="s">
        <v>242</v>
      </c>
      <c r="E2604" s="4" t="s">
        <v>3961</v>
      </c>
      <c r="F2604" s="4" t="s">
        <v>3960</v>
      </c>
      <c r="G2604" s="4" t="s">
        <v>2263</v>
      </c>
      <c r="H2604" s="9" t="s">
        <v>2263</v>
      </c>
      <c r="I2604" s="4" t="s">
        <v>2317</v>
      </c>
      <c r="J2604" s="4" t="s">
        <v>2316</v>
      </c>
      <c r="K2604" s="4" t="s">
        <v>2263</v>
      </c>
      <c r="L2604" s="10">
        <v>22</v>
      </c>
      <c r="M2604" s="5">
        <v>12691.384705882354</v>
      </c>
      <c r="N2604" s="5">
        <v>279210.46352941176</v>
      </c>
    </row>
    <row r="2605" spans="1:14" x14ac:dyDescent="0.25">
      <c r="A2605" s="4" t="s">
        <v>2653</v>
      </c>
      <c r="B2605" s="4" t="s">
        <v>3226</v>
      </c>
      <c r="C2605" s="4" t="s">
        <v>2353</v>
      </c>
      <c r="D2605" s="4" t="s">
        <v>258</v>
      </c>
      <c r="E2605" s="4" t="s">
        <v>3246</v>
      </c>
      <c r="F2605" s="4" t="s">
        <v>3245</v>
      </c>
      <c r="G2605" s="4" t="s">
        <v>2263</v>
      </c>
      <c r="H2605" s="9" t="s">
        <v>2263</v>
      </c>
      <c r="I2605" s="4" t="s">
        <v>2317</v>
      </c>
      <c r="J2605" s="4" t="s">
        <v>2316</v>
      </c>
      <c r="K2605" s="4" t="s">
        <v>2263</v>
      </c>
      <c r="L2605" s="10">
        <v>22</v>
      </c>
      <c r="M2605" s="5">
        <v>15518.727272727274</v>
      </c>
      <c r="N2605" s="5">
        <v>341412</v>
      </c>
    </row>
    <row r="2606" spans="1:14" x14ac:dyDescent="0.25">
      <c r="A2606" s="4" t="s">
        <v>2320</v>
      </c>
      <c r="B2606" s="4" t="s">
        <v>4967</v>
      </c>
      <c r="C2606" s="4" t="s">
        <v>2320</v>
      </c>
      <c r="D2606" s="4" t="s">
        <v>242</v>
      </c>
      <c r="E2606" s="4" t="s">
        <v>2913</v>
      </c>
      <c r="F2606" s="4" t="s">
        <v>2912</v>
      </c>
      <c r="G2606" s="4" t="s">
        <v>2263</v>
      </c>
      <c r="H2606" s="9" t="s">
        <v>2263</v>
      </c>
      <c r="I2606" s="4" t="s">
        <v>2317</v>
      </c>
      <c r="J2606" s="4" t="s">
        <v>2316</v>
      </c>
      <c r="K2606" s="4" t="s">
        <v>2263</v>
      </c>
      <c r="L2606" s="10">
        <v>22</v>
      </c>
      <c r="M2606" s="5">
        <v>16054.317027027026</v>
      </c>
      <c r="N2606" s="5">
        <v>353194.97459459462</v>
      </c>
    </row>
    <row r="2607" spans="1:14" x14ac:dyDescent="0.25">
      <c r="A2607" s="4" t="s">
        <v>2653</v>
      </c>
      <c r="B2607" s="4" t="s">
        <v>3226</v>
      </c>
      <c r="C2607" s="4" t="s">
        <v>3107</v>
      </c>
      <c r="D2607" s="4" t="s">
        <v>1105</v>
      </c>
      <c r="E2607" s="4" t="s">
        <v>3725</v>
      </c>
      <c r="F2607" s="4" t="s">
        <v>3724</v>
      </c>
      <c r="G2607" s="4" t="s">
        <v>2263</v>
      </c>
      <c r="H2607" s="9" t="s">
        <v>2263</v>
      </c>
      <c r="I2607" s="4" t="s">
        <v>2317</v>
      </c>
      <c r="J2607" s="4" t="s">
        <v>2316</v>
      </c>
      <c r="K2607" s="4" t="s">
        <v>2263</v>
      </c>
      <c r="L2607" s="10">
        <v>22</v>
      </c>
      <c r="M2607" s="5">
        <v>22189.966818181816</v>
      </c>
      <c r="N2607" s="5">
        <v>488179.27</v>
      </c>
    </row>
    <row r="2608" spans="1:14" x14ac:dyDescent="0.25">
      <c r="A2608" s="4" t="s">
        <v>2344</v>
      </c>
      <c r="B2608" s="4" t="s">
        <v>5154</v>
      </c>
      <c r="C2608" s="4" t="s">
        <v>2320</v>
      </c>
      <c r="D2608" s="4" t="s">
        <v>242</v>
      </c>
      <c r="E2608" s="4" t="s">
        <v>2877</v>
      </c>
      <c r="F2608" s="4" t="s">
        <v>2876</v>
      </c>
      <c r="G2608" s="4" t="s">
        <v>2263</v>
      </c>
      <c r="H2608" s="9" t="s">
        <v>2263</v>
      </c>
      <c r="I2608" s="4" t="s">
        <v>2317</v>
      </c>
      <c r="J2608" s="4" t="s">
        <v>2316</v>
      </c>
      <c r="K2608" s="4" t="s">
        <v>2263</v>
      </c>
      <c r="L2608" s="10">
        <v>22</v>
      </c>
      <c r="M2608" s="5">
        <v>26231.993161764709</v>
      </c>
      <c r="N2608" s="5">
        <v>577103.84955882351</v>
      </c>
    </row>
    <row r="2609" spans="1:14" x14ac:dyDescent="0.25">
      <c r="A2609" s="4" t="s">
        <v>2274</v>
      </c>
      <c r="B2609" s="4" t="s">
        <v>4348</v>
      </c>
      <c r="C2609" s="4" t="s">
        <v>2344</v>
      </c>
      <c r="D2609" s="4" t="s">
        <v>237</v>
      </c>
      <c r="E2609" s="4" t="s">
        <v>3183</v>
      </c>
      <c r="F2609" s="4" t="s">
        <v>3182</v>
      </c>
      <c r="G2609" s="4" t="s">
        <v>2263</v>
      </c>
      <c r="H2609" s="9" t="s">
        <v>2263</v>
      </c>
      <c r="I2609" s="4" t="s">
        <v>2263</v>
      </c>
      <c r="J2609" s="4" t="s">
        <v>2263</v>
      </c>
      <c r="K2609" s="4" t="s">
        <v>3181</v>
      </c>
      <c r="L2609" s="10">
        <v>22</v>
      </c>
      <c r="M2609" s="5">
        <v>35252.121212121208</v>
      </c>
      <c r="N2609" s="5">
        <v>775546.66666666674</v>
      </c>
    </row>
    <row r="2610" spans="1:14" x14ac:dyDescent="0.25">
      <c r="A2610" s="4" t="s">
        <v>2317</v>
      </c>
      <c r="B2610" s="4" t="s">
        <v>3839</v>
      </c>
      <c r="C2610" s="4" t="s">
        <v>2320</v>
      </c>
      <c r="D2610" s="4" t="s">
        <v>242</v>
      </c>
      <c r="E2610" s="4" t="s">
        <v>3215</v>
      </c>
      <c r="F2610" s="4" t="s">
        <v>3214</v>
      </c>
      <c r="G2610" s="4" t="s">
        <v>2263</v>
      </c>
      <c r="H2610" s="9" t="s">
        <v>2263</v>
      </c>
      <c r="I2610" s="4" t="s">
        <v>2317</v>
      </c>
      <c r="J2610" s="4" t="s">
        <v>2316</v>
      </c>
      <c r="K2610" s="4" t="s">
        <v>2263</v>
      </c>
      <c r="L2610" s="10">
        <v>22</v>
      </c>
      <c r="M2610" s="5">
        <v>133108.87142857144</v>
      </c>
      <c r="N2610" s="5">
        <v>2928395.1714285715</v>
      </c>
    </row>
    <row r="2611" spans="1:14" x14ac:dyDescent="0.25">
      <c r="A2611" s="4" t="s">
        <v>2320</v>
      </c>
      <c r="B2611" s="4" t="s">
        <v>4967</v>
      </c>
      <c r="C2611" s="4" t="s">
        <v>2320</v>
      </c>
      <c r="D2611" s="4" t="s">
        <v>242</v>
      </c>
      <c r="E2611" s="4" t="s">
        <v>5093</v>
      </c>
      <c r="F2611" s="4" t="s">
        <v>5092</v>
      </c>
      <c r="G2611" s="4" t="s">
        <v>2263</v>
      </c>
      <c r="H2611" s="9" t="s">
        <v>2263</v>
      </c>
      <c r="I2611" s="4" t="s">
        <v>2317</v>
      </c>
      <c r="J2611" s="4" t="s">
        <v>2316</v>
      </c>
      <c r="K2611" s="4" t="s">
        <v>2263</v>
      </c>
      <c r="L2611" s="10">
        <v>22</v>
      </c>
      <c r="M2611" s="5">
        <v>418415.25090909092</v>
      </c>
      <c r="N2611" s="5">
        <v>9205135.5199999996</v>
      </c>
    </row>
    <row r="2612" spans="1:14" x14ac:dyDescent="0.25">
      <c r="A2612" s="4" t="s">
        <v>2344</v>
      </c>
      <c r="B2612" s="4" t="s">
        <v>5154</v>
      </c>
      <c r="C2612" s="4" t="s">
        <v>2344</v>
      </c>
      <c r="D2612" s="4" t="s">
        <v>237</v>
      </c>
      <c r="E2612" s="4" t="s">
        <v>4833</v>
      </c>
      <c r="F2612" s="4" t="s">
        <v>4832</v>
      </c>
      <c r="G2612" s="4" t="s">
        <v>2263</v>
      </c>
      <c r="H2612" s="9" t="s">
        <v>2263</v>
      </c>
      <c r="I2612" s="4" t="s">
        <v>2263</v>
      </c>
      <c r="J2612" s="4" t="s">
        <v>2263</v>
      </c>
      <c r="K2612" s="4" t="s">
        <v>2520</v>
      </c>
      <c r="L2612" s="10">
        <v>23</v>
      </c>
      <c r="M2612" s="5">
        <v>175</v>
      </c>
      <c r="N2612" s="5">
        <v>4025</v>
      </c>
    </row>
    <row r="2613" spans="1:14" x14ac:dyDescent="0.25">
      <c r="A2613" s="4" t="s">
        <v>2344</v>
      </c>
      <c r="B2613" s="4" t="s">
        <v>5154</v>
      </c>
      <c r="C2613" s="4" t="s">
        <v>2344</v>
      </c>
      <c r="D2613" s="4" t="s">
        <v>237</v>
      </c>
      <c r="E2613" s="4" t="s">
        <v>5410</v>
      </c>
      <c r="F2613" s="4" t="s">
        <v>2659</v>
      </c>
      <c r="G2613" s="4" t="s">
        <v>2263</v>
      </c>
      <c r="H2613" s="9" t="s">
        <v>2263</v>
      </c>
      <c r="I2613" s="4" t="s">
        <v>2263</v>
      </c>
      <c r="J2613" s="4" t="s">
        <v>2263</v>
      </c>
      <c r="K2613" s="4" t="s">
        <v>2628</v>
      </c>
      <c r="L2613" s="10">
        <v>23</v>
      </c>
      <c r="M2613" s="5">
        <v>1072.5608695652174</v>
      </c>
      <c r="N2613" s="5">
        <v>24668.9</v>
      </c>
    </row>
    <row r="2614" spans="1:14" x14ac:dyDescent="0.25">
      <c r="A2614" s="4" t="s">
        <v>2653</v>
      </c>
      <c r="B2614" s="4" t="s">
        <v>3226</v>
      </c>
      <c r="C2614" s="4" t="s">
        <v>3107</v>
      </c>
      <c r="D2614" s="4" t="s">
        <v>1105</v>
      </c>
      <c r="E2614" s="4" t="s">
        <v>3787</v>
      </c>
      <c r="F2614" s="4" t="s">
        <v>3786</v>
      </c>
      <c r="G2614" s="4" t="s">
        <v>2263</v>
      </c>
      <c r="H2614" s="9" t="s">
        <v>2263</v>
      </c>
      <c r="I2614" s="4" t="s">
        <v>2317</v>
      </c>
      <c r="J2614" s="4" t="s">
        <v>2316</v>
      </c>
      <c r="K2614" s="4" t="s">
        <v>2263</v>
      </c>
      <c r="L2614" s="10">
        <v>23</v>
      </c>
      <c r="M2614" s="5">
        <v>3451.7826086956525</v>
      </c>
      <c r="N2614" s="5">
        <v>79391</v>
      </c>
    </row>
    <row r="2615" spans="1:14" x14ac:dyDescent="0.25">
      <c r="A2615" s="4" t="s">
        <v>2320</v>
      </c>
      <c r="B2615" s="4" t="s">
        <v>4967</v>
      </c>
      <c r="C2615" s="4" t="s">
        <v>2320</v>
      </c>
      <c r="D2615" s="4" t="s">
        <v>242</v>
      </c>
      <c r="E2615" s="4" t="s">
        <v>5017</v>
      </c>
      <c r="F2615" s="4" t="s">
        <v>5016</v>
      </c>
      <c r="G2615" s="4" t="s">
        <v>2263</v>
      </c>
      <c r="H2615" s="9" t="s">
        <v>2263</v>
      </c>
      <c r="I2615" s="4" t="s">
        <v>2317</v>
      </c>
      <c r="J2615" s="4" t="s">
        <v>2316</v>
      </c>
      <c r="K2615" s="4" t="s">
        <v>2263</v>
      </c>
      <c r="L2615" s="10">
        <v>23</v>
      </c>
      <c r="M2615" s="5">
        <v>4788.1826086956526</v>
      </c>
      <c r="N2615" s="5">
        <v>110128.2</v>
      </c>
    </row>
    <row r="2616" spans="1:14" x14ac:dyDescent="0.25">
      <c r="A2616" s="4" t="s">
        <v>2653</v>
      </c>
      <c r="B2616" s="4" t="s">
        <v>3226</v>
      </c>
      <c r="C2616" s="4" t="s">
        <v>2384</v>
      </c>
      <c r="D2616" s="4" t="s">
        <v>262</v>
      </c>
      <c r="E2616" s="4" t="s">
        <v>3410</v>
      </c>
      <c r="F2616" s="4" t="s">
        <v>3409</v>
      </c>
      <c r="G2616" s="4" t="s">
        <v>2263</v>
      </c>
      <c r="H2616" s="9" t="s">
        <v>2263</v>
      </c>
      <c r="I2616" s="4" t="s">
        <v>2317</v>
      </c>
      <c r="J2616" s="4" t="s">
        <v>2316</v>
      </c>
      <c r="K2616" s="4" t="s">
        <v>2263</v>
      </c>
      <c r="L2616" s="10">
        <v>23</v>
      </c>
      <c r="M2616" s="5">
        <v>29258.117391304349</v>
      </c>
      <c r="N2616" s="5">
        <v>672936.7</v>
      </c>
    </row>
    <row r="2617" spans="1:14" x14ac:dyDescent="0.25">
      <c r="A2617" s="4" t="s">
        <v>2317</v>
      </c>
      <c r="B2617" s="4" t="s">
        <v>3839</v>
      </c>
      <c r="C2617" s="4" t="s">
        <v>2320</v>
      </c>
      <c r="D2617" s="4" t="s">
        <v>242</v>
      </c>
      <c r="E2617" s="4" t="s">
        <v>2998</v>
      </c>
      <c r="F2617" s="4" t="s">
        <v>2997</v>
      </c>
      <c r="G2617" s="4" t="s">
        <v>2263</v>
      </c>
      <c r="H2617" s="9" t="s">
        <v>2263</v>
      </c>
      <c r="I2617" s="4" t="s">
        <v>2317</v>
      </c>
      <c r="J2617" s="4" t="s">
        <v>2316</v>
      </c>
      <c r="K2617" s="4" t="s">
        <v>2263</v>
      </c>
      <c r="L2617" s="10">
        <v>23</v>
      </c>
      <c r="M2617" s="5">
        <v>31856.218620689655</v>
      </c>
      <c r="N2617" s="5">
        <v>732693.0282758621</v>
      </c>
    </row>
    <row r="2618" spans="1:14" x14ac:dyDescent="0.25">
      <c r="A2618" s="4" t="s">
        <v>2320</v>
      </c>
      <c r="B2618" s="4" t="s">
        <v>4967</v>
      </c>
      <c r="C2618" s="4" t="s">
        <v>2320</v>
      </c>
      <c r="D2618" s="4" t="s">
        <v>242</v>
      </c>
      <c r="E2618" s="4" t="s">
        <v>3933</v>
      </c>
      <c r="F2618" s="4" t="s">
        <v>3932</v>
      </c>
      <c r="G2618" s="4" t="s">
        <v>2263</v>
      </c>
      <c r="H2618" s="9" t="s">
        <v>2263</v>
      </c>
      <c r="I2618" s="4" t="s">
        <v>2317</v>
      </c>
      <c r="J2618" s="4" t="s">
        <v>2316</v>
      </c>
      <c r="K2618" s="4" t="s">
        <v>2263</v>
      </c>
      <c r="L2618" s="10">
        <v>23</v>
      </c>
      <c r="M2618" s="5">
        <v>52417.890967741943</v>
      </c>
      <c r="N2618" s="5">
        <v>1205611.4922580644</v>
      </c>
    </row>
    <row r="2619" spans="1:14" x14ac:dyDescent="0.25">
      <c r="A2619" s="4" t="s">
        <v>2344</v>
      </c>
      <c r="B2619" s="4" t="s">
        <v>5154</v>
      </c>
      <c r="C2619" s="4" t="s">
        <v>2344</v>
      </c>
      <c r="D2619" s="4" t="s">
        <v>237</v>
      </c>
      <c r="E2619" s="4" t="s">
        <v>4597</v>
      </c>
      <c r="F2619" s="4" t="s">
        <v>4596</v>
      </c>
      <c r="G2619" s="4" t="s">
        <v>2263</v>
      </c>
      <c r="H2619" s="9" t="s">
        <v>2263</v>
      </c>
      <c r="I2619" s="4" t="s">
        <v>2263</v>
      </c>
      <c r="J2619" s="4" t="s">
        <v>2263</v>
      </c>
      <c r="K2619" s="4" t="s">
        <v>2885</v>
      </c>
      <c r="L2619" s="10">
        <v>24</v>
      </c>
      <c r="M2619" s="5">
        <v>602.40909090909099</v>
      </c>
      <c r="N2619" s="5">
        <v>14457.81818181818</v>
      </c>
    </row>
    <row r="2620" spans="1:14" x14ac:dyDescent="0.25">
      <c r="A2620" s="4" t="s">
        <v>2320</v>
      </c>
      <c r="B2620" s="4" t="s">
        <v>4967</v>
      </c>
      <c r="C2620" s="4" t="s">
        <v>2320</v>
      </c>
      <c r="D2620" s="4" t="s">
        <v>242</v>
      </c>
      <c r="E2620" s="4" t="s">
        <v>2410</v>
      </c>
      <c r="F2620" s="4" t="s">
        <v>2409</v>
      </c>
      <c r="G2620" s="4" t="s">
        <v>2263</v>
      </c>
      <c r="H2620" s="9" t="s">
        <v>2263</v>
      </c>
      <c r="I2620" s="4" t="s">
        <v>2317</v>
      </c>
      <c r="J2620" s="4" t="s">
        <v>2316</v>
      </c>
      <c r="K2620" s="4" t="s">
        <v>2263</v>
      </c>
      <c r="L2620" s="10">
        <v>24</v>
      </c>
      <c r="M2620" s="5">
        <v>1874.4585185185185</v>
      </c>
      <c r="N2620" s="5">
        <v>44987.004444444443</v>
      </c>
    </row>
    <row r="2621" spans="1:14" x14ac:dyDescent="0.25">
      <c r="A2621" s="4" t="s">
        <v>2344</v>
      </c>
      <c r="B2621" s="4" t="s">
        <v>5154</v>
      </c>
      <c r="C2621" s="4" t="s">
        <v>2344</v>
      </c>
      <c r="D2621" s="4" t="s">
        <v>237</v>
      </c>
      <c r="E2621" s="4" t="s">
        <v>5455</v>
      </c>
      <c r="F2621" s="4" t="s">
        <v>5454</v>
      </c>
      <c r="G2621" s="4" t="s">
        <v>2263</v>
      </c>
      <c r="H2621" s="9" t="s">
        <v>2263</v>
      </c>
      <c r="I2621" s="4" t="s">
        <v>2263</v>
      </c>
      <c r="J2621" s="4" t="s">
        <v>2263</v>
      </c>
      <c r="K2621" s="4" t="s">
        <v>2871</v>
      </c>
      <c r="L2621" s="10">
        <v>24</v>
      </c>
      <c r="M2621" s="5">
        <v>1955</v>
      </c>
      <c r="N2621" s="5">
        <v>46920</v>
      </c>
    </row>
    <row r="2622" spans="1:14" x14ac:dyDescent="0.25">
      <c r="A2622" s="4" t="s">
        <v>2320</v>
      </c>
      <c r="B2622" s="4" t="s">
        <v>4967</v>
      </c>
      <c r="C2622" s="4" t="s">
        <v>2267</v>
      </c>
      <c r="D2622" s="4" t="s">
        <v>2266</v>
      </c>
      <c r="E2622" s="4" t="s">
        <v>4406</v>
      </c>
      <c r="F2622" s="4" t="s">
        <v>2500</v>
      </c>
      <c r="G2622" s="4" t="s">
        <v>2263</v>
      </c>
      <c r="H2622" s="9" t="s">
        <v>2263</v>
      </c>
      <c r="I2622" s="4" t="s">
        <v>2263</v>
      </c>
      <c r="J2622" s="4" t="s">
        <v>2263</v>
      </c>
      <c r="K2622" s="4" t="s">
        <v>2499</v>
      </c>
      <c r="L2622" s="10">
        <v>24</v>
      </c>
      <c r="M2622" s="5">
        <v>2155.6857786885244</v>
      </c>
      <c r="N2622" s="5">
        <v>51736.458688524588</v>
      </c>
    </row>
    <row r="2623" spans="1:14" x14ac:dyDescent="0.25">
      <c r="A2623" s="4" t="s">
        <v>2317</v>
      </c>
      <c r="B2623" s="4" t="s">
        <v>3839</v>
      </c>
      <c r="C2623" s="4" t="s">
        <v>2320</v>
      </c>
      <c r="D2623" s="4" t="s">
        <v>242</v>
      </c>
      <c r="E2623" s="4" t="s">
        <v>4213</v>
      </c>
      <c r="F2623" s="4" t="s">
        <v>4212</v>
      </c>
      <c r="G2623" s="4" t="s">
        <v>2263</v>
      </c>
      <c r="H2623" s="9" t="s">
        <v>2263</v>
      </c>
      <c r="I2623" s="4" t="s">
        <v>2317</v>
      </c>
      <c r="J2623" s="4" t="s">
        <v>2316</v>
      </c>
      <c r="K2623" s="4" t="s">
        <v>2263</v>
      </c>
      <c r="L2623" s="10">
        <v>24</v>
      </c>
      <c r="M2623" s="5">
        <v>3045.0532142857146</v>
      </c>
      <c r="N2623" s="5">
        <v>73081.277142857143</v>
      </c>
    </row>
    <row r="2624" spans="1:14" x14ac:dyDescent="0.25">
      <c r="A2624" s="4" t="s">
        <v>2344</v>
      </c>
      <c r="B2624" s="4" t="s">
        <v>5154</v>
      </c>
      <c r="C2624" s="4" t="s">
        <v>2320</v>
      </c>
      <c r="D2624" s="4" t="s">
        <v>242</v>
      </c>
      <c r="E2624" s="4" t="s">
        <v>4237</v>
      </c>
      <c r="F2624" s="4" t="s">
        <v>4236</v>
      </c>
      <c r="G2624" s="4" t="s">
        <v>2263</v>
      </c>
      <c r="H2624" s="9" t="s">
        <v>2263</v>
      </c>
      <c r="I2624" s="4" t="s">
        <v>2317</v>
      </c>
      <c r="J2624" s="4" t="s">
        <v>2316</v>
      </c>
      <c r="K2624" s="4" t="s">
        <v>2263</v>
      </c>
      <c r="L2624" s="10">
        <v>24</v>
      </c>
      <c r="M2624" s="5">
        <v>3504.0364035087719</v>
      </c>
      <c r="N2624" s="5">
        <v>84096.873684210528</v>
      </c>
    </row>
    <row r="2625" spans="1:14" x14ac:dyDescent="0.25">
      <c r="A2625" s="4" t="s">
        <v>2317</v>
      </c>
      <c r="B2625" s="4" t="s">
        <v>3839</v>
      </c>
      <c r="C2625" s="4" t="s">
        <v>2320</v>
      </c>
      <c r="D2625" s="4" t="s">
        <v>242</v>
      </c>
      <c r="E2625" s="4" t="s">
        <v>3923</v>
      </c>
      <c r="F2625" s="4" t="s">
        <v>3922</v>
      </c>
      <c r="G2625" s="4" t="s">
        <v>2263</v>
      </c>
      <c r="H2625" s="9" t="s">
        <v>2263</v>
      </c>
      <c r="I2625" s="4" t="s">
        <v>2317</v>
      </c>
      <c r="J2625" s="4" t="s">
        <v>2316</v>
      </c>
      <c r="K2625" s="4" t="s">
        <v>2263</v>
      </c>
      <c r="L2625" s="10">
        <v>24</v>
      </c>
      <c r="M2625" s="5">
        <v>3711.88375</v>
      </c>
      <c r="N2625" s="5">
        <v>89085.21</v>
      </c>
    </row>
    <row r="2626" spans="1:14" x14ac:dyDescent="0.25">
      <c r="A2626" s="4" t="s">
        <v>2317</v>
      </c>
      <c r="B2626" s="4" t="s">
        <v>3839</v>
      </c>
      <c r="C2626" s="4" t="s">
        <v>2320</v>
      </c>
      <c r="D2626" s="4" t="s">
        <v>242</v>
      </c>
      <c r="E2626" s="4" t="s">
        <v>3873</v>
      </c>
      <c r="F2626" s="4" t="s">
        <v>3872</v>
      </c>
      <c r="G2626" s="4" t="s">
        <v>2263</v>
      </c>
      <c r="H2626" s="9" t="s">
        <v>2263</v>
      </c>
      <c r="I2626" s="4" t="s">
        <v>2317</v>
      </c>
      <c r="J2626" s="4" t="s">
        <v>2316</v>
      </c>
      <c r="K2626" s="4" t="s">
        <v>2263</v>
      </c>
      <c r="L2626" s="10">
        <v>24</v>
      </c>
      <c r="M2626" s="5">
        <v>4398.5443333333333</v>
      </c>
      <c r="N2626" s="5">
        <v>105565.064</v>
      </c>
    </row>
    <row r="2627" spans="1:14" x14ac:dyDescent="0.25">
      <c r="A2627" s="4" t="s">
        <v>2317</v>
      </c>
      <c r="B2627" s="4" t="s">
        <v>3839</v>
      </c>
      <c r="C2627" s="4" t="s">
        <v>2320</v>
      </c>
      <c r="D2627" s="4" t="s">
        <v>242</v>
      </c>
      <c r="E2627" s="4" t="s">
        <v>3945</v>
      </c>
      <c r="F2627" s="4" t="s">
        <v>3944</v>
      </c>
      <c r="G2627" s="4" t="s">
        <v>2263</v>
      </c>
      <c r="H2627" s="9" t="s">
        <v>2263</v>
      </c>
      <c r="I2627" s="4" t="s">
        <v>2317</v>
      </c>
      <c r="J2627" s="4" t="s">
        <v>2316</v>
      </c>
      <c r="K2627" s="4" t="s">
        <v>2263</v>
      </c>
      <c r="L2627" s="10">
        <v>24</v>
      </c>
      <c r="M2627" s="5">
        <v>4553.4851515151513</v>
      </c>
      <c r="N2627" s="5">
        <v>109283.64363636365</v>
      </c>
    </row>
    <row r="2628" spans="1:14" x14ac:dyDescent="0.25">
      <c r="A2628" s="4" t="s">
        <v>2320</v>
      </c>
      <c r="B2628" s="4" t="s">
        <v>4967</v>
      </c>
      <c r="C2628" s="4" t="s">
        <v>2320</v>
      </c>
      <c r="D2628" s="4" t="s">
        <v>242</v>
      </c>
      <c r="E2628" s="4" t="s">
        <v>4991</v>
      </c>
      <c r="F2628" s="4" t="s">
        <v>4990</v>
      </c>
      <c r="G2628" s="4" t="s">
        <v>2263</v>
      </c>
      <c r="H2628" s="9" t="s">
        <v>2263</v>
      </c>
      <c r="I2628" s="4" t="s">
        <v>2317</v>
      </c>
      <c r="J2628" s="4" t="s">
        <v>2316</v>
      </c>
      <c r="K2628" s="4" t="s">
        <v>2263</v>
      </c>
      <c r="L2628" s="10">
        <v>24</v>
      </c>
      <c r="M2628" s="5">
        <v>5266.5013636363628</v>
      </c>
      <c r="N2628" s="5">
        <v>126396.03272727272</v>
      </c>
    </row>
    <row r="2629" spans="1:14" x14ac:dyDescent="0.25">
      <c r="A2629" s="4" t="s">
        <v>2317</v>
      </c>
      <c r="B2629" s="4" t="s">
        <v>3839</v>
      </c>
      <c r="C2629" s="4" t="s">
        <v>2320</v>
      </c>
      <c r="D2629" s="4" t="s">
        <v>242</v>
      </c>
      <c r="E2629" s="4" t="s">
        <v>3915</v>
      </c>
      <c r="F2629" s="4" t="s">
        <v>3914</v>
      </c>
      <c r="G2629" s="4" t="s">
        <v>2263</v>
      </c>
      <c r="H2629" s="9" t="s">
        <v>2263</v>
      </c>
      <c r="I2629" s="4" t="s">
        <v>2317</v>
      </c>
      <c r="J2629" s="4" t="s">
        <v>2316</v>
      </c>
      <c r="K2629" s="4" t="s">
        <v>2263</v>
      </c>
      <c r="L2629" s="10">
        <v>24</v>
      </c>
      <c r="M2629" s="5">
        <v>5912</v>
      </c>
      <c r="N2629" s="5">
        <v>141888</v>
      </c>
    </row>
    <row r="2630" spans="1:14" x14ac:dyDescent="0.25">
      <c r="A2630" s="4" t="s">
        <v>2317</v>
      </c>
      <c r="B2630" s="4" t="s">
        <v>3839</v>
      </c>
      <c r="C2630" s="4" t="s">
        <v>2320</v>
      </c>
      <c r="D2630" s="4" t="s">
        <v>242</v>
      </c>
      <c r="E2630" s="4" t="s">
        <v>3979</v>
      </c>
      <c r="F2630" s="4" t="s">
        <v>3978</v>
      </c>
      <c r="G2630" s="4" t="s">
        <v>2263</v>
      </c>
      <c r="H2630" s="9" t="s">
        <v>2263</v>
      </c>
      <c r="I2630" s="4" t="s">
        <v>2317</v>
      </c>
      <c r="J2630" s="4" t="s">
        <v>2316</v>
      </c>
      <c r="K2630" s="4" t="s">
        <v>2263</v>
      </c>
      <c r="L2630" s="10">
        <v>24</v>
      </c>
      <c r="M2630" s="5">
        <v>6398.5135135135142</v>
      </c>
      <c r="N2630" s="5">
        <v>153564.32432432432</v>
      </c>
    </row>
    <row r="2631" spans="1:14" x14ac:dyDescent="0.25">
      <c r="A2631" s="4" t="s">
        <v>2317</v>
      </c>
      <c r="B2631" s="4" t="s">
        <v>3839</v>
      </c>
      <c r="C2631" s="4" t="s">
        <v>2320</v>
      </c>
      <c r="D2631" s="4" t="s">
        <v>242</v>
      </c>
      <c r="E2631" s="4" t="s">
        <v>3937</v>
      </c>
      <c r="F2631" s="4" t="s">
        <v>3936</v>
      </c>
      <c r="G2631" s="4" t="s">
        <v>2263</v>
      </c>
      <c r="H2631" s="9" t="s">
        <v>2263</v>
      </c>
      <c r="I2631" s="4" t="s">
        <v>2317</v>
      </c>
      <c r="J2631" s="4" t="s">
        <v>2316</v>
      </c>
      <c r="K2631" s="4" t="s">
        <v>2263</v>
      </c>
      <c r="L2631" s="10">
        <v>24</v>
      </c>
      <c r="M2631" s="5">
        <v>7053.9473684210525</v>
      </c>
      <c r="N2631" s="5">
        <v>169294.73684210525</v>
      </c>
    </row>
    <row r="2632" spans="1:14" x14ac:dyDescent="0.25">
      <c r="A2632" s="4" t="s">
        <v>2317</v>
      </c>
      <c r="B2632" s="4" t="s">
        <v>3839</v>
      </c>
      <c r="C2632" s="4" t="s">
        <v>2320</v>
      </c>
      <c r="D2632" s="4" t="s">
        <v>242</v>
      </c>
      <c r="E2632" s="4" t="s">
        <v>3907</v>
      </c>
      <c r="F2632" s="4" t="s">
        <v>3906</v>
      </c>
      <c r="G2632" s="4" t="s">
        <v>2263</v>
      </c>
      <c r="H2632" s="9" t="s">
        <v>2263</v>
      </c>
      <c r="I2632" s="4" t="s">
        <v>2317</v>
      </c>
      <c r="J2632" s="4" t="s">
        <v>2316</v>
      </c>
      <c r="K2632" s="4" t="s">
        <v>2263</v>
      </c>
      <c r="L2632" s="10">
        <v>24</v>
      </c>
      <c r="M2632" s="5">
        <v>7120.3655555555551</v>
      </c>
      <c r="N2632" s="5">
        <v>170888.77333333332</v>
      </c>
    </row>
    <row r="2633" spans="1:14" x14ac:dyDescent="0.25">
      <c r="A2633" s="4" t="s">
        <v>2320</v>
      </c>
      <c r="B2633" s="4" t="s">
        <v>4967</v>
      </c>
      <c r="C2633" s="4" t="s">
        <v>2344</v>
      </c>
      <c r="D2633" s="4" t="s">
        <v>237</v>
      </c>
      <c r="E2633" s="4" t="s">
        <v>5143</v>
      </c>
      <c r="F2633" s="4" t="s">
        <v>2474</v>
      </c>
      <c r="G2633" s="4" t="s">
        <v>2263</v>
      </c>
      <c r="H2633" s="9" t="s">
        <v>2263</v>
      </c>
      <c r="I2633" s="4" t="s">
        <v>2263</v>
      </c>
      <c r="J2633" s="4" t="s">
        <v>2263</v>
      </c>
      <c r="K2633" s="4" t="s">
        <v>2473</v>
      </c>
      <c r="L2633" s="10">
        <v>24</v>
      </c>
      <c r="M2633" s="5">
        <v>7500.3418181818188</v>
      </c>
      <c r="N2633" s="5">
        <v>180008.20363636364</v>
      </c>
    </row>
    <row r="2634" spans="1:14" x14ac:dyDescent="0.25">
      <c r="A2634" s="4" t="s">
        <v>2317</v>
      </c>
      <c r="B2634" s="4" t="s">
        <v>3839</v>
      </c>
      <c r="C2634" s="4" t="s">
        <v>2320</v>
      </c>
      <c r="D2634" s="4" t="s">
        <v>242</v>
      </c>
      <c r="E2634" s="4" t="s">
        <v>4155</v>
      </c>
      <c r="F2634" s="4" t="s">
        <v>4154</v>
      </c>
      <c r="G2634" s="4" t="s">
        <v>2263</v>
      </c>
      <c r="H2634" s="9" t="s">
        <v>2263</v>
      </c>
      <c r="I2634" s="4" t="s">
        <v>2317</v>
      </c>
      <c r="J2634" s="4" t="s">
        <v>2316</v>
      </c>
      <c r="K2634" s="4" t="s">
        <v>2263</v>
      </c>
      <c r="L2634" s="10">
        <v>24</v>
      </c>
      <c r="M2634" s="5">
        <v>8010.6979411764705</v>
      </c>
      <c r="N2634" s="5">
        <v>192256.75058823527</v>
      </c>
    </row>
    <row r="2635" spans="1:14" x14ac:dyDescent="0.25">
      <c r="A2635" s="4" t="s">
        <v>2320</v>
      </c>
      <c r="B2635" s="4" t="s">
        <v>4967</v>
      </c>
      <c r="C2635" s="4" t="s">
        <v>2320</v>
      </c>
      <c r="D2635" s="4" t="s">
        <v>242</v>
      </c>
      <c r="E2635" s="4" t="s">
        <v>3911</v>
      </c>
      <c r="F2635" s="4" t="s">
        <v>3910</v>
      </c>
      <c r="G2635" s="4" t="s">
        <v>2263</v>
      </c>
      <c r="H2635" s="9" t="s">
        <v>2263</v>
      </c>
      <c r="I2635" s="4" t="s">
        <v>2317</v>
      </c>
      <c r="J2635" s="4" t="s">
        <v>2316</v>
      </c>
      <c r="K2635" s="4" t="s">
        <v>2263</v>
      </c>
      <c r="L2635" s="10">
        <v>24</v>
      </c>
      <c r="M2635" s="5">
        <v>8908.5088372093014</v>
      </c>
      <c r="N2635" s="5">
        <v>213804.21209302329</v>
      </c>
    </row>
    <row r="2636" spans="1:14" x14ac:dyDescent="0.25">
      <c r="A2636" s="4" t="s">
        <v>2317</v>
      </c>
      <c r="B2636" s="4" t="s">
        <v>3839</v>
      </c>
      <c r="C2636" s="4" t="s">
        <v>2320</v>
      </c>
      <c r="D2636" s="4" t="s">
        <v>242</v>
      </c>
      <c r="E2636" s="4" t="s">
        <v>3963</v>
      </c>
      <c r="F2636" s="4" t="s">
        <v>3962</v>
      </c>
      <c r="G2636" s="4" t="s">
        <v>2263</v>
      </c>
      <c r="H2636" s="9" t="s">
        <v>2263</v>
      </c>
      <c r="I2636" s="4" t="s">
        <v>2317</v>
      </c>
      <c r="J2636" s="4" t="s">
        <v>2316</v>
      </c>
      <c r="K2636" s="4" t="s">
        <v>2263</v>
      </c>
      <c r="L2636" s="10">
        <v>24</v>
      </c>
      <c r="M2636" s="5">
        <v>8998.1188888888901</v>
      </c>
      <c r="N2636" s="5">
        <v>215954.85333333333</v>
      </c>
    </row>
    <row r="2637" spans="1:14" x14ac:dyDescent="0.25">
      <c r="A2637" s="4" t="s">
        <v>2317</v>
      </c>
      <c r="B2637" s="4" t="s">
        <v>3839</v>
      </c>
      <c r="C2637" s="4" t="s">
        <v>2320</v>
      </c>
      <c r="D2637" s="4" t="s">
        <v>242</v>
      </c>
      <c r="E2637" s="4" t="s">
        <v>3957</v>
      </c>
      <c r="F2637" s="4" t="s">
        <v>3956</v>
      </c>
      <c r="G2637" s="4" t="s">
        <v>2263</v>
      </c>
      <c r="H2637" s="9" t="s">
        <v>2263</v>
      </c>
      <c r="I2637" s="4" t="s">
        <v>2317</v>
      </c>
      <c r="J2637" s="4" t="s">
        <v>2316</v>
      </c>
      <c r="K2637" s="4" t="s">
        <v>2263</v>
      </c>
      <c r="L2637" s="10">
        <v>24</v>
      </c>
      <c r="M2637" s="5">
        <v>9973.8160465116289</v>
      </c>
      <c r="N2637" s="5">
        <v>239371.58511627908</v>
      </c>
    </row>
    <row r="2638" spans="1:14" x14ac:dyDescent="0.25">
      <c r="A2638" s="4" t="s">
        <v>2819</v>
      </c>
      <c r="B2638" s="4" t="s">
        <v>2818</v>
      </c>
      <c r="C2638" s="4" t="s">
        <v>2320</v>
      </c>
      <c r="D2638" s="4" t="s">
        <v>242</v>
      </c>
      <c r="E2638" s="4" t="s">
        <v>2833</v>
      </c>
      <c r="F2638" s="4" t="s">
        <v>2832</v>
      </c>
      <c r="G2638" s="4" t="s">
        <v>2263</v>
      </c>
      <c r="H2638" s="9" t="s">
        <v>2263</v>
      </c>
      <c r="I2638" s="4" t="s">
        <v>2317</v>
      </c>
      <c r="J2638" s="4" t="s">
        <v>2316</v>
      </c>
      <c r="K2638" s="4" t="s">
        <v>2263</v>
      </c>
      <c r="L2638" s="10">
        <v>24</v>
      </c>
      <c r="M2638" s="5">
        <v>10030.552222222221</v>
      </c>
      <c r="N2638" s="5">
        <v>240733.25333333333</v>
      </c>
    </row>
    <row r="2639" spans="1:14" x14ac:dyDescent="0.25">
      <c r="A2639" s="4" t="s">
        <v>2320</v>
      </c>
      <c r="B2639" s="4" t="s">
        <v>4967</v>
      </c>
      <c r="C2639" s="4" t="s">
        <v>2320</v>
      </c>
      <c r="D2639" s="4" t="s">
        <v>242</v>
      </c>
      <c r="E2639" s="4" t="s">
        <v>3139</v>
      </c>
      <c r="F2639" s="4" t="s">
        <v>3138</v>
      </c>
      <c r="G2639" s="4" t="s">
        <v>2263</v>
      </c>
      <c r="H2639" s="9" t="s">
        <v>2263</v>
      </c>
      <c r="I2639" s="4" t="s">
        <v>2317</v>
      </c>
      <c r="J2639" s="4" t="s">
        <v>2316</v>
      </c>
      <c r="K2639" s="4" t="s">
        <v>2263</v>
      </c>
      <c r="L2639" s="10">
        <v>24</v>
      </c>
      <c r="M2639" s="5">
        <v>11246.598666666669</v>
      </c>
      <c r="N2639" s="5">
        <v>269918.36800000002</v>
      </c>
    </row>
    <row r="2640" spans="1:14" x14ac:dyDescent="0.25">
      <c r="A2640" s="4" t="s">
        <v>2819</v>
      </c>
      <c r="B2640" s="4" t="s">
        <v>2818</v>
      </c>
      <c r="C2640" s="4" t="s">
        <v>2320</v>
      </c>
      <c r="D2640" s="4" t="s">
        <v>242</v>
      </c>
      <c r="E2640" s="4" t="s">
        <v>2823</v>
      </c>
      <c r="F2640" s="4" t="s">
        <v>2822</v>
      </c>
      <c r="G2640" s="4" t="s">
        <v>2263</v>
      </c>
      <c r="H2640" s="9" t="s">
        <v>2263</v>
      </c>
      <c r="I2640" s="4" t="s">
        <v>2317</v>
      </c>
      <c r="J2640" s="4" t="s">
        <v>2316</v>
      </c>
      <c r="K2640" s="4" t="s">
        <v>2263</v>
      </c>
      <c r="L2640" s="10">
        <v>24</v>
      </c>
      <c r="M2640" s="5">
        <v>12324.101428571428</v>
      </c>
      <c r="N2640" s="5">
        <v>295778.43428571429</v>
      </c>
    </row>
    <row r="2641" spans="1:14" x14ac:dyDescent="0.25">
      <c r="A2641" s="4" t="s">
        <v>2274</v>
      </c>
      <c r="B2641" s="4" t="s">
        <v>4348</v>
      </c>
      <c r="C2641" s="4" t="s">
        <v>2481</v>
      </c>
      <c r="D2641" s="4" t="s">
        <v>2480</v>
      </c>
      <c r="E2641" s="4" t="s">
        <v>4370</v>
      </c>
      <c r="F2641" s="4" t="s">
        <v>4369</v>
      </c>
      <c r="G2641" s="4" t="s">
        <v>2263</v>
      </c>
      <c r="H2641" s="9" t="s">
        <v>2263</v>
      </c>
      <c r="I2641" s="4" t="s">
        <v>2263</v>
      </c>
      <c r="J2641" s="4" t="s">
        <v>2263</v>
      </c>
      <c r="K2641" s="4" t="s">
        <v>2485</v>
      </c>
      <c r="L2641" s="10">
        <v>24</v>
      </c>
      <c r="M2641" s="5">
        <v>14169.398064516128</v>
      </c>
      <c r="N2641" s="5">
        <v>340065.55354838714</v>
      </c>
    </row>
    <row r="2642" spans="1:14" x14ac:dyDescent="0.25">
      <c r="A2642" s="4" t="s">
        <v>2344</v>
      </c>
      <c r="B2642" s="4" t="s">
        <v>5154</v>
      </c>
      <c r="C2642" s="4" t="s">
        <v>2317</v>
      </c>
      <c r="D2642" s="4" t="s">
        <v>2516</v>
      </c>
      <c r="E2642" s="4" t="s">
        <v>5210</v>
      </c>
      <c r="F2642" s="4" t="s">
        <v>2517</v>
      </c>
      <c r="G2642" s="4" t="s">
        <v>2263</v>
      </c>
      <c r="H2642" s="9" t="s">
        <v>2263</v>
      </c>
      <c r="I2642" s="4" t="s">
        <v>2263</v>
      </c>
      <c r="J2642" s="4" t="s">
        <v>2263</v>
      </c>
      <c r="K2642" s="4" t="s">
        <v>2514</v>
      </c>
      <c r="L2642" s="10">
        <v>24</v>
      </c>
      <c r="M2642" s="5">
        <v>14382.528333333334</v>
      </c>
      <c r="N2642" s="5">
        <v>345180.68</v>
      </c>
    </row>
    <row r="2643" spans="1:14" x14ac:dyDescent="0.25">
      <c r="A2643" s="4" t="s">
        <v>2274</v>
      </c>
      <c r="B2643" s="4" t="s">
        <v>4348</v>
      </c>
      <c r="C2643" s="4" t="s">
        <v>2344</v>
      </c>
      <c r="D2643" s="4" t="s">
        <v>237</v>
      </c>
      <c r="E2643" s="4" t="s">
        <v>4738</v>
      </c>
      <c r="F2643" s="4" t="s">
        <v>2572</v>
      </c>
      <c r="G2643" s="4" t="s">
        <v>2263</v>
      </c>
      <c r="H2643" s="9" t="s">
        <v>2263</v>
      </c>
      <c r="I2643" s="4" t="s">
        <v>2263</v>
      </c>
      <c r="J2643" s="4" t="s">
        <v>2263</v>
      </c>
      <c r="K2643" s="4" t="s">
        <v>2554</v>
      </c>
      <c r="L2643" s="10">
        <v>24</v>
      </c>
      <c r="M2643" s="5">
        <v>20000.333333333332</v>
      </c>
      <c r="N2643" s="5">
        <v>480008</v>
      </c>
    </row>
    <row r="2644" spans="1:14" x14ac:dyDescent="0.25">
      <c r="A2644" s="4" t="s">
        <v>2653</v>
      </c>
      <c r="B2644" s="4" t="s">
        <v>3226</v>
      </c>
      <c r="C2644" s="4" t="s">
        <v>3203</v>
      </c>
      <c r="D2644" s="4" t="s">
        <v>256</v>
      </c>
      <c r="E2644" s="4" t="s">
        <v>3596</v>
      </c>
      <c r="F2644" s="4" t="s">
        <v>3595</v>
      </c>
      <c r="G2644" s="4" t="s">
        <v>2263</v>
      </c>
      <c r="H2644" s="9" t="s">
        <v>2263</v>
      </c>
      <c r="I2644" s="4" t="s">
        <v>2317</v>
      </c>
      <c r="J2644" s="4" t="s">
        <v>2316</v>
      </c>
      <c r="K2644" s="4" t="s">
        <v>2263</v>
      </c>
      <c r="L2644" s="10">
        <v>24</v>
      </c>
      <c r="M2644" s="5">
        <v>42181.124999999993</v>
      </c>
      <c r="N2644" s="5">
        <v>1012347</v>
      </c>
    </row>
    <row r="2645" spans="1:14" x14ac:dyDescent="0.25">
      <c r="A2645" s="4" t="s">
        <v>2317</v>
      </c>
      <c r="B2645" s="4" t="s">
        <v>3839</v>
      </c>
      <c r="C2645" s="4" t="s">
        <v>2320</v>
      </c>
      <c r="D2645" s="4" t="s">
        <v>242</v>
      </c>
      <c r="E2645" s="4" t="s">
        <v>3991</v>
      </c>
      <c r="F2645" s="4" t="s">
        <v>3990</v>
      </c>
      <c r="G2645" s="4" t="s">
        <v>2263</v>
      </c>
      <c r="H2645" s="9" t="s">
        <v>2263</v>
      </c>
      <c r="I2645" s="4" t="s">
        <v>2317</v>
      </c>
      <c r="J2645" s="4" t="s">
        <v>2316</v>
      </c>
      <c r="K2645" s="4" t="s">
        <v>2263</v>
      </c>
      <c r="L2645" s="10">
        <v>24</v>
      </c>
      <c r="M2645" s="5">
        <v>42941.869189189187</v>
      </c>
      <c r="N2645" s="5">
        <v>1030604.8605405404</v>
      </c>
    </row>
    <row r="2646" spans="1:14" x14ac:dyDescent="0.25">
      <c r="A2646" s="4" t="s">
        <v>2653</v>
      </c>
      <c r="B2646" s="4" t="s">
        <v>3226</v>
      </c>
      <c r="C2646" s="4" t="s">
        <v>2384</v>
      </c>
      <c r="D2646" s="4" t="s">
        <v>262</v>
      </c>
      <c r="E2646" s="4" t="s">
        <v>3384</v>
      </c>
      <c r="F2646" s="4" t="s">
        <v>3383</v>
      </c>
      <c r="G2646" s="4" t="s">
        <v>2263</v>
      </c>
      <c r="H2646" s="9" t="s">
        <v>2263</v>
      </c>
      <c r="I2646" s="4" t="s">
        <v>2317</v>
      </c>
      <c r="J2646" s="4" t="s">
        <v>2316</v>
      </c>
      <c r="K2646" s="4" t="s">
        <v>2263</v>
      </c>
      <c r="L2646" s="10">
        <v>24</v>
      </c>
      <c r="M2646" s="5">
        <v>72631.75</v>
      </c>
      <c r="N2646" s="5">
        <v>1743162</v>
      </c>
    </row>
    <row r="2647" spans="1:14" x14ac:dyDescent="0.25">
      <c r="A2647" s="4" t="s">
        <v>2653</v>
      </c>
      <c r="B2647" s="4" t="s">
        <v>3226</v>
      </c>
      <c r="C2647" s="4" t="s">
        <v>2384</v>
      </c>
      <c r="D2647" s="4" t="s">
        <v>262</v>
      </c>
      <c r="E2647" s="4" t="s">
        <v>3436</v>
      </c>
      <c r="F2647" s="4" t="s">
        <v>3435</v>
      </c>
      <c r="G2647" s="4" t="s">
        <v>2263</v>
      </c>
      <c r="H2647" s="9" t="s">
        <v>2263</v>
      </c>
      <c r="I2647" s="4" t="s">
        <v>2317</v>
      </c>
      <c r="J2647" s="4" t="s">
        <v>2316</v>
      </c>
      <c r="K2647" s="4" t="s">
        <v>2263</v>
      </c>
      <c r="L2647" s="10">
        <v>24</v>
      </c>
      <c r="M2647" s="5">
        <v>128299.16666666667</v>
      </c>
      <c r="N2647" s="5">
        <v>3079180</v>
      </c>
    </row>
    <row r="2648" spans="1:14" x14ac:dyDescent="0.25">
      <c r="A2648" s="4" t="s">
        <v>2267</v>
      </c>
      <c r="B2648" s="4" t="s">
        <v>3838</v>
      </c>
      <c r="C2648" s="4" t="s">
        <v>2320</v>
      </c>
      <c r="D2648" s="4" t="s">
        <v>242</v>
      </c>
      <c r="E2648" s="4" t="s">
        <v>2984</v>
      </c>
      <c r="F2648" s="4" t="s">
        <v>2983</v>
      </c>
      <c r="G2648" s="4" t="s">
        <v>2263</v>
      </c>
      <c r="H2648" s="9" t="s">
        <v>2263</v>
      </c>
      <c r="I2648" s="4" t="s">
        <v>2317</v>
      </c>
      <c r="J2648" s="4" t="s">
        <v>2316</v>
      </c>
      <c r="K2648" s="4" t="s">
        <v>2263</v>
      </c>
      <c r="L2648" s="10">
        <v>24</v>
      </c>
      <c r="M2648" s="5">
        <v>131177.4588372093</v>
      </c>
      <c r="N2648" s="5">
        <v>3148259.0120930234</v>
      </c>
    </row>
    <row r="2649" spans="1:14" x14ac:dyDescent="0.25">
      <c r="A2649" s="4" t="s">
        <v>2355</v>
      </c>
      <c r="B2649" s="4" t="s">
        <v>2354</v>
      </c>
      <c r="C2649" s="4" t="s">
        <v>2320</v>
      </c>
      <c r="D2649" s="4" t="s">
        <v>242</v>
      </c>
      <c r="E2649" s="4" t="s">
        <v>2368</v>
      </c>
      <c r="F2649" s="4" t="s">
        <v>2367</v>
      </c>
      <c r="G2649" s="4" t="s">
        <v>2263</v>
      </c>
      <c r="H2649" s="9" t="s">
        <v>2263</v>
      </c>
      <c r="I2649" s="4" t="s">
        <v>2317</v>
      </c>
      <c r="J2649" s="4" t="s">
        <v>2316</v>
      </c>
      <c r="K2649" s="4" t="s">
        <v>2263</v>
      </c>
      <c r="L2649" s="10">
        <v>25</v>
      </c>
      <c r="M2649" s="5">
        <v>789.38775295663606</v>
      </c>
      <c r="N2649" s="5">
        <v>19734.693823915899</v>
      </c>
    </row>
    <row r="2650" spans="1:14" x14ac:dyDescent="0.25">
      <c r="A2650" s="4" t="s">
        <v>2317</v>
      </c>
      <c r="B2650" s="4" t="s">
        <v>3839</v>
      </c>
      <c r="C2650" s="4" t="s">
        <v>2320</v>
      </c>
      <c r="D2650" s="4" t="s">
        <v>242</v>
      </c>
      <c r="E2650" s="4" t="s">
        <v>4199</v>
      </c>
      <c r="F2650" s="4" t="s">
        <v>4198</v>
      </c>
      <c r="G2650" s="4" t="s">
        <v>2263</v>
      </c>
      <c r="H2650" s="9" t="s">
        <v>2263</v>
      </c>
      <c r="I2650" s="4" t="s">
        <v>2317</v>
      </c>
      <c r="J2650" s="4" t="s">
        <v>2316</v>
      </c>
      <c r="K2650" s="4" t="s">
        <v>2263</v>
      </c>
      <c r="L2650" s="10">
        <v>25</v>
      </c>
      <c r="M2650" s="5">
        <v>923.2431578947369</v>
      </c>
      <c r="N2650" s="5">
        <v>23081.07894736842</v>
      </c>
    </row>
    <row r="2651" spans="1:14" x14ac:dyDescent="0.25">
      <c r="A2651" s="4" t="s">
        <v>2344</v>
      </c>
      <c r="B2651" s="4" t="s">
        <v>5154</v>
      </c>
      <c r="C2651" s="4" t="s">
        <v>2344</v>
      </c>
      <c r="D2651" s="4" t="s">
        <v>237</v>
      </c>
      <c r="E2651" s="4" t="s">
        <v>5500</v>
      </c>
      <c r="F2651" s="4" t="s">
        <v>4669</v>
      </c>
      <c r="G2651" s="4" t="s">
        <v>2263</v>
      </c>
      <c r="H2651" s="9" t="s">
        <v>2263</v>
      </c>
      <c r="I2651" s="4" t="s">
        <v>2263</v>
      </c>
      <c r="J2651" s="4" t="s">
        <v>2263</v>
      </c>
      <c r="K2651" s="4" t="s">
        <v>4668</v>
      </c>
      <c r="L2651" s="10">
        <v>25</v>
      </c>
      <c r="M2651" s="5">
        <v>964</v>
      </c>
      <c r="N2651" s="5">
        <v>24100</v>
      </c>
    </row>
    <row r="2652" spans="1:14" x14ac:dyDescent="0.25">
      <c r="A2652" s="4" t="s">
        <v>2344</v>
      </c>
      <c r="B2652" s="4" t="s">
        <v>5154</v>
      </c>
      <c r="C2652" s="4" t="s">
        <v>2320</v>
      </c>
      <c r="D2652" s="4" t="s">
        <v>242</v>
      </c>
      <c r="E2652" s="4" t="s">
        <v>3153</v>
      </c>
      <c r="F2652" s="4" t="s">
        <v>3152</v>
      </c>
      <c r="G2652" s="4" t="s">
        <v>2263</v>
      </c>
      <c r="H2652" s="9" t="s">
        <v>2263</v>
      </c>
      <c r="I2652" s="4" t="s">
        <v>2317</v>
      </c>
      <c r="J2652" s="4" t="s">
        <v>2316</v>
      </c>
      <c r="K2652" s="4" t="s">
        <v>2263</v>
      </c>
      <c r="L2652" s="10">
        <v>25</v>
      </c>
      <c r="M2652" s="5">
        <v>1195.9290592334494</v>
      </c>
      <c r="N2652" s="5">
        <v>29898.226480836242</v>
      </c>
    </row>
    <row r="2653" spans="1:14" x14ac:dyDescent="0.25">
      <c r="A2653" s="4" t="s">
        <v>2344</v>
      </c>
      <c r="B2653" s="4" t="s">
        <v>5154</v>
      </c>
      <c r="C2653" s="4" t="s">
        <v>2267</v>
      </c>
      <c r="D2653" s="4" t="s">
        <v>2266</v>
      </c>
      <c r="E2653" s="4" t="s">
        <v>4431</v>
      </c>
      <c r="F2653" s="4" t="s">
        <v>2498</v>
      </c>
      <c r="G2653" s="4" t="s">
        <v>2263</v>
      </c>
      <c r="H2653" s="9" t="s">
        <v>2263</v>
      </c>
      <c r="I2653" s="4" t="s">
        <v>2263</v>
      </c>
      <c r="J2653" s="4" t="s">
        <v>2263</v>
      </c>
      <c r="K2653" s="4" t="s">
        <v>2497</v>
      </c>
      <c r="L2653" s="10">
        <v>25</v>
      </c>
      <c r="M2653" s="5">
        <v>2625.7853225806452</v>
      </c>
      <c r="N2653" s="5">
        <v>65644.633064516136</v>
      </c>
    </row>
    <row r="2654" spans="1:14" x14ac:dyDescent="0.25">
      <c r="A2654" s="4" t="s">
        <v>2320</v>
      </c>
      <c r="B2654" s="4" t="s">
        <v>4967</v>
      </c>
      <c r="C2654" s="4" t="s">
        <v>2344</v>
      </c>
      <c r="D2654" s="4" t="s">
        <v>237</v>
      </c>
      <c r="E2654" s="4" t="s">
        <v>2378</v>
      </c>
      <c r="F2654" s="4" t="s">
        <v>2377</v>
      </c>
      <c r="G2654" s="4" t="s">
        <v>2263</v>
      </c>
      <c r="H2654" s="9" t="s">
        <v>2263</v>
      </c>
      <c r="I2654" s="4" t="s">
        <v>2263</v>
      </c>
      <c r="J2654" s="4" t="s">
        <v>2263</v>
      </c>
      <c r="K2654" s="4" t="s">
        <v>2376</v>
      </c>
      <c r="L2654" s="10">
        <v>25</v>
      </c>
      <c r="M2654" s="5">
        <v>2635.2512459283389</v>
      </c>
      <c r="N2654" s="5">
        <v>65881.281148208465</v>
      </c>
    </row>
    <row r="2655" spans="1:14" x14ac:dyDescent="0.25">
      <c r="A2655" s="4" t="s">
        <v>2344</v>
      </c>
      <c r="B2655" s="4" t="s">
        <v>5154</v>
      </c>
      <c r="C2655" s="4" t="s">
        <v>2320</v>
      </c>
      <c r="D2655" s="4" t="s">
        <v>242</v>
      </c>
      <c r="E2655" s="4" t="s">
        <v>2897</v>
      </c>
      <c r="F2655" s="4" t="s">
        <v>2896</v>
      </c>
      <c r="G2655" s="4" t="s">
        <v>2263</v>
      </c>
      <c r="H2655" s="9" t="s">
        <v>2263</v>
      </c>
      <c r="I2655" s="4" t="s">
        <v>2317</v>
      </c>
      <c r="J2655" s="4" t="s">
        <v>2316</v>
      </c>
      <c r="K2655" s="4" t="s">
        <v>2263</v>
      </c>
      <c r="L2655" s="10">
        <v>25</v>
      </c>
      <c r="M2655" s="5">
        <v>2641.6159235668792</v>
      </c>
      <c r="N2655" s="5">
        <v>66040.398089171969</v>
      </c>
    </row>
    <row r="2656" spans="1:14" x14ac:dyDescent="0.25">
      <c r="A2656" s="4" t="s">
        <v>2344</v>
      </c>
      <c r="B2656" s="4" t="s">
        <v>5154</v>
      </c>
      <c r="C2656" s="4" t="s">
        <v>2317</v>
      </c>
      <c r="D2656" s="4" t="s">
        <v>2516</v>
      </c>
      <c r="E2656" s="4" t="s">
        <v>4433</v>
      </c>
      <c r="F2656" s="4" t="s">
        <v>4432</v>
      </c>
      <c r="G2656" s="4" t="s">
        <v>2263</v>
      </c>
      <c r="H2656" s="9" t="s">
        <v>2263</v>
      </c>
      <c r="I2656" s="4" t="s">
        <v>2263</v>
      </c>
      <c r="J2656" s="4" t="s">
        <v>2263</v>
      </c>
      <c r="K2656" s="4" t="s">
        <v>2545</v>
      </c>
      <c r="L2656" s="10">
        <v>25</v>
      </c>
      <c r="M2656" s="5">
        <v>3137.4807272727271</v>
      </c>
      <c r="N2656" s="5">
        <v>78437.018181818174</v>
      </c>
    </row>
    <row r="2657" spans="1:14" x14ac:dyDescent="0.25">
      <c r="A2657" s="4" t="s">
        <v>2317</v>
      </c>
      <c r="B2657" s="4" t="s">
        <v>3839</v>
      </c>
      <c r="C2657" s="4" t="s">
        <v>2320</v>
      </c>
      <c r="D2657" s="4" t="s">
        <v>242</v>
      </c>
      <c r="E2657" s="4" t="s">
        <v>3847</v>
      </c>
      <c r="F2657" s="4" t="s">
        <v>3846</v>
      </c>
      <c r="G2657" s="4" t="s">
        <v>2263</v>
      </c>
      <c r="H2657" s="9" t="s">
        <v>2263</v>
      </c>
      <c r="I2657" s="4" t="s">
        <v>2317</v>
      </c>
      <c r="J2657" s="4" t="s">
        <v>2316</v>
      </c>
      <c r="K2657" s="4" t="s">
        <v>2263</v>
      </c>
      <c r="L2657" s="10">
        <v>25</v>
      </c>
      <c r="M2657" s="5">
        <v>4369.3103448275861</v>
      </c>
      <c r="N2657" s="5">
        <v>109232.75862068967</v>
      </c>
    </row>
    <row r="2658" spans="1:14" x14ac:dyDescent="0.25">
      <c r="A2658" s="4" t="s">
        <v>2274</v>
      </c>
      <c r="B2658" s="4" t="s">
        <v>4348</v>
      </c>
      <c r="C2658" s="4" t="s">
        <v>2344</v>
      </c>
      <c r="D2658" s="4" t="s">
        <v>237</v>
      </c>
      <c r="E2658" s="4" t="s">
        <v>4898</v>
      </c>
      <c r="F2658" s="4" t="s">
        <v>4897</v>
      </c>
      <c r="G2658" s="4" t="s">
        <v>2263</v>
      </c>
      <c r="H2658" s="9" t="s">
        <v>2263</v>
      </c>
      <c r="I2658" s="4" t="s">
        <v>2263</v>
      </c>
      <c r="J2658" s="4" t="s">
        <v>2263</v>
      </c>
      <c r="K2658" s="4" t="s">
        <v>4641</v>
      </c>
      <c r="L2658" s="10">
        <v>25</v>
      </c>
      <c r="M2658" s="5">
        <v>5391.8858064516126</v>
      </c>
      <c r="N2658" s="5">
        <v>134797.14516129033</v>
      </c>
    </row>
    <row r="2659" spans="1:14" x14ac:dyDescent="0.25">
      <c r="A2659" s="4" t="s">
        <v>2761</v>
      </c>
      <c r="B2659" s="4" t="s">
        <v>2760</v>
      </c>
      <c r="C2659" s="4" t="s">
        <v>2320</v>
      </c>
      <c r="D2659" s="4" t="s">
        <v>242</v>
      </c>
      <c r="E2659" s="4" t="s">
        <v>2779</v>
      </c>
      <c r="F2659" s="4" t="s">
        <v>2778</v>
      </c>
      <c r="G2659" s="4" t="s">
        <v>2263</v>
      </c>
      <c r="H2659" s="9" t="s">
        <v>2263</v>
      </c>
      <c r="I2659" s="4" t="s">
        <v>2317</v>
      </c>
      <c r="J2659" s="4" t="s">
        <v>2316</v>
      </c>
      <c r="K2659" s="4" t="s">
        <v>2263</v>
      </c>
      <c r="L2659" s="10">
        <v>25</v>
      </c>
      <c r="M2659" s="5">
        <v>5565.0769863013702</v>
      </c>
      <c r="N2659" s="5">
        <v>139126.92465753423</v>
      </c>
    </row>
    <row r="2660" spans="1:14" x14ac:dyDescent="0.25">
      <c r="A2660" s="4" t="s">
        <v>2317</v>
      </c>
      <c r="B2660" s="4" t="s">
        <v>3839</v>
      </c>
      <c r="C2660" s="4" t="s">
        <v>2320</v>
      </c>
      <c r="D2660" s="4" t="s">
        <v>242</v>
      </c>
      <c r="E2660" s="4" t="s">
        <v>2781</v>
      </c>
      <c r="F2660" s="4" t="s">
        <v>2780</v>
      </c>
      <c r="G2660" s="4" t="s">
        <v>2263</v>
      </c>
      <c r="H2660" s="9" t="s">
        <v>2263</v>
      </c>
      <c r="I2660" s="4" t="s">
        <v>2317</v>
      </c>
      <c r="J2660" s="4" t="s">
        <v>2316</v>
      </c>
      <c r="K2660" s="4" t="s">
        <v>2263</v>
      </c>
      <c r="L2660" s="10">
        <v>25</v>
      </c>
      <c r="M2660" s="5">
        <v>6317.9467326732674</v>
      </c>
      <c r="N2660" s="5">
        <v>157948.66831683167</v>
      </c>
    </row>
    <row r="2661" spans="1:14" x14ac:dyDescent="0.25">
      <c r="A2661" s="4" t="s">
        <v>2317</v>
      </c>
      <c r="B2661" s="4" t="s">
        <v>3839</v>
      </c>
      <c r="C2661" s="4" t="s">
        <v>2320</v>
      </c>
      <c r="D2661" s="4" t="s">
        <v>242</v>
      </c>
      <c r="E2661" s="4" t="s">
        <v>3149</v>
      </c>
      <c r="F2661" s="4" t="s">
        <v>3148</v>
      </c>
      <c r="G2661" s="4" t="s">
        <v>2263</v>
      </c>
      <c r="H2661" s="9" t="s">
        <v>2263</v>
      </c>
      <c r="I2661" s="4" t="s">
        <v>2317</v>
      </c>
      <c r="J2661" s="4" t="s">
        <v>2316</v>
      </c>
      <c r="K2661" s="4" t="s">
        <v>2263</v>
      </c>
      <c r="L2661" s="10">
        <v>25</v>
      </c>
      <c r="M2661" s="5">
        <v>6438.768</v>
      </c>
      <c r="N2661" s="5">
        <v>160969.20000000001</v>
      </c>
    </row>
    <row r="2662" spans="1:14" x14ac:dyDescent="0.25">
      <c r="A2662" s="4" t="s">
        <v>2320</v>
      </c>
      <c r="B2662" s="4" t="s">
        <v>4967</v>
      </c>
      <c r="C2662" s="4" t="s">
        <v>2320</v>
      </c>
      <c r="D2662" s="4" t="s">
        <v>242</v>
      </c>
      <c r="E2662" s="4" t="s">
        <v>3929</v>
      </c>
      <c r="F2662" s="4" t="s">
        <v>3928</v>
      </c>
      <c r="G2662" s="4" t="s">
        <v>2263</v>
      </c>
      <c r="H2662" s="9" t="s">
        <v>2263</v>
      </c>
      <c r="I2662" s="4" t="s">
        <v>2317</v>
      </c>
      <c r="J2662" s="4" t="s">
        <v>2316</v>
      </c>
      <c r="K2662" s="4" t="s">
        <v>2263</v>
      </c>
      <c r="L2662" s="10">
        <v>25</v>
      </c>
      <c r="M2662" s="5">
        <v>7309.142045454546</v>
      </c>
      <c r="N2662" s="5">
        <v>182728.55113636365</v>
      </c>
    </row>
    <row r="2663" spans="1:14" x14ac:dyDescent="0.25">
      <c r="A2663" s="4" t="s">
        <v>2274</v>
      </c>
      <c r="B2663" s="4" t="s">
        <v>4348</v>
      </c>
      <c r="C2663" s="4" t="s">
        <v>2344</v>
      </c>
      <c r="D2663" s="4" t="s">
        <v>237</v>
      </c>
      <c r="E2663" s="4" t="s">
        <v>4680</v>
      </c>
      <c r="F2663" s="4" t="s">
        <v>2594</v>
      </c>
      <c r="G2663" s="4" t="s">
        <v>2263</v>
      </c>
      <c r="H2663" s="9" t="s">
        <v>2263</v>
      </c>
      <c r="I2663" s="4" t="s">
        <v>2263</v>
      </c>
      <c r="J2663" s="4" t="s">
        <v>2263</v>
      </c>
      <c r="K2663" s="4" t="s">
        <v>2593</v>
      </c>
      <c r="L2663" s="10">
        <v>25</v>
      </c>
      <c r="M2663" s="5">
        <v>8215</v>
      </c>
      <c r="N2663" s="5">
        <v>205375</v>
      </c>
    </row>
    <row r="2664" spans="1:14" x14ac:dyDescent="0.25">
      <c r="A2664" s="4" t="s">
        <v>2320</v>
      </c>
      <c r="B2664" s="4" t="s">
        <v>4967</v>
      </c>
      <c r="C2664" s="4" t="s">
        <v>2320</v>
      </c>
      <c r="D2664" s="4" t="s">
        <v>242</v>
      </c>
      <c r="E2664" s="4" t="s">
        <v>5029</v>
      </c>
      <c r="F2664" s="4" t="s">
        <v>5028</v>
      </c>
      <c r="G2664" s="4" t="s">
        <v>2263</v>
      </c>
      <c r="H2664" s="9" t="s">
        <v>2263</v>
      </c>
      <c r="I2664" s="4" t="s">
        <v>2317</v>
      </c>
      <c r="J2664" s="4" t="s">
        <v>2316</v>
      </c>
      <c r="K2664" s="4" t="s">
        <v>2263</v>
      </c>
      <c r="L2664" s="10">
        <v>25</v>
      </c>
      <c r="M2664" s="5">
        <v>8536.0252</v>
      </c>
      <c r="N2664" s="5">
        <v>213400.63</v>
      </c>
    </row>
    <row r="2665" spans="1:14" x14ac:dyDescent="0.25">
      <c r="A2665" s="4" t="s">
        <v>2761</v>
      </c>
      <c r="B2665" s="4" t="s">
        <v>2760</v>
      </c>
      <c r="C2665" s="4" t="s">
        <v>2320</v>
      </c>
      <c r="D2665" s="4" t="s">
        <v>242</v>
      </c>
      <c r="E2665" s="4" t="s">
        <v>2783</v>
      </c>
      <c r="F2665" s="4" t="s">
        <v>2782</v>
      </c>
      <c r="G2665" s="4" t="s">
        <v>2263</v>
      </c>
      <c r="H2665" s="9" t="s">
        <v>2263</v>
      </c>
      <c r="I2665" s="4" t="s">
        <v>2317</v>
      </c>
      <c r="J2665" s="4" t="s">
        <v>2316</v>
      </c>
      <c r="K2665" s="4" t="s">
        <v>2263</v>
      </c>
      <c r="L2665" s="10">
        <v>25</v>
      </c>
      <c r="M2665" s="5">
        <v>35776.850892857146</v>
      </c>
      <c r="N2665" s="5">
        <v>894421.27232142864</v>
      </c>
    </row>
    <row r="2666" spans="1:14" x14ac:dyDescent="0.25">
      <c r="A2666" s="4" t="s">
        <v>2320</v>
      </c>
      <c r="B2666" s="4" t="s">
        <v>4967</v>
      </c>
      <c r="C2666" s="4" t="s">
        <v>2320</v>
      </c>
      <c r="D2666" s="4" t="s">
        <v>242</v>
      </c>
      <c r="E2666" s="4" t="s">
        <v>2408</v>
      </c>
      <c r="F2666" s="4" t="s">
        <v>2407</v>
      </c>
      <c r="G2666" s="4" t="s">
        <v>2263</v>
      </c>
      <c r="H2666" s="9" t="s">
        <v>2263</v>
      </c>
      <c r="I2666" s="4" t="s">
        <v>2317</v>
      </c>
      <c r="J2666" s="4" t="s">
        <v>2316</v>
      </c>
      <c r="K2666" s="4" t="s">
        <v>2263</v>
      </c>
      <c r="L2666" s="10">
        <v>26</v>
      </c>
      <c r="M2666" s="5">
        <v>-58082.704199999993</v>
      </c>
      <c r="N2666" s="5">
        <v>-1510150.3092</v>
      </c>
    </row>
    <row r="2667" spans="1:14" x14ac:dyDescent="0.25">
      <c r="A2667" s="4" t="s">
        <v>2344</v>
      </c>
      <c r="B2667" s="4" t="s">
        <v>5154</v>
      </c>
      <c r="C2667" s="4" t="s">
        <v>2344</v>
      </c>
      <c r="D2667" s="4" t="s">
        <v>237</v>
      </c>
      <c r="E2667" s="4" t="s">
        <v>4754</v>
      </c>
      <c r="F2667" s="4" t="s">
        <v>4753</v>
      </c>
      <c r="G2667" s="4" t="s">
        <v>2263</v>
      </c>
      <c r="H2667" s="9" t="s">
        <v>2263</v>
      </c>
      <c r="I2667" s="4" t="s">
        <v>2263</v>
      </c>
      <c r="J2667" s="4" t="s">
        <v>2263</v>
      </c>
      <c r="K2667" s="4" t="s">
        <v>4752</v>
      </c>
      <c r="L2667" s="10">
        <v>26</v>
      </c>
      <c r="M2667" s="5">
        <v>199.90476190476193</v>
      </c>
      <c r="N2667" s="5">
        <v>5197.5238095238101</v>
      </c>
    </row>
    <row r="2668" spans="1:14" x14ac:dyDescent="0.25">
      <c r="A2668" s="4" t="s">
        <v>2320</v>
      </c>
      <c r="B2668" s="4" t="s">
        <v>4967</v>
      </c>
      <c r="C2668" s="4" t="s">
        <v>2320</v>
      </c>
      <c r="D2668" s="4" t="s">
        <v>242</v>
      </c>
      <c r="E2668" s="4" t="s">
        <v>3975</v>
      </c>
      <c r="F2668" s="4" t="s">
        <v>3974</v>
      </c>
      <c r="G2668" s="4" t="s">
        <v>2263</v>
      </c>
      <c r="H2668" s="9" t="s">
        <v>2263</v>
      </c>
      <c r="I2668" s="4" t="s">
        <v>2317</v>
      </c>
      <c r="J2668" s="4" t="s">
        <v>2316</v>
      </c>
      <c r="K2668" s="4" t="s">
        <v>2263</v>
      </c>
      <c r="L2668" s="10">
        <v>26</v>
      </c>
      <c r="M2668" s="5">
        <v>9360.9473684210516</v>
      </c>
      <c r="N2668" s="5">
        <v>243384.63157894736</v>
      </c>
    </row>
    <row r="2669" spans="1:14" x14ac:dyDescent="0.25">
      <c r="A2669" s="4" t="s">
        <v>2320</v>
      </c>
      <c r="B2669" s="4" t="s">
        <v>4967</v>
      </c>
      <c r="C2669" s="4" t="s">
        <v>2320</v>
      </c>
      <c r="D2669" s="4" t="s">
        <v>242</v>
      </c>
      <c r="E2669" s="4" t="s">
        <v>3943</v>
      </c>
      <c r="F2669" s="4" t="s">
        <v>3942</v>
      </c>
      <c r="G2669" s="4" t="s">
        <v>2263</v>
      </c>
      <c r="H2669" s="9" t="s">
        <v>2263</v>
      </c>
      <c r="I2669" s="4" t="s">
        <v>2317</v>
      </c>
      <c r="J2669" s="4" t="s">
        <v>2316</v>
      </c>
      <c r="K2669" s="4" t="s">
        <v>2263</v>
      </c>
      <c r="L2669" s="10">
        <v>26</v>
      </c>
      <c r="M2669" s="5">
        <v>11583.361842105262</v>
      </c>
      <c r="N2669" s="5">
        <v>301167.40789473685</v>
      </c>
    </row>
    <row r="2670" spans="1:14" x14ac:dyDescent="0.25">
      <c r="A2670" s="4" t="s">
        <v>2274</v>
      </c>
      <c r="B2670" s="4" t="s">
        <v>4348</v>
      </c>
      <c r="C2670" s="4" t="s">
        <v>2344</v>
      </c>
      <c r="D2670" s="4" t="s">
        <v>237</v>
      </c>
      <c r="E2670" s="4" t="s">
        <v>4530</v>
      </c>
      <c r="F2670" s="4" t="s">
        <v>4529</v>
      </c>
      <c r="G2670" s="4" t="s">
        <v>2263</v>
      </c>
      <c r="H2670" s="9" t="s">
        <v>2263</v>
      </c>
      <c r="I2670" s="4" t="s">
        <v>2263</v>
      </c>
      <c r="J2670" s="4" t="s">
        <v>2263</v>
      </c>
      <c r="K2670" s="4" t="s">
        <v>4528</v>
      </c>
      <c r="L2670" s="10">
        <v>26</v>
      </c>
      <c r="M2670" s="5">
        <v>13745.000454545452</v>
      </c>
      <c r="N2670" s="5">
        <v>357370.01181818184</v>
      </c>
    </row>
    <row r="2671" spans="1:14" x14ac:dyDescent="0.25">
      <c r="A2671" s="4" t="s">
        <v>2317</v>
      </c>
      <c r="B2671" s="4" t="s">
        <v>3839</v>
      </c>
      <c r="C2671" s="4" t="s">
        <v>2320</v>
      </c>
      <c r="D2671" s="4" t="s">
        <v>242</v>
      </c>
      <c r="E2671" s="4" t="s">
        <v>4259</v>
      </c>
      <c r="F2671" s="4" t="s">
        <v>4258</v>
      </c>
      <c r="G2671" s="4" t="s">
        <v>2263</v>
      </c>
      <c r="H2671" s="9" t="s">
        <v>2263</v>
      </c>
      <c r="I2671" s="4" t="s">
        <v>2317</v>
      </c>
      <c r="J2671" s="4" t="s">
        <v>2316</v>
      </c>
      <c r="K2671" s="4" t="s">
        <v>2263</v>
      </c>
      <c r="L2671" s="10">
        <v>26</v>
      </c>
      <c r="M2671" s="5">
        <v>17528.672285714285</v>
      </c>
      <c r="N2671" s="5">
        <v>455745.47942857142</v>
      </c>
    </row>
    <row r="2672" spans="1:14" x14ac:dyDescent="0.25">
      <c r="A2672" s="4" t="s">
        <v>2320</v>
      </c>
      <c r="B2672" s="4" t="s">
        <v>4967</v>
      </c>
      <c r="C2672" s="4" t="s">
        <v>2320</v>
      </c>
      <c r="D2672" s="4" t="s">
        <v>242</v>
      </c>
      <c r="E2672" s="4" t="s">
        <v>4103</v>
      </c>
      <c r="F2672" s="4" t="s">
        <v>4102</v>
      </c>
      <c r="G2672" s="4" t="s">
        <v>2263</v>
      </c>
      <c r="H2672" s="9" t="s">
        <v>2263</v>
      </c>
      <c r="I2672" s="4" t="s">
        <v>2317</v>
      </c>
      <c r="J2672" s="4" t="s">
        <v>2316</v>
      </c>
      <c r="K2672" s="4" t="s">
        <v>2263</v>
      </c>
      <c r="L2672" s="10">
        <v>26</v>
      </c>
      <c r="M2672" s="5">
        <v>20041.854637681161</v>
      </c>
      <c r="N2672" s="5">
        <v>521088.22057971015</v>
      </c>
    </row>
    <row r="2673" spans="1:14" x14ac:dyDescent="0.25">
      <c r="A2673" s="4" t="s">
        <v>2320</v>
      </c>
      <c r="B2673" s="4" t="s">
        <v>4967</v>
      </c>
      <c r="C2673" s="4" t="s">
        <v>2320</v>
      </c>
      <c r="D2673" s="4" t="s">
        <v>242</v>
      </c>
      <c r="E2673" s="4" t="s">
        <v>3921</v>
      </c>
      <c r="F2673" s="4" t="s">
        <v>3920</v>
      </c>
      <c r="G2673" s="4" t="s">
        <v>2263</v>
      </c>
      <c r="H2673" s="9" t="s">
        <v>2263</v>
      </c>
      <c r="I2673" s="4" t="s">
        <v>2317</v>
      </c>
      <c r="J2673" s="4" t="s">
        <v>2316</v>
      </c>
      <c r="K2673" s="4" t="s">
        <v>2263</v>
      </c>
      <c r="L2673" s="10">
        <v>26</v>
      </c>
      <c r="M2673" s="5">
        <v>23344.931034482757</v>
      </c>
      <c r="N2673" s="5">
        <v>606968.20689655165</v>
      </c>
    </row>
    <row r="2674" spans="1:14" x14ac:dyDescent="0.25">
      <c r="A2674" s="4" t="s">
        <v>2317</v>
      </c>
      <c r="B2674" s="4" t="s">
        <v>3839</v>
      </c>
      <c r="C2674" s="4" t="s">
        <v>2320</v>
      </c>
      <c r="D2674" s="4" t="s">
        <v>242</v>
      </c>
      <c r="E2674" s="4" t="s">
        <v>3921</v>
      </c>
      <c r="F2674" s="4" t="s">
        <v>3920</v>
      </c>
      <c r="G2674" s="4" t="s">
        <v>2263</v>
      </c>
      <c r="H2674" s="9" t="s">
        <v>2263</v>
      </c>
      <c r="I2674" s="4" t="s">
        <v>2317</v>
      </c>
      <c r="J2674" s="4" t="s">
        <v>2316</v>
      </c>
      <c r="K2674" s="4" t="s">
        <v>2263</v>
      </c>
      <c r="L2674" s="10">
        <v>26</v>
      </c>
      <c r="M2674" s="5">
        <v>23344.931034482757</v>
      </c>
      <c r="N2674" s="5">
        <v>606968.20689655165</v>
      </c>
    </row>
    <row r="2675" spans="1:14" x14ac:dyDescent="0.25">
      <c r="A2675" s="4" t="s">
        <v>2355</v>
      </c>
      <c r="B2675" s="4" t="s">
        <v>2354</v>
      </c>
      <c r="C2675" s="4" t="s">
        <v>2344</v>
      </c>
      <c r="D2675" s="4" t="s">
        <v>237</v>
      </c>
      <c r="E2675" s="4" t="s">
        <v>2375</v>
      </c>
      <c r="F2675" s="4" t="s">
        <v>2374</v>
      </c>
      <c r="G2675" s="4" t="s">
        <v>2263</v>
      </c>
      <c r="H2675" s="9" t="s">
        <v>2263</v>
      </c>
      <c r="I2675" s="4" t="s">
        <v>2263</v>
      </c>
      <c r="J2675" s="4" t="s">
        <v>2263</v>
      </c>
      <c r="K2675" s="4" t="s">
        <v>2373</v>
      </c>
      <c r="L2675" s="10">
        <v>26</v>
      </c>
      <c r="M2675" s="5">
        <v>60455.142857142855</v>
      </c>
      <c r="N2675" s="5">
        <v>1571833.7142857143</v>
      </c>
    </row>
    <row r="2676" spans="1:14" x14ac:dyDescent="0.25">
      <c r="A2676" s="4" t="s">
        <v>2653</v>
      </c>
      <c r="B2676" s="4" t="s">
        <v>3226</v>
      </c>
      <c r="C2676" s="4" t="s">
        <v>3203</v>
      </c>
      <c r="D2676" s="4" t="s">
        <v>256</v>
      </c>
      <c r="E2676" s="4" t="s">
        <v>3604</v>
      </c>
      <c r="F2676" s="4" t="s">
        <v>3603</v>
      </c>
      <c r="G2676" s="4" t="s">
        <v>2263</v>
      </c>
      <c r="H2676" s="9" t="s">
        <v>2263</v>
      </c>
      <c r="I2676" s="4" t="s">
        <v>2317</v>
      </c>
      <c r="J2676" s="4" t="s">
        <v>2316</v>
      </c>
      <c r="K2676" s="4" t="s">
        <v>2263</v>
      </c>
      <c r="L2676" s="10">
        <v>26</v>
      </c>
      <c r="M2676" s="5">
        <v>63021.538461538461</v>
      </c>
      <c r="N2676" s="5">
        <v>1638560</v>
      </c>
    </row>
    <row r="2677" spans="1:14" x14ac:dyDescent="0.25">
      <c r="A2677" s="4" t="s">
        <v>2317</v>
      </c>
      <c r="B2677" s="4" t="s">
        <v>3839</v>
      </c>
      <c r="C2677" s="4" t="s">
        <v>2320</v>
      </c>
      <c r="D2677" s="4" t="s">
        <v>242</v>
      </c>
      <c r="E2677" s="4" t="s">
        <v>4161</v>
      </c>
      <c r="F2677" s="4" t="s">
        <v>4160</v>
      </c>
      <c r="G2677" s="4" t="s">
        <v>2263</v>
      </c>
      <c r="H2677" s="9" t="s">
        <v>2263</v>
      </c>
      <c r="I2677" s="4" t="s">
        <v>2317</v>
      </c>
      <c r="J2677" s="4" t="s">
        <v>2316</v>
      </c>
      <c r="K2677" s="4" t="s">
        <v>2263</v>
      </c>
      <c r="L2677" s="10">
        <v>26</v>
      </c>
      <c r="M2677" s="5">
        <v>76377.713793103452</v>
      </c>
      <c r="N2677" s="5">
        <v>1985820.5586206897</v>
      </c>
    </row>
    <row r="2678" spans="1:14" x14ac:dyDescent="0.25">
      <c r="A2678" s="4" t="s">
        <v>2653</v>
      </c>
      <c r="B2678" s="4" t="s">
        <v>3226</v>
      </c>
      <c r="C2678" s="4" t="s">
        <v>3196</v>
      </c>
      <c r="D2678" s="4" t="s">
        <v>254</v>
      </c>
      <c r="E2678" s="4" t="s">
        <v>3546</v>
      </c>
      <c r="F2678" s="4" t="s">
        <v>3545</v>
      </c>
      <c r="G2678" s="4" t="s">
        <v>2263</v>
      </c>
      <c r="H2678" s="9" t="s">
        <v>2263</v>
      </c>
      <c r="I2678" s="4" t="s">
        <v>2317</v>
      </c>
      <c r="J2678" s="4" t="s">
        <v>2316</v>
      </c>
      <c r="K2678" s="4" t="s">
        <v>2263</v>
      </c>
      <c r="L2678" s="10">
        <v>26</v>
      </c>
      <c r="M2678" s="5">
        <v>184744.53538461539</v>
      </c>
      <c r="N2678" s="5">
        <v>4803357.92</v>
      </c>
    </row>
    <row r="2679" spans="1:14" x14ac:dyDescent="0.25">
      <c r="A2679" s="4" t="s">
        <v>2344</v>
      </c>
      <c r="B2679" s="4" t="s">
        <v>5154</v>
      </c>
      <c r="C2679" s="4" t="s">
        <v>2344</v>
      </c>
      <c r="D2679" s="4" t="s">
        <v>237</v>
      </c>
      <c r="E2679" s="4" t="s">
        <v>4821</v>
      </c>
      <c r="F2679" s="4" t="s">
        <v>4820</v>
      </c>
      <c r="G2679" s="4" t="s">
        <v>2263</v>
      </c>
      <c r="H2679" s="9" t="s">
        <v>2263</v>
      </c>
      <c r="I2679" s="4" t="s">
        <v>2263</v>
      </c>
      <c r="J2679" s="4" t="s">
        <v>2263</v>
      </c>
      <c r="K2679" s="4" t="s">
        <v>2439</v>
      </c>
      <c r="L2679" s="10">
        <v>27</v>
      </c>
      <c r="M2679" s="5">
        <v>196.57063829787236</v>
      </c>
      <c r="N2679" s="5">
        <v>5307.40723404255</v>
      </c>
    </row>
    <row r="2680" spans="1:14" x14ac:dyDescent="0.25">
      <c r="A2680" s="4" t="s">
        <v>2344</v>
      </c>
      <c r="B2680" s="4" t="s">
        <v>5154</v>
      </c>
      <c r="C2680" s="4" t="s">
        <v>2267</v>
      </c>
      <c r="D2680" s="4" t="s">
        <v>2266</v>
      </c>
      <c r="E2680" s="4" t="s">
        <v>5183</v>
      </c>
      <c r="F2680" s="4" t="s">
        <v>2491</v>
      </c>
      <c r="G2680" s="4" t="s">
        <v>2263</v>
      </c>
      <c r="H2680" s="9" t="s">
        <v>2263</v>
      </c>
      <c r="I2680" s="4" t="s">
        <v>2263</v>
      </c>
      <c r="J2680" s="4" t="s">
        <v>2263</v>
      </c>
      <c r="K2680" s="4" t="s">
        <v>2490</v>
      </c>
      <c r="L2680" s="10">
        <v>27</v>
      </c>
      <c r="M2680" s="5">
        <v>500.56888888888892</v>
      </c>
      <c r="N2680" s="5">
        <v>13515.36</v>
      </c>
    </row>
    <row r="2681" spans="1:14" x14ac:dyDescent="0.25">
      <c r="A2681" s="4" t="s">
        <v>2320</v>
      </c>
      <c r="B2681" s="4" t="s">
        <v>4967</v>
      </c>
      <c r="C2681" s="4" t="s">
        <v>2344</v>
      </c>
      <c r="D2681" s="4" t="s">
        <v>237</v>
      </c>
      <c r="E2681" s="4" t="s">
        <v>4810</v>
      </c>
      <c r="F2681" s="4" t="s">
        <v>4809</v>
      </c>
      <c r="G2681" s="4" t="s">
        <v>2263</v>
      </c>
      <c r="H2681" s="9" t="s">
        <v>2263</v>
      </c>
      <c r="I2681" s="4" t="s">
        <v>2263</v>
      </c>
      <c r="J2681" s="4" t="s">
        <v>2263</v>
      </c>
      <c r="K2681" s="4" t="s">
        <v>2597</v>
      </c>
      <c r="L2681" s="10">
        <v>27</v>
      </c>
      <c r="M2681" s="5">
        <v>542.98709677419356</v>
      </c>
      <c r="N2681" s="5">
        <v>14660.65161290323</v>
      </c>
    </row>
    <row r="2682" spans="1:14" x14ac:dyDescent="0.25">
      <c r="A2682" s="4" t="s">
        <v>2269</v>
      </c>
      <c r="B2682" s="4" t="s">
        <v>2268</v>
      </c>
      <c r="C2682" s="4" t="s">
        <v>2279</v>
      </c>
      <c r="D2682" s="4" t="s">
        <v>2278</v>
      </c>
      <c r="E2682" s="4" t="s">
        <v>2312</v>
      </c>
      <c r="F2682" s="4" t="s">
        <v>2311</v>
      </c>
      <c r="G2682" s="4" t="s">
        <v>2263</v>
      </c>
      <c r="H2682" s="9" t="s">
        <v>2263</v>
      </c>
      <c r="I2682" s="4" t="s">
        <v>2263</v>
      </c>
      <c r="J2682" s="4" t="s">
        <v>2263</v>
      </c>
      <c r="K2682" s="4" t="s">
        <v>2310</v>
      </c>
      <c r="L2682" s="10">
        <v>27</v>
      </c>
      <c r="M2682" s="5">
        <v>1482.4945652173913</v>
      </c>
      <c r="N2682" s="5">
        <v>40027.353260869568</v>
      </c>
    </row>
    <row r="2683" spans="1:14" x14ac:dyDescent="0.25">
      <c r="A2683" s="4" t="s">
        <v>2274</v>
      </c>
      <c r="B2683" s="4" t="s">
        <v>4348</v>
      </c>
      <c r="C2683" s="4" t="s">
        <v>2344</v>
      </c>
      <c r="D2683" s="4" t="s">
        <v>237</v>
      </c>
      <c r="E2683" s="4" t="s">
        <v>4584</v>
      </c>
      <c r="F2683" s="4" t="s">
        <v>4583</v>
      </c>
      <c r="G2683" s="4" t="s">
        <v>2263</v>
      </c>
      <c r="H2683" s="9" t="s">
        <v>2263</v>
      </c>
      <c r="I2683" s="4" t="s">
        <v>2263</v>
      </c>
      <c r="J2683" s="4" t="s">
        <v>2263</v>
      </c>
      <c r="K2683" s="4" t="s">
        <v>4582</v>
      </c>
      <c r="L2683" s="10">
        <v>27</v>
      </c>
      <c r="M2683" s="5">
        <v>3469.0848148148148</v>
      </c>
      <c r="N2683" s="5">
        <v>93665.29</v>
      </c>
    </row>
    <row r="2684" spans="1:14" x14ac:dyDescent="0.25">
      <c r="A2684" s="4" t="s">
        <v>2344</v>
      </c>
      <c r="B2684" s="4" t="s">
        <v>5154</v>
      </c>
      <c r="C2684" s="4" t="s">
        <v>2320</v>
      </c>
      <c r="D2684" s="4" t="s">
        <v>242</v>
      </c>
      <c r="E2684" s="4" t="s">
        <v>3843</v>
      </c>
      <c r="F2684" s="4" t="s">
        <v>3842</v>
      </c>
      <c r="G2684" s="4" t="s">
        <v>2263</v>
      </c>
      <c r="H2684" s="9" t="s">
        <v>2263</v>
      </c>
      <c r="I2684" s="4" t="s">
        <v>2317</v>
      </c>
      <c r="J2684" s="4" t="s">
        <v>2316</v>
      </c>
      <c r="K2684" s="4" t="s">
        <v>2263</v>
      </c>
      <c r="L2684" s="10">
        <v>27</v>
      </c>
      <c r="M2684" s="5">
        <v>4557.2305263157896</v>
      </c>
      <c r="N2684" s="5">
        <v>123045.22421052631</v>
      </c>
    </row>
    <row r="2685" spans="1:14" x14ac:dyDescent="0.25">
      <c r="A2685" s="4" t="s">
        <v>2320</v>
      </c>
      <c r="B2685" s="4" t="s">
        <v>4967</v>
      </c>
      <c r="C2685" s="4" t="s">
        <v>2320</v>
      </c>
      <c r="D2685" s="4" t="s">
        <v>242</v>
      </c>
      <c r="E2685" s="4" t="s">
        <v>3137</v>
      </c>
      <c r="F2685" s="4" t="s">
        <v>3136</v>
      </c>
      <c r="G2685" s="4" t="s">
        <v>2263</v>
      </c>
      <c r="H2685" s="9" t="s">
        <v>2263</v>
      </c>
      <c r="I2685" s="4" t="s">
        <v>2317</v>
      </c>
      <c r="J2685" s="4" t="s">
        <v>2316</v>
      </c>
      <c r="K2685" s="4" t="s">
        <v>2263</v>
      </c>
      <c r="L2685" s="10">
        <v>27</v>
      </c>
      <c r="M2685" s="5">
        <v>11945.122727272726</v>
      </c>
      <c r="N2685" s="5">
        <v>322518.31363636366</v>
      </c>
    </row>
    <row r="2686" spans="1:14" x14ac:dyDescent="0.25">
      <c r="A2686" s="4" t="s">
        <v>2344</v>
      </c>
      <c r="B2686" s="4" t="s">
        <v>5154</v>
      </c>
      <c r="C2686" s="4" t="s">
        <v>2344</v>
      </c>
      <c r="D2686" s="4" t="s">
        <v>237</v>
      </c>
      <c r="E2686" s="4" t="s">
        <v>5347</v>
      </c>
      <c r="F2686" s="4" t="s">
        <v>2606</v>
      </c>
      <c r="G2686" s="4" t="s">
        <v>2263</v>
      </c>
      <c r="H2686" s="9" t="s">
        <v>2263</v>
      </c>
      <c r="I2686" s="4" t="s">
        <v>2263</v>
      </c>
      <c r="J2686" s="4" t="s">
        <v>2263</v>
      </c>
      <c r="K2686" s="4" t="s">
        <v>2605</v>
      </c>
      <c r="L2686" s="10">
        <v>27</v>
      </c>
      <c r="M2686" s="5">
        <v>12907.139259259258</v>
      </c>
      <c r="N2686" s="5">
        <v>348492.76</v>
      </c>
    </row>
    <row r="2687" spans="1:14" x14ac:dyDescent="0.25">
      <c r="A2687" s="4" t="s">
        <v>2344</v>
      </c>
      <c r="B2687" s="4" t="s">
        <v>5154</v>
      </c>
      <c r="C2687" s="4" t="s">
        <v>2274</v>
      </c>
      <c r="D2687" s="4" t="s">
        <v>2273</v>
      </c>
      <c r="E2687" s="4" t="s">
        <v>5216</v>
      </c>
      <c r="F2687" s="4" t="s">
        <v>5215</v>
      </c>
      <c r="G2687" s="4" t="s">
        <v>2263</v>
      </c>
      <c r="H2687" s="9" t="s">
        <v>2263</v>
      </c>
      <c r="I2687" s="4" t="s">
        <v>2263</v>
      </c>
      <c r="J2687" s="4" t="s">
        <v>2263</v>
      </c>
      <c r="K2687" s="4" t="s">
        <v>5214</v>
      </c>
      <c r="L2687" s="10">
        <v>27</v>
      </c>
      <c r="M2687" s="5">
        <v>21585.304074074076</v>
      </c>
      <c r="N2687" s="5">
        <v>582803.21</v>
      </c>
    </row>
    <row r="2688" spans="1:14" x14ac:dyDescent="0.25">
      <c r="A2688" s="4" t="s">
        <v>2320</v>
      </c>
      <c r="B2688" s="4" t="s">
        <v>4967</v>
      </c>
      <c r="C2688" s="4" t="s">
        <v>2344</v>
      </c>
      <c r="D2688" s="4" t="s">
        <v>237</v>
      </c>
      <c r="E2688" s="4" t="s">
        <v>4564</v>
      </c>
      <c r="F2688" s="4" t="s">
        <v>4563</v>
      </c>
      <c r="G2688" s="4" t="s">
        <v>2263</v>
      </c>
      <c r="H2688" s="9" t="s">
        <v>2263</v>
      </c>
      <c r="I2688" s="4" t="s">
        <v>2263</v>
      </c>
      <c r="J2688" s="4" t="s">
        <v>2263</v>
      </c>
      <c r="K2688" s="4" t="s">
        <v>4562</v>
      </c>
      <c r="L2688" s="10">
        <v>27</v>
      </c>
      <c r="M2688" s="5">
        <v>23075.342133333332</v>
      </c>
      <c r="N2688" s="5">
        <v>623034.23759999999</v>
      </c>
    </row>
    <row r="2689" spans="1:14" x14ac:dyDescent="0.25">
      <c r="A2689" s="4" t="s">
        <v>2344</v>
      </c>
      <c r="B2689" s="4" t="s">
        <v>5154</v>
      </c>
      <c r="C2689" s="4" t="s">
        <v>2344</v>
      </c>
      <c r="D2689" s="4" t="s">
        <v>237</v>
      </c>
      <c r="E2689" s="4" t="s">
        <v>5352</v>
      </c>
      <c r="F2689" s="4" t="s">
        <v>5351</v>
      </c>
      <c r="G2689" s="4" t="s">
        <v>2263</v>
      </c>
      <c r="H2689" s="9" t="s">
        <v>2263</v>
      </c>
      <c r="I2689" s="4" t="s">
        <v>2263</v>
      </c>
      <c r="J2689" s="4" t="s">
        <v>2263</v>
      </c>
      <c r="K2689" s="4" t="s">
        <v>2495</v>
      </c>
      <c r="L2689" s="10">
        <v>28</v>
      </c>
      <c r="M2689" s="5">
        <v>85.42285714285714</v>
      </c>
      <c r="N2689" s="5">
        <v>2391.84</v>
      </c>
    </row>
    <row r="2690" spans="1:14" x14ac:dyDescent="0.25">
      <c r="A2690" s="4" t="s">
        <v>2344</v>
      </c>
      <c r="B2690" s="4" t="s">
        <v>5154</v>
      </c>
      <c r="C2690" s="4" t="s">
        <v>2344</v>
      </c>
      <c r="D2690" s="4" t="s">
        <v>237</v>
      </c>
      <c r="E2690" s="4" t="s">
        <v>4816</v>
      </c>
      <c r="F2690" s="4" t="s">
        <v>4815</v>
      </c>
      <c r="G2690" s="4" t="s">
        <v>2263</v>
      </c>
      <c r="H2690" s="9" t="s">
        <v>2263</v>
      </c>
      <c r="I2690" s="4" t="s">
        <v>2263</v>
      </c>
      <c r="J2690" s="4" t="s">
        <v>2263</v>
      </c>
      <c r="K2690" s="4" t="s">
        <v>2465</v>
      </c>
      <c r="L2690" s="10">
        <v>28</v>
      </c>
      <c r="M2690" s="5">
        <v>123</v>
      </c>
      <c r="N2690" s="5">
        <v>3444</v>
      </c>
    </row>
    <row r="2691" spans="1:14" x14ac:dyDescent="0.25">
      <c r="A2691" s="4" t="s">
        <v>2653</v>
      </c>
      <c r="B2691" s="4" t="s">
        <v>3226</v>
      </c>
      <c r="C2691" s="4" t="s">
        <v>3107</v>
      </c>
      <c r="D2691" s="4" t="s">
        <v>1105</v>
      </c>
      <c r="E2691" s="4" t="s">
        <v>3751</v>
      </c>
      <c r="F2691" s="4" t="s">
        <v>3750</v>
      </c>
      <c r="G2691" s="4" t="s">
        <v>2263</v>
      </c>
      <c r="H2691" s="9" t="s">
        <v>2263</v>
      </c>
      <c r="I2691" s="4" t="s">
        <v>2317</v>
      </c>
      <c r="J2691" s="4" t="s">
        <v>2316</v>
      </c>
      <c r="K2691" s="4" t="s">
        <v>2263</v>
      </c>
      <c r="L2691" s="10">
        <v>28</v>
      </c>
      <c r="M2691" s="5">
        <v>219.89857142857142</v>
      </c>
      <c r="N2691" s="5">
        <v>6157.16</v>
      </c>
    </row>
    <row r="2692" spans="1:14" x14ac:dyDescent="0.25">
      <c r="A2692" s="4" t="s">
        <v>2274</v>
      </c>
      <c r="B2692" s="4" t="s">
        <v>4348</v>
      </c>
      <c r="C2692" s="4" t="s">
        <v>2344</v>
      </c>
      <c r="D2692" s="4" t="s">
        <v>237</v>
      </c>
      <c r="E2692" s="4" t="s">
        <v>4864</v>
      </c>
      <c r="F2692" s="4" t="s">
        <v>2626</v>
      </c>
      <c r="G2692" s="4" t="s">
        <v>2263</v>
      </c>
      <c r="H2692" s="9" t="s">
        <v>2263</v>
      </c>
      <c r="I2692" s="4" t="s">
        <v>2263</v>
      </c>
      <c r="J2692" s="4" t="s">
        <v>2263</v>
      </c>
      <c r="K2692" s="4" t="s">
        <v>2495</v>
      </c>
      <c r="L2692" s="10">
        <v>28</v>
      </c>
      <c r="M2692" s="5">
        <v>243.40824074074072</v>
      </c>
      <c r="N2692" s="5">
        <v>6815.4307407407396</v>
      </c>
    </row>
    <row r="2693" spans="1:14" x14ac:dyDescent="0.25">
      <c r="A2693" s="4" t="s">
        <v>2274</v>
      </c>
      <c r="B2693" s="4" t="s">
        <v>4348</v>
      </c>
      <c r="C2693" s="4" t="s">
        <v>2344</v>
      </c>
      <c r="D2693" s="4" t="s">
        <v>237</v>
      </c>
      <c r="E2693" s="4" t="s">
        <v>4777</v>
      </c>
      <c r="F2693" s="4" t="s">
        <v>2596</v>
      </c>
      <c r="G2693" s="4" t="s">
        <v>2263</v>
      </c>
      <c r="H2693" s="9" t="s">
        <v>2263</v>
      </c>
      <c r="I2693" s="4" t="s">
        <v>2263</v>
      </c>
      <c r="J2693" s="4" t="s">
        <v>2263</v>
      </c>
      <c r="K2693" s="4" t="s">
        <v>2465</v>
      </c>
      <c r="L2693" s="10">
        <v>28</v>
      </c>
      <c r="M2693" s="5">
        <v>254.95909090909092</v>
      </c>
      <c r="N2693" s="5">
        <v>7138.8545454545501</v>
      </c>
    </row>
    <row r="2694" spans="1:14" x14ac:dyDescent="0.25">
      <c r="A2694" s="4" t="s">
        <v>2274</v>
      </c>
      <c r="B2694" s="4" t="s">
        <v>4348</v>
      </c>
      <c r="C2694" s="4" t="s">
        <v>2267</v>
      </c>
      <c r="D2694" s="4" t="s">
        <v>2266</v>
      </c>
      <c r="E2694" s="4" t="s">
        <v>4380</v>
      </c>
      <c r="F2694" s="4" t="s">
        <v>2489</v>
      </c>
      <c r="G2694" s="4" t="s">
        <v>2263</v>
      </c>
      <c r="H2694" s="9" t="s">
        <v>2263</v>
      </c>
      <c r="I2694" s="4" t="s">
        <v>2263</v>
      </c>
      <c r="J2694" s="4" t="s">
        <v>2263</v>
      </c>
      <c r="K2694" s="4" t="s">
        <v>2488</v>
      </c>
      <c r="L2694" s="10">
        <v>28</v>
      </c>
      <c r="M2694" s="5">
        <v>268.56938775510207</v>
      </c>
      <c r="N2694" s="5">
        <v>7519.9428571428598</v>
      </c>
    </row>
    <row r="2695" spans="1:14" x14ac:dyDescent="0.25">
      <c r="A2695" s="4" t="s">
        <v>2344</v>
      </c>
      <c r="B2695" s="4" t="s">
        <v>5154</v>
      </c>
      <c r="C2695" s="4" t="s">
        <v>2344</v>
      </c>
      <c r="D2695" s="4" t="s">
        <v>237</v>
      </c>
      <c r="E2695" s="4" t="s">
        <v>4958</v>
      </c>
      <c r="F2695" s="4" t="s">
        <v>4957</v>
      </c>
      <c r="G2695" s="4" t="s">
        <v>2263</v>
      </c>
      <c r="H2695" s="9" t="s">
        <v>2263</v>
      </c>
      <c r="I2695" s="4" t="s">
        <v>2263</v>
      </c>
      <c r="J2695" s="4" t="s">
        <v>2263</v>
      </c>
      <c r="K2695" s="4" t="s">
        <v>4956</v>
      </c>
      <c r="L2695" s="10">
        <v>28</v>
      </c>
      <c r="M2695" s="5">
        <v>322.72741379310344</v>
      </c>
      <c r="N2695" s="5">
        <v>9036.3675862068994</v>
      </c>
    </row>
    <row r="2696" spans="1:14" x14ac:dyDescent="0.25">
      <c r="A2696" s="4" t="s">
        <v>2274</v>
      </c>
      <c r="B2696" s="4" t="s">
        <v>4348</v>
      </c>
      <c r="C2696" s="4" t="s">
        <v>2344</v>
      </c>
      <c r="D2696" s="4" t="s">
        <v>237</v>
      </c>
      <c r="E2696" s="4" t="s">
        <v>4611</v>
      </c>
      <c r="F2696" s="4" t="s">
        <v>4610</v>
      </c>
      <c r="G2696" s="4" t="s">
        <v>2263</v>
      </c>
      <c r="H2696" s="9" t="s">
        <v>2263</v>
      </c>
      <c r="I2696" s="4" t="s">
        <v>2263</v>
      </c>
      <c r="J2696" s="4" t="s">
        <v>2263</v>
      </c>
      <c r="K2696" s="4" t="s">
        <v>2547</v>
      </c>
      <c r="L2696" s="10">
        <v>28</v>
      </c>
      <c r="M2696" s="5">
        <v>453.66857142857145</v>
      </c>
      <c r="N2696" s="5">
        <v>12702.72</v>
      </c>
    </row>
    <row r="2697" spans="1:14" x14ac:dyDescent="0.25">
      <c r="A2697" s="4" t="s">
        <v>2344</v>
      </c>
      <c r="B2697" s="4" t="s">
        <v>5154</v>
      </c>
      <c r="C2697" s="4" t="s">
        <v>2344</v>
      </c>
      <c r="D2697" s="4" t="s">
        <v>237</v>
      </c>
      <c r="E2697" s="4" t="s">
        <v>4859</v>
      </c>
      <c r="F2697" s="4" t="s">
        <v>4858</v>
      </c>
      <c r="G2697" s="4" t="s">
        <v>2263</v>
      </c>
      <c r="H2697" s="9" t="s">
        <v>2263</v>
      </c>
      <c r="I2697" s="4" t="s">
        <v>2263</v>
      </c>
      <c r="J2697" s="4" t="s">
        <v>2263</v>
      </c>
      <c r="K2697" s="4" t="s">
        <v>2885</v>
      </c>
      <c r="L2697" s="10">
        <v>28</v>
      </c>
      <c r="M2697" s="5">
        <v>632.06947368421061</v>
      </c>
      <c r="N2697" s="5">
        <v>17697.94526315789</v>
      </c>
    </row>
    <row r="2698" spans="1:14" x14ac:dyDescent="0.25">
      <c r="A2698" s="4" t="s">
        <v>2320</v>
      </c>
      <c r="B2698" s="4" t="s">
        <v>4967</v>
      </c>
      <c r="C2698" s="4" t="s">
        <v>2320</v>
      </c>
      <c r="D2698" s="4" t="s">
        <v>242</v>
      </c>
      <c r="E2698" s="4" t="s">
        <v>3010</v>
      </c>
      <c r="F2698" s="4" t="s">
        <v>3009</v>
      </c>
      <c r="G2698" s="4" t="s">
        <v>2263</v>
      </c>
      <c r="H2698" s="9" t="s">
        <v>2263</v>
      </c>
      <c r="I2698" s="4" t="s">
        <v>2317</v>
      </c>
      <c r="J2698" s="4" t="s">
        <v>2316</v>
      </c>
      <c r="K2698" s="4" t="s">
        <v>2263</v>
      </c>
      <c r="L2698" s="10">
        <v>28</v>
      </c>
      <c r="M2698" s="5">
        <v>1096.6616541353383</v>
      </c>
      <c r="N2698" s="5">
        <v>30706.52631578947</v>
      </c>
    </row>
    <row r="2699" spans="1:14" x14ac:dyDescent="0.25">
      <c r="A2699" s="4" t="s">
        <v>2320</v>
      </c>
      <c r="B2699" s="4" t="s">
        <v>4967</v>
      </c>
      <c r="C2699" s="4" t="s">
        <v>2320</v>
      </c>
      <c r="D2699" s="4" t="s">
        <v>242</v>
      </c>
      <c r="E2699" s="4" t="s">
        <v>3038</v>
      </c>
      <c r="F2699" s="4" t="s">
        <v>3037</v>
      </c>
      <c r="G2699" s="4" t="s">
        <v>2263</v>
      </c>
      <c r="H2699" s="9" t="s">
        <v>2263</v>
      </c>
      <c r="I2699" s="4" t="s">
        <v>2317</v>
      </c>
      <c r="J2699" s="4" t="s">
        <v>2316</v>
      </c>
      <c r="K2699" s="4" t="s">
        <v>2263</v>
      </c>
      <c r="L2699" s="10">
        <v>28</v>
      </c>
      <c r="M2699" s="5">
        <v>1959.4821739130434</v>
      </c>
      <c r="N2699" s="5">
        <v>54865.500869565221</v>
      </c>
    </row>
    <row r="2700" spans="1:14" x14ac:dyDescent="0.25">
      <c r="A2700" s="4" t="s">
        <v>2274</v>
      </c>
      <c r="B2700" s="4" t="s">
        <v>4348</v>
      </c>
      <c r="C2700" s="4" t="s">
        <v>2344</v>
      </c>
      <c r="D2700" s="4" t="s">
        <v>237</v>
      </c>
      <c r="E2700" s="4" t="s">
        <v>4847</v>
      </c>
      <c r="F2700" s="4" t="s">
        <v>4846</v>
      </c>
      <c r="G2700" s="4" t="s">
        <v>2263</v>
      </c>
      <c r="H2700" s="9" t="s">
        <v>2263</v>
      </c>
      <c r="I2700" s="4" t="s">
        <v>2263</v>
      </c>
      <c r="J2700" s="4" t="s">
        <v>2263</v>
      </c>
      <c r="K2700" s="4" t="s">
        <v>4845</v>
      </c>
      <c r="L2700" s="10">
        <v>28</v>
      </c>
      <c r="M2700" s="5">
        <v>3398.8602777777778</v>
      </c>
      <c r="N2700" s="5">
        <v>95168.087777777779</v>
      </c>
    </row>
    <row r="2701" spans="1:14" x14ac:dyDescent="0.25">
      <c r="A2701" s="4" t="s">
        <v>2344</v>
      </c>
      <c r="B2701" s="4" t="s">
        <v>5154</v>
      </c>
      <c r="C2701" s="4" t="s">
        <v>2344</v>
      </c>
      <c r="D2701" s="4" t="s">
        <v>237</v>
      </c>
      <c r="E2701" s="4" t="s">
        <v>5400</v>
      </c>
      <c r="F2701" s="4" t="s">
        <v>5399</v>
      </c>
      <c r="G2701" s="4" t="s">
        <v>2263</v>
      </c>
      <c r="H2701" s="9" t="s">
        <v>2263</v>
      </c>
      <c r="I2701" s="4" t="s">
        <v>2263</v>
      </c>
      <c r="J2701" s="4" t="s">
        <v>2263</v>
      </c>
      <c r="K2701" s="4" t="s">
        <v>2557</v>
      </c>
      <c r="L2701" s="10">
        <v>28</v>
      </c>
      <c r="M2701" s="5">
        <v>3509.6314285714284</v>
      </c>
      <c r="N2701" s="5">
        <v>98269.68</v>
      </c>
    </row>
    <row r="2702" spans="1:14" x14ac:dyDescent="0.25">
      <c r="A2702" s="4" t="s">
        <v>2344</v>
      </c>
      <c r="B2702" s="4" t="s">
        <v>5154</v>
      </c>
      <c r="C2702" s="4" t="s">
        <v>2320</v>
      </c>
      <c r="D2702" s="4" t="s">
        <v>242</v>
      </c>
      <c r="E2702" s="4" t="s">
        <v>3887</v>
      </c>
      <c r="F2702" s="4" t="s">
        <v>3886</v>
      </c>
      <c r="G2702" s="4" t="s">
        <v>2263</v>
      </c>
      <c r="H2702" s="9" t="s">
        <v>2263</v>
      </c>
      <c r="I2702" s="4" t="s">
        <v>2317</v>
      </c>
      <c r="J2702" s="4" t="s">
        <v>2316</v>
      </c>
      <c r="K2702" s="4" t="s">
        <v>2263</v>
      </c>
      <c r="L2702" s="10">
        <v>28</v>
      </c>
      <c r="M2702" s="5">
        <v>5686.5397999999996</v>
      </c>
      <c r="N2702" s="5">
        <v>159223.11439999999</v>
      </c>
    </row>
    <row r="2703" spans="1:14" x14ac:dyDescent="0.25">
      <c r="A2703" s="4" t="s">
        <v>2274</v>
      </c>
      <c r="B2703" s="4" t="s">
        <v>4348</v>
      </c>
      <c r="C2703" s="4" t="s">
        <v>2344</v>
      </c>
      <c r="D2703" s="4" t="s">
        <v>237</v>
      </c>
      <c r="E2703" s="4" t="s">
        <v>4656</v>
      </c>
      <c r="F2703" s="4" t="s">
        <v>2428</v>
      </c>
      <c r="G2703" s="4" t="s">
        <v>2263</v>
      </c>
      <c r="H2703" s="9" t="s">
        <v>2263</v>
      </c>
      <c r="I2703" s="4" t="s">
        <v>2263</v>
      </c>
      <c r="J2703" s="4" t="s">
        <v>2263</v>
      </c>
      <c r="K2703" s="4" t="s">
        <v>2427</v>
      </c>
      <c r="L2703" s="10">
        <v>28</v>
      </c>
      <c r="M2703" s="5">
        <v>12500</v>
      </c>
      <c r="N2703" s="5">
        <v>350000</v>
      </c>
    </row>
    <row r="2704" spans="1:14" x14ac:dyDescent="0.25">
      <c r="A2704" s="4" t="s">
        <v>2317</v>
      </c>
      <c r="B2704" s="4" t="s">
        <v>3839</v>
      </c>
      <c r="C2704" s="4" t="s">
        <v>2320</v>
      </c>
      <c r="D2704" s="4" t="s">
        <v>242</v>
      </c>
      <c r="E2704" s="4" t="s">
        <v>3891</v>
      </c>
      <c r="F2704" s="4" t="s">
        <v>3890</v>
      </c>
      <c r="G2704" s="4" t="s">
        <v>2263</v>
      </c>
      <c r="H2704" s="9" t="s">
        <v>2263</v>
      </c>
      <c r="I2704" s="4" t="s">
        <v>2317</v>
      </c>
      <c r="J2704" s="4" t="s">
        <v>2316</v>
      </c>
      <c r="K2704" s="4" t="s">
        <v>2263</v>
      </c>
      <c r="L2704" s="10">
        <v>28</v>
      </c>
      <c r="M2704" s="5">
        <v>19967.312499999996</v>
      </c>
      <c r="N2704" s="5">
        <v>559084.75</v>
      </c>
    </row>
    <row r="2705" spans="1:14" x14ac:dyDescent="0.25">
      <c r="A2705" s="4" t="s">
        <v>2653</v>
      </c>
      <c r="B2705" s="4" t="s">
        <v>3226</v>
      </c>
      <c r="C2705" s="4" t="s">
        <v>3203</v>
      </c>
      <c r="D2705" s="4" t="s">
        <v>256</v>
      </c>
      <c r="E2705" s="4" t="s">
        <v>3606</v>
      </c>
      <c r="F2705" s="4" t="s">
        <v>3605</v>
      </c>
      <c r="G2705" s="4" t="s">
        <v>2263</v>
      </c>
      <c r="H2705" s="9" t="s">
        <v>2263</v>
      </c>
      <c r="I2705" s="4" t="s">
        <v>2317</v>
      </c>
      <c r="J2705" s="4" t="s">
        <v>2316</v>
      </c>
      <c r="K2705" s="4" t="s">
        <v>2263</v>
      </c>
      <c r="L2705" s="10">
        <v>28</v>
      </c>
      <c r="M2705" s="5">
        <v>73903.53571428571</v>
      </c>
      <c r="N2705" s="5">
        <v>2069299</v>
      </c>
    </row>
    <row r="2706" spans="1:14" x14ac:dyDescent="0.25">
      <c r="A2706" s="4" t="s">
        <v>2355</v>
      </c>
      <c r="B2706" s="4" t="s">
        <v>2354</v>
      </c>
      <c r="C2706" s="4" t="s">
        <v>2274</v>
      </c>
      <c r="D2706" s="4" t="s">
        <v>2273</v>
      </c>
      <c r="E2706" s="4" t="s">
        <v>2358</v>
      </c>
      <c r="F2706" s="4" t="s">
        <v>2357</v>
      </c>
      <c r="G2706" s="4" t="s">
        <v>2263</v>
      </c>
      <c r="H2706" s="9" t="s">
        <v>2263</v>
      </c>
      <c r="I2706" s="4" t="s">
        <v>2263</v>
      </c>
      <c r="J2706" s="4" t="s">
        <v>2263</v>
      </c>
      <c r="K2706" s="4" t="s">
        <v>2356</v>
      </c>
      <c r="L2706" s="10">
        <v>28</v>
      </c>
      <c r="M2706" s="5">
        <v>92812.845025641014</v>
      </c>
      <c r="N2706" s="5">
        <v>2598759.6607179488</v>
      </c>
    </row>
    <row r="2707" spans="1:14" x14ac:dyDescent="0.25">
      <c r="A2707" s="4" t="s">
        <v>2317</v>
      </c>
      <c r="B2707" s="4" t="s">
        <v>3839</v>
      </c>
      <c r="C2707" s="4" t="s">
        <v>2320</v>
      </c>
      <c r="D2707" s="4" t="s">
        <v>242</v>
      </c>
      <c r="E2707" s="4" t="s">
        <v>4179</v>
      </c>
      <c r="F2707" s="4" t="s">
        <v>4178</v>
      </c>
      <c r="G2707" s="4" t="s">
        <v>2263</v>
      </c>
      <c r="H2707" s="9" t="s">
        <v>2263</v>
      </c>
      <c r="I2707" s="4" t="s">
        <v>2317</v>
      </c>
      <c r="J2707" s="4" t="s">
        <v>2316</v>
      </c>
      <c r="K2707" s="4" t="s">
        <v>2263</v>
      </c>
      <c r="L2707" s="10">
        <v>28</v>
      </c>
      <c r="M2707" s="5">
        <v>162485.03093749998</v>
      </c>
      <c r="N2707" s="5">
        <v>4549580.86625</v>
      </c>
    </row>
    <row r="2708" spans="1:14" x14ac:dyDescent="0.25">
      <c r="A2708" s="4" t="s">
        <v>2344</v>
      </c>
      <c r="B2708" s="4" t="s">
        <v>5154</v>
      </c>
      <c r="C2708" s="4" t="s">
        <v>2344</v>
      </c>
      <c r="D2708" s="4" t="s">
        <v>237</v>
      </c>
      <c r="E2708" s="4" t="s">
        <v>4824</v>
      </c>
      <c r="F2708" s="4" t="s">
        <v>4823</v>
      </c>
      <c r="G2708" s="4" t="s">
        <v>2263</v>
      </c>
      <c r="H2708" s="9" t="s">
        <v>2263</v>
      </c>
      <c r="I2708" s="4" t="s">
        <v>2263</v>
      </c>
      <c r="J2708" s="4" t="s">
        <v>2263</v>
      </c>
      <c r="K2708" s="4" t="s">
        <v>2465</v>
      </c>
      <c r="L2708" s="10">
        <v>29</v>
      </c>
      <c r="M2708" s="5">
        <v>43</v>
      </c>
      <c r="N2708" s="5">
        <v>1247</v>
      </c>
    </row>
    <row r="2709" spans="1:14" x14ac:dyDescent="0.25">
      <c r="A2709" s="4" t="s">
        <v>2344</v>
      </c>
      <c r="B2709" s="4" t="s">
        <v>5154</v>
      </c>
      <c r="C2709" s="4" t="s">
        <v>2344</v>
      </c>
      <c r="D2709" s="4" t="s">
        <v>237</v>
      </c>
      <c r="E2709" s="4" t="s">
        <v>5485</v>
      </c>
      <c r="F2709" s="4" t="s">
        <v>2643</v>
      </c>
      <c r="G2709" s="4" t="s">
        <v>2263</v>
      </c>
      <c r="H2709" s="9" t="s">
        <v>2263</v>
      </c>
      <c r="I2709" s="4" t="s">
        <v>2263</v>
      </c>
      <c r="J2709" s="4" t="s">
        <v>2263</v>
      </c>
      <c r="K2709" s="4" t="s">
        <v>2536</v>
      </c>
      <c r="L2709" s="10">
        <v>29</v>
      </c>
      <c r="M2709" s="5">
        <v>109</v>
      </c>
      <c r="N2709" s="5">
        <v>3161</v>
      </c>
    </row>
    <row r="2710" spans="1:14" x14ac:dyDescent="0.25">
      <c r="A2710" s="4" t="s">
        <v>2344</v>
      </c>
      <c r="B2710" s="4" t="s">
        <v>5154</v>
      </c>
      <c r="C2710" s="4" t="s">
        <v>2344</v>
      </c>
      <c r="D2710" s="4" t="s">
        <v>237</v>
      </c>
      <c r="E2710" s="4" t="s">
        <v>4581</v>
      </c>
      <c r="F2710" s="4" t="s">
        <v>2556</v>
      </c>
      <c r="G2710" s="4" t="s">
        <v>2263</v>
      </c>
      <c r="H2710" s="9" t="s">
        <v>2263</v>
      </c>
      <c r="I2710" s="4" t="s">
        <v>2263</v>
      </c>
      <c r="J2710" s="4" t="s">
        <v>2263</v>
      </c>
      <c r="K2710" s="4" t="s">
        <v>2529</v>
      </c>
      <c r="L2710" s="10">
        <v>29</v>
      </c>
      <c r="M2710" s="5">
        <v>120.24711425206125</v>
      </c>
      <c r="N2710" s="5">
        <v>3487.16631330978</v>
      </c>
    </row>
    <row r="2711" spans="1:14" x14ac:dyDescent="0.25">
      <c r="A2711" s="4" t="s">
        <v>2344</v>
      </c>
      <c r="B2711" s="4" t="s">
        <v>5154</v>
      </c>
      <c r="C2711" s="4" t="s">
        <v>2344</v>
      </c>
      <c r="D2711" s="4" t="s">
        <v>237</v>
      </c>
      <c r="E2711" s="4" t="s">
        <v>5350</v>
      </c>
      <c r="F2711" s="4" t="s">
        <v>5349</v>
      </c>
      <c r="G2711" s="4" t="s">
        <v>2263</v>
      </c>
      <c r="H2711" s="9" t="s">
        <v>2263</v>
      </c>
      <c r="I2711" s="4" t="s">
        <v>2263</v>
      </c>
      <c r="J2711" s="4" t="s">
        <v>2263</v>
      </c>
      <c r="K2711" s="4" t="s">
        <v>5348</v>
      </c>
      <c r="L2711" s="10">
        <v>29</v>
      </c>
      <c r="M2711" s="5">
        <v>195.17241379310346</v>
      </c>
      <c r="N2711" s="5">
        <v>5660</v>
      </c>
    </row>
    <row r="2712" spans="1:14" x14ac:dyDescent="0.25">
      <c r="A2712" s="4" t="s">
        <v>2653</v>
      </c>
      <c r="B2712" s="4" t="s">
        <v>3226</v>
      </c>
      <c r="C2712" s="4" t="s">
        <v>2384</v>
      </c>
      <c r="D2712" s="4" t="s">
        <v>262</v>
      </c>
      <c r="E2712" s="4" t="s">
        <v>3500</v>
      </c>
      <c r="F2712" s="4" t="s">
        <v>3499</v>
      </c>
      <c r="G2712" s="4" t="s">
        <v>2263</v>
      </c>
      <c r="H2712" s="9" t="s">
        <v>2263</v>
      </c>
      <c r="I2712" s="4" t="s">
        <v>2317</v>
      </c>
      <c r="J2712" s="4" t="s">
        <v>2316</v>
      </c>
      <c r="K2712" s="4" t="s">
        <v>2263</v>
      </c>
      <c r="L2712" s="10">
        <v>29</v>
      </c>
      <c r="M2712" s="5">
        <v>1346.6379310344828</v>
      </c>
      <c r="N2712" s="5">
        <v>39052.5</v>
      </c>
    </row>
    <row r="2713" spans="1:14" x14ac:dyDescent="0.25">
      <c r="A2713" s="4" t="s">
        <v>2274</v>
      </c>
      <c r="B2713" s="4" t="s">
        <v>4348</v>
      </c>
      <c r="C2713" s="4" t="s">
        <v>2344</v>
      </c>
      <c r="D2713" s="4" t="s">
        <v>237</v>
      </c>
      <c r="E2713" s="4" t="s">
        <v>4924</v>
      </c>
      <c r="F2713" s="4" t="s">
        <v>4716</v>
      </c>
      <c r="G2713" s="4" t="s">
        <v>2263</v>
      </c>
      <c r="H2713" s="9" t="s">
        <v>2263</v>
      </c>
      <c r="I2713" s="4" t="s">
        <v>2263</v>
      </c>
      <c r="J2713" s="4" t="s">
        <v>2263</v>
      </c>
      <c r="K2713" s="4" t="s">
        <v>4715</v>
      </c>
      <c r="L2713" s="10">
        <v>29</v>
      </c>
      <c r="M2713" s="5">
        <v>2158.6129032258063</v>
      </c>
      <c r="N2713" s="5">
        <v>62599.774193548386</v>
      </c>
    </row>
    <row r="2714" spans="1:14" x14ac:dyDescent="0.25">
      <c r="A2714" s="4" t="s">
        <v>2320</v>
      </c>
      <c r="B2714" s="4" t="s">
        <v>4967</v>
      </c>
      <c r="C2714" s="4" t="s">
        <v>2320</v>
      </c>
      <c r="D2714" s="4" t="s">
        <v>242</v>
      </c>
      <c r="E2714" s="4" t="s">
        <v>3845</v>
      </c>
      <c r="F2714" s="4" t="s">
        <v>3844</v>
      </c>
      <c r="G2714" s="4" t="s">
        <v>2263</v>
      </c>
      <c r="H2714" s="9" t="s">
        <v>2263</v>
      </c>
      <c r="I2714" s="4" t="s">
        <v>2317</v>
      </c>
      <c r="J2714" s="4" t="s">
        <v>2316</v>
      </c>
      <c r="K2714" s="4" t="s">
        <v>2263</v>
      </c>
      <c r="L2714" s="10">
        <v>29</v>
      </c>
      <c r="M2714" s="5">
        <v>8382.7697931034472</v>
      </c>
      <c r="N2714" s="5">
        <v>243100.32399999999</v>
      </c>
    </row>
    <row r="2715" spans="1:14" x14ac:dyDescent="0.25">
      <c r="A2715" s="4" t="s">
        <v>2320</v>
      </c>
      <c r="B2715" s="4" t="s">
        <v>4967</v>
      </c>
      <c r="C2715" s="4" t="s">
        <v>2320</v>
      </c>
      <c r="D2715" s="4" t="s">
        <v>242</v>
      </c>
      <c r="E2715" s="4" t="s">
        <v>3913</v>
      </c>
      <c r="F2715" s="4" t="s">
        <v>3912</v>
      </c>
      <c r="G2715" s="4" t="s">
        <v>2263</v>
      </c>
      <c r="H2715" s="9" t="s">
        <v>2263</v>
      </c>
      <c r="I2715" s="4" t="s">
        <v>2317</v>
      </c>
      <c r="J2715" s="4" t="s">
        <v>2316</v>
      </c>
      <c r="K2715" s="4" t="s">
        <v>2263</v>
      </c>
      <c r="L2715" s="10">
        <v>29</v>
      </c>
      <c r="M2715" s="5">
        <v>15629.144307692306</v>
      </c>
      <c r="N2715" s="5">
        <v>453245.18492307694</v>
      </c>
    </row>
    <row r="2716" spans="1:14" x14ac:dyDescent="0.25">
      <c r="A2716" s="4" t="s">
        <v>2320</v>
      </c>
      <c r="B2716" s="4" t="s">
        <v>4967</v>
      </c>
      <c r="C2716" s="4" t="s">
        <v>2320</v>
      </c>
      <c r="D2716" s="4" t="s">
        <v>242</v>
      </c>
      <c r="E2716" s="4" t="s">
        <v>3947</v>
      </c>
      <c r="F2716" s="4" t="s">
        <v>3946</v>
      </c>
      <c r="G2716" s="4" t="s">
        <v>2263</v>
      </c>
      <c r="H2716" s="9" t="s">
        <v>2263</v>
      </c>
      <c r="I2716" s="4" t="s">
        <v>2317</v>
      </c>
      <c r="J2716" s="4" t="s">
        <v>2316</v>
      </c>
      <c r="K2716" s="4" t="s">
        <v>2263</v>
      </c>
      <c r="L2716" s="10">
        <v>29</v>
      </c>
      <c r="M2716" s="5">
        <v>18564.290571428573</v>
      </c>
      <c r="N2716" s="5">
        <v>538364.42657142854</v>
      </c>
    </row>
    <row r="2717" spans="1:14" x14ac:dyDescent="0.25">
      <c r="A2717" s="4" t="s">
        <v>2274</v>
      </c>
      <c r="B2717" s="4" t="s">
        <v>4348</v>
      </c>
      <c r="C2717" s="4" t="s">
        <v>2274</v>
      </c>
      <c r="D2717" s="4" t="s">
        <v>2273</v>
      </c>
      <c r="E2717" s="4" t="s">
        <v>4499</v>
      </c>
      <c r="F2717" s="4" t="s">
        <v>2535</v>
      </c>
      <c r="G2717" s="4" t="s">
        <v>2263</v>
      </c>
      <c r="H2717" s="9" t="s">
        <v>2263</v>
      </c>
      <c r="I2717" s="4" t="s">
        <v>2263</v>
      </c>
      <c r="J2717" s="4" t="s">
        <v>2263</v>
      </c>
      <c r="K2717" s="4" t="s">
        <v>2534</v>
      </c>
      <c r="L2717" s="10">
        <v>29</v>
      </c>
      <c r="M2717" s="5">
        <v>122088.93482758621</v>
      </c>
      <c r="N2717" s="5">
        <v>3540579.11</v>
      </c>
    </row>
    <row r="2718" spans="1:14" x14ac:dyDescent="0.25">
      <c r="A2718" s="4" t="s">
        <v>2274</v>
      </c>
      <c r="B2718" s="4" t="s">
        <v>4348</v>
      </c>
      <c r="C2718" s="4" t="s">
        <v>2344</v>
      </c>
      <c r="D2718" s="4" t="s">
        <v>237</v>
      </c>
      <c r="E2718" s="4" t="s">
        <v>4962</v>
      </c>
      <c r="F2718" s="4" t="s">
        <v>4961</v>
      </c>
      <c r="G2718" s="4" t="s">
        <v>2263</v>
      </c>
      <c r="H2718" s="9" t="s">
        <v>2263</v>
      </c>
      <c r="I2718" s="4" t="s">
        <v>2263</v>
      </c>
      <c r="J2718" s="4" t="s">
        <v>2263</v>
      </c>
      <c r="K2718" s="4" t="s">
        <v>2547</v>
      </c>
      <c r="L2718" s="10">
        <v>30</v>
      </c>
      <c r="M2718" s="5">
        <v>38.44803278688525</v>
      </c>
      <c r="N2718" s="5">
        <v>1153.4409836065599</v>
      </c>
    </row>
    <row r="2719" spans="1:14" x14ac:dyDescent="0.25">
      <c r="A2719" s="4" t="s">
        <v>2320</v>
      </c>
      <c r="B2719" s="4" t="s">
        <v>4967</v>
      </c>
      <c r="C2719" s="4" t="s">
        <v>2320</v>
      </c>
      <c r="D2719" s="4" t="s">
        <v>242</v>
      </c>
      <c r="E2719" s="4" t="s">
        <v>4111</v>
      </c>
      <c r="F2719" s="4" t="s">
        <v>4110</v>
      </c>
      <c r="G2719" s="4" t="s">
        <v>2263</v>
      </c>
      <c r="H2719" s="9" t="s">
        <v>2263</v>
      </c>
      <c r="I2719" s="4" t="s">
        <v>2317</v>
      </c>
      <c r="J2719" s="4" t="s">
        <v>2316</v>
      </c>
      <c r="K2719" s="4" t="s">
        <v>2263</v>
      </c>
      <c r="L2719" s="10">
        <v>30</v>
      </c>
      <c r="M2719" s="5">
        <v>78.775359433007083</v>
      </c>
      <c r="N2719" s="5">
        <v>2363.2607829902099</v>
      </c>
    </row>
    <row r="2720" spans="1:14" x14ac:dyDescent="0.25">
      <c r="A2720" s="4" t="s">
        <v>2274</v>
      </c>
      <c r="B2720" s="4" t="s">
        <v>4348</v>
      </c>
      <c r="C2720" s="4" t="s">
        <v>2344</v>
      </c>
      <c r="D2720" s="4" t="s">
        <v>237</v>
      </c>
      <c r="E2720" s="4" t="s">
        <v>4737</v>
      </c>
      <c r="F2720" s="4" t="s">
        <v>2590</v>
      </c>
      <c r="G2720" s="4" t="s">
        <v>2263</v>
      </c>
      <c r="H2720" s="9" t="s">
        <v>2263</v>
      </c>
      <c r="I2720" s="4" t="s">
        <v>2263</v>
      </c>
      <c r="J2720" s="4" t="s">
        <v>2263</v>
      </c>
      <c r="K2720" s="4" t="s">
        <v>2560</v>
      </c>
      <c r="L2720" s="10">
        <v>30</v>
      </c>
      <c r="M2720" s="5">
        <v>116.26838028169014</v>
      </c>
      <c r="N2720" s="5">
        <v>3488.0514084506999</v>
      </c>
    </row>
    <row r="2721" spans="1:14" x14ac:dyDescent="0.25">
      <c r="A2721" s="4" t="s">
        <v>2274</v>
      </c>
      <c r="B2721" s="4" t="s">
        <v>4348</v>
      </c>
      <c r="C2721" s="4" t="s">
        <v>2344</v>
      </c>
      <c r="D2721" s="4" t="s">
        <v>237</v>
      </c>
      <c r="E2721" s="4" t="s">
        <v>4633</v>
      </c>
      <c r="F2721" s="4" t="s">
        <v>2596</v>
      </c>
      <c r="G2721" s="4" t="s">
        <v>2263</v>
      </c>
      <c r="H2721" s="9" t="s">
        <v>2263</v>
      </c>
      <c r="I2721" s="4" t="s">
        <v>2263</v>
      </c>
      <c r="J2721" s="4" t="s">
        <v>2263</v>
      </c>
      <c r="K2721" s="4" t="s">
        <v>2465</v>
      </c>
      <c r="L2721" s="10">
        <v>30</v>
      </c>
      <c r="M2721" s="5">
        <v>152</v>
      </c>
      <c r="N2721" s="5">
        <v>4560</v>
      </c>
    </row>
    <row r="2722" spans="1:14" x14ac:dyDescent="0.25">
      <c r="A2722" s="4" t="s">
        <v>2274</v>
      </c>
      <c r="B2722" s="4" t="s">
        <v>4348</v>
      </c>
      <c r="C2722" s="4" t="s">
        <v>2344</v>
      </c>
      <c r="D2722" s="4" t="s">
        <v>237</v>
      </c>
      <c r="E2722" s="4" t="s">
        <v>4911</v>
      </c>
      <c r="F2722" s="4" t="s">
        <v>4910</v>
      </c>
      <c r="G2722" s="4" t="s">
        <v>2263</v>
      </c>
      <c r="H2722" s="9" t="s">
        <v>2263</v>
      </c>
      <c r="I2722" s="4" t="s">
        <v>2263</v>
      </c>
      <c r="J2722" s="4" t="s">
        <v>2263</v>
      </c>
      <c r="K2722" s="4" t="s">
        <v>4909</v>
      </c>
      <c r="L2722" s="10">
        <v>30</v>
      </c>
      <c r="M2722" s="5">
        <v>154.09691176470588</v>
      </c>
      <c r="N2722" s="5">
        <v>4622.9073529411799</v>
      </c>
    </row>
    <row r="2723" spans="1:14" x14ac:dyDescent="0.25">
      <c r="A2723" s="4" t="s">
        <v>2274</v>
      </c>
      <c r="B2723" s="4" t="s">
        <v>4348</v>
      </c>
      <c r="C2723" s="4" t="s">
        <v>2344</v>
      </c>
      <c r="D2723" s="4" t="s">
        <v>237</v>
      </c>
      <c r="E2723" s="4" t="s">
        <v>4882</v>
      </c>
      <c r="F2723" s="4" t="s">
        <v>4881</v>
      </c>
      <c r="G2723" s="4" t="s">
        <v>2263</v>
      </c>
      <c r="H2723" s="9" t="s">
        <v>2263</v>
      </c>
      <c r="I2723" s="4" t="s">
        <v>2263</v>
      </c>
      <c r="J2723" s="4" t="s">
        <v>2263</v>
      </c>
      <c r="K2723" s="4" t="s">
        <v>2465</v>
      </c>
      <c r="L2723" s="10">
        <v>30</v>
      </c>
      <c r="M2723" s="5">
        <v>174.268</v>
      </c>
      <c r="N2723" s="5">
        <v>5228.04</v>
      </c>
    </row>
    <row r="2724" spans="1:14" x14ac:dyDescent="0.25">
      <c r="A2724" s="4" t="s">
        <v>2274</v>
      </c>
      <c r="B2724" s="4" t="s">
        <v>4348</v>
      </c>
      <c r="C2724" s="4" t="s">
        <v>2344</v>
      </c>
      <c r="D2724" s="4" t="s">
        <v>237</v>
      </c>
      <c r="E2724" s="4" t="s">
        <v>4833</v>
      </c>
      <c r="F2724" s="4" t="s">
        <v>4832</v>
      </c>
      <c r="G2724" s="4" t="s">
        <v>2263</v>
      </c>
      <c r="H2724" s="9" t="s">
        <v>2263</v>
      </c>
      <c r="I2724" s="4" t="s">
        <v>2263</v>
      </c>
      <c r="J2724" s="4" t="s">
        <v>2263</v>
      </c>
      <c r="K2724" s="4" t="s">
        <v>2520</v>
      </c>
      <c r="L2724" s="10">
        <v>30</v>
      </c>
      <c r="M2724" s="5">
        <v>175</v>
      </c>
      <c r="N2724" s="5">
        <v>5250</v>
      </c>
    </row>
    <row r="2725" spans="1:14" x14ac:dyDescent="0.25">
      <c r="A2725" s="4" t="s">
        <v>2274</v>
      </c>
      <c r="B2725" s="4" t="s">
        <v>4348</v>
      </c>
      <c r="C2725" s="4" t="s">
        <v>2344</v>
      </c>
      <c r="D2725" s="4" t="s">
        <v>237</v>
      </c>
      <c r="E2725" s="4" t="s">
        <v>4569</v>
      </c>
      <c r="F2725" s="4" t="s">
        <v>2551</v>
      </c>
      <c r="G2725" s="4" t="s">
        <v>2263</v>
      </c>
      <c r="H2725" s="9" t="s">
        <v>2263</v>
      </c>
      <c r="I2725" s="4" t="s">
        <v>2263</v>
      </c>
      <c r="J2725" s="4" t="s">
        <v>2263</v>
      </c>
      <c r="K2725" s="4" t="s">
        <v>2545</v>
      </c>
      <c r="L2725" s="10">
        <v>30</v>
      </c>
      <c r="M2725" s="5">
        <v>185.44675862068965</v>
      </c>
      <c r="N2725" s="5">
        <v>5563.4027586206903</v>
      </c>
    </row>
    <row r="2726" spans="1:14" x14ac:dyDescent="0.25">
      <c r="A2726" s="4" t="s">
        <v>2344</v>
      </c>
      <c r="B2726" s="4" t="s">
        <v>5154</v>
      </c>
      <c r="C2726" s="4" t="s">
        <v>2267</v>
      </c>
      <c r="D2726" s="4" t="s">
        <v>2266</v>
      </c>
      <c r="E2726" s="4" t="s">
        <v>4378</v>
      </c>
      <c r="F2726" s="4" t="s">
        <v>2493</v>
      </c>
      <c r="G2726" s="4" t="s">
        <v>2263</v>
      </c>
      <c r="H2726" s="9" t="s">
        <v>2263</v>
      </c>
      <c r="I2726" s="4" t="s">
        <v>2263</v>
      </c>
      <c r="J2726" s="4" t="s">
        <v>2263</v>
      </c>
      <c r="K2726" s="4" t="s">
        <v>2262</v>
      </c>
      <c r="L2726" s="10">
        <v>30</v>
      </c>
      <c r="M2726" s="5">
        <v>225.56</v>
      </c>
      <c r="N2726" s="5">
        <v>6766.8</v>
      </c>
    </row>
    <row r="2727" spans="1:14" x14ac:dyDescent="0.25">
      <c r="A2727" s="4" t="s">
        <v>2344</v>
      </c>
      <c r="B2727" s="4" t="s">
        <v>5154</v>
      </c>
      <c r="C2727" s="4" t="s">
        <v>2344</v>
      </c>
      <c r="D2727" s="4" t="s">
        <v>237</v>
      </c>
      <c r="E2727" s="4" t="s">
        <v>5407</v>
      </c>
      <c r="F2727" s="4" t="s">
        <v>5406</v>
      </c>
      <c r="G2727" s="4" t="s">
        <v>2263</v>
      </c>
      <c r="H2727" s="9" t="s">
        <v>2263</v>
      </c>
      <c r="I2727" s="4" t="s">
        <v>2263</v>
      </c>
      <c r="J2727" s="4" t="s">
        <v>2263</v>
      </c>
      <c r="K2727" s="4" t="s">
        <v>2305</v>
      </c>
      <c r="L2727" s="10">
        <v>30</v>
      </c>
      <c r="M2727" s="5">
        <v>259.5</v>
      </c>
      <c r="N2727" s="5">
        <v>7785</v>
      </c>
    </row>
    <row r="2728" spans="1:14" x14ac:dyDescent="0.25">
      <c r="A2728" s="4" t="s">
        <v>2274</v>
      </c>
      <c r="B2728" s="4" t="s">
        <v>4348</v>
      </c>
      <c r="C2728" s="4" t="s">
        <v>2317</v>
      </c>
      <c r="D2728" s="4" t="s">
        <v>2516</v>
      </c>
      <c r="E2728" s="4" t="s">
        <v>4437</v>
      </c>
      <c r="F2728" s="4" t="s">
        <v>2521</v>
      </c>
      <c r="G2728" s="4" t="s">
        <v>2263</v>
      </c>
      <c r="H2728" s="9" t="s">
        <v>2263</v>
      </c>
      <c r="I2728" s="4" t="s">
        <v>2263</v>
      </c>
      <c r="J2728" s="4" t="s">
        <v>2263</v>
      </c>
      <c r="K2728" s="4" t="s">
        <v>2520</v>
      </c>
      <c r="L2728" s="10">
        <v>30</v>
      </c>
      <c r="M2728" s="5">
        <v>263</v>
      </c>
      <c r="N2728" s="5">
        <v>7890</v>
      </c>
    </row>
    <row r="2729" spans="1:14" x14ac:dyDescent="0.25">
      <c r="A2729" s="4" t="s">
        <v>2274</v>
      </c>
      <c r="B2729" s="4" t="s">
        <v>4348</v>
      </c>
      <c r="C2729" s="4" t="s">
        <v>2344</v>
      </c>
      <c r="D2729" s="4" t="s">
        <v>237</v>
      </c>
      <c r="E2729" s="4" t="s">
        <v>4886</v>
      </c>
      <c r="F2729" s="4" t="s">
        <v>4848</v>
      </c>
      <c r="G2729" s="4" t="s">
        <v>2263</v>
      </c>
      <c r="H2729" s="9" t="s">
        <v>2263</v>
      </c>
      <c r="I2729" s="4" t="s">
        <v>2263</v>
      </c>
      <c r="J2729" s="4" t="s">
        <v>2263</v>
      </c>
      <c r="K2729" s="4" t="s">
        <v>2465</v>
      </c>
      <c r="L2729" s="10">
        <v>30</v>
      </c>
      <c r="M2729" s="5">
        <v>282.38400000000001</v>
      </c>
      <c r="N2729" s="5">
        <v>8471.52</v>
      </c>
    </row>
    <row r="2730" spans="1:14" x14ac:dyDescent="0.25">
      <c r="A2730" s="4" t="s">
        <v>2274</v>
      </c>
      <c r="B2730" s="4" t="s">
        <v>4348</v>
      </c>
      <c r="C2730" s="4" t="s">
        <v>2344</v>
      </c>
      <c r="D2730" s="4" t="s">
        <v>237</v>
      </c>
      <c r="E2730" s="4" t="s">
        <v>4844</v>
      </c>
      <c r="F2730" s="4" t="s">
        <v>4843</v>
      </c>
      <c r="G2730" s="4" t="s">
        <v>2263</v>
      </c>
      <c r="H2730" s="9" t="s">
        <v>2263</v>
      </c>
      <c r="I2730" s="4" t="s">
        <v>2263</v>
      </c>
      <c r="J2730" s="4" t="s">
        <v>2263</v>
      </c>
      <c r="K2730" s="4" t="s">
        <v>4842</v>
      </c>
      <c r="L2730" s="10">
        <v>30</v>
      </c>
      <c r="M2730" s="5">
        <v>313</v>
      </c>
      <c r="N2730" s="5">
        <v>9390</v>
      </c>
    </row>
    <row r="2731" spans="1:14" x14ac:dyDescent="0.25">
      <c r="A2731" s="4" t="s">
        <v>2274</v>
      </c>
      <c r="B2731" s="4" t="s">
        <v>4348</v>
      </c>
      <c r="C2731" s="4" t="s">
        <v>2344</v>
      </c>
      <c r="D2731" s="4" t="s">
        <v>237</v>
      </c>
      <c r="E2731" s="4" t="s">
        <v>4958</v>
      </c>
      <c r="F2731" s="4" t="s">
        <v>4957</v>
      </c>
      <c r="G2731" s="4" t="s">
        <v>2263</v>
      </c>
      <c r="H2731" s="9" t="s">
        <v>2263</v>
      </c>
      <c r="I2731" s="4" t="s">
        <v>2263</v>
      </c>
      <c r="J2731" s="4" t="s">
        <v>2263</v>
      </c>
      <c r="K2731" s="4" t="s">
        <v>4956</v>
      </c>
      <c r="L2731" s="10">
        <v>30</v>
      </c>
      <c r="M2731" s="5">
        <v>322.72741379310344</v>
      </c>
      <c r="N2731" s="5">
        <v>9681.8224137930993</v>
      </c>
    </row>
    <row r="2732" spans="1:14" x14ac:dyDescent="0.25">
      <c r="A2732" s="4" t="s">
        <v>2317</v>
      </c>
      <c r="B2732" s="4" t="s">
        <v>3839</v>
      </c>
      <c r="C2732" s="4" t="s">
        <v>2320</v>
      </c>
      <c r="D2732" s="4" t="s">
        <v>242</v>
      </c>
      <c r="E2732" s="4" t="s">
        <v>3213</v>
      </c>
      <c r="F2732" s="4" t="s">
        <v>3212</v>
      </c>
      <c r="G2732" s="4" t="s">
        <v>2263</v>
      </c>
      <c r="H2732" s="9" t="s">
        <v>2263</v>
      </c>
      <c r="I2732" s="4" t="s">
        <v>2317</v>
      </c>
      <c r="J2732" s="4" t="s">
        <v>2316</v>
      </c>
      <c r="K2732" s="4" t="s">
        <v>2263</v>
      </c>
      <c r="L2732" s="10">
        <v>30</v>
      </c>
      <c r="M2732" s="5">
        <v>446.59574468085106</v>
      </c>
      <c r="N2732" s="5">
        <v>13397.872340425531</v>
      </c>
    </row>
    <row r="2733" spans="1:14" x14ac:dyDescent="0.25">
      <c r="A2733" s="4" t="s">
        <v>2344</v>
      </c>
      <c r="B2733" s="4" t="s">
        <v>5154</v>
      </c>
      <c r="C2733" s="4" t="s">
        <v>2344</v>
      </c>
      <c r="D2733" s="4" t="s">
        <v>237</v>
      </c>
      <c r="E2733" s="4" t="s">
        <v>4670</v>
      </c>
      <c r="F2733" s="4" t="s">
        <v>4669</v>
      </c>
      <c r="G2733" s="4" t="s">
        <v>2263</v>
      </c>
      <c r="H2733" s="9" t="s">
        <v>2263</v>
      </c>
      <c r="I2733" s="4" t="s">
        <v>2263</v>
      </c>
      <c r="J2733" s="4" t="s">
        <v>2263</v>
      </c>
      <c r="K2733" s="4" t="s">
        <v>4668</v>
      </c>
      <c r="L2733" s="10">
        <v>30</v>
      </c>
      <c r="M2733" s="5">
        <v>459</v>
      </c>
      <c r="N2733" s="5">
        <v>13770</v>
      </c>
    </row>
    <row r="2734" spans="1:14" x14ac:dyDescent="0.25">
      <c r="A2734" s="4" t="s">
        <v>2274</v>
      </c>
      <c r="B2734" s="4" t="s">
        <v>4348</v>
      </c>
      <c r="C2734" s="4" t="s">
        <v>2344</v>
      </c>
      <c r="D2734" s="4" t="s">
        <v>237</v>
      </c>
      <c r="E2734" s="4" t="s">
        <v>4670</v>
      </c>
      <c r="F2734" s="4" t="s">
        <v>4669</v>
      </c>
      <c r="G2734" s="4" t="s">
        <v>2263</v>
      </c>
      <c r="H2734" s="9" t="s">
        <v>2263</v>
      </c>
      <c r="I2734" s="4" t="s">
        <v>2263</v>
      </c>
      <c r="J2734" s="4" t="s">
        <v>2263</v>
      </c>
      <c r="K2734" s="4" t="s">
        <v>4668</v>
      </c>
      <c r="L2734" s="10">
        <v>30</v>
      </c>
      <c r="M2734" s="5">
        <v>459</v>
      </c>
      <c r="N2734" s="5">
        <v>13770</v>
      </c>
    </row>
    <row r="2735" spans="1:14" x14ac:dyDescent="0.25">
      <c r="A2735" s="4" t="s">
        <v>2344</v>
      </c>
      <c r="B2735" s="4" t="s">
        <v>5154</v>
      </c>
      <c r="C2735" s="4" t="s">
        <v>2344</v>
      </c>
      <c r="D2735" s="4" t="s">
        <v>237</v>
      </c>
      <c r="E2735" s="4" t="s">
        <v>5385</v>
      </c>
      <c r="F2735" s="4" t="s">
        <v>4587</v>
      </c>
      <c r="G2735" s="4" t="s">
        <v>2263</v>
      </c>
      <c r="H2735" s="9" t="s">
        <v>2263</v>
      </c>
      <c r="I2735" s="4" t="s">
        <v>2263</v>
      </c>
      <c r="J2735" s="4" t="s">
        <v>2263</v>
      </c>
      <c r="K2735" s="4" t="s">
        <v>2520</v>
      </c>
      <c r="L2735" s="10">
        <v>30</v>
      </c>
      <c r="M2735" s="5">
        <v>654.66</v>
      </c>
      <c r="N2735" s="5">
        <v>19639.8</v>
      </c>
    </row>
    <row r="2736" spans="1:14" x14ac:dyDescent="0.25">
      <c r="A2736" s="4" t="s">
        <v>2865</v>
      </c>
      <c r="B2736" s="4" t="s">
        <v>2864</v>
      </c>
      <c r="C2736" s="4" t="s">
        <v>2344</v>
      </c>
      <c r="D2736" s="4" t="s">
        <v>237</v>
      </c>
      <c r="E2736" s="4" t="s">
        <v>2887</v>
      </c>
      <c r="F2736" s="4" t="s">
        <v>2620</v>
      </c>
      <c r="G2736" s="4" t="s">
        <v>2263</v>
      </c>
      <c r="H2736" s="9" t="s">
        <v>2263</v>
      </c>
      <c r="I2736" s="4" t="s">
        <v>2263</v>
      </c>
      <c r="J2736" s="4" t="s">
        <v>2263</v>
      </c>
      <c r="K2736" s="4" t="s">
        <v>2619</v>
      </c>
      <c r="L2736" s="10">
        <v>30</v>
      </c>
      <c r="M2736" s="5">
        <v>995.27191919191921</v>
      </c>
      <c r="N2736" s="5">
        <v>29858.157575757581</v>
      </c>
    </row>
    <row r="2737" spans="1:14" x14ac:dyDescent="0.25">
      <c r="A2737" s="4" t="s">
        <v>2320</v>
      </c>
      <c r="B2737" s="4" t="s">
        <v>4967</v>
      </c>
      <c r="C2737" s="4" t="s">
        <v>2320</v>
      </c>
      <c r="D2737" s="4" t="s">
        <v>242</v>
      </c>
      <c r="E2737" s="4" t="s">
        <v>3153</v>
      </c>
      <c r="F2737" s="4" t="s">
        <v>3152</v>
      </c>
      <c r="G2737" s="4" t="s">
        <v>2263</v>
      </c>
      <c r="H2737" s="9" t="s">
        <v>2263</v>
      </c>
      <c r="I2737" s="4" t="s">
        <v>2317</v>
      </c>
      <c r="J2737" s="4" t="s">
        <v>2316</v>
      </c>
      <c r="K2737" s="4" t="s">
        <v>2263</v>
      </c>
      <c r="L2737" s="10">
        <v>30</v>
      </c>
      <c r="M2737" s="5">
        <v>1195.9290592334494</v>
      </c>
      <c r="N2737" s="5">
        <v>35877.871777003478</v>
      </c>
    </row>
    <row r="2738" spans="1:14" x14ac:dyDescent="0.25">
      <c r="A2738" s="4" t="s">
        <v>2317</v>
      </c>
      <c r="B2738" s="4" t="s">
        <v>3839</v>
      </c>
      <c r="C2738" s="4" t="s">
        <v>2320</v>
      </c>
      <c r="D2738" s="4" t="s">
        <v>242</v>
      </c>
      <c r="E2738" s="4" t="s">
        <v>4187</v>
      </c>
      <c r="F2738" s="4" t="s">
        <v>4186</v>
      </c>
      <c r="G2738" s="4" t="s">
        <v>2263</v>
      </c>
      <c r="H2738" s="9" t="s">
        <v>2263</v>
      </c>
      <c r="I2738" s="4" t="s">
        <v>2317</v>
      </c>
      <c r="J2738" s="4" t="s">
        <v>2316</v>
      </c>
      <c r="K2738" s="4" t="s">
        <v>2263</v>
      </c>
      <c r="L2738" s="10">
        <v>30</v>
      </c>
      <c r="M2738" s="5">
        <v>1199.452380952381</v>
      </c>
      <c r="N2738" s="5">
        <v>35983.571428571428</v>
      </c>
    </row>
    <row r="2739" spans="1:14" x14ac:dyDescent="0.25">
      <c r="A2739" s="4" t="s">
        <v>2274</v>
      </c>
      <c r="B2739" s="4" t="s">
        <v>4348</v>
      </c>
      <c r="C2739" s="4" t="s">
        <v>2344</v>
      </c>
      <c r="D2739" s="4" t="s">
        <v>237</v>
      </c>
      <c r="E2739" s="4" t="s">
        <v>4661</v>
      </c>
      <c r="F2739" s="4" t="s">
        <v>4660</v>
      </c>
      <c r="G2739" s="4" t="s">
        <v>2263</v>
      </c>
      <c r="H2739" s="9" t="s">
        <v>2263</v>
      </c>
      <c r="I2739" s="4" t="s">
        <v>2263</v>
      </c>
      <c r="J2739" s="4" t="s">
        <v>2263</v>
      </c>
      <c r="K2739" s="4" t="s">
        <v>4659</v>
      </c>
      <c r="L2739" s="10">
        <v>30</v>
      </c>
      <c r="M2739" s="5">
        <v>1225</v>
      </c>
      <c r="N2739" s="5">
        <v>36750</v>
      </c>
    </row>
    <row r="2740" spans="1:14" x14ac:dyDescent="0.25">
      <c r="A2740" s="4" t="s">
        <v>2344</v>
      </c>
      <c r="B2740" s="4" t="s">
        <v>5154</v>
      </c>
      <c r="C2740" s="4" t="s">
        <v>2317</v>
      </c>
      <c r="D2740" s="4" t="s">
        <v>2516</v>
      </c>
      <c r="E2740" s="4" t="s">
        <v>4436</v>
      </c>
      <c r="F2740" s="4" t="s">
        <v>4435</v>
      </c>
      <c r="G2740" s="4" t="s">
        <v>2263</v>
      </c>
      <c r="H2740" s="9" t="s">
        <v>2263</v>
      </c>
      <c r="I2740" s="4" t="s">
        <v>2263</v>
      </c>
      <c r="J2740" s="4" t="s">
        <v>2263</v>
      </c>
      <c r="K2740" s="4" t="s">
        <v>2345</v>
      </c>
      <c r="L2740" s="10">
        <v>30</v>
      </c>
      <c r="M2740" s="5">
        <v>1495</v>
      </c>
      <c r="N2740" s="5">
        <v>44850</v>
      </c>
    </row>
    <row r="2741" spans="1:14" x14ac:dyDescent="0.25">
      <c r="A2741" s="4" t="s">
        <v>2274</v>
      </c>
      <c r="B2741" s="4" t="s">
        <v>4348</v>
      </c>
      <c r="C2741" s="4" t="s">
        <v>2344</v>
      </c>
      <c r="D2741" s="4" t="s">
        <v>237</v>
      </c>
      <c r="E2741" s="4" t="s">
        <v>4807</v>
      </c>
      <c r="F2741" s="4" t="s">
        <v>4733</v>
      </c>
      <c r="G2741" s="4" t="s">
        <v>2263</v>
      </c>
      <c r="H2741" s="9" t="s">
        <v>2263</v>
      </c>
      <c r="I2741" s="4" t="s">
        <v>2263</v>
      </c>
      <c r="J2741" s="4" t="s">
        <v>2263</v>
      </c>
      <c r="K2741" s="4" t="s">
        <v>2520</v>
      </c>
      <c r="L2741" s="10">
        <v>30</v>
      </c>
      <c r="M2741" s="5">
        <v>1650</v>
      </c>
      <c r="N2741" s="5">
        <v>49500</v>
      </c>
    </row>
    <row r="2742" spans="1:14" x14ac:dyDescent="0.25">
      <c r="A2742" s="4" t="s">
        <v>2344</v>
      </c>
      <c r="B2742" s="4" t="s">
        <v>5154</v>
      </c>
      <c r="C2742" s="4" t="s">
        <v>2344</v>
      </c>
      <c r="D2742" s="4" t="s">
        <v>237</v>
      </c>
      <c r="E2742" s="4" t="s">
        <v>4618</v>
      </c>
      <c r="F2742" s="4" t="s">
        <v>4617</v>
      </c>
      <c r="G2742" s="4" t="s">
        <v>2263</v>
      </c>
      <c r="H2742" s="9" t="s">
        <v>2263</v>
      </c>
      <c r="I2742" s="4" t="s">
        <v>2263</v>
      </c>
      <c r="J2742" s="4" t="s">
        <v>2263</v>
      </c>
      <c r="K2742" s="4" t="s">
        <v>4616</v>
      </c>
      <c r="L2742" s="10">
        <v>30</v>
      </c>
      <c r="M2742" s="5">
        <v>1919.2013333333332</v>
      </c>
      <c r="N2742" s="5">
        <v>57576.04</v>
      </c>
    </row>
    <row r="2743" spans="1:14" x14ac:dyDescent="0.25">
      <c r="A2743" s="4" t="s">
        <v>2274</v>
      </c>
      <c r="B2743" s="4" t="s">
        <v>4348</v>
      </c>
      <c r="C2743" s="4" t="s">
        <v>2344</v>
      </c>
      <c r="D2743" s="4" t="s">
        <v>237</v>
      </c>
      <c r="E2743" s="4" t="s">
        <v>4618</v>
      </c>
      <c r="F2743" s="4" t="s">
        <v>4617</v>
      </c>
      <c r="G2743" s="4" t="s">
        <v>2263</v>
      </c>
      <c r="H2743" s="9" t="s">
        <v>2263</v>
      </c>
      <c r="I2743" s="4" t="s">
        <v>2263</v>
      </c>
      <c r="J2743" s="4" t="s">
        <v>2263</v>
      </c>
      <c r="K2743" s="4" t="s">
        <v>4616</v>
      </c>
      <c r="L2743" s="10">
        <v>30</v>
      </c>
      <c r="M2743" s="5">
        <v>1919.2013333333332</v>
      </c>
      <c r="N2743" s="5">
        <v>57576.04</v>
      </c>
    </row>
    <row r="2744" spans="1:14" x14ac:dyDescent="0.25">
      <c r="A2744" s="4" t="s">
        <v>2274</v>
      </c>
      <c r="B2744" s="4" t="s">
        <v>4348</v>
      </c>
      <c r="C2744" s="4" t="s">
        <v>2344</v>
      </c>
      <c r="D2744" s="4" t="s">
        <v>237</v>
      </c>
      <c r="E2744" s="4" t="s">
        <v>4829</v>
      </c>
      <c r="F2744" s="4" t="s">
        <v>4828</v>
      </c>
      <c r="G2744" s="4" t="s">
        <v>2263</v>
      </c>
      <c r="H2744" s="9" t="s">
        <v>2263</v>
      </c>
      <c r="I2744" s="4" t="s">
        <v>2263</v>
      </c>
      <c r="J2744" s="4" t="s">
        <v>2263</v>
      </c>
      <c r="K2744" s="4" t="s">
        <v>4827</v>
      </c>
      <c r="L2744" s="10">
        <v>30</v>
      </c>
      <c r="M2744" s="5">
        <v>2218.1857500000001</v>
      </c>
      <c r="N2744" s="5">
        <v>66545.572499999995</v>
      </c>
    </row>
    <row r="2745" spans="1:14" x14ac:dyDescent="0.25">
      <c r="A2745" s="4" t="s">
        <v>2274</v>
      </c>
      <c r="B2745" s="4" t="s">
        <v>4348</v>
      </c>
      <c r="C2745" s="4" t="s">
        <v>2344</v>
      </c>
      <c r="D2745" s="4" t="s">
        <v>237</v>
      </c>
      <c r="E2745" s="4" t="s">
        <v>4691</v>
      </c>
      <c r="F2745" s="4" t="s">
        <v>2542</v>
      </c>
      <c r="G2745" s="4" t="s">
        <v>2263</v>
      </c>
      <c r="H2745" s="9" t="s">
        <v>2263</v>
      </c>
      <c r="I2745" s="4" t="s">
        <v>2263</v>
      </c>
      <c r="J2745" s="4" t="s">
        <v>2263</v>
      </c>
      <c r="K2745" s="4" t="s">
        <v>2541</v>
      </c>
      <c r="L2745" s="10">
        <v>30</v>
      </c>
      <c r="M2745" s="5">
        <v>2462.1689999999999</v>
      </c>
      <c r="N2745" s="5">
        <v>73865.070000000007</v>
      </c>
    </row>
    <row r="2746" spans="1:14" x14ac:dyDescent="0.25">
      <c r="A2746" s="4" t="s">
        <v>2274</v>
      </c>
      <c r="B2746" s="4" t="s">
        <v>4348</v>
      </c>
      <c r="C2746" s="4" t="s">
        <v>2344</v>
      </c>
      <c r="D2746" s="4" t="s">
        <v>237</v>
      </c>
      <c r="E2746" s="4" t="s">
        <v>4955</v>
      </c>
      <c r="F2746" s="4" t="s">
        <v>4954</v>
      </c>
      <c r="G2746" s="4" t="s">
        <v>2263</v>
      </c>
      <c r="H2746" s="9" t="s">
        <v>2263</v>
      </c>
      <c r="I2746" s="4" t="s">
        <v>2263</v>
      </c>
      <c r="J2746" s="4" t="s">
        <v>2263</v>
      </c>
      <c r="K2746" s="4" t="s">
        <v>4953</v>
      </c>
      <c r="L2746" s="10">
        <v>30</v>
      </c>
      <c r="M2746" s="5">
        <v>2612.5223999999998</v>
      </c>
      <c r="N2746" s="5">
        <v>78375.672000000006</v>
      </c>
    </row>
    <row r="2747" spans="1:14" x14ac:dyDescent="0.25">
      <c r="A2747" s="4" t="s">
        <v>2274</v>
      </c>
      <c r="B2747" s="4" t="s">
        <v>4348</v>
      </c>
      <c r="C2747" s="4" t="s">
        <v>2317</v>
      </c>
      <c r="D2747" s="4" t="s">
        <v>2516</v>
      </c>
      <c r="E2747" s="4" t="s">
        <v>4434</v>
      </c>
      <c r="F2747" s="4" t="s">
        <v>2519</v>
      </c>
      <c r="G2747" s="4" t="s">
        <v>2263</v>
      </c>
      <c r="H2747" s="9" t="s">
        <v>2263</v>
      </c>
      <c r="I2747" s="4" t="s">
        <v>2263</v>
      </c>
      <c r="J2747" s="4" t="s">
        <v>2263</v>
      </c>
      <c r="K2747" s="4" t="s">
        <v>2518</v>
      </c>
      <c r="L2747" s="10">
        <v>30</v>
      </c>
      <c r="M2747" s="5">
        <v>2862.134705882353</v>
      </c>
      <c r="N2747" s="5">
        <v>85864.041176470593</v>
      </c>
    </row>
    <row r="2748" spans="1:14" x14ac:dyDescent="0.25">
      <c r="A2748" s="4" t="s">
        <v>2274</v>
      </c>
      <c r="B2748" s="4" t="s">
        <v>4348</v>
      </c>
      <c r="C2748" s="4" t="s">
        <v>2344</v>
      </c>
      <c r="D2748" s="4" t="s">
        <v>237</v>
      </c>
      <c r="E2748" s="4" t="s">
        <v>2343</v>
      </c>
      <c r="F2748" s="4" t="s">
        <v>2342</v>
      </c>
      <c r="G2748" s="4" t="s">
        <v>2263</v>
      </c>
      <c r="H2748" s="9" t="s">
        <v>2263</v>
      </c>
      <c r="I2748" s="4" t="s">
        <v>2263</v>
      </c>
      <c r="J2748" s="4" t="s">
        <v>2263</v>
      </c>
      <c r="K2748" s="4" t="s">
        <v>2341</v>
      </c>
      <c r="L2748" s="10">
        <v>30</v>
      </c>
      <c r="M2748" s="5">
        <v>3124.7857142857142</v>
      </c>
      <c r="N2748" s="5">
        <v>93743.571428571435</v>
      </c>
    </row>
    <row r="2749" spans="1:14" x14ac:dyDescent="0.25">
      <c r="A2749" s="4" t="s">
        <v>2274</v>
      </c>
      <c r="B2749" s="4" t="s">
        <v>4348</v>
      </c>
      <c r="C2749" s="4" t="s">
        <v>2317</v>
      </c>
      <c r="D2749" s="4" t="s">
        <v>2516</v>
      </c>
      <c r="E2749" s="4" t="s">
        <v>4433</v>
      </c>
      <c r="F2749" s="4" t="s">
        <v>4432</v>
      </c>
      <c r="G2749" s="4" t="s">
        <v>2263</v>
      </c>
      <c r="H2749" s="9" t="s">
        <v>2263</v>
      </c>
      <c r="I2749" s="4" t="s">
        <v>2263</v>
      </c>
      <c r="J2749" s="4" t="s">
        <v>2263</v>
      </c>
      <c r="K2749" s="4" t="s">
        <v>2545</v>
      </c>
      <c r="L2749" s="10">
        <v>30</v>
      </c>
      <c r="M2749" s="5">
        <v>3137.4807272727271</v>
      </c>
      <c r="N2749" s="5">
        <v>94124.421818181814</v>
      </c>
    </row>
    <row r="2750" spans="1:14" x14ac:dyDescent="0.25">
      <c r="A2750" s="4" t="s">
        <v>2317</v>
      </c>
      <c r="B2750" s="4" t="s">
        <v>3839</v>
      </c>
      <c r="C2750" s="4" t="s">
        <v>2320</v>
      </c>
      <c r="D2750" s="4" t="s">
        <v>242</v>
      </c>
      <c r="E2750" s="4" t="s">
        <v>2394</v>
      </c>
      <c r="F2750" s="4" t="s">
        <v>2393</v>
      </c>
      <c r="G2750" s="4" t="s">
        <v>2263</v>
      </c>
      <c r="H2750" s="9" t="s">
        <v>2263</v>
      </c>
      <c r="I2750" s="4" t="s">
        <v>2317</v>
      </c>
      <c r="J2750" s="4" t="s">
        <v>2316</v>
      </c>
      <c r="K2750" s="4" t="s">
        <v>2263</v>
      </c>
      <c r="L2750" s="10">
        <v>30</v>
      </c>
      <c r="M2750" s="5">
        <v>3280.1967213114754</v>
      </c>
      <c r="N2750" s="5">
        <v>98405.901639344258</v>
      </c>
    </row>
    <row r="2751" spans="1:14" x14ac:dyDescent="0.25">
      <c r="A2751" s="4" t="s">
        <v>2274</v>
      </c>
      <c r="B2751" s="4" t="s">
        <v>4348</v>
      </c>
      <c r="C2751" s="4" t="s">
        <v>2344</v>
      </c>
      <c r="D2751" s="4" t="s">
        <v>237</v>
      </c>
      <c r="E2751" s="4" t="s">
        <v>2461</v>
      </c>
      <c r="F2751" s="4" t="s">
        <v>2460</v>
      </c>
      <c r="G2751" s="4" t="s">
        <v>2263</v>
      </c>
      <c r="H2751" s="9" t="s">
        <v>2263</v>
      </c>
      <c r="I2751" s="4" t="s">
        <v>2263</v>
      </c>
      <c r="J2751" s="4" t="s">
        <v>2263</v>
      </c>
      <c r="K2751" s="4" t="s">
        <v>2421</v>
      </c>
      <c r="L2751" s="10">
        <v>30</v>
      </c>
      <c r="M2751" s="5">
        <v>3894.9839393939396</v>
      </c>
      <c r="N2751" s="5">
        <v>116849.51818181817</v>
      </c>
    </row>
    <row r="2752" spans="1:14" x14ac:dyDescent="0.25">
      <c r="A2752" s="4" t="s">
        <v>2274</v>
      </c>
      <c r="B2752" s="4" t="s">
        <v>4348</v>
      </c>
      <c r="C2752" s="4" t="s">
        <v>2344</v>
      </c>
      <c r="D2752" s="4" t="s">
        <v>237</v>
      </c>
      <c r="E2752" s="4" t="s">
        <v>4708</v>
      </c>
      <c r="F2752" s="4" t="s">
        <v>4707</v>
      </c>
      <c r="G2752" s="4" t="s">
        <v>2263</v>
      </c>
      <c r="H2752" s="9" t="s">
        <v>2263</v>
      </c>
      <c r="I2752" s="4" t="s">
        <v>2263</v>
      </c>
      <c r="J2752" s="4" t="s">
        <v>2263</v>
      </c>
      <c r="K2752" s="4" t="s">
        <v>2439</v>
      </c>
      <c r="L2752" s="10">
        <v>30</v>
      </c>
      <c r="M2752" s="5">
        <v>3950</v>
      </c>
      <c r="N2752" s="5">
        <v>118500</v>
      </c>
    </row>
    <row r="2753" spans="1:14" x14ac:dyDescent="0.25">
      <c r="A2753" s="4" t="s">
        <v>2344</v>
      </c>
      <c r="B2753" s="4" t="s">
        <v>5154</v>
      </c>
      <c r="C2753" s="4" t="s">
        <v>2344</v>
      </c>
      <c r="D2753" s="4" t="s">
        <v>237</v>
      </c>
      <c r="E2753" s="4" t="s">
        <v>4640</v>
      </c>
      <c r="F2753" s="4" t="s">
        <v>4639</v>
      </c>
      <c r="G2753" s="4" t="s">
        <v>2263</v>
      </c>
      <c r="H2753" s="9" t="s">
        <v>2263</v>
      </c>
      <c r="I2753" s="4" t="s">
        <v>2263</v>
      </c>
      <c r="J2753" s="4" t="s">
        <v>2263</v>
      </c>
      <c r="K2753" s="4" t="s">
        <v>2580</v>
      </c>
      <c r="L2753" s="10">
        <v>30</v>
      </c>
      <c r="M2753" s="5">
        <v>7201.4065725806449</v>
      </c>
      <c r="N2753" s="5">
        <v>216042.19717741935</v>
      </c>
    </row>
    <row r="2754" spans="1:14" x14ac:dyDescent="0.25">
      <c r="A2754" s="4" t="s">
        <v>2274</v>
      </c>
      <c r="B2754" s="4" t="s">
        <v>4348</v>
      </c>
      <c r="C2754" s="4" t="s">
        <v>2344</v>
      </c>
      <c r="D2754" s="4" t="s">
        <v>237</v>
      </c>
      <c r="E2754" s="4" t="s">
        <v>4727</v>
      </c>
      <c r="F2754" s="4" t="s">
        <v>4570</v>
      </c>
      <c r="G2754" s="4" t="s">
        <v>2263</v>
      </c>
      <c r="H2754" s="9" t="s">
        <v>2263</v>
      </c>
      <c r="I2754" s="4" t="s">
        <v>2263</v>
      </c>
      <c r="J2754" s="4" t="s">
        <v>2263</v>
      </c>
      <c r="K2754" s="4" t="s">
        <v>2290</v>
      </c>
      <c r="L2754" s="10">
        <v>30</v>
      </c>
      <c r="M2754" s="5">
        <v>7724.9152631578954</v>
      </c>
      <c r="N2754" s="5">
        <v>231747.45789473684</v>
      </c>
    </row>
    <row r="2755" spans="1:14" x14ac:dyDescent="0.25">
      <c r="A2755" s="4" t="s">
        <v>2317</v>
      </c>
      <c r="B2755" s="4" t="s">
        <v>3839</v>
      </c>
      <c r="C2755" s="4" t="s">
        <v>2320</v>
      </c>
      <c r="D2755" s="4" t="s">
        <v>242</v>
      </c>
      <c r="E2755" s="4" t="s">
        <v>3927</v>
      </c>
      <c r="F2755" s="4" t="s">
        <v>3926</v>
      </c>
      <c r="G2755" s="4" t="s">
        <v>2263</v>
      </c>
      <c r="H2755" s="9" t="s">
        <v>2263</v>
      </c>
      <c r="I2755" s="4" t="s">
        <v>2317</v>
      </c>
      <c r="J2755" s="4" t="s">
        <v>2316</v>
      </c>
      <c r="K2755" s="4" t="s">
        <v>2263</v>
      </c>
      <c r="L2755" s="10">
        <v>30</v>
      </c>
      <c r="M2755" s="5">
        <v>8377.6663636363628</v>
      </c>
      <c r="N2755" s="5">
        <v>251329.99090909091</v>
      </c>
    </row>
    <row r="2756" spans="1:14" x14ac:dyDescent="0.25">
      <c r="A2756" s="4" t="s">
        <v>2344</v>
      </c>
      <c r="B2756" s="4" t="s">
        <v>5154</v>
      </c>
      <c r="C2756" s="4" t="s">
        <v>2274</v>
      </c>
      <c r="D2756" s="4" t="s">
        <v>2273</v>
      </c>
      <c r="E2756" s="4" t="s">
        <v>5242</v>
      </c>
      <c r="F2756" s="4" t="s">
        <v>5241</v>
      </c>
      <c r="G2756" s="4" t="s">
        <v>2263</v>
      </c>
      <c r="H2756" s="9" t="s">
        <v>2263</v>
      </c>
      <c r="I2756" s="4" t="s">
        <v>2263</v>
      </c>
      <c r="J2756" s="4" t="s">
        <v>2263</v>
      </c>
      <c r="K2756" s="4" t="s">
        <v>5240</v>
      </c>
      <c r="L2756" s="10">
        <v>30</v>
      </c>
      <c r="M2756" s="5">
        <v>9258.1666666666679</v>
      </c>
      <c r="N2756" s="5">
        <v>277745</v>
      </c>
    </row>
    <row r="2757" spans="1:14" x14ac:dyDescent="0.25">
      <c r="A2757" s="4" t="s">
        <v>2317</v>
      </c>
      <c r="B2757" s="4" t="s">
        <v>3839</v>
      </c>
      <c r="C2757" s="4" t="s">
        <v>2320</v>
      </c>
      <c r="D2757" s="4" t="s">
        <v>242</v>
      </c>
      <c r="E2757" s="4" t="s">
        <v>4117</v>
      </c>
      <c r="F2757" s="4" t="s">
        <v>4116</v>
      </c>
      <c r="G2757" s="4" t="s">
        <v>2263</v>
      </c>
      <c r="H2757" s="9" t="s">
        <v>2263</v>
      </c>
      <c r="I2757" s="4" t="s">
        <v>2317</v>
      </c>
      <c r="J2757" s="4" t="s">
        <v>2316</v>
      </c>
      <c r="K2757" s="4" t="s">
        <v>2263</v>
      </c>
      <c r="L2757" s="10">
        <v>30</v>
      </c>
      <c r="M2757" s="5">
        <v>9295.0561538461534</v>
      </c>
      <c r="N2757" s="5">
        <v>278851.68461538461</v>
      </c>
    </row>
    <row r="2758" spans="1:14" x14ac:dyDescent="0.25">
      <c r="A2758" s="4" t="s">
        <v>2761</v>
      </c>
      <c r="B2758" s="4" t="s">
        <v>2760</v>
      </c>
      <c r="C2758" s="4" t="s">
        <v>2320</v>
      </c>
      <c r="D2758" s="4" t="s">
        <v>242</v>
      </c>
      <c r="E2758" s="4" t="s">
        <v>2777</v>
      </c>
      <c r="F2758" s="4" t="s">
        <v>2776</v>
      </c>
      <c r="G2758" s="4" t="s">
        <v>2263</v>
      </c>
      <c r="H2758" s="9" t="s">
        <v>2263</v>
      </c>
      <c r="I2758" s="4" t="s">
        <v>2317</v>
      </c>
      <c r="J2758" s="4" t="s">
        <v>2316</v>
      </c>
      <c r="K2758" s="4" t="s">
        <v>2263</v>
      </c>
      <c r="L2758" s="10">
        <v>30</v>
      </c>
      <c r="M2758" s="5">
        <v>10583.331578947367</v>
      </c>
      <c r="N2758" s="5">
        <v>317499.94736842107</v>
      </c>
    </row>
    <row r="2759" spans="1:14" x14ac:dyDescent="0.25">
      <c r="A2759" s="4" t="s">
        <v>2274</v>
      </c>
      <c r="B2759" s="4" t="s">
        <v>4348</v>
      </c>
      <c r="C2759" s="4" t="s">
        <v>2344</v>
      </c>
      <c r="D2759" s="4" t="s">
        <v>237</v>
      </c>
      <c r="E2759" s="4" t="s">
        <v>4888</v>
      </c>
      <c r="F2759" s="4" t="s">
        <v>4887</v>
      </c>
      <c r="G2759" s="4" t="s">
        <v>2263</v>
      </c>
      <c r="H2759" s="9" t="s">
        <v>2263</v>
      </c>
      <c r="I2759" s="4" t="s">
        <v>2263</v>
      </c>
      <c r="J2759" s="4" t="s">
        <v>2263</v>
      </c>
      <c r="K2759" s="4" t="s">
        <v>2602</v>
      </c>
      <c r="L2759" s="10">
        <v>30</v>
      </c>
      <c r="M2759" s="5">
        <v>12094.82865671642</v>
      </c>
      <c r="N2759" s="5">
        <v>362844.85970149253</v>
      </c>
    </row>
    <row r="2760" spans="1:14" x14ac:dyDescent="0.25">
      <c r="A2760" s="4" t="s">
        <v>2274</v>
      </c>
      <c r="B2760" s="4" t="s">
        <v>4348</v>
      </c>
      <c r="C2760" s="4" t="s">
        <v>2274</v>
      </c>
      <c r="D2760" s="4" t="s">
        <v>2273</v>
      </c>
      <c r="E2760" s="4" t="s">
        <v>4478</v>
      </c>
      <c r="F2760" s="4" t="s">
        <v>2526</v>
      </c>
      <c r="G2760" s="4" t="s">
        <v>2263</v>
      </c>
      <c r="H2760" s="9" t="s">
        <v>2263</v>
      </c>
      <c r="I2760" s="4" t="s">
        <v>2263</v>
      </c>
      <c r="J2760" s="4" t="s">
        <v>2263</v>
      </c>
      <c r="K2760" s="4" t="s">
        <v>2262</v>
      </c>
      <c r="L2760" s="10">
        <v>30</v>
      </c>
      <c r="M2760" s="5">
        <v>12235</v>
      </c>
      <c r="N2760" s="5">
        <v>367050</v>
      </c>
    </row>
    <row r="2761" spans="1:14" x14ac:dyDescent="0.25">
      <c r="A2761" s="4" t="s">
        <v>2269</v>
      </c>
      <c r="B2761" s="4" t="s">
        <v>2268</v>
      </c>
      <c r="C2761" s="4" t="s">
        <v>2279</v>
      </c>
      <c r="D2761" s="4" t="s">
        <v>2278</v>
      </c>
      <c r="E2761" s="4" t="s">
        <v>2315</v>
      </c>
      <c r="F2761" s="4" t="s">
        <v>2314</v>
      </c>
      <c r="G2761" s="4" t="s">
        <v>2263</v>
      </c>
      <c r="H2761" s="9" t="s">
        <v>2263</v>
      </c>
      <c r="I2761" s="4" t="s">
        <v>2263</v>
      </c>
      <c r="J2761" s="4" t="s">
        <v>2263</v>
      </c>
      <c r="K2761" s="4" t="s">
        <v>2313</v>
      </c>
      <c r="L2761" s="10">
        <v>30</v>
      </c>
      <c r="M2761" s="5">
        <v>13683.53</v>
      </c>
      <c r="N2761" s="5">
        <v>410505.9</v>
      </c>
    </row>
    <row r="2762" spans="1:14" x14ac:dyDescent="0.25">
      <c r="A2762" s="4" t="s">
        <v>2317</v>
      </c>
      <c r="B2762" s="4" t="s">
        <v>3839</v>
      </c>
      <c r="C2762" s="4" t="s">
        <v>2320</v>
      </c>
      <c r="D2762" s="4" t="s">
        <v>242</v>
      </c>
      <c r="E2762" s="4" t="s">
        <v>2936</v>
      </c>
      <c r="F2762" s="4" t="s">
        <v>2935</v>
      </c>
      <c r="G2762" s="4" t="s">
        <v>2263</v>
      </c>
      <c r="H2762" s="9" t="s">
        <v>2263</v>
      </c>
      <c r="I2762" s="4" t="s">
        <v>2317</v>
      </c>
      <c r="J2762" s="4" t="s">
        <v>2316</v>
      </c>
      <c r="K2762" s="4" t="s">
        <v>2263</v>
      </c>
      <c r="L2762" s="10">
        <v>30</v>
      </c>
      <c r="M2762" s="5">
        <v>15864.732647058823</v>
      </c>
      <c r="N2762" s="5">
        <v>475941.97941176471</v>
      </c>
    </row>
    <row r="2763" spans="1:14" x14ac:dyDescent="0.25">
      <c r="A2763" s="4" t="s">
        <v>2317</v>
      </c>
      <c r="B2763" s="4" t="s">
        <v>3839</v>
      </c>
      <c r="C2763" s="4" t="s">
        <v>2320</v>
      </c>
      <c r="D2763" s="4" t="s">
        <v>242</v>
      </c>
      <c r="E2763" s="4" t="s">
        <v>4143</v>
      </c>
      <c r="F2763" s="4" t="s">
        <v>4142</v>
      </c>
      <c r="G2763" s="4" t="s">
        <v>2263</v>
      </c>
      <c r="H2763" s="9" t="s">
        <v>2263</v>
      </c>
      <c r="I2763" s="4" t="s">
        <v>2317</v>
      </c>
      <c r="J2763" s="4" t="s">
        <v>2316</v>
      </c>
      <c r="K2763" s="4" t="s">
        <v>2263</v>
      </c>
      <c r="L2763" s="10">
        <v>30</v>
      </c>
      <c r="M2763" s="5">
        <v>17307.370588235295</v>
      </c>
      <c r="N2763" s="5">
        <v>519221.1176470588</v>
      </c>
    </row>
    <row r="2764" spans="1:14" x14ac:dyDescent="0.25">
      <c r="A2764" s="4" t="s">
        <v>2274</v>
      </c>
      <c r="B2764" s="4" t="s">
        <v>4348</v>
      </c>
      <c r="C2764" s="4" t="s">
        <v>2344</v>
      </c>
      <c r="D2764" s="4" t="s">
        <v>237</v>
      </c>
      <c r="E2764" s="4" t="s">
        <v>2456</v>
      </c>
      <c r="F2764" s="4" t="s">
        <v>2455</v>
      </c>
      <c r="G2764" s="4" t="s">
        <v>2263</v>
      </c>
      <c r="H2764" s="9" t="s">
        <v>2263</v>
      </c>
      <c r="I2764" s="4" t="s">
        <v>2263</v>
      </c>
      <c r="J2764" s="4" t="s">
        <v>2263</v>
      </c>
      <c r="K2764" s="4" t="s">
        <v>2454</v>
      </c>
      <c r="L2764" s="10">
        <v>30</v>
      </c>
      <c r="M2764" s="5">
        <v>18361.839391304347</v>
      </c>
      <c r="N2764" s="5">
        <v>550855.18173913041</v>
      </c>
    </row>
    <row r="2765" spans="1:14" x14ac:dyDescent="0.25">
      <c r="A2765" s="4" t="s">
        <v>2317</v>
      </c>
      <c r="B2765" s="4" t="s">
        <v>3839</v>
      </c>
      <c r="C2765" s="4" t="s">
        <v>2320</v>
      </c>
      <c r="D2765" s="4" t="s">
        <v>242</v>
      </c>
      <c r="E2765" s="4" t="s">
        <v>4283</v>
      </c>
      <c r="F2765" s="4" t="s">
        <v>4282</v>
      </c>
      <c r="G2765" s="4" t="s">
        <v>2263</v>
      </c>
      <c r="H2765" s="9" t="s">
        <v>2263</v>
      </c>
      <c r="I2765" s="4" t="s">
        <v>2317</v>
      </c>
      <c r="J2765" s="4" t="s">
        <v>2316</v>
      </c>
      <c r="K2765" s="4" t="s">
        <v>2263</v>
      </c>
      <c r="L2765" s="10">
        <v>30</v>
      </c>
      <c r="M2765" s="5">
        <v>22541.057142857142</v>
      </c>
      <c r="N2765" s="5">
        <v>676231.71428571432</v>
      </c>
    </row>
    <row r="2766" spans="1:14" x14ac:dyDescent="0.25">
      <c r="A2766" s="4" t="s">
        <v>2317</v>
      </c>
      <c r="B2766" s="4" t="s">
        <v>3839</v>
      </c>
      <c r="C2766" s="4" t="s">
        <v>2320</v>
      </c>
      <c r="D2766" s="4" t="s">
        <v>242</v>
      </c>
      <c r="E2766" s="4" t="s">
        <v>2948</v>
      </c>
      <c r="F2766" s="4" t="s">
        <v>2947</v>
      </c>
      <c r="G2766" s="4" t="s">
        <v>2263</v>
      </c>
      <c r="H2766" s="9" t="s">
        <v>2263</v>
      </c>
      <c r="I2766" s="4" t="s">
        <v>2317</v>
      </c>
      <c r="J2766" s="4" t="s">
        <v>2316</v>
      </c>
      <c r="K2766" s="4" t="s">
        <v>2263</v>
      </c>
      <c r="L2766" s="10">
        <v>30</v>
      </c>
      <c r="M2766" s="5">
        <v>26190.521951219511</v>
      </c>
      <c r="N2766" s="5">
        <v>785715.6585365854</v>
      </c>
    </row>
    <row r="2767" spans="1:14" x14ac:dyDescent="0.25">
      <c r="A2767" s="4" t="s">
        <v>2317</v>
      </c>
      <c r="B2767" s="4" t="s">
        <v>3839</v>
      </c>
      <c r="C2767" s="4" t="s">
        <v>2320</v>
      </c>
      <c r="D2767" s="4" t="s">
        <v>242</v>
      </c>
      <c r="E2767" s="4" t="s">
        <v>4323</v>
      </c>
      <c r="F2767" s="4" t="s">
        <v>4322</v>
      </c>
      <c r="G2767" s="4" t="s">
        <v>2263</v>
      </c>
      <c r="H2767" s="9" t="s">
        <v>2263</v>
      </c>
      <c r="I2767" s="4" t="s">
        <v>2317</v>
      </c>
      <c r="J2767" s="4" t="s">
        <v>2316</v>
      </c>
      <c r="K2767" s="4" t="s">
        <v>2263</v>
      </c>
      <c r="L2767" s="10">
        <v>30</v>
      </c>
      <c r="M2767" s="5">
        <v>34951.095714285715</v>
      </c>
      <c r="N2767" s="5">
        <v>1048532.8714285714</v>
      </c>
    </row>
    <row r="2768" spans="1:14" x14ac:dyDescent="0.25">
      <c r="A2768" s="4" t="s">
        <v>2274</v>
      </c>
      <c r="B2768" s="4" t="s">
        <v>4348</v>
      </c>
      <c r="C2768" s="4" t="s">
        <v>2344</v>
      </c>
      <c r="D2768" s="4" t="s">
        <v>237</v>
      </c>
      <c r="E2768" s="4" t="s">
        <v>4625</v>
      </c>
      <c r="F2768" s="4" t="s">
        <v>4624</v>
      </c>
      <c r="G2768" s="4" t="s">
        <v>2263</v>
      </c>
      <c r="H2768" s="9" t="s">
        <v>2263</v>
      </c>
      <c r="I2768" s="4" t="s">
        <v>2263</v>
      </c>
      <c r="J2768" s="4" t="s">
        <v>2263</v>
      </c>
      <c r="K2768" s="4" t="s">
        <v>4623</v>
      </c>
      <c r="L2768" s="10">
        <v>30</v>
      </c>
      <c r="M2768" s="5">
        <v>56343.01155555556</v>
      </c>
      <c r="N2768" s="5">
        <v>1690290.3466666664</v>
      </c>
    </row>
    <row r="2769" spans="1:14" x14ac:dyDescent="0.25">
      <c r="A2769" s="4" t="s">
        <v>2267</v>
      </c>
      <c r="B2769" s="4" t="s">
        <v>3838</v>
      </c>
      <c r="C2769" s="4" t="s">
        <v>2320</v>
      </c>
      <c r="D2769" s="4" t="s">
        <v>242</v>
      </c>
      <c r="E2769" s="4" t="s">
        <v>2968</v>
      </c>
      <c r="F2769" s="4" t="s">
        <v>2967</v>
      </c>
      <c r="G2769" s="4" t="s">
        <v>2263</v>
      </c>
      <c r="H2769" s="9" t="s">
        <v>2263</v>
      </c>
      <c r="I2769" s="4" t="s">
        <v>2317</v>
      </c>
      <c r="J2769" s="4" t="s">
        <v>2316</v>
      </c>
      <c r="K2769" s="4" t="s">
        <v>2263</v>
      </c>
      <c r="L2769" s="10">
        <v>31</v>
      </c>
      <c r="M2769" s="5">
        <v>-296.27659574468083</v>
      </c>
      <c r="N2769" s="5">
        <v>-9184.5744680851094</v>
      </c>
    </row>
    <row r="2770" spans="1:14" x14ac:dyDescent="0.25">
      <c r="A2770" s="4" t="s">
        <v>2344</v>
      </c>
      <c r="B2770" s="4" t="s">
        <v>5154</v>
      </c>
      <c r="C2770" s="4" t="s">
        <v>2344</v>
      </c>
      <c r="D2770" s="4" t="s">
        <v>237</v>
      </c>
      <c r="E2770" s="4" t="s">
        <v>5450</v>
      </c>
      <c r="F2770" s="4" t="s">
        <v>2627</v>
      </c>
      <c r="G2770" s="4" t="s">
        <v>2263</v>
      </c>
      <c r="H2770" s="9" t="s">
        <v>2263</v>
      </c>
      <c r="I2770" s="4" t="s">
        <v>2263</v>
      </c>
      <c r="J2770" s="4" t="s">
        <v>2263</v>
      </c>
      <c r="K2770" s="4" t="s">
        <v>2547</v>
      </c>
      <c r="L2770" s="10">
        <v>31</v>
      </c>
      <c r="M2770" s="5">
        <v>105.85548387096775</v>
      </c>
      <c r="N2770" s="5">
        <v>3281.52</v>
      </c>
    </row>
    <row r="2771" spans="1:14" x14ac:dyDescent="0.25">
      <c r="A2771" s="4" t="s">
        <v>2320</v>
      </c>
      <c r="B2771" s="4" t="s">
        <v>4967</v>
      </c>
      <c r="C2771" s="4" t="s">
        <v>2344</v>
      </c>
      <c r="D2771" s="4" t="s">
        <v>237</v>
      </c>
      <c r="E2771" s="4" t="s">
        <v>4751</v>
      </c>
      <c r="F2771" s="4" t="s">
        <v>4750</v>
      </c>
      <c r="G2771" s="4" t="s">
        <v>2263</v>
      </c>
      <c r="H2771" s="9" t="s">
        <v>2263</v>
      </c>
      <c r="I2771" s="4" t="s">
        <v>2263</v>
      </c>
      <c r="J2771" s="4" t="s">
        <v>2263</v>
      </c>
      <c r="K2771" s="4" t="s">
        <v>4749</v>
      </c>
      <c r="L2771" s="10">
        <v>31</v>
      </c>
      <c r="M2771" s="5">
        <v>755.54084507042251</v>
      </c>
      <c r="N2771" s="5">
        <v>23421.7661971831</v>
      </c>
    </row>
    <row r="2772" spans="1:14" x14ac:dyDescent="0.25">
      <c r="A2772" s="4" t="s">
        <v>2344</v>
      </c>
      <c r="B2772" s="4" t="s">
        <v>5154</v>
      </c>
      <c r="C2772" s="4" t="s">
        <v>2267</v>
      </c>
      <c r="D2772" s="4" t="s">
        <v>2266</v>
      </c>
      <c r="E2772" s="4" t="s">
        <v>4393</v>
      </c>
      <c r="F2772" s="4" t="s">
        <v>2511</v>
      </c>
      <c r="G2772" s="4" t="s">
        <v>2263</v>
      </c>
      <c r="H2772" s="9" t="s">
        <v>2263</v>
      </c>
      <c r="I2772" s="4" t="s">
        <v>2263</v>
      </c>
      <c r="J2772" s="4" t="s">
        <v>2263</v>
      </c>
      <c r="K2772" s="4" t="s">
        <v>2510</v>
      </c>
      <c r="L2772" s="10">
        <v>31</v>
      </c>
      <c r="M2772" s="5">
        <v>1499.9680110497236</v>
      </c>
      <c r="N2772" s="5">
        <v>46499.008342541441</v>
      </c>
    </row>
    <row r="2773" spans="1:14" x14ac:dyDescent="0.25">
      <c r="A2773" s="4" t="s">
        <v>2344</v>
      </c>
      <c r="B2773" s="4" t="s">
        <v>5154</v>
      </c>
      <c r="C2773" s="4" t="s">
        <v>2344</v>
      </c>
      <c r="D2773" s="4" t="s">
        <v>237</v>
      </c>
      <c r="E2773" s="4" t="s">
        <v>5473</v>
      </c>
      <c r="F2773" s="4" t="s">
        <v>4630</v>
      </c>
      <c r="G2773" s="4" t="s">
        <v>2263</v>
      </c>
      <c r="H2773" s="9" t="s">
        <v>2263</v>
      </c>
      <c r="I2773" s="4" t="s">
        <v>2263</v>
      </c>
      <c r="J2773" s="4" t="s">
        <v>2263</v>
      </c>
      <c r="K2773" s="4" t="s">
        <v>2488</v>
      </c>
      <c r="L2773" s="10">
        <v>31</v>
      </c>
      <c r="M2773" s="5">
        <v>3060</v>
      </c>
      <c r="N2773" s="5">
        <v>94860</v>
      </c>
    </row>
    <row r="2774" spans="1:14" x14ac:dyDescent="0.25">
      <c r="A2774" s="4" t="s">
        <v>2320</v>
      </c>
      <c r="B2774" s="4" t="s">
        <v>4967</v>
      </c>
      <c r="C2774" s="4" t="s">
        <v>2320</v>
      </c>
      <c r="D2774" s="4" t="s">
        <v>242</v>
      </c>
      <c r="E2774" s="4" t="s">
        <v>3909</v>
      </c>
      <c r="F2774" s="4" t="s">
        <v>3908</v>
      </c>
      <c r="G2774" s="4" t="s">
        <v>2263</v>
      </c>
      <c r="H2774" s="9" t="s">
        <v>2263</v>
      </c>
      <c r="I2774" s="4" t="s">
        <v>2317</v>
      </c>
      <c r="J2774" s="4" t="s">
        <v>2316</v>
      </c>
      <c r="K2774" s="4" t="s">
        <v>2263</v>
      </c>
      <c r="L2774" s="10">
        <v>31</v>
      </c>
      <c r="M2774" s="5">
        <v>6049.8867924528304</v>
      </c>
      <c r="N2774" s="5">
        <v>187546.49056603777</v>
      </c>
    </row>
    <row r="2775" spans="1:14" x14ac:dyDescent="0.25">
      <c r="A2775" s="4" t="s">
        <v>2653</v>
      </c>
      <c r="B2775" s="4" t="s">
        <v>3226</v>
      </c>
      <c r="C2775" s="4" t="s">
        <v>2384</v>
      </c>
      <c r="D2775" s="4" t="s">
        <v>262</v>
      </c>
      <c r="E2775" s="4" t="s">
        <v>3380</v>
      </c>
      <c r="F2775" s="4" t="s">
        <v>3379</v>
      </c>
      <c r="G2775" s="4" t="s">
        <v>2263</v>
      </c>
      <c r="H2775" s="9" t="s">
        <v>2263</v>
      </c>
      <c r="I2775" s="4" t="s">
        <v>2317</v>
      </c>
      <c r="J2775" s="4" t="s">
        <v>2316</v>
      </c>
      <c r="K2775" s="4" t="s">
        <v>2263</v>
      </c>
      <c r="L2775" s="10">
        <v>31</v>
      </c>
      <c r="M2775" s="5">
        <v>6902.6748387096768</v>
      </c>
      <c r="N2775" s="5">
        <v>213982.92</v>
      </c>
    </row>
    <row r="2776" spans="1:14" x14ac:dyDescent="0.25">
      <c r="A2776" s="4" t="s">
        <v>2320</v>
      </c>
      <c r="B2776" s="4" t="s">
        <v>4967</v>
      </c>
      <c r="C2776" s="4" t="s">
        <v>2320</v>
      </c>
      <c r="D2776" s="4" t="s">
        <v>242</v>
      </c>
      <c r="E2776" s="4" t="s">
        <v>3953</v>
      </c>
      <c r="F2776" s="4" t="s">
        <v>3952</v>
      </c>
      <c r="G2776" s="4" t="s">
        <v>2263</v>
      </c>
      <c r="H2776" s="9" t="s">
        <v>2263</v>
      </c>
      <c r="I2776" s="4" t="s">
        <v>2317</v>
      </c>
      <c r="J2776" s="4" t="s">
        <v>2316</v>
      </c>
      <c r="K2776" s="4" t="s">
        <v>2263</v>
      </c>
      <c r="L2776" s="10">
        <v>31</v>
      </c>
      <c r="M2776" s="5">
        <v>9188.3127499999991</v>
      </c>
      <c r="N2776" s="5">
        <v>284837.69524999999</v>
      </c>
    </row>
    <row r="2777" spans="1:14" x14ac:dyDescent="0.25">
      <c r="A2777" s="4" t="s">
        <v>2653</v>
      </c>
      <c r="B2777" s="4" t="s">
        <v>3226</v>
      </c>
      <c r="C2777" s="4" t="s">
        <v>2384</v>
      </c>
      <c r="D2777" s="4" t="s">
        <v>262</v>
      </c>
      <c r="E2777" s="4" t="s">
        <v>3314</v>
      </c>
      <c r="F2777" s="4" t="s">
        <v>3313</v>
      </c>
      <c r="G2777" s="4" t="s">
        <v>2263</v>
      </c>
      <c r="H2777" s="9" t="s">
        <v>2263</v>
      </c>
      <c r="I2777" s="4" t="s">
        <v>2317</v>
      </c>
      <c r="J2777" s="4" t="s">
        <v>2316</v>
      </c>
      <c r="K2777" s="4" t="s">
        <v>2263</v>
      </c>
      <c r="L2777" s="10">
        <v>31</v>
      </c>
      <c r="M2777" s="5">
        <v>9514.7067741935498</v>
      </c>
      <c r="N2777" s="5">
        <v>294955.90999999997</v>
      </c>
    </row>
    <row r="2778" spans="1:14" x14ac:dyDescent="0.25">
      <c r="A2778" s="4" t="s">
        <v>2320</v>
      </c>
      <c r="B2778" s="4" t="s">
        <v>4967</v>
      </c>
      <c r="C2778" s="4" t="s">
        <v>2320</v>
      </c>
      <c r="D2778" s="4" t="s">
        <v>242</v>
      </c>
      <c r="E2778" s="4" t="s">
        <v>4247</v>
      </c>
      <c r="F2778" s="4" t="s">
        <v>4246</v>
      </c>
      <c r="G2778" s="4" t="s">
        <v>2263</v>
      </c>
      <c r="H2778" s="9" t="s">
        <v>2263</v>
      </c>
      <c r="I2778" s="4" t="s">
        <v>2317</v>
      </c>
      <c r="J2778" s="4" t="s">
        <v>2316</v>
      </c>
      <c r="K2778" s="4" t="s">
        <v>2263</v>
      </c>
      <c r="L2778" s="10">
        <v>31</v>
      </c>
      <c r="M2778" s="5">
        <v>17679.717400000001</v>
      </c>
      <c r="N2778" s="5">
        <v>548071.23939999996</v>
      </c>
    </row>
    <row r="2779" spans="1:14" x14ac:dyDescent="0.25">
      <c r="A2779" s="4" t="s">
        <v>2317</v>
      </c>
      <c r="B2779" s="4" t="s">
        <v>3839</v>
      </c>
      <c r="C2779" s="4" t="s">
        <v>2320</v>
      </c>
      <c r="D2779" s="4" t="s">
        <v>242</v>
      </c>
      <c r="E2779" s="4" t="s">
        <v>3995</v>
      </c>
      <c r="F2779" s="4" t="s">
        <v>3994</v>
      </c>
      <c r="G2779" s="4" t="s">
        <v>2263</v>
      </c>
      <c r="H2779" s="9" t="s">
        <v>2263</v>
      </c>
      <c r="I2779" s="4" t="s">
        <v>2317</v>
      </c>
      <c r="J2779" s="4" t="s">
        <v>2316</v>
      </c>
      <c r="K2779" s="4" t="s">
        <v>2263</v>
      </c>
      <c r="L2779" s="10">
        <v>31</v>
      </c>
      <c r="M2779" s="5">
        <v>22891.034782608695</v>
      </c>
      <c r="N2779" s="5">
        <v>709622.0782608696</v>
      </c>
    </row>
    <row r="2780" spans="1:14" x14ac:dyDescent="0.25">
      <c r="A2780" s="4" t="s">
        <v>2653</v>
      </c>
      <c r="B2780" s="4" t="s">
        <v>3226</v>
      </c>
      <c r="C2780" s="4" t="s">
        <v>2384</v>
      </c>
      <c r="D2780" s="4" t="s">
        <v>262</v>
      </c>
      <c r="E2780" s="4" t="s">
        <v>3324</v>
      </c>
      <c r="F2780" s="4" t="s">
        <v>3323</v>
      </c>
      <c r="G2780" s="4" t="s">
        <v>2263</v>
      </c>
      <c r="H2780" s="9" t="s">
        <v>2263</v>
      </c>
      <c r="I2780" s="4" t="s">
        <v>2317</v>
      </c>
      <c r="J2780" s="4" t="s">
        <v>2316</v>
      </c>
      <c r="K2780" s="4" t="s">
        <v>2263</v>
      </c>
      <c r="L2780" s="10">
        <v>31</v>
      </c>
      <c r="M2780" s="5">
        <v>27520</v>
      </c>
      <c r="N2780" s="5">
        <v>853120</v>
      </c>
    </row>
    <row r="2781" spans="1:14" x14ac:dyDescent="0.25">
      <c r="A2781" s="4" t="s">
        <v>2344</v>
      </c>
      <c r="B2781" s="4" t="s">
        <v>5154</v>
      </c>
      <c r="C2781" s="4" t="s">
        <v>2344</v>
      </c>
      <c r="D2781" s="4" t="s">
        <v>237</v>
      </c>
      <c r="E2781" s="4" t="s">
        <v>4781</v>
      </c>
      <c r="F2781" s="4" t="s">
        <v>2544</v>
      </c>
      <c r="G2781" s="4" t="s">
        <v>2263</v>
      </c>
      <c r="H2781" s="9" t="s">
        <v>2263</v>
      </c>
      <c r="I2781" s="4" t="s">
        <v>2263</v>
      </c>
      <c r="J2781" s="4" t="s">
        <v>2263</v>
      </c>
      <c r="K2781" s="4" t="s">
        <v>2302</v>
      </c>
      <c r="L2781" s="10">
        <v>32</v>
      </c>
      <c r="M2781" s="5">
        <v>69.977477477477478</v>
      </c>
      <c r="N2781" s="5">
        <v>2239.2792792792802</v>
      </c>
    </row>
    <row r="2782" spans="1:14" x14ac:dyDescent="0.25">
      <c r="A2782" s="4" t="s">
        <v>2320</v>
      </c>
      <c r="B2782" s="4" t="s">
        <v>4967</v>
      </c>
      <c r="C2782" s="4" t="s">
        <v>2320</v>
      </c>
      <c r="D2782" s="4" t="s">
        <v>242</v>
      </c>
      <c r="E2782" s="4" t="s">
        <v>3030</v>
      </c>
      <c r="F2782" s="4" t="s">
        <v>3029</v>
      </c>
      <c r="G2782" s="4" t="s">
        <v>2263</v>
      </c>
      <c r="H2782" s="9" t="s">
        <v>2263</v>
      </c>
      <c r="I2782" s="4" t="s">
        <v>2317</v>
      </c>
      <c r="J2782" s="4" t="s">
        <v>2316</v>
      </c>
      <c r="K2782" s="4" t="s">
        <v>2263</v>
      </c>
      <c r="L2782" s="10">
        <v>32</v>
      </c>
      <c r="M2782" s="5">
        <v>127.0005303030303</v>
      </c>
      <c r="N2782" s="5">
        <v>4064.0169696969701</v>
      </c>
    </row>
    <row r="2783" spans="1:14" x14ac:dyDescent="0.25">
      <c r="A2783" s="4" t="s">
        <v>2344</v>
      </c>
      <c r="B2783" s="4" t="s">
        <v>5154</v>
      </c>
      <c r="C2783" s="4" t="s">
        <v>2320</v>
      </c>
      <c r="D2783" s="4" t="s">
        <v>242</v>
      </c>
      <c r="E2783" s="4" t="s">
        <v>3028</v>
      </c>
      <c r="F2783" s="4" t="s">
        <v>3027</v>
      </c>
      <c r="G2783" s="4" t="s">
        <v>2263</v>
      </c>
      <c r="H2783" s="9" t="s">
        <v>2263</v>
      </c>
      <c r="I2783" s="4" t="s">
        <v>2317</v>
      </c>
      <c r="J2783" s="4" t="s">
        <v>2316</v>
      </c>
      <c r="K2783" s="4" t="s">
        <v>2263</v>
      </c>
      <c r="L2783" s="10">
        <v>32</v>
      </c>
      <c r="M2783" s="5">
        <v>169.99619047619046</v>
      </c>
      <c r="N2783" s="5">
        <v>5439.8780952381003</v>
      </c>
    </row>
    <row r="2784" spans="1:14" x14ac:dyDescent="0.25">
      <c r="A2784" s="4" t="s">
        <v>2344</v>
      </c>
      <c r="B2784" s="4" t="s">
        <v>5154</v>
      </c>
      <c r="C2784" s="4" t="s">
        <v>2344</v>
      </c>
      <c r="D2784" s="4" t="s">
        <v>237</v>
      </c>
      <c r="E2784" s="4" t="s">
        <v>5401</v>
      </c>
      <c r="F2784" s="4" t="s">
        <v>4917</v>
      </c>
      <c r="G2784" s="4" t="s">
        <v>2263</v>
      </c>
      <c r="H2784" s="9" t="s">
        <v>2263</v>
      </c>
      <c r="I2784" s="4" t="s">
        <v>2263</v>
      </c>
      <c r="J2784" s="4" t="s">
        <v>2263</v>
      </c>
      <c r="K2784" s="4" t="s">
        <v>4916</v>
      </c>
      <c r="L2784" s="10">
        <v>32</v>
      </c>
      <c r="M2784" s="5">
        <v>427.78156250000001</v>
      </c>
      <c r="N2784" s="5">
        <v>13689.01</v>
      </c>
    </row>
    <row r="2785" spans="1:14" x14ac:dyDescent="0.25">
      <c r="A2785" s="4" t="s">
        <v>2320</v>
      </c>
      <c r="B2785" s="4" t="s">
        <v>4967</v>
      </c>
      <c r="C2785" s="4" t="s">
        <v>2344</v>
      </c>
      <c r="D2785" s="4" t="s">
        <v>237</v>
      </c>
      <c r="E2785" s="4" t="s">
        <v>5150</v>
      </c>
      <c r="F2785" s="4" t="s">
        <v>2647</v>
      </c>
      <c r="G2785" s="4" t="s">
        <v>2263</v>
      </c>
      <c r="H2785" s="9" t="s">
        <v>2263</v>
      </c>
      <c r="I2785" s="4" t="s">
        <v>2263</v>
      </c>
      <c r="J2785" s="4" t="s">
        <v>2263</v>
      </c>
      <c r="K2785" s="4" t="s">
        <v>2646</v>
      </c>
      <c r="L2785" s="10">
        <v>32</v>
      </c>
      <c r="M2785" s="5">
        <v>451.1221875</v>
      </c>
      <c r="N2785" s="5">
        <v>14435.91</v>
      </c>
    </row>
    <row r="2786" spans="1:14" x14ac:dyDescent="0.25">
      <c r="A2786" s="4" t="s">
        <v>2317</v>
      </c>
      <c r="B2786" s="4" t="s">
        <v>3839</v>
      </c>
      <c r="C2786" s="4" t="s">
        <v>2320</v>
      </c>
      <c r="D2786" s="4" t="s">
        <v>242</v>
      </c>
      <c r="E2786" s="4" t="s">
        <v>4219</v>
      </c>
      <c r="F2786" s="4" t="s">
        <v>4218</v>
      </c>
      <c r="G2786" s="4" t="s">
        <v>2263</v>
      </c>
      <c r="H2786" s="9" t="s">
        <v>2263</v>
      </c>
      <c r="I2786" s="4" t="s">
        <v>2317</v>
      </c>
      <c r="J2786" s="4" t="s">
        <v>2316</v>
      </c>
      <c r="K2786" s="4" t="s">
        <v>2263</v>
      </c>
      <c r="L2786" s="10">
        <v>32</v>
      </c>
      <c r="M2786" s="5">
        <v>2842.03125</v>
      </c>
      <c r="N2786" s="5">
        <v>90945</v>
      </c>
    </row>
    <row r="2787" spans="1:14" x14ac:dyDescent="0.25">
      <c r="A2787" s="4" t="s">
        <v>2761</v>
      </c>
      <c r="B2787" s="4" t="s">
        <v>2760</v>
      </c>
      <c r="C2787" s="4" t="s">
        <v>2320</v>
      </c>
      <c r="D2787" s="4" t="s">
        <v>242</v>
      </c>
      <c r="E2787" s="4" t="s">
        <v>2811</v>
      </c>
      <c r="F2787" s="4" t="s">
        <v>2810</v>
      </c>
      <c r="G2787" s="4" t="s">
        <v>2263</v>
      </c>
      <c r="H2787" s="9" t="s">
        <v>2263</v>
      </c>
      <c r="I2787" s="4" t="s">
        <v>2317</v>
      </c>
      <c r="J2787" s="4" t="s">
        <v>2316</v>
      </c>
      <c r="K2787" s="4" t="s">
        <v>2263</v>
      </c>
      <c r="L2787" s="10">
        <v>32</v>
      </c>
      <c r="M2787" s="5">
        <v>4384.0202857142858</v>
      </c>
      <c r="N2787" s="5">
        <v>140288.64914285715</v>
      </c>
    </row>
    <row r="2788" spans="1:14" x14ac:dyDescent="0.25">
      <c r="A2788" s="4" t="s">
        <v>2344</v>
      </c>
      <c r="B2788" s="4" t="s">
        <v>5154</v>
      </c>
      <c r="C2788" s="4" t="s">
        <v>2344</v>
      </c>
      <c r="D2788" s="4" t="s">
        <v>237</v>
      </c>
      <c r="E2788" s="4" t="s">
        <v>4891</v>
      </c>
      <c r="F2788" s="4" t="s">
        <v>4890</v>
      </c>
      <c r="G2788" s="4" t="s">
        <v>2263</v>
      </c>
      <c r="H2788" s="9" t="s">
        <v>2263</v>
      </c>
      <c r="I2788" s="4" t="s">
        <v>2263</v>
      </c>
      <c r="J2788" s="4" t="s">
        <v>2263</v>
      </c>
      <c r="K2788" s="4" t="s">
        <v>4889</v>
      </c>
      <c r="L2788" s="10">
        <v>32</v>
      </c>
      <c r="M2788" s="5">
        <v>4750.867631578948</v>
      </c>
      <c r="N2788" s="5">
        <v>152027.76421052631</v>
      </c>
    </row>
    <row r="2789" spans="1:14" x14ac:dyDescent="0.25">
      <c r="A2789" s="4" t="s">
        <v>2320</v>
      </c>
      <c r="B2789" s="4" t="s">
        <v>4967</v>
      </c>
      <c r="C2789" s="4" t="s">
        <v>2320</v>
      </c>
      <c r="D2789" s="4" t="s">
        <v>242</v>
      </c>
      <c r="E2789" s="4" t="s">
        <v>2414</v>
      </c>
      <c r="F2789" s="4" t="s">
        <v>2413</v>
      </c>
      <c r="G2789" s="4" t="s">
        <v>2263</v>
      </c>
      <c r="H2789" s="9" t="s">
        <v>2263</v>
      </c>
      <c r="I2789" s="4" t="s">
        <v>2317</v>
      </c>
      <c r="J2789" s="4" t="s">
        <v>2316</v>
      </c>
      <c r="K2789" s="4" t="s">
        <v>2263</v>
      </c>
      <c r="L2789" s="10">
        <v>32</v>
      </c>
      <c r="M2789" s="5">
        <v>24641.383614744351</v>
      </c>
      <c r="N2789" s="5">
        <v>788524.27567181922</v>
      </c>
    </row>
    <row r="2790" spans="1:14" x14ac:dyDescent="0.25">
      <c r="A2790" s="4" t="s">
        <v>2653</v>
      </c>
      <c r="B2790" s="4" t="s">
        <v>3226</v>
      </c>
      <c r="C2790" s="4" t="s">
        <v>2384</v>
      </c>
      <c r="D2790" s="4" t="s">
        <v>262</v>
      </c>
      <c r="E2790" s="4" t="s">
        <v>3396</v>
      </c>
      <c r="F2790" s="4" t="s">
        <v>3395</v>
      </c>
      <c r="G2790" s="4" t="s">
        <v>2263</v>
      </c>
      <c r="H2790" s="9" t="s">
        <v>2263</v>
      </c>
      <c r="I2790" s="4" t="s">
        <v>2317</v>
      </c>
      <c r="J2790" s="4" t="s">
        <v>2316</v>
      </c>
      <c r="K2790" s="4" t="s">
        <v>2263</v>
      </c>
      <c r="L2790" s="10">
        <v>32</v>
      </c>
      <c r="M2790" s="5">
        <v>170690.74124999999</v>
      </c>
      <c r="N2790" s="5">
        <v>5462103.7199999997</v>
      </c>
    </row>
    <row r="2791" spans="1:14" x14ac:dyDescent="0.25">
      <c r="A2791" s="4" t="s">
        <v>2344</v>
      </c>
      <c r="B2791" s="4" t="s">
        <v>5154</v>
      </c>
      <c r="C2791" s="4" t="s">
        <v>2320</v>
      </c>
      <c r="D2791" s="4" t="s">
        <v>242</v>
      </c>
      <c r="E2791" s="4" t="s">
        <v>2402</v>
      </c>
      <c r="F2791" s="4" t="s">
        <v>2401</v>
      </c>
      <c r="G2791" s="4" t="s">
        <v>2263</v>
      </c>
      <c r="H2791" s="9" t="s">
        <v>2263</v>
      </c>
      <c r="I2791" s="4" t="s">
        <v>2317</v>
      </c>
      <c r="J2791" s="4" t="s">
        <v>2316</v>
      </c>
      <c r="K2791" s="4" t="s">
        <v>2263</v>
      </c>
      <c r="L2791" s="10">
        <v>33</v>
      </c>
      <c r="M2791" s="5">
        <v>1015.8373846153846</v>
      </c>
      <c r="N2791" s="5">
        <v>33522.633692307689</v>
      </c>
    </row>
    <row r="2792" spans="1:14" x14ac:dyDescent="0.25">
      <c r="A2792" s="4" t="s">
        <v>2344</v>
      </c>
      <c r="B2792" s="4" t="s">
        <v>5154</v>
      </c>
      <c r="C2792" s="4" t="s">
        <v>2344</v>
      </c>
      <c r="D2792" s="4" t="s">
        <v>237</v>
      </c>
      <c r="E2792" s="4" t="s">
        <v>5398</v>
      </c>
      <c r="F2792" s="4" t="s">
        <v>5397</v>
      </c>
      <c r="G2792" s="4" t="s">
        <v>2263</v>
      </c>
      <c r="H2792" s="9" t="s">
        <v>2263</v>
      </c>
      <c r="I2792" s="4" t="s">
        <v>2263</v>
      </c>
      <c r="J2792" s="4" t="s">
        <v>2263</v>
      </c>
      <c r="K2792" s="4" t="s">
        <v>5396</v>
      </c>
      <c r="L2792" s="10">
        <v>33</v>
      </c>
      <c r="M2792" s="5">
        <v>1305</v>
      </c>
      <c r="N2792" s="5">
        <v>43065</v>
      </c>
    </row>
    <row r="2793" spans="1:14" x14ac:dyDescent="0.25">
      <c r="A2793" s="4" t="s">
        <v>2344</v>
      </c>
      <c r="B2793" s="4" t="s">
        <v>5154</v>
      </c>
      <c r="C2793" s="4" t="s">
        <v>2267</v>
      </c>
      <c r="D2793" s="4" t="s">
        <v>2266</v>
      </c>
      <c r="E2793" s="4" t="s">
        <v>5189</v>
      </c>
      <c r="F2793" s="4" t="s">
        <v>2660</v>
      </c>
      <c r="G2793" s="4" t="s">
        <v>2263</v>
      </c>
      <c r="H2793" s="9" t="s">
        <v>2263</v>
      </c>
      <c r="I2793" s="4" t="s">
        <v>2263</v>
      </c>
      <c r="J2793" s="4" t="s">
        <v>2263</v>
      </c>
      <c r="K2793" s="4" t="s">
        <v>2488</v>
      </c>
      <c r="L2793" s="10">
        <v>33</v>
      </c>
      <c r="M2793" s="5">
        <v>3579.6378787878789</v>
      </c>
      <c r="N2793" s="5">
        <v>118128.05</v>
      </c>
    </row>
    <row r="2794" spans="1:14" x14ac:dyDescent="0.25">
      <c r="A2794" s="4" t="s">
        <v>2653</v>
      </c>
      <c r="B2794" s="4" t="s">
        <v>3226</v>
      </c>
      <c r="C2794" s="4" t="s">
        <v>2353</v>
      </c>
      <c r="D2794" s="4" t="s">
        <v>258</v>
      </c>
      <c r="E2794" s="4" t="s">
        <v>3248</v>
      </c>
      <c r="F2794" s="4" t="s">
        <v>3247</v>
      </c>
      <c r="G2794" s="4" t="s">
        <v>2263</v>
      </c>
      <c r="H2794" s="9" t="s">
        <v>2263</v>
      </c>
      <c r="I2794" s="4" t="s">
        <v>2317</v>
      </c>
      <c r="J2794" s="4" t="s">
        <v>2316</v>
      </c>
      <c r="K2794" s="4" t="s">
        <v>2263</v>
      </c>
      <c r="L2794" s="10">
        <v>33</v>
      </c>
      <c r="M2794" s="5">
        <v>5825.7903030303023</v>
      </c>
      <c r="N2794" s="5">
        <v>192251.08</v>
      </c>
    </row>
    <row r="2795" spans="1:14" x14ac:dyDescent="0.25">
      <c r="A2795" s="4" t="s">
        <v>2320</v>
      </c>
      <c r="B2795" s="4" t="s">
        <v>4967</v>
      </c>
      <c r="C2795" s="4" t="s">
        <v>2320</v>
      </c>
      <c r="D2795" s="4" t="s">
        <v>242</v>
      </c>
      <c r="E2795" s="4" t="s">
        <v>3937</v>
      </c>
      <c r="F2795" s="4" t="s">
        <v>3936</v>
      </c>
      <c r="G2795" s="4" t="s">
        <v>2263</v>
      </c>
      <c r="H2795" s="9" t="s">
        <v>2263</v>
      </c>
      <c r="I2795" s="4" t="s">
        <v>2317</v>
      </c>
      <c r="J2795" s="4" t="s">
        <v>2316</v>
      </c>
      <c r="K2795" s="4" t="s">
        <v>2263</v>
      </c>
      <c r="L2795" s="10">
        <v>33</v>
      </c>
      <c r="M2795" s="5">
        <v>7053.9473684210525</v>
      </c>
      <c r="N2795" s="5">
        <v>232780.26315789472</v>
      </c>
    </row>
    <row r="2796" spans="1:14" x14ac:dyDescent="0.25">
      <c r="A2796" s="4" t="s">
        <v>2344</v>
      </c>
      <c r="B2796" s="4" t="s">
        <v>5154</v>
      </c>
      <c r="C2796" s="4" t="s">
        <v>2344</v>
      </c>
      <c r="D2796" s="4" t="s">
        <v>237</v>
      </c>
      <c r="E2796" s="4" t="s">
        <v>4700</v>
      </c>
      <c r="F2796" s="4" t="s">
        <v>2586</v>
      </c>
      <c r="G2796" s="4" t="s">
        <v>2263</v>
      </c>
      <c r="H2796" s="9" t="s">
        <v>2263</v>
      </c>
      <c r="I2796" s="4" t="s">
        <v>2263</v>
      </c>
      <c r="J2796" s="4" t="s">
        <v>2263</v>
      </c>
      <c r="K2796" s="4" t="s">
        <v>2541</v>
      </c>
      <c r="L2796" s="10">
        <v>33</v>
      </c>
      <c r="M2796" s="5">
        <v>10595.27</v>
      </c>
      <c r="N2796" s="5">
        <v>349643.91</v>
      </c>
    </row>
    <row r="2797" spans="1:14" x14ac:dyDescent="0.25">
      <c r="A2797" s="4" t="s">
        <v>2267</v>
      </c>
      <c r="B2797" s="4" t="s">
        <v>3838</v>
      </c>
      <c r="C2797" s="4" t="s">
        <v>2320</v>
      </c>
      <c r="D2797" s="4" t="s">
        <v>242</v>
      </c>
      <c r="E2797" s="4" t="s">
        <v>2990</v>
      </c>
      <c r="F2797" s="4" t="s">
        <v>2989</v>
      </c>
      <c r="G2797" s="4" t="s">
        <v>2263</v>
      </c>
      <c r="H2797" s="9" t="s">
        <v>2263</v>
      </c>
      <c r="I2797" s="4" t="s">
        <v>2317</v>
      </c>
      <c r="J2797" s="4" t="s">
        <v>2316</v>
      </c>
      <c r="K2797" s="4" t="s">
        <v>2263</v>
      </c>
      <c r="L2797" s="10">
        <v>33</v>
      </c>
      <c r="M2797" s="5">
        <v>61816.666666666664</v>
      </c>
      <c r="N2797" s="5">
        <v>2039950</v>
      </c>
    </row>
    <row r="2798" spans="1:14" x14ac:dyDescent="0.25">
      <c r="A2798" s="4" t="s">
        <v>2653</v>
      </c>
      <c r="B2798" s="4" t="s">
        <v>3226</v>
      </c>
      <c r="C2798" s="4" t="s">
        <v>3107</v>
      </c>
      <c r="D2798" s="4" t="s">
        <v>1105</v>
      </c>
      <c r="E2798" s="4" t="s">
        <v>3729</v>
      </c>
      <c r="F2798" s="4" t="s">
        <v>3728</v>
      </c>
      <c r="G2798" s="4" t="s">
        <v>2263</v>
      </c>
      <c r="H2798" s="9" t="s">
        <v>2263</v>
      </c>
      <c r="I2798" s="4" t="s">
        <v>2317</v>
      </c>
      <c r="J2798" s="4" t="s">
        <v>2316</v>
      </c>
      <c r="K2798" s="4" t="s">
        <v>2263</v>
      </c>
      <c r="L2798" s="10">
        <v>34</v>
      </c>
      <c r="M2798" s="5">
        <v>1297.7082352941177</v>
      </c>
      <c r="N2798" s="5">
        <v>44122.080000000002</v>
      </c>
    </row>
    <row r="2799" spans="1:14" x14ac:dyDescent="0.25">
      <c r="A2799" s="4" t="s">
        <v>2653</v>
      </c>
      <c r="B2799" s="4" t="s">
        <v>3226</v>
      </c>
      <c r="C2799" s="4" t="s">
        <v>3629</v>
      </c>
      <c r="D2799" s="4" t="s">
        <v>264</v>
      </c>
      <c r="E2799" s="4" t="s">
        <v>3631</v>
      </c>
      <c r="F2799" s="4" t="s">
        <v>3630</v>
      </c>
      <c r="G2799" s="4" t="s">
        <v>2263</v>
      </c>
      <c r="H2799" s="9" t="s">
        <v>2263</v>
      </c>
      <c r="I2799" s="4" t="s">
        <v>2317</v>
      </c>
      <c r="J2799" s="4" t="s">
        <v>2316</v>
      </c>
      <c r="K2799" s="4" t="s">
        <v>2263</v>
      </c>
      <c r="L2799" s="10">
        <v>34</v>
      </c>
      <c r="M2799" s="5">
        <v>1481.3370588235296</v>
      </c>
      <c r="N2799" s="5">
        <v>50365.46</v>
      </c>
    </row>
    <row r="2800" spans="1:14" x14ac:dyDescent="0.25">
      <c r="A2800" s="4" t="s">
        <v>2653</v>
      </c>
      <c r="B2800" s="4" t="s">
        <v>3226</v>
      </c>
      <c r="C2800" s="4" t="s">
        <v>3107</v>
      </c>
      <c r="D2800" s="4" t="s">
        <v>1105</v>
      </c>
      <c r="E2800" s="4" t="s">
        <v>3669</v>
      </c>
      <c r="F2800" s="4" t="s">
        <v>3668</v>
      </c>
      <c r="G2800" s="4" t="s">
        <v>2263</v>
      </c>
      <c r="H2800" s="9" t="s">
        <v>2263</v>
      </c>
      <c r="I2800" s="4" t="s">
        <v>2317</v>
      </c>
      <c r="J2800" s="4" t="s">
        <v>2316</v>
      </c>
      <c r="K2800" s="4" t="s">
        <v>2263</v>
      </c>
      <c r="L2800" s="10">
        <v>34</v>
      </c>
      <c r="M2800" s="5">
        <v>2235.6864705882354</v>
      </c>
      <c r="N2800" s="5">
        <v>76013.34</v>
      </c>
    </row>
    <row r="2801" spans="1:14" x14ac:dyDescent="0.25">
      <c r="A2801" s="4" t="s">
        <v>2274</v>
      </c>
      <c r="B2801" s="4" t="s">
        <v>4348</v>
      </c>
      <c r="C2801" s="4" t="s">
        <v>2344</v>
      </c>
      <c r="D2801" s="4" t="s">
        <v>237</v>
      </c>
      <c r="E2801" s="4" t="s">
        <v>4892</v>
      </c>
      <c r="F2801" s="4" t="s">
        <v>2639</v>
      </c>
      <c r="G2801" s="4" t="s">
        <v>2263</v>
      </c>
      <c r="H2801" s="9" t="s">
        <v>2263</v>
      </c>
      <c r="I2801" s="4" t="s">
        <v>2263</v>
      </c>
      <c r="J2801" s="4" t="s">
        <v>2263</v>
      </c>
      <c r="K2801" s="4" t="s">
        <v>2638</v>
      </c>
      <c r="L2801" s="10">
        <v>34</v>
      </c>
      <c r="M2801" s="5">
        <v>3295.3123287671233</v>
      </c>
      <c r="N2801" s="5">
        <v>112040.6191780822</v>
      </c>
    </row>
    <row r="2802" spans="1:14" x14ac:dyDescent="0.25">
      <c r="A2802" s="4" t="s">
        <v>2344</v>
      </c>
      <c r="B2802" s="4" t="s">
        <v>5154</v>
      </c>
      <c r="C2802" s="4" t="s">
        <v>2344</v>
      </c>
      <c r="D2802" s="4" t="s">
        <v>237</v>
      </c>
      <c r="E2802" s="4" t="s">
        <v>5403</v>
      </c>
      <c r="F2802" s="4" t="s">
        <v>5402</v>
      </c>
      <c r="G2802" s="4" t="s">
        <v>2263</v>
      </c>
      <c r="H2802" s="9" t="s">
        <v>2263</v>
      </c>
      <c r="I2802" s="4" t="s">
        <v>2263</v>
      </c>
      <c r="J2802" s="4" t="s">
        <v>2263</v>
      </c>
      <c r="K2802" s="4" t="s">
        <v>2540</v>
      </c>
      <c r="L2802" s="10">
        <v>34</v>
      </c>
      <c r="M2802" s="5">
        <v>5144.176470588236</v>
      </c>
      <c r="N2802" s="5">
        <v>174902</v>
      </c>
    </row>
    <row r="2803" spans="1:14" x14ac:dyDescent="0.25">
      <c r="A2803" s="4" t="s">
        <v>2320</v>
      </c>
      <c r="B2803" s="4" t="s">
        <v>4967</v>
      </c>
      <c r="C2803" s="4" t="s">
        <v>2320</v>
      </c>
      <c r="D2803" s="4" t="s">
        <v>242</v>
      </c>
      <c r="E2803" s="4" t="s">
        <v>2364</v>
      </c>
      <c r="F2803" s="4" t="s">
        <v>2363</v>
      </c>
      <c r="G2803" s="4" t="s">
        <v>2263</v>
      </c>
      <c r="H2803" s="9" t="s">
        <v>2263</v>
      </c>
      <c r="I2803" s="4" t="s">
        <v>2317</v>
      </c>
      <c r="J2803" s="4" t="s">
        <v>2316</v>
      </c>
      <c r="K2803" s="4" t="s">
        <v>2263</v>
      </c>
      <c r="L2803" s="10">
        <v>34</v>
      </c>
      <c r="M2803" s="5">
        <v>5822.2279354838711</v>
      </c>
      <c r="N2803" s="5">
        <v>197955.74980645161</v>
      </c>
    </row>
    <row r="2804" spans="1:14" x14ac:dyDescent="0.25">
      <c r="A2804" s="4" t="s">
        <v>2344</v>
      </c>
      <c r="B2804" s="4" t="s">
        <v>5154</v>
      </c>
      <c r="C2804" s="4" t="s">
        <v>2320</v>
      </c>
      <c r="D2804" s="4" t="s">
        <v>242</v>
      </c>
      <c r="E2804" s="4" t="s">
        <v>4033</v>
      </c>
      <c r="F2804" s="4" t="s">
        <v>4032</v>
      </c>
      <c r="G2804" s="4" t="s">
        <v>2263</v>
      </c>
      <c r="H2804" s="9" t="s">
        <v>2263</v>
      </c>
      <c r="I2804" s="4" t="s">
        <v>2317</v>
      </c>
      <c r="J2804" s="4" t="s">
        <v>2316</v>
      </c>
      <c r="K2804" s="4" t="s">
        <v>2263</v>
      </c>
      <c r="L2804" s="10">
        <v>34</v>
      </c>
      <c r="M2804" s="5">
        <v>7000</v>
      </c>
      <c r="N2804" s="5">
        <v>238000</v>
      </c>
    </row>
    <row r="2805" spans="1:14" x14ac:dyDescent="0.25">
      <c r="A2805" s="4" t="s">
        <v>2317</v>
      </c>
      <c r="B2805" s="4" t="s">
        <v>3839</v>
      </c>
      <c r="C2805" s="4" t="s">
        <v>2320</v>
      </c>
      <c r="D2805" s="4" t="s">
        <v>242</v>
      </c>
      <c r="E2805" s="4" t="s">
        <v>4319</v>
      </c>
      <c r="F2805" s="4" t="s">
        <v>4318</v>
      </c>
      <c r="G2805" s="4" t="s">
        <v>2263</v>
      </c>
      <c r="H2805" s="9" t="s">
        <v>2263</v>
      </c>
      <c r="I2805" s="4" t="s">
        <v>2317</v>
      </c>
      <c r="J2805" s="4" t="s">
        <v>2316</v>
      </c>
      <c r="K2805" s="4" t="s">
        <v>2263</v>
      </c>
      <c r="L2805" s="10">
        <v>34</v>
      </c>
      <c r="M2805" s="5">
        <v>28080.865121951221</v>
      </c>
      <c r="N2805" s="5">
        <v>954749.41414634138</v>
      </c>
    </row>
    <row r="2806" spans="1:14" x14ac:dyDescent="0.25">
      <c r="A2806" s="4" t="s">
        <v>2267</v>
      </c>
      <c r="B2806" s="4" t="s">
        <v>3838</v>
      </c>
      <c r="C2806" s="4" t="s">
        <v>2320</v>
      </c>
      <c r="D2806" s="4" t="s">
        <v>242</v>
      </c>
      <c r="E2806" s="4" t="s">
        <v>3006</v>
      </c>
      <c r="F2806" s="4" t="s">
        <v>3005</v>
      </c>
      <c r="G2806" s="4" t="s">
        <v>2263</v>
      </c>
      <c r="H2806" s="9" t="s">
        <v>2263</v>
      </c>
      <c r="I2806" s="4" t="s">
        <v>2317</v>
      </c>
      <c r="J2806" s="4" t="s">
        <v>2316</v>
      </c>
      <c r="K2806" s="4" t="s">
        <v>2263</v>
      </c>
      <c r="L2806" s="10">
        <v>34</v>
      </c>
      <c r="M2806" s="5">
        <v>40459.713207547167</v>
      </c>
      <c r="N2806" s="5">
        <v>1375630.2490566038</v>
      </c>
    </row>
    <row r="2807" spans="1:14" x14ac:dyDescent="0.25">
      <c r="A2807" s="4" t="s">
        <v>2653</v>
      </c>
      <c r="B2807" s="4" t="s">
        <v>3226</v>
      </c>
      <c r="C2807" s="4" t="s">
        <v>2384</v>
      </c>
      <c r="D2807" s="4" t="s">
        <v>262</v>
      </c>
      <c r="E2807" s="4" t="s">
        <v>3540</v>
      </c>
      <c r="F2807" s="4" t="s">
        <v>3539</v>
      </c>
      <c r="G2807" s="4" t="s">
        <v>2263</v>
      </c>
      <c r="H2807" s="9" t="s">
        <v>2263</v>
      </c>
      <c r="I2807" s="4" t="s">
        <v>2317</v>
      </c>
      <c r="J2807" s="4" t="s">
        <v>2316</v>
      </c>
      <c r="K2807" s="4" t="s">
        <v>2263</v>
      </c>
      <c r="L2807" s="10">
        <v>34</v>
      </c>
      <c r="M2807" s="5">
        <v>42507.5</v>
      </c>
      <c r="N2807" s="5">
        <v>1445255</v>
      </c>
    </row>
    <row r="2808" spans="1:14" x14ac:dyDescent="0.25">
      <c r="A2808" s="4" t="s">
        <v>2317</v>
      </c>
      <c r="B2808" s="4" t="s">
        <v>3839</v>
      </c>
      <c r="C2808" s="4" t="s">
        <v>2320</v>
      </c>
      <c r="D2808" s="4" t="s">
        <v>242</v>
      </c>
      <c r="E2808" s="4" t="s">
        <v>3889</v>
      </c>
      <c r="F2808" s="4" t="s">
        <v>3888</v>
      </c>
      <c r="G2808" s="4" t="s">
        <v>2263</v>
      </c>
      <c r="H2808" s="9" t="s">
        <v>2263</v>
      </c>
      <c r="I2808" s="4" t="s">
        <v>2317</v>
      </c>
      <c r="J2808" s="4" t="s">
        <v>2316</v>
      </c>
      <c r="K2808" s="4" t="s">
        <v>2263</v>
      </c>
      <c r="L2808" s="10">
        <v>34</v>
      </c>
      <c r="M2808" s="5">
        <v>54900.858947368419</v>
      </c>
      <c r="N2808" s="5">
        <v>1866629.2042105263</v>
      </c>
    </row>
    <row r="2809" spans="1:14" x14ac:dyDescent="0.25">
      <c r="A2809" s="4" t="s">
        <v>2761</v>
      </c>
      <c r="B2809" s="4" t="s">
        <v>2760</v>
      </c>
      <c r="C2809" s="4" t="s">
        <v>2320</v>
      </c>
      <c r="D2809" s="4" t="s">
        <v>242</v>
      </c>
      <c r="E2809" s="4" t="s">
        <v>2807</v>
      </c>
      <c r="F2809" s="4" t="s">
        <v>2806</v>
      </c>
      <c r="G2809" s="4" t="s">
        <v>2263</v>
      </c>
      <c r="H2809" s="9" t="s">
        <v>2263</v>
      </c>
      <c r="I2809" s="4" t="s">
        <v>2317</v>
      </c>
      <c r="J2809" s="4" t="s">
        <v>2316</v>
      </c>
      <c r="K2809" s="4" t="s">
        <v>2263</v>
      </c>
      <c r="L2809" s="10">
        <v>34</v>
      </c>
      <c r="M2809" s="5">
        <v>122762.89513513514</v>
      </c>
      <c r="N2809" s="5">
        <v>4173938.4345945944</v>
      </c>
    </row>
    <row r="2810" spans="1:14" x14ac:dyDescent="0.25">
      <c r="A2810" s="4" t="s">
        <v>2317</v>
      </c>
      <c r="B2810" s="4" t="s">
        <v>3839</v>
      </c>
      <c r="C2810" s="4" t="s">
        <v>2320</v>
      </c>
      <c r="D2810" s="4" t="s">
        <v>242</v>
      </c>
      <c r="E2810" s="4" t="s">
        <v>2408</v>
      </c>
      <c r="F2810" s="4" t="s">
        <v>2407</v>
      </c>
      <c r="G2810" s="4" t="s">
        <v>2263</v>
      </c>
      <c r="H2810" s="9" t="s">
        <v>2263</v>
      </c>
      <c r="I2810" s="4" t="s">
        <v>2317</v>
      </c>
      <c r="J2810" s="4" t="s">
        <v>2316</v>
      </c>
      <c r="K2810" s="4" t="s">
        <v>2263</v>
      </c>
      <c r="L2810" s="10">
        <v>35</v>
      </c>
      <c r="M2810" s="5">
        <v>-58082.704199999993</v>
      </c>
      <c r="N2810" s="5">
        <v>-2032894.6470000001</v>
      </c>
    </row>
    <row r="2811" spans="1:14" x14ac:dyDescent="0.25">
      <c r="A2811" s="4" t="s">
        <v>2344</v>
      </c>
      <c r="B2811" s="4" t="s">
        <v>5154</v>
      </c>
      <c r="C2811" s="4" t="s">
        <v>2344</v>
      </c>
      <c r="D2811" s="4" t="s">
        <v>237</v>
      </c>
      <c r="E2811" s="4" t="s">
        <v>4658</v>
      </c>
      <c r="F2811" s="4" t="s">
        <v>4657</v>
      </c>
      <c r="G2811" s="4" t="s">
        <v>2263</v>
      </c>
      <c r="H2811" s="9" t="s">
        <v>2263</v>
      </c>
      <c r="I2811" s="4" t="s">
        <v>2263</v>
      </c>
      <c r="J2811" s="4" t="s">
        <v>2263</v>
      </c>
      <c r="K2811" s="4" t="s">
        <v>2871</v>
      </c>
      <c r="L2811" s="10">
        <v>35</v>
      </c>
      <c r="M2811" s="5">
        <v>204</v>
      </c>
      <c r="N2811" s="5">
        <v>7140</v>
      </c>
    </row>
    <row r="2812" spans="1:14" x14ac:dyDescent="0.25">
      <c r="A2812" s="4" t="s">
        <v>2344</v>
      </c>
      <c r="B2812" s="4" t="s">
        <v>5154</v>
      </c>
      <c r="C2812" s="4" t="s">
        <v>2344</v>
      </c>
      <c r="D2812" s="4" t="s">
        <v>237</v>
      </c>
      <c r="E2812" s="4" t="s">
        <v>5448</v>
      </c>
      <c r="F2812" s="4" t="s">
        <v>4848</v>
      </c>
      <c r="G2812" s="4" t="s">
        <v>2263</v>
      </c>
      <c r="H2812" s="9" t="s">
        <v>2263</v>
      </c>
      <c r="I2812" s="4" t="s">
        <v>2263</v>
      </c>
      <c r="J2812" s="4" t="s">
        <v>2263</v>
      </c>
      <c r="K2812" s="4" t="s">
        <v>2465</v>
      </c>
      <c r="L2812" s="10">
        <v>35</v>
      </c>
      <c r="M2812" s="5">
        <v>229</v>
      </c>
      <c r="N2812" s="5">
        <v>8015</v>
      </c>
    </row>
    <row r="2813" spans="1:14" x14ac:dyDescent="0.25">
      <c r="A2813" s="4" t="s">
        <v>2274</v>
      </c>
      <c r="B2813" s="4" t="s">
        <v>4348</v>
      </c>
      <c r="C2813" s="4" t="s">
        <v>2267</v>
      </c>
      <c r="D2813" s="4" t="s">
        <v>2266</v>
      </c>
      <c r="E2813" s="4" t="s">
        <v>4412</v>
      </c>
      <c r="F2813" s="4" t="s">
        <v>2492</v>
      </c>
      <c r="G2813" s="4" t="s">
        <v>2263</v>
      </c>
      <c r="H2813" s="9" t="s">
        <v>2263</v>
      </c>
      <c r="I2813" s="4" t="s">
        <v>2263</v>
      </c>
      <c r="J2813" s="4" t="s">
        <v>2263</v>
      </c>
      <c r="K2813" s="4" t="s">
        <v>2488</v>
      </c>
      <c r="L2813" s="10">
        <v>35</v>
      </c>
      <c r="M2813" s="5">
        <v>349</v>
      </c>
      <c r="N2813" s="5">
        <v>12215</v>
      </c>
    </row>
    <row r="2814" spans="1:14" x14ac:dyDescent="0.25">
      <c r="A2814" s="4" t="s">
        <v>2653</v>
      </c>
      <c r="B2814" s="4" t="s">
        <v>3226</v>
      </c>
      <c r="C2814" s="4" t="s">
        <v>3107</v>
      </c>
      <c r="D2814" s="4" t="s">
        <v>1105</v>
      </c>
      <c r="E2814" s="4" t="s">
        <v>3761</v>
      </c>
      <c r="F2814" s="4" t="s">
        <v>3760</v>
      </c>
      <c r="G2814" s="4" t="s">
        <v>2263</v>
      </c>
      <c r="H2814" s="9" t="s">
        <v>2263</v>
      </c>
      <c r="I2814" s="4" t="s">
        <v>2317</v>
      </c>
      <c r="J2814" s="4" t="s">
        <v>2316</v>
      </c>
      <c r="K2814" s="4" t="s">
        <v>2263</v>
      </c>
      <c r="L2814" s="10">
        <v>35</v>
      </c>
      <c r="M2814" s="5">
        <v>576.74171428571435</v>
      </c>
      <c r="N2814" s="5">
        <v>20185.96</v>
      </c>
    </row>
    <row r="2815" spans="1:14" x14ac:dyDescent="0.25">
      <c r="A2815" s="4" t="s">
        <v>2320</v>
      </c>
      <c r="B2815" s="4" t="s">
        <v>4967</v>
      </c>
      <c r="C2815" s="4" t="s">
        <v>2320</v>
      </c>
      <c r="D2815" s="4" t="s">
        <v>242</v>
      </c>
      <c r="E2815" s="4" t="s">
        <v>2366</v>
      </c>
      <c r="F2815" s="4" t="s">
        <v>2365</v>
      </c>
      <c r="G2815" s="4" t="s">
        <v>2263</v>
      </c>
      <c r="H2815" s="9" t="s">
        <v>2263</v>
      </c>
      <c r="I2815" s="4" t="s">
        <v>2317</v>
      </c>
      <c r="J2815" s="4" t="s">
        <v>2316</v>
      </c>
      <c r="K2815" s="4" t="s">
        <v>2263</v>
      </c>
      <c r="L2815" s="10">
        <v>35</v>
      </c>
      <c r="M2815" s="5">
        <v>2428.3562711864406</v>
      </c>
      <c r="N2815" s="5">
        <v>84992.469491525422</v>
      </c>
    </row>
    <row r="2816" spans="1:14" x14ac:dyDescent="0.25">
      <c r="A2816" s="4" t="s">
        <v>2274</v>
      </c>
      <c r="B2816" s="4" t="s">
        <v>4348</v>
      </c>
      <c r="C2816" s="4" t="s">
        <v>2267</v>
      </c>
      <c r="D2816" s="4" t="s">
        <v>2266</v>
      </c>
      <c r="E2816" s="4" t="s">
        <v>4431</v>
      </c>
      <c r="F2816" s="4" t="s">
        <v>2498</v>
      </c>
      <c r="G2816" s="4" t="s">
        <v>2263</v>
      </c>
      <c r="H2816" s="9" t="s">
        <v>2263</v>
      </c>
      <c r="I2816" s="4" t="s">
        <v>2263</v>
      </c>
      <c r="J2816" s="4" t="s">
        <v>2263</v>
      </c>
      <c r="K2816" s="4" t="s">
        <v>2497</v>
      </c>
      <c r="L2816" s="10">
        <v>35</v>
      </c>
      <c r="M2816" s="5">
        <v>2625.7853225806452</v>
      </c>
      <c r="N2816" s="5">
        <v>91902.486290322573</v>
      </c>
    </row>
    <row r="2817" spans="1:14" x14ac:dyDescent="0.25">
      <c r="A2817" s="4" t="s">
        <v>2317</v>
      </c>
      <c r="B2817" s="4" t="s">
        <v>3839</v>
      </c>
      <c r="C2817" s="4" t="s">
        <v>2320</v>
      </c>
      <c r="D2817" s="4" t="s">
        <v>242</v>
      </c>
      <c r="E2817" s="4" t="s">
        <v>4101</v>
      </c>
      <c r="F2817" s="4" t="s">
        <v>4100</v>
      </c>
      <c r="G2817" s="4" t="s">
        <v>2263</v>
      </c>
      <c r="H2817" s="9" t="s">
        <v>2263</v>
      </c>
      <c r="I2817" s="4" t="s">
        <v>2317</v>
      </c>
      <c r="J2817" s="4" t="s">
        <v>2316</v>
      </c>
      <c r="K2817" s="4" t="s">
        <v>2263</v>
      </c>
      <c r="L2817" s="10">
        <v>35</v>
      </c>
      <c r="M2817" s="5">
        <v>2800.4413461538461</v>
      </c>
      <c r="N2817" s="5">
        <v>98015.447115384624</v>
      </c>
    </row>
    <row r="2818" spans="1:14" x14ac:dyDescent="0.25">
      <c r="A2818" s="4" t="s">
        <v>2344</v>
      </c>
      <c r="B2818" s="4" t="s">
        <v>5154</v>
      </c>
      <c r="C2818" s="4" t="s">
        <v>2267</v>
      </c>
      <c r="D2818" s="4" t="s">
        <v>2266</v>
      </c>
      <c r="E2818" s="4" t="s">
        <v>4405</v>
      </c>
      <c r="F2818" s="4" t="s">
        <v>4404</v>
      </c>
      <c r="G2818" s="4" t="s">
        <v>2263</v>
      </c>
      <c r="H2818" s="9" t="s">
        <v>2263</v>
      </c>
      <c r="I2818" s="4" t="s">
        <v>2263</v>
      </c>
      <c r="J2818" s="4" t="s">
        <v>2263</v>
      </c>
      <c r="K2818" s="4" t="s">
        <v>2568</v>
      </c>
      <c r="L2818" s="10">
        <v>35</v>
      </c>
      <c r="M2818" s="5">
        <v>3119.0335238095236</v>
      </c>
      <c r="N2818" s="5">
        <v>109166.17333333332</v>
      </c>
    </row>
    <row r="2819" spans="1:14" x14ac:dyDescent="0.25">
      <c r="A2819" s="4" t="s">
        <v>2317</v>
      </c>
      <c r="B2819" s="4" t="s">
        <v>3839</v>
      </c>
      <c r="C2819" s="4" t="s">
        <v>2320</v>
      </c>
      <c r="D2819" s="4" t="s">
        <v>242</v>
      </c>
      <c r="E2819" s="4" t="s">
        <v>2779</v>
      </c>
      <c r="F2819" s="4" t="s">
        <v>2778</v>
      </c>
      <c r="G2819" s="4" t="s">
        <v>2263</v>
      </c>
      <c r="H2819" s="9" t="s">
        <v>2263</v>
      </c>
      <c r="I2819" s="4" t="s">
        <v>2317</v>
      </c>
      <c r="J2819" s="4" t="s">
        <v>2316</v>
      </c>
      <c r="K2819" s="4" t="s">
        <v>2263</v>
      </c>
      <c r="L2819" s="10">
        <v>35</v>
      </c>
      <c r="M2819" s="5">
        <v>5565.0769863013702</v>
      </c>
      <c r="N2819" s="5">
        <v>194777.69452054796</v>
      </c>
    </row>
    <row r="2820" spans="1:14" x14ac:dyDescent="0.25">
      <c r="A2820" s="4" t="s">
        <v>2317</v>
      </c>
      <c r="B2820" s="4" t="s">
        <v>3839</v>
      </c>
      <c r="C2820" s="4" t="s">
        <v>2320</v>
      </c>
      <c r="D2820" s="4" t="s">
        <v>242</v>
      </c>
      <c r="E2820" s="4" t="s">
        <v>4133</v>
      </c>
      <c r="F2820" s="4" t="s">
        <v>4132</v>
      </c>
      <c r="G2820" s="4" t="s">
        <v>2263</v>
      </c>
      <c r="H2820" s="9" t="s">
        <v>2263</v>
      </c>
      <c r="I2820" s="4" t="s">
        <v>2317</v>
      </c>
      <c r="J2820" s="4" t="s">
        <v>2316</v>
      </c>
      <c r="K2820" s="4" t="s">
        <v>2263</v>
      </c>
      <c r="L2820" s="10">
        <v>35</v>
      </c>
      <c r="M2820" s="5">
        <v>20132.750175438599</v>
      </c>
      <c r="N2820" s="5">
        <v>704646.25614035083</v>
      </c>
    </row>
    <row r="2821" spans="1:14" x14ac:dyDescent="0.25">
      <c r="A2821" s="4" t="s">
        <v>2344</v>
      </c>
      <c r="B2821" s="4" t="s">
        <v>5154</v>
      </c>
      <c r="C2821" s="4" t="s">
        <v>2344</v>
      </c>
      <c r="D2821" s="4" t="s">
        <v>237</v>
      </c>
      <c r="E2821" s="4" t="s">
        <v>4901</v>
      </c>
      <c r="F2821" s="4" t="s">
        <v>2651</v>
      </c>
      <c r="G2821" s="4" t="s">
        <v>2263</v>
      </c>
      <c r="H2821" s="9" t="s">
        <v>2263</v>
      </c>
      <c r="I2821" s="4" t="s">
        <v>2263</v>
      </c>
      <c r="J2821" s="4" t="s">
        <v>2263</v>
      </c>
      <c r="K2821" s="4" t="s">
        <v>2536</v>
      </c>
      <c r="L2821" s="10">
        <v>36</v>
      </c>
      <c r="M2821" s="5">
        <v>36.426829268292678</v>
      </c>
      <c r="N2821" s="5">
        <v>1311.3658536585399</v>
      </c>
    </row>
    <row r="2822" spans="1:14" x14ac:dyDescent="0.25">
      <c r="A2822" s="4" t="s">
        <v>2344</v>
      </c>
      <c r="B2822" s="4" t="s">
        <v>5154</v>
      </c>
      <c r="C2822" s="4" t="s">
        <v>2279</v>
      </c>
      <c r="D2822" s="4" t="s">
        <v>2278</v>
      </c>
      <c r="E2822" s="4" t="s">
        <v>5278</v>
      </c>
      <c r="F2822" s="4" t="s">
        <v>5277</v>
      </c>
      <c r="G2822" s="4" t="s">
        <v>2263</v>
      </c>
      <c r="H2822" s="9" t="s">
        <v>2263</v>
      </c>
      <c r="I2822" s="4" t="s">
        <v>2263</v>
      </c>
      <c r="J2822" s="4" t="s">
        <v>2263</v>
      </c>
      <c r="K2822" s="4" t="s">
        <v>5276</v>
      </c>
      <c r="L2822" s="10">
        <v>36</v>
      </c>
      <c r="M2822" s="5">
        <v>52.93055555555555</v>
      </c>
      <c r="N2822" s="5">
        <v>1905.5</v>
      </c>
    </row>
    <row r="2823" spans="1:14" x14ac:dyDescent="0.25">
      <c r="A2823" s="4" t="s">
        <v>2344</v>
      </c>
      <c r="B2823" s="4" t="s">
        <v>5154</v>
      </c>
      <c r="C2823" s="4" t="s">
        <v>2267</v>
      </c>
      <c r="D2823" s="4" t="s">
        <v>2266</v>
      </c>
      <c r="E2823" s="4" t="s">
        <v>2265</v>
      </c>
      <c r="F2823" s="4" t="s">
        <v>2264</v>
      </c>
      <c r="G2823" s="4" t="s">
        <v>2263</v>
      </c>
      <c r="H2823" s="9" t="s">
        <v>2263</v>
      </c>
      <c r="I2823" s="4" t="s">
        <v>2263</v>
      </c>
      <c r="J2823" s="4" t="s">
        <v>2263</v>
      </c>
      <c r="K2823" s="4" t="s">
        <v>2262</v>
      </c>
      <c r="L2823" s="10">
        <v>36</v>
      </c>
      <c r="M2823" s="5">
        <v>330.70025188916878</v>
      </c>
      <c r="N2823" s="5">
        <v>11905.209068010079</v>
      </c>
    </row>
    <row r="2824" spans="1:14" x14ac:dyDescent="0.25">
      <c r="A2824" s="4" t="s">
        <v>2320</v>
      </c>
      <c r="B2824" s="4" t="s">
        <v>4967</v>
      </c>
      <c r="C2824" s="4" t="s">
        <v>2320</v>
      </c>
      <c r="D2824" s="4" t="s">
        <v>242</v>
      </c>
      <c r="E2824" s="4" t="s">
        <v>2899</v>
      </c>
      <c r="F2824" s="4" t="s">
        <v>2898</v>
      </c>
      <c r="G2824" s="4" t="s">
        <v>2263</v>
      </c>
      <c r="H2824" s="9" t="s">
        <v>2263</v>
      </c>
      <c r="I2824" s="4" t="s">
        <v>2317</v>
      </c>
      <c r="J2824" s="4" t="s">
        <v>2316</v>
      </c>
      <c r="K2824" s="4" t="s">
        <v>2263</v>
      </c>
      <c r="L2824" s="10">
        <v>36</v>
      </c>
      <c r="M2824" s="5">
        <v>1936.3739855072463</v>
      </c>
      <c r="N2824" s="5">
        <v>69709.463478260863</v>
      </c>
    </row>
    <row r="2825" spans="1:14" x14ac:dyDescent="0.25">
      <c r="A2825" s="4" t="s">
        <v>2317</v>
      </c>
      <c r="B2825" s="4" t="s">
        <v>3839</v>
      </c>
      <c r="C2825" s="4" t="s">
        <v>2320</v>
      </c>
      <c r="D2825" s="4" t="s">
        <v>242</v>
      </c>
      <c r="E2825" s="4" t="s">
        <v>2412</v>
      </c>
      <c r="F2825" s="4" t="s">
        <v>2411</v>
      </c>
      <c r="G2825" s="4" t="s">
        <v>2263</v>
      </c>
      <c r="H2825" s="9" t="s">
        <v>2263</v>
      </c>
      <c r="I2825" s="4" t="s">
        <v>2317</v>
      </c>
      <c r="J2825" s="4" t="s">
        <v>2316</v>
      </c>
      <c r="K2825" s="4" t="s">
        <v>2263</v>
      </c>
      <c r="L2825" s="10">
        <v>36</v>
      </c>
      <c r="M2825" s="5">
        <v>1999.3788311688313</v>
      </c>
      <c r="N2825" s="5">
        <v>71977.63792207792</v>
      </c>
    </row>
    <row r="2826" spans="1:14" x14ac:dyDescent="0.25">
      <c r="A2826" s="4" t="s">
        <v>2344</v>
      </c>
      <c r="B2826" s="4" t="s">
        <v>5154</v>
      </c>
      <c r="C2826" s="4" t="s">
        <v>2344</v>
      </c>
      <c r="D2826" s="4" t="s">
        <v>237</v>
      </c>
      <c r="E2826" s="4" t="s">
        <v>4922</v>
      </c>
      <c r="F2826" s="4" t="s">
        <v>2463</v>
      </c>
      <c r="G2826" s="4" t="s">
        <v>2263</v>
      </c>
      <c r="H2826" s="9" t="s">
        <v>2263</v>
      </c>
      <c r="I2826" s="4" t="s">
        <v>2263</v>
      </c>
      <c r="J2826" s="4" t="s">
        <v>2263</v>
      </c>
      <c r="K2826" s="4" t="s">
        <v>2462</v>
      </c>
      <c r="L2826" s="10">
        <v>36</v>
      </c>
      <c r="M2826" s="5">
        <v>2420.6186170212768</v>
      </c>
      <c r="N2826" s="5">
        <v>87142.270212765958</v>
      </c>
    </row>
    <row r="2827" spans="1:14" x14ac:dyDescent="0.25">
      <c r="A2827" s="4" t="s">
        <v>2653</v>
      </c>
      <c r="B2827" s="4" t="s">
        <v>3226</v>
      </c>
      <c r="C2827" s="4" t="s">
        <v>3107</v>
      </c>
      <c r="D2827" s="4" t="s">
        <v>1105</v>
      </c>
      <c r="E2827" s="4" t="s">
        <v>3757</v>
      </c>
      <c r="F2827" s="4" t="s">
        <v>3756</v>
      </c>
      <c r="G2827" s="4" t="s">
        <v>2263</v>
      </c>
      <c r="H2827" s="9" t="s">
        <v>2263</v>
      </c>
      <c r="I2827" s="4" t="s">
        <v>2317</v>
      </c>
      <c r="J2827" s="4" t="s">
        <v>2316</v>
      </c>
      <c r="K2827" s="4" t="s">
        <v>2263</v>
      </c>
      <c r="L2827" s="10">
        <v>36</v>
      </c>
      <c r="M2827" s="5">
        <v>2678.7102777777777</v>
      </c>
      <c r="N2827" s="5">
        <v>96433.57</v>
      </c>
    </row>
    <row r="2828" spans="1:14" x14ac:dyDescent="0.25">
      <c r="A2828" s="4" t="s">
        <v>2317</v>
      </c>
      <c r="B2828" s="4" t="s">
        <v>3839</v>
      </c>
      <c r="C2828" s="4" t="s">
        <v>2320</v>
      </c>
      <c r="D2828" s="4" t="s">
        <v>242</v>
      </c>
      <c r="E2828" s="4" t="s">
        <v>4197</v>
      </c>
      <c r="F2828" s="4" t="s">
        <v>4196</v>
      </c>
      <c r="G2828" s="4" t="s">
        <v>2263</v>
      </c>
      <c r="H2828" s="9" t="s">
        <v>2263</v>
      </c>
      <c r="I2828" s="4" t="s">
        <v>2317</v>
      </c>
      <c r="J2828" s="4" t="s">
        <v>2316</v>
      </c>
      <c r="K2828" s="4" t="s">
        <v>2263</v>
      </c>
      <c r="L2828" s="10">
        <v>36</v>
      </c>
      <c r="M2828" s="5">
        <v>3100</v>
      </c>
      <c r="N2828" s="5">
        <v>111600</v>
      </c>
    </row>
    <row r="2829" spans="1:14" x14ac:dyDescent="0.25">
      <c r="A2829" s="4" t="s">
        <v>2317</v>
      </c>
      <c r="B2829" s="4" t="s">
        <v>3839</v>
      </c>
      <c r="C2829" s="4" t="s">
        <v>2320</v>
      </c>
      <c r="D2829" s="4" t="s">
        <v>242</v>
      </c>
      <c r="E2829" s="4" t="s">
        <v>2322</v>
      </c>
      <c r="F2829" s="4" t="s">
        <v>2321</v>
      </c>
      <c r="G2829" s="4" t="s">
        <v>2263</v>
      </c>
      <c r="H2829" s="9" t="s">
        <v>2263</v>
      </c>
      <c r="I2829" s="4" t="s">
        <v>2317</v>
      </c>
      <c r="J2829" s="4" t="s">
        <v>2316</v>
      </c>
      <c r="K2829" s="4" t="s">
        <v>2263</v>
      </c>
      <c r="L2829" s="10">
        <v>36</v>
      </c>
      <c r="M2829" s="5">
        <v>3766.5286274509804</v>
      </c>
      <c r="N2829" s="5">
        <v>135595.03058823527</v>
      </c>
    </row>
    <row r="2830" spans="1:14" x14ac:dyDescent="0.25">
      <c r="A2830" s="4" t="s">
        <v>2653</v>
      </c>
      <c r="B2830" s="4" t="s">
        <v>3226</v>
      </c>
      <c r="C2830" s="4" t="s">
        <v>3107</v>
      </c>
      <c r="D2830" s="4" t="s">
        <v>1105</v>
      </c>
      <c r="E2830" s="4" t="s">
        <v>3793</v>
      </c>
      <c r="F2830" s="4" t="s">
        <v>3792</v>
      </c>
      <c r="G2830" s="4" t="s">
        <v>2263</v>
      </c>
      <c r="H2830" s="9" t="s">
        <v>2263</v>
      </c>
      <c r="I2830" s="4" t="s">
        <v>2317</v>
      </c>
      <c r="J2830" s="4" t="s">
        <v>2316</v>
      </c>
      <c r="K2830" s="4" t="s">
        <v>2263</v>
      </c>
      <c r="L2830" s="10">
        <v>36</v>
      </c>
      <c r="M2830" s="5">
        <v>6185.5555555555557</v>
      </c>
      <c r="N2830" s="5">
        <v>222680</v>
      </c>
    </row>
    <row r="2831" spans="1:14" x14ac:dyDescent="0.25">
      <c r="A2831" s="4" t="s">
        <v>2653</v>
      </c>
      <c r="B2831" s="4" t="s">
        <v>3226</v>
      </c>
      <c r="C2831" s="4" t="s">
        <v>3203</v>
      </c>
      <c r="D2831" s="4" t="s">
        <v>256</v>
      </c>
      <c r="E2831" s="4" t="s">
        <v>3620</v>
      </c>
      <c r="F2831" s="4" t="s">
        <v>3619</v>
      </c>
      <c r="G2831" s="4" t="s">
        <v>2263</v>
      </c>
      <c r="H2831" s="9" t="s">
        <v>2263</v>
      </c>
      <c r="I2831" s="4" t="s">
        <v>2317</v>
      </c>
      <c r="J2831" s="4" t="s">
        <v>2316</v>
      </c>
      <c r="K2831" s="4" t="s">
        <v>2263</v>
      </c>
      <c r="L2831" s="10">
        <v>36</v>
      </c>
      <c r="M2831" s="5">
        <v>8899.9722222222226</v>
      </c>
      <c r="N2831" s="5">
        <v>320399</v>
      </c>
    </row>
    <row r="2832" spans="1:14" x14ac:dyDescent="0.25">
      <c r="A2832" s="4" t="s">
        <v>2317</v>
      </c>
      <c r="B2832" s="4" t="s">
        <v>3839</v>
      </c>
      <c r="C2832" s="4" t="s">
        <v>2320</v>
      </c>
      <c r="D2832" s="4" t="s">
        <v>242</v>
      </c>
      <c r="E2832" s="4" t="s">
        <v>3917</v>
      </c>
      <c r="F2832" s="4" t="s">
        <v>3916</v>
      </c>
      <c r="G2832" s="4" t="s">
        <v>2263</v>
      </c>
      <c r="H2832" s="9" t="s">
        <v>2263</v>
      </c>
      <c r="I2832" s="4" t="s">
        <v>2317</v>
      </c>
      <c r="J2832" s="4" t="s">
        <v>2316</v>
      </c>
      <c r="K2832" s="4" t="s">
        <v>2263</v>
      </c>
      <c r="L2832" s="10">
        <v>36</v>
      </c>
      <c r="M2832" s="5">
        <v>9329.769038461538</v>
      </c>
      <c r="N2832" s="5">
        <v>335871.68538461538</v>
      </c>
    </row>
    <row r="2833" spans="1:14" x14ac:dyDescent="0.25">
      <c r="A2833" s="4" t="s">
        <v>2317</v>
      </c>
      <c r="B2833" s="4" t="s">
        <v>3839</v>
      </c>
      <c r="C2833" s="4" t="s">
        <v>2320</v>
      </c>
      <c r="D2833" s="4" t="s">
        <v>242</v>
      </c>
      <c r="E2833" s="4" t="s">
        <v>2817</v>
      </c>
      <c r="F2833" s="4" t="s">
        <v>2816</v>
      </c>
      <c r="G2833" s="4" t="s">
        <v>2263</v>
      </c>
      <c r="H2833" s="9" t="s">
        <v>2263</v>
      </c>
      <c r="I2833" s="4" t="s">
        <v>2317</v>
      </c>
      <c r="J2833" s="4" t="s">
        <v>2316</v>
      </c>
      <c r="K2833" s="4" t="s">
        <v>2263</v>
      </c>
      <c r="L2833" s="10">
        <v>36</v>
      </c>
      <c r="M2833" s="5">
        <v>11865</v>
      </c>
      <c r="N2833" s="5">
        <v>427140</v>
      </c>
    </row>
    <row r="2834" spans="1:14" x14ac:dyDescent="0.25">
      <c r="A2834" s="4" t="s">
        <v>2317</v>
      </c>
      <c r="B2834" s="4" t="s">
        <v>3839</v>
      </c>
      <c r="C2834" s="4" t="s">
        <v>2320</v>
      </c>
      <c r="D2834" s="4" t="s">
        <v>242</v>
      </c>
      <c r="E2834" s="4" t="s">
        <v>4011</v>
      </c>
      <c r="F2834" s="4" t="s">
        <v>4010</v>
      </c>
      <c r="G2834" s="4" t="s">
        <v>2263</v>
      </c>
      <c r="H2834" s="9" t="s">
        <v>2263</v>
      </c>
      <c r="I2834" s="4" t="s">
        <v>2317</v>
      </c>
      <c r="J2834" s="4" t="s">
        <v>2316</v>
      </c>
      <c r="K2834" s="4" t="s">
        <v>2263</v>
      </c>
      <c r="L2834" s="10">
        <v>36</v>
      </c>
      <c r="M2834" s="5">
        <v>14976.094545454545</v>
      </c>
      <c r="N2834" s="5">
        <v>539139.40363636368</v>
      </c>
    </row>
    <row r="2835" spans="1:14" x14ac:dyDescent="0.25">
      <c r="A2835" s="4" t="s">
        <v>2317</v>
      </c>
      <c r="B2835" s="4" t="s">
        <v>3839</v>
      </c>
      <c r="C2835" s="4" t="s">
        <v>2320</v>
      </c>
      <c r="D2835" s="4" t="s">
        <v>242</v>
      </c>
      <c r="E2835" s="4" t="s">
        <v>3913</v>
      </c>
      <c r="F2835" s="4" t="s">
        <v>3912</v>
      </c>
      <c r="G2835" s="4" t="s">
        <v>2263</v>
      </c>
      <c r="H2835" s="9" t="s">
        <v>2263</v>
      </c>
      <c r="I2835" s="4" t="s">
        <v>2317</v>
      </c>
      <c r="J2835" s="4" t="s">
        <v>2316</v>
      </c>
      <c r="K2835" s="4" t="s">
        <v>2263</v>
      </c>
      <c r="L2835" s="10">
        <v>36</v>
      </c>
      <c r="M2835" s="5">
        <v>15629.144307692306</v>
      </c>
      <c r="N2835" s="5">
        <v>562649.195076923</v>
      </c>
    </row>
    <row r="2836" spans="1:14" x14ac:dyDescent="0.25">
      <c r="A2836" s="4" t="s">
        <v>2344</v>
      </c>
      <c r="B2836" s="4" t="s">
        <v>5154</v>
      </c>
      <c r="C2836" s="4" t="s">
        <v>2344</v>
      </c>
      <c r="D2836" s="4" t="s">
        <v>237</v>
      </c>
      <c r="E2836" s="4" t="s">
        <v>4683</v>
      </c>
      <c r="F2836" s="4" t="s">
        <v>2578</v>
      </c>
      <c r="G2836" s="4" t="s">
        <v>2263</v>
      </c>
      <c r="H2836" s="9" t="s">
        <v>2263</v>
      </c>
      <c r="I2836" s="4" t="s">
        <v>2263</v>
      </c>
      <c r="J2836" s="4" t="s">
        <v>2263</v>
      </c>
      <c r="K2836" s="4" t="s">
        <v>2577</v>
      </c>
      <c r="L2836" s="10">
        <v>36</v>
      </c>
      <c r="M2836" s="5">
        <v>15707.147521367522</v>
      </c>
      <c r="N2836" s="5">
        <v>565457.31076923083</v>
      </c>
    </row>
    <row r="2837" spans="1:14" x14ac:dyDescent="0.25">
      <c r="A2837" s="4" t="s">
        <v>2274</v>
      </c>
      <c r="B2837" s="4" t="s">
        <v>4348</v>
      </c>
      <c r="C2837" s="4" t="s">
        <v>2344</v>
      </c>
      <c r="D2837" s="4" t="s">
        <v>237</v>
      </c>
      <c r="E2837" s="4" t="s">
        <v>4568</v>
      </c>
      <c r="F2837" s="4" t="s">
        <v>4567</v>
      </c>
      <c r="G2837" s="4" t="s">
        <v>2263</v>
      </c>
      <c r="H2837" s="9" t="s">
        <v>2263</v>
      </c>
      <c r="I2837" s="4" t="s">
        <v>2263</v>
      </c>
      <c r="J2837" s="4" t="s">
        <v>2263</v>
      </c>
      <c r="K2837" s="4" t="s">
        <v>2536</v>
      </c>
      <c r="L2837" s="10">
        <v>36</v>
      </c>
      <c r="M2837" s="5">
        <v>30602.212499999998</v>
      </c>
      <c r="N2837" s="5">
        <v>1101679.6499999999</v>
      </c>
    </row>
    <row r="2838" spans="1:14" x14ac:dyDescent="0.25">
      <c r="A2838" s="4" t="s">
        <v>2317</v>
      </c>
      <c r="B2838" s="4" t="s">
        <v>3839</v>
      </c>
      <c r="C2838" s="4" t="s">
        <v>2320</v>
      </c>
      <c r="D2838" s="4" t="s">
        <v>242</v>
      </c>
      <c r="E2838" s="4" t="s">
        <v>3993</v>
      </c>
      <c r="F2838" s="4" t="s">
        <v>3992</v>
      </c>
      <c r="G2838" s="4" t="s">
        <v>2263</v>
      </c>
      <c r="H2838" s="9" t="s">
        <v>2263</v>
      </c>
      <c r="I2838" s="4" t="s">
        <v>2317</v>
      </c>
      <c r="J2838" s="4" t="s">
        <v>2316</v>
      </c>
      <c r="K2838" s="4" t="s">
        <v>2263</v>
      </c>
      <c r="L2838" s="10">
        <v>36</v>
      </c>
      <c r="M2838" s="5">
        <v>63360.271000000001</v>
      </c>
      <c r="N2838" s="5">
        <v>2280969.7560000001</v>
      </c>
    </row>
    <row r="2839" spans="1:14" x14ac:dyDescent="0.25">
      <c r="A2839" s="4" t="s">
        <v>2317</v>
      </c>
      <c r="B2839" s="4" t="s">
        <v>3839</v>
      </c>
      <c r="C2839" s="4" t="s">
        <v>2320</v>
      </c>
      <c r="D2839" s="4" t="s">
        <v>242</v>
      </c>
      <c r="E2839" s="4" t="s">
        <v>4009</v>
      </c>
      <c r="F2839" s="4" t="s">
        <v>4008</v>
      </c>
      <c r="G2839" s="4" t="s">
        <v>2263</v>
      </c>
      <c r="H2839" s="9" t="s">
        <v>2263</v>
      </c>
      <c r="I2839" s="4" t="s">
        <v>2317</v>
      </c>
      <c r="J2839" s="4" t="s">
        <v>2316</v>
      </c>
      <c r="K2839" s="4" t="s">
        <v>2263</v>
      </c>
      <c r="L2839" s="10">
        <v>36</v>
      </c>
      <c r="M2839" s="5">
        <v>111979.02</v>
      </c>
      <c r="N2839" s="5">
        <v>4031244.72</v>
      </c>
    </row>
    <row r="2840" spans="1:14" x14ac:dyDescent="0.25">
      <c r="A2840" s="4" t="s">
        <v>2274</v>
      </c>
      <c r="B2840" s="4" t="s">
        <v>4348</v>
      </c>
      <c r="C2840" s="4" t="s">
        <v>2274</v>
      </c>
      <c r="D2840" s="4" t="s">
        <v>2273</v>
      </c>
      <c r="E2840" s="4" t="s">
        <v>4477</v>
      </c>
      <c r="F2840" s="4" t="s">
        <v>4476</v>
      </c>
      <c r="G2840" s="4" t="s">
        <v>2263</v>
      </c>
      <c r="H2840" s="9" t="s">
        <v>2263</v>
      </c>
      <c r="I2840" s="4" t="s">
        <v>2263</v>
      </c>
      <c r="J2840" s="4" t="s">
        <v>2263</v>
      </c>
      <c r="K2840" s="4" t="s">
        <v>4475</v>
      </c>
      <c r="L2840" s="10">
        <v>36</v>
      </c>
      <c r="M2840" s="5">
        <v>267904.11725000001</v>
      </c>
      <c r="N2840" s="5">
        <v>9644548.2210000008</v>
      </c>
    </row>
    <row r="2841" spans="1:14" x14ac:dyDescent="0.25">
      <c r="A2841" s="4" t="s">
        <v>2344</v>
      </c>
      <c r="B2841" s="4" t="s">
        <v>5154</v>
      </c>
      <c r="C2841" s="4" t="s">
        <v>2344</v>
      </c>
      <c r="D2841" s="4" t="s">
        <v>237</v>
      </c>
      <c r="E2841" s="4" t="s">
        <v>4925</v>
      </c>
      <c r="F2841" s="4" t="s">
        <v>2667</v>
      </c>
      <c r="G2841" s="4" t="s">
        <v>2263</v>
      </c>
      <c r="H2841" s="9" t="s">
        <v>2263</v>
      </c>
      <c r="I2841" s="4" t="s">
        <v>2263</v>
      </c>
      <c r="J2841" s="4" t="s">
        <v>2263</v>
      </c>
      <c r="K2841" s="4" t="s">
        <v>2666</v>
      </c>
      <c r="L2841" s="10">
        <v>37</v>
      </c>
      <c r="M2841" s="5">
        <v>680.01049531459171</v>
      </c>
      <c r="N2841" s="5">
        <v>25160.388326639892</v>
      </c>
    </row>
    <row r="2842" spans="1:14" x14ac:dyDescent="0.25">
      <c r="A2842" s="4" t="s">
        <v>2344</v>
      </c>
      <c r="B2842" s="4" t="s">
        <v>5154</v>
      </c>
      <c r="C2842" s="4" t="s">
        <v>2344</v>
      </c>
      <c r="D2842" s="4" t="s">
        <v>237</v>
      </c>
      <c r="E2842" s="4" t="s">
        <v>4692</v>
      </c>
      <c r="F2842" s="4" t="s">
        <v>2508</v>
      </c>
      <c r="G2842" s="4" t="s">
        <v>2263</v>
      </c>
      <c r="H2842" s="9" t="s">
        <v>2263</v>
      </c>
      <c r="I2842" s="4" t="s">
        <v>2263</v>
      </c>
      <c r="J2842" s="4" t="s">
        <v>2263</v>
      </c>
      <c r="K2842" s="4" t="s">
        <v>2494</v>
      </c>
      <c r="L2842" s="10">
        <v>37</v>
      </c>
      <c r="M2842" s="5">
        <v>1373.1057627118644</v>
      </c>
      <c r="N2842" s="5">
        <v>50804.913220338982</v>
      </c>
    </row>
    <row r="2843" spans="1:14" x14ac:dyDescent="0.25">
      <c r="A2843" s="4" t="s">
        <v>2320</v>
      </c>
      <c r="B2843" s="4" t="s">
        <v>4967</v>
      </c>
      <c r="C2843" s="4" t="s">
        <v>2344</v>
      </c>
      <c r="D2843" s="4" t="s">
        <v>237</v>
      </c>
      <c r="E2843" s="4" t="s">
        <v>4835</v>
      </c>
      <c r="F2843" s="4" t="s">
        <v>4834</v>
      </c>
      <c r="G2843" s="4" t="s">
        <v>2263</v>
      </c>
      <c r="H2843" s="9" t="s">
        <v>2263</v>
      </c>
      <c r="I2843" s="4" t="s">
        <v>2263</v>
      </c>
      <c r="J2843" s="4" t="s">
        <v>2263</v>
      </c>
      <c r="K2843" s="4" t="s">
        <v>2591</v>
      </c>
      <c r="L2843" s="10">
        <v>37</v>
      </c>
      <c r="M2843" s="5">
        <v>2217</v>
      </c>
      <c r="N2843" s="5">
        <v>82029</v>
      </c>
    </row>
    <row r="2844" spans="1:14" x14ac:dyDescent="0.25">
      <c r="A2844" s="4" t="s">
        <v>2344</v>
      </c>
      <c r="B2844" s="4" t="s">
        <v>5154</v>
      </c>
      <c r="C2844" s="4" t="s">
        <v>2344</v>
      </c>
      <c r="D2844" s="4" t="s">
        <v>237</v>
      </c>
      <c r="E2844" s="4" t="s">
        <v>4892</v>
      </c>
      <c r="F2844" s="4" t="s">
        <v>2639</v>
      </c>
      <c r="G2844" s="4" t="s">
        <v>2263</v>
      </c>
      <c r="H2844" s="9" t="s">
        <v>2263</v>
      </c>
      <c r="I2844" s="4" t="s">
        <v>2263</v>
      </c>
      <c r="J2844" s="4" t="s">
        <v>2263</v>
      </c>
      <c r="K2844" s="4" t="s">
        <v>2638</v>
      </c>
      <c r="L2844" s="10">
        <v>37</v>
      </c>
      <c r="M2844" s="5">
        <v>3295.3123287671233</v>
      </c>
      <c r="N2844" s="5">
        <v>121926.55616438355</v>
      </c>
    </row>
    <row r="2845" spans="1:14" x14ac:dyDescent="0.25">
      <c r="A2845" s="4" t="s">
        <v>2344</v>
      </c>
      <c r="B2845" s="4" t="s">
        <v>5154</v>
      </c>
      <c r="C2845" s="4" t="s">
        <v>2344</v>
      </c>
      <c r="D2845" s="4" t="s">
        <v>237</v>
      </c>
      <c r="E2845" s="4" t="s">
        <v>4898</v>
      </c>
      <c r="F2845" s="4" t="s">
        <v>4897</v>
      </c>
      <c r="G2845" s="4" t="s">
        <v>2263</v>
      </c>
      <c r="H2845" s="9" t="s">
        <v>2263</v>
      </c>
      <c r="I2845" s="4" t="s">
        <v>2263</v>
      </c>
      <c r="J2845" s="4" t="s">
        <v>2263</v>
      </c>
      <c r="K2845" s="4" t="s">
        <v>4641</v>
      </c>
      <c r="L2845" s="10">
        <v>37</v>
      </c>
      <c r="M2845" s="5">
        <v>5391.8858064516126</v>
      </c>
      <c r="N2845" s="5">
        <v>199499.77483870968</v>
      </c>
    </row>
    <row r="2846" spans="1:14" x14ac:dyDescent="0.25">
      <c r="A2846" s="4" t="s">
        <v>2344</v>
      </c>
      <c r="B2846" s="4" t="s">
        <v>5154</v>
      </c>
      <c r="C2846" s="4" t="s">
        <v>2344</v>
      </c>
      <c r="D2846" s="4" t="s">
        <v>237</v>
      </c>
      <c r="E2846" s="4" t="s">
        <v>4888</v>
      </c>
      <c r="F2846" s="4" t="s">
        <v>4887</v>
      </c>
      <c r="G2846" s="4" t="s">
        <v>2263</v>
      </c>
      <c r="H2846" s="9" t="s">
        <v>2263</v>
      </c>
      <c r="I2846" s="4" t="s">
        <v>2263</v>
      </c>
      <c r="J2846" s="4" t="s">
        <v>2263</v>
      </c>
      <c r="K2846" s="4" t="s">
        <v>2602</v>
      </c>
      <c r="L2846" s="10">
        <v>37</v>
      </c>
      <c r="M2846" s="5">
        <v>12094.82865671642</v>
      </c>
      <c r="N2846" s="5">
        <v>447508.66029850743</v>
      </c>
    </row>
    <row r="2847" spans="1:14" x14ac:dyDescent="0.25">
      <c r="A2847" s="4" t="s">
        <v>2344</v>
      </c>
      <c r="B2847" s="4" t="s">
        <v>5154</v>
      </c>
      <c r="C2847" s="4" t="s">
        <v>2317</v>
      </c>
      <c r="D2847" s="4" t="s">
        <v>2516</v>
      </c>
      <c r="E2847" s="4" t="s">
        <v>2870</v>
      </c>
      <c r="F2847" s="4" t="s">
        <v>2869</v>
      </c>
      <c r="G2847" s="4" t="s">
        <v>2263</v>
      </c>
      <c r="H2847" s="9" t="s">
        <v>2263</v>
      </c>
      <c r="I2847" s="4" t="s">
        <v>2263</v>
      </c>
      <c r="J2847" s="4" t="s">
        <v>2263</v>
      </c>
      <c r="K2847" s="4" t="s">
        <v>2868</v>
      </c>
      <c r="L2847" s="10">
        <v>37</v>
      </c>
      <c r="M2847" s="5">
        <v>18540.913461538461</v>
      </c>
      <c r="N2847" s="5">
        <v>686013.79807692301</v>
      </c>
    </row>
    <row r="2848" spans="1:14" x14ac:dyDescent="0.25">
      <c r="A2848" s="4" t="s">
        <v>2344</v>
      </c>
      <c r="B2848" s="4" t="s">
        <v>5154</v>
      </c>
      <c r="C2848" s="4" t="s">
        <v>2344</v>
      </c>
      <c r="D2848" s="4" t="s">
        <v>237</v>
      </c>
      <c r="E2848" s="4" t="s">
        <v>4911</v>
      </c>
      <c r="F2848" s="4" t="s">
        <v>4910</v>
      </c>
      <c r="G2848" s="4" t="s">
        <v>2263</v>
      </c>
      <c r="H2848" s="9" t="s">
        <v>2263</v>
      </c>
      <c r="I2848" s="4" t="s">
        <v>2263</v>
      </c>
      <c r="J2848" s="4" t="s">
        <v>2263</v>
      </c>
      <c r="K2848" s="4" t="s">
        <v>4909</v>
      </c>
      <c r="L2848" s="10">
        <v>38</v>
      </c>
      <c r="M2848" s="5">
        <v>154.09691176470588</v>
      </c>
      <c r="N2848" s="5">
        <v>5855.6826470588203</v>
      </c>
    </row>
    <row r="2849" spans="1:14" x14ac:dyDescent="0.25">
      <c r="A2849" s="4" t="s">
        <v>2320</v>
      </c>
      <c r="B2849" s="4" t="s">
        <v>4967</v>
      </c>
      <c r="C2849" s="4" t="s">
        <v>2320</v>
      </c>
      <c r="D2849" s="4" t="s">
        <v>242</v>
      </c>
      <c r="E2849" s="4" t="s">
        <v>2715</v>
      </c>
      <c r="F2849" s="4" t="s">
        <v>2714</v>
      </c>
      <c r="G2849" s="4" t="s">
        <v>2263</v>
      </c>
      <c r="H2849" s="9" t="s">
        <v>2263</v>
      </c>
      <c r="I2849" s="4" t="s">
        <v>2317</v>
      </c>
      <c r="J2849" s="4" t="s">
        <v>2316</v>
      </c>
      <c r="K2849" s="4" t="s">
        <v>2263</v>
      </c>
      <c r="L2849" s="10">
        <v>38</v>
      </c>
      <c r="M2849" s="5">
        <v>285.17608450704222</v>
      </c>
      <c r="N2849" s="5">
        <v>10836.691211267609</v>
      </c>
    </row>
    <row r="2850" spans="1:14" x14ac:dyDescent="0.25">
      <c r="A2850" s="4" t="s">
        <v>2344</v>
      </c>
      <c r="B2850" s="4" t="s">
        <v>5154</v>
      </c>
      <c r="C2850" s="4" t="s">
        <v>2317</v>
      </c>
      <c r="D2850" s="4" t="s">
        <v>2516</v>
      </c>
      <c r="E2850" s="4" t="s">
        <v>4434</v>
      </c>
      <c r="F2850" s="4" t="s">
        <v>2519</v>
      </c>
      <c r="G2850" s="4" t="s">
        <v>2263</v>
      </c>
      <c r="H2850" s="9" t="s">
        <v>2263</v>
      </c>
      <c r="I2850" s="4" t="s">
        <v>2263</v>
      </c>
      <c r="J2850" s="4" t="s">
        <v>2263</v>
      </c>
      <c r="K2850" s="4" t="s">
        <v>2518</v>
      </c>
      <c r="L2850" s="10">
        <v>38</v>
      </c>
      <c r="M2850" s="5">
        <v>2862.134705882353</v>
      </c>
      <c r="N2850" s="5">
        <v>108761.1188235294</v>
      </c>
    </row>
    <row r="2851" spans="1:14" x14ac:dyDescent="0.25">
      <c r="A2851" s="4" t="s">
        <v>2344</v>
      </c>
      <c r="B2851" s="4" t="s">
        <v>5154</v>
      </c>
      <c r="C2851" s="4" t="s">
        <v>2344</v>
      </c>
      <c r="D2851" s="4" t="s">
        <v>237</v>
      </c>
      <c r="E2851" s="4" t="s">
        <v>5413</v>
      </c>
      <c r="F2851" s="4" t="s">
        <v>4769</v>
      </c>
      <c r="G2851" s="4" t="s">
        <v>2263</v>
      </c>
      <c r="H2851" s="9" t="s">
        <v>2263</v>
      </c>
      <c r="I2851" s="4" t="s">
        <v>2263</v>
      </c>
      <c r="J2851" s="4" t="s">
        <v>2263</v>
      </c>
      <c r="K2851" s="4" t="s">
        <v>2628</v>
      </c>
      <c r="L2851" s="10">
        <v>39</v>
      </c>
      <c r="M2851" s="5">
        <v>154</v>
      </c>
      <c r="N2851" s="5">
        <v>6006</v>
      </c>
    </row>
    <row r="2852" spans="1:14" x14ac:dyDescent="0.25">
      <c r="A2852" s="4" t="s">
        <v>2344</v>
      </c>
      <c r="B2852" s="4" t="s">
        <v>5154</v>
      </c>
      <c r="C2852" s="4" t="s">
        <v>2344</v>
      </c>
      <c r="D2852" s="4" t="s">
        <v>237</v>
      </c>
      <c r="E2852" s="4" t="s">
        <v>5422</v>
      </c>
      <c r="F2852" s="4" t="s">
        <v>5421</v>
      </c>
      <c r="G2852" s="4" t="s">
        <v>2263</v>
      </c>
      <c r="H2852" s="9" t="s">
        <v>2263</v>
      </c>
      <c r="I2852" s="4" t="s">
        <v>2263</v>
      </c>
      <c r="J2852" s="4" t="s">
        <v>2263</v>
      </c>
      <c r="K2852" s="4" t="s">
        <v>2462</v>
      </c>
      <c r="L2852" s="10">
        <v>39</v>
      </c>
      <c r="M2852" s="5">
        <v>207.41025641025641</v>
      </c>
      <c r="N2852" s="5">
        <v>8089</v>
      </c>
    </row>
    <row r="2853" spans="1:14" x14ac:dyDescent="0.25">
      <c r="A2853" s="4" t="s">
        <v>2344</v>
      </c>
      <c r="B2853" s="4" t="s">
        <v>5154</v>
      </c>
      <c r="C2853" s="4" t="s">
        <v>2344</v>
      </c>
      <c r="D2853" s="4" t="s">
        <v>237</v>
      </c>
      <c r="E2853" s="4" t="s">
        <v>4593</v>
      </c>
      <c r="F2853" s="4" t="s">
        <v>2642</v>
      </c>
      <c r="G2853" s="4" t="s">
        <v>2263</v>
      </c>
      <c r="H2853" s="9" t="s">
        <v>2263</v>
      </c>
      <c r="I2853" s="4" t="s">
        <v>2263</v>
      </c>
      <c r="J2853" s="4" t="s">
        <v>2263</v>
      </c>
      <c r="K2853" s="4" t="s">
        <v>2641</v>
      </c>
      <c r="L2853" s="10">
        <v>39</v>
      </c>
      <c r="M2853" s="5">
        <v>4725.6135897435897</v>
      </c>
      <c r="N2853" s="5">
        <v>184298.93</v>
      </c>
    </row>
    <row r="2854" spans="1:14" x14ac:dyDescent="0.25">
      <c r="A2854" s="4" t="s">
        <v>2274</v>
      </c>
      <c r="B2854" s="4" t="s">
        <v>4348</v>
      </c>
      <c r="C2854" s="4" t="s">
        <v>2344</v>
      </c>
      <c r="D2854" s="4" t="s">
        <v>237</v>
      </c>
      <c r="E2854" s="4" t="s">
        <v>4726</v>
      </c>
      <c r="F2854" s="4" t="s">
        <v>4725</v>
      </c>
      <c r="G2854" s="4" t="s">
        <v>2263</v>
      </c>
      <c r="H2854" s="9" t="s">
        <v>2263</v>
      </c>
      <c r="I2854" s="4" t="s">
        <v>2263</v>
      </c>
      <c r="J2854" s="4" t="s">
        <v>2263</v>
      </c>
      <c r="K2854" s="4" t="s">
        <v>4724</v>
      </c>
      <c r="L2854" s="10">
        <v>39</v>
      </c>
      <c r="M2854" s="5">
        <v>7374.5791666666673</v>
      </c>
      <c r="N2854" s="5">
        <v>287608.58750000002</v>
      </c>
    </row>
    <row r="2855" spans="1:14" x14ac:dyDescent="0.25">
      <c r="A2855" s="4" t="s">
        <v>2344</v>
      </c>
      <c r="B2855" s="4" t="s">
        <v>5154</v>
      </c>
      <c r="C2855" s="4" t="s">
        <v>2344</v>
      </c>
      <c r="D2855" s="4" t="s">
        <v>237</v>
      </c>
      <c r="E2855" s="4" t="s">
        <v>5405</v>
      </c>
      <c r="F2855" s="4" t="s">
        <v>4748</v>
      </c>
      <c r="G2855" s="4" t="s">
        <v>2263</v>
      </c>
      <c r="H2855" s="9" t="s">
        <v>2263</v>
      </c>
      <c r="I2855" s="4" t="s">
        <v>2263</v>
      </c>
      <c r="J2855" s="4" t="s">
        <v>2263</v>
      </c>
      <c r="K2855" s="4" t="s">
        <v>4747</v>
      </c>
      <c r="L2855" s="10">
        <v>39</v>
      </c>
      <c r="M2855" s="5">
        <v>10568.195128205127</v>
      </c>
      <c r="N2855" s="5">
        <v>412159.61</v>
      </c>
    </row>
    <row r="2856" spans="1:14" x14ac:dyDescent="0.25">
      <c r="A2856" s="4" t="s">
        <v>2317</v>
      </c>
      <c r="B2856" s="4" t="s">
        <v>3839</v>
      </c>
      <c r="C2856" s="4" t="s">
        <v>2320</v>
      </c>
      <c r="D2856" s="4" t="s">
        <v>242</v>
      </c>
      <c r="E2856" s="4" t="s">
        <v>4279</v>
      </c>
      <c r="F2856" s="4" t="s">
        <v>4278</v>
      </c>
      <c r="G2856" s="4" t="s">
        <v>2263</v>
      </c>
      <c r="H2856" s="9" t="s">
        <v>2263</v>
      </c>
      <c r="I2856" s="4" t="s">
        <v>2317</v>
      </c>
      <c r="J2856" s="4" t="s">
        <v>2316</v>
      </c>
      <c r="K2856" s="4" t="s">
        <v>2263</v>
      </c>
      <c r="L2856" s="10">
        <v>39</v>
      </c>
      <c r="M2856" s="5">
        <v>34900.803023255816</v>
      </c>
      <c r="N2856" s="5">
        <v>1361131.3179069769</v>
      </c>
    </row>
    <row r="2857" spans="1:14" x14ac:dyDescent="0.25">
      <c r="A2857" s="4" t="s">
        <v>2274</v>
      </c>
      <c r="B2857" s="4" t="s">
        <v>4348</v>
      </c>
      <c r="C2857" s="4" t="s">
        <v>2344</v>
      </c>
      <c r="D2857" s="4" t="s">
        <v>237</v>
      </c>
      <c r="E2857" s="4" t="s">
        <v>4667</v>
      </c>
      <c r="F2857" s="4" t="s">
        <v>2658</v>
      </c>
      <c r="G2857" s="4" t="s">
        <v>2263</v>
      </c>
      <c r="H2857" s="9" t="s">
        <v>2263</v>
      </c>
      <c r="I2857" s="4" t="s">
        <v>2263</v>
      </c>
      <c r="J2857" s="4" t="s">
        <v>2263</v>
      </c>
      <c r="K2857" s="4" t="s">
        <v>2657</v>
      </c>
      <c r="L2857" s="10">
        <v>39</v>
      </c>
      <c r="M2857" s="5">
        <v>60000</v>
      </c>
      <c r="N2857" s="5">
        <v>2340000</v>
      </c>
    </row>
    <row r="2858" spans="1:14" x14ac:dyDescent="0.25">
      <c r="A2858" s="4" t="s">
        <v>2274</v>
      </c>
      <c r="B2858" s="4" t="s">
        <v>4348</v>
      </c>
      <c r="C2858" s="4" t="s">
        <v>2344</v>
      </c>
      <c r="D2858" s="4" t="s">
        <v>237</v>
      </c>
      <c r="E2858" s="4" t="s">
        <v>4913</v>
      </c>
      <c r="F2858" s="4" t="s">
        <v>2544</v>
      </c>
      <c r="G2858" s="4" t="s">
        <v>2263</v>
      </c>
      <c r="H2858" s="9" t="s">
        <v>2263</v>
      </c>
      <c r="I2858" s="4" t="s">
        <v>2263</v>
      </c>
      <c r="J2858" s="4" t="s">
        <v>2263</v>
      </c>
      <c r="K2858" s="4" t="s">
        <v>2302</v>
      </c>
      <c r="L2858" s="10">
        <v>40</v>
      </c>
      <c r="M2858" s="5">
        <v>65</v>
      </c>
      <c r="N2858" s="5">
        <v>2600</v>
      </c>
    </row>
    <row r="2859" spans="1:14" x14ac:dyDescent="0.25">
      <c r="A2859" s="4" t="s">
        <v>2344</v>
      </c>
      <c r="B2859" s="4" t="s">
        <v>5154</v>
      </c>
      <c r="C2859" s="4" t="s">
        <v>2344</v>
      </c>
      <c r="D2859" s="4" t="s">
        <v>237</v>
      </c>
      <c r="E2859" s="4" t="s">
        <v>4939</v>
      </c>
      <c r="F2859" s="4" t="s">
        <v>2548</v>
      </c>
      <c r="G2859" s="4" t="s">
        <v>2263</v>
      </c>
      <c r="H2859" s="9" t="s">
        <v>2263</v>
      </c>
      <c r="I2859" s="4" t="s">
        <v>2263</v>
      </c>
      <c r="J2859" s="4" t="s">
        <v>2263</v>
      </c>
      <c r="K2859" s="4" t="s">
        <v>2547</v>
      </c>
      <c r="L2859" s="10">
        <v>40</v>
      </c>
      <c r="M2859" s="5">
        <v>106</v>
      </c>
      <c r="N2859" s="5">
        <v>4240</v>
      </c>
    </row>
    <row r="2860" spans="1:14" x14ac:dyDescent="0.25">
      <c r="A2860" s="4" t="s">
        <v>2344</v>
      </c>
      <c r="B2860" s="4" t="s">
        <v>5154</v>
      </c>
      <c r="C2860" s="4" t="s">
        <v>2320</v>
      </c>
      <c r="D2860" s="4" t="s">
        <v>242</v>
      </c>
      <c r="E2860" s="4" t="s">
        <v>3030</v>
      </c>
      <c r="F2860" s="4" t="s">
        <v>3029</v>
      </c>
      <c r="G2860" s="4" t="s">
        <v>2263</v>
      </c>
      <c r="H2860" s="9" t="s">
        <v>2263</v>
      </c>
      <c r="I2860" s="4" t="s">
        <v>2317</v>
      </c>
      <c r="J2860" s="4" t="s">
        <v>2316</v>
      </c>
      <c r="K2860" s="4" t="s">
        <v>2263</v>
      </c>
      <c r="L2860" s="10">
        <v>40</v>
      </c>
      <c r="M2860" s="5">
        <v>127.0005303030303</v>
      </c>
      <c r="N2860" s="5">
        <v>5080.0212121212098</v>
      </c>
    </row>
    <row r="2861" spans="1:14" x14ac:dyDescent="0.25">
      <c r="A2861" s="4" t="s">
        <v>2274</v>
      </c>
      <c r="B2861" s="4" t="s">
        <v>4348</v>
      </c>
      <c r="C2861" s="4" t="s">
        <v>2267</v>
      </c>
      <c r="D2861" s="4" t="s">
        <v>2266</v>
      </c>
      <c r="E2861" s="4" t="s">
        <v>4421</v>
      </c>
      <c r="F2861" s="4" t="s">
        <v>4420</v>
      </c>
      <c r="G2861" s="4" t="s">
        <v>2263</v>
      </c>
      <c r="H2861" s="9" t="s">
        <v>2263</v>
      </c>
      <c r="I2861" s="4" t="s">
        <v>2263</v>
      </c>
      <c r="J2861" s="4" t="s">
        <v>2263</v>
      </c>
      <c r="K2861" s="4" t="s">
        <v>4419</v>
      </c>
      <c r="L2861" s="10">
        <v>40</v>
      </c>
      <c r="M2861" s="5">
        <v>156.63999999999999</v>
      </c>
      <c r="N2861" s="5">
        <v>6265.6</v>
      </c>
    </row>
    <row r="2862" spans="1:14" x14ac:dyDescent="0.25">
      <c r="A2862" s="4" t="s">
        <v>2344</v>
      </c>
      <c r="B2862" s="4" t="s">
        <v>5154</v>
      </c>
      <c r="C2862" s="4" t="s">
        <v>2320</v>
      </c>
      <c r="D2862" s="4" t="s">
        <v>242</v>
      </c>
      <c r="E2862" s="4" t="s">
        <v>4095</v>
      </c>
      <c r="F2862" s="4" t="s">
        <v>4094</v>
      </c>
      <c r="G2862" s="4" t="s">
        <v>2263</v>
      </c>
      <c r="H2862" s="9" t="s">
        <v>2263</v>
      </c>
      <c r="I2862" s="4" t="s">
        <v>2317</v>
      </c>
      <c r="J2862" s="4" t="s">
        <v>2316</v>
      </c>
      <c r="K2862" s="4" t="s">
        <v>2263</v>
      </c>
      <c r="L2862" s="10">
        <v>40</v>
      </c>
      <c r="M2862" s="5">
        <v>364.64433544303796</v>
      </c>
      <c r="N2862" s="5">
        <v>14585.773417721521</v>
      </c>
    </row>
    <row r="2863" spans="1:14" x14ac:dyDescent="0.25">
      <c r="A2863" s="4" t="s">
        <v>2274</v>
      </c>
      <c r="B2863" s="4" t="s">
        <v>4348</v>
      </c>
      <c r="C2863" s="4" t="s">
        <v>2344</v>
      </c>
      <c r="D2863" s="4" t="s">
        <v>237</v>
      </c>
      <c r="E2863" s="4" t="s">
        <v>4790</v>
      </c>
      <c r="F2863" s="4" t="s">
        <v>2561</v>
      </c>
      <c r="G2863" s="4" t="s">
        <v>2263</v>
      </c>
      <c r="H2863" s="9" t="s">
        <v>2263</v>
      </c>
      <c r="I2863" s="4" t="s">
        <v>2263</v>
      </c>
      <c r="J2863" s="4" t="s">
        <v>2263</v>
      </c>
      <c r="K2863" s="4" t="s">
        <v>2560</v>
      </c>
      <c r="L2863" s="10">
        <v>40</v>
      </c>
      <c r="M2863" s="5">
        <v>692.7641509433962</v>
      </c>
      <c r="N2863" s="5">
        <v>27710.566037735851</v>
      </c>
    </row>
    <row r="2864" spans="1:14" x14ac:dyDescent="0.25">
      <c r="A2864" s="4" t="s">
        <v>2274</v>
      </c>
      <c r="B2864" s="4" t="s">
        <v>4348</v>
      </c>
      <c r="C2864" s="4" t="s">
        <v>2344</v>
      </c>
      <c r="D2864" s="4" t="s">
        <v>237</v>
      </c>
      <c r="E2864" s="4" t="s">
        <v>4870</v>
      </c>
      <c r="F2864" s="4" t="s">
        <v>4869</v>
      </c>
      <c r="G2864" s="4" t="s">
        <v>2263</v>
      </c>
      <c r="H2864" s="9" t="s">
        <v>2263</v>
      </c>
      <c r="I2864" s="4" t="s">
        <v>2263</v>
      </c>
      <c r="J2864" s="4" t="s">
        <v>2263</v>
      </c>
      <c r="K2864" s="4" t="s">
        <v>2602</v>
      </c>
      <c r="L2864" s="10">
        <v>40</v>
      </c>
      <c r="M2864" s="5">
        <v>696</v>
      </c>
      <c r="N2864" s="5">
        <v>27840</v>
      </c>
    </row>
    <row r="2865" spans="1:14" x14ac:dyDescent="0.25">
      <c r="A2865" s="4" t="s">
        <v>2274</v>
      </c>
      <c r="B2865" s="4" t="s">
        <v>4348</v>
      </c>
      <c r="C2865" s="4" t="s">
        <v>2344</v>
      </c>
      <c r="D2865" s="4" t="s">
        <v>237</v>
      </c>
      <c r="E2865" s="4" t="s">
        <v>4806</v>
      </c>
      <c r="F2865" s="4" t="s">
        <v>4805</v>
      </c>
      <c r="G2865" s="4" t="s">
        <v>2263</v>
      </c>
      <c r="H2865" s="9" t="s">
        <v>2263</v>
      </c>
      <c r="I2865" s="4" t="s">
        <v>2263</v>
      </c>
      <c r="J2865" s="4" t="s">
        <v>2263</v>
      </c>
      <c r="K2865" s="4" t="s">
        <v>4804</v>
      </c>
      <c r="L2865" s="10">
        <v>40</v>
      </c>
      <c r="M2865" s="5">
        <v>1117.5525423728814</v>
      </c>
      <c r="N2865" s="5">
        <v>44702.101694915247</v>
      </c>
    </row>
    <row r="2866" spans="1:14" x14ac:dyDescent="0.25">
      <c r="A2866" s="4" t="s">
        <v>2344</v>
      </c>
      <c r="B2866" s="4" t="s">
        <v>5154</v>
      </c>
      <c r="C2866" s="4" t="s">
        <v>2344</v>
      </c>
      <c r="D2866" s="4" t="s">
        <v>237</v>
      </c>
      <c r="E2866" s="4" t="s">
        <v>4612</v>
      </c>
      <c r="F2866" s="4" t="s">
        <v>2565</v>
      </c>
      <c r="G2866" s="4" t="s">
        <v>2263</v>
      </c>
      <c r="H2866" s="9" t="s">
        <v>2263</v>
      </c>
      <c r="I2866" s="4" t="s">
        <v>2263</v>
      </c>
      <c r="J2866" s="4" t="s">
        <v>2263</v>
      </c>
      <c r="K2866" s="4" t="s">
        <v>2564</v>
      </c>
      <c r="L2866" s="10">
        <v>40</v>
      </c>
      <c r="M2866" s="5">
        <v>1412.8823529411766</v>
      </c>
      <c r="N2866" s="5">
        <v>56515.294117647063</v>
      </c>
    </row>
    <row r="2867" spans="1:14" x14ac:dyDescent="0.25">
      <c r="A2867" s="4" t="s">
        <v>2344</v>
      </c>
      <c r="B2867" s="4" t="s">
        <v>5154</v>
      </c>
      <c r="C2867" s="4" t="s">
        <v>2344</v>
      </c>
      <c r="D2867" s="4" t="s">
        <v>237</v>
      </c>
      <c r="E2867" s="4" t="s">
        <v>4589</v>
      </c>
      <c r="F2867" s="4" t="s">
        <v>2756</v>
      </c>
      <c r="G2867" s="4" t="s">
        <v>2263</v>
      </c>
      <c r="H2867" s="9" t="s">
        <v>2263</v>
      </c>
      <c r="I2867" s="4" t="s">
        <v>2263</v>
      </c>
      <c r="J2867" s="4" t="s">
        <v>2263</v>
      </c>
      <c r="K2867" s="4" t="s">
        <v>2755</v>
      </c>
      <c r="L2867" s="10">
        <v>40</v>
      </c>
      <c r="M2867" s="5">
        <v>2250.2008641975308</v>
      </c>
      <c r="N2867" s="5">
        <v>90008.034567901224</v>
      </c>
    </row>
    <row r="2868" spans="1:14" x14ac:dyDescent="0.25">
      <c r="A2868" s="4" t="s">
        <v>2274</v>
      </c>
      <c r="B2868" s="4" t="s">
        <v>4348</v>
      </c>
      <c r="C2868" s="4" t="s">
        <v>2344</v>
      </c>
      <c r="D2868" s="4" t="s">
        <v>237</v>
      </c>
      <c r="E2868" s="4" t="s">
        <v>4831</v>
      </c>
      <c r="F2868" s="4" t="s">
        <v>2669</v>
      </c>
      <c r="G2868" s="4" t="s">
        <v>2263</v>
      </c>
      <c r="H2868" s="9" t="s">
        <v>2263</v>
      </c>
      <c r="I2868" s="4" t="s">
        <v>2263</v>
      </c>
      <c r="J2868" s="4" t="s">
        <v>2263</v>
      </c>
      <c r="K2868" s="4" t="s">
        <v>2262</v>
      </c>
      <c r="L2868" s="10">
        <v>40</v>
      </c>
      <c r="M2868" s="5">
        <v>2395.7731958762884</v>
      </c>
      <c r="N2868" s="5">
        <v>95830.927835051567</v>
      </c>
    </row>
    <row r="2869" spans="1:14" x14ac:dyDescent="0.25">
      <c r="A2869" s="4" t="s">
        <v>2344</v>
      </c>
      <c r="B2869" s="4" t="s">
        <v>5154</v>
      </c>
      <c r="C2869" s="4" t="s">
        <v>2344</v>
      </c>
      <c r="D2869" s="4" t="s">
        <v>237</v>
      </c>
      <c r="E2869" s="4" t="s">
        <v>2478</v>
      </c>
      <c r="F2869" s="4" t="s">
        <v>2477</v>
      </c>
      <c r="G2869" s="4" t="s">
        <v>2263</v>
      </c>
      <c r="H2869" s="9" t="s">
        <v>2263</v>
      </c>
      <c r="I2869" s="4" t="s">
        <v>2263</v>
      </c>
      <c r="J2869" s="4" t="s">
        <v>2263</v>
      </c>
      <c r="K2869" s="4" t="s">
        <v>2476</v>
      </c>
      <c r="L2869" s="10">
        <v>40</v>
      </c>
      <c r="M2869" s="5">
        <v>2915.8510465116278</v>
      </c>
      <c r="N2869" s="5">
        <v>116634.04186046512</v>
      </c>
    </row>
    <row r="2870" spans="1:14" x14ac:dyDescent="0.25">
      <c r="A2870" s="4" t="s">
        <v>2274</v>
      </c>
      <c r="B2870" s="4" t="s">
        <v>4348</v>
      </c>
      <c r="C2870" s="4" t="s">
        <v>2344</v>
      </c>
      <c r="D2870" s="4" t="s">
        <v>237</v>
      </c>
      <c r="E2870" s="4" t="s">
        <v>2478</v>
      </c>
      <c r="F2870" s="4" t="s">
        <v>2477</v>
      </c>
      <c r="G2870" s="4" t="s">
        <v>2263</v>
      </c>
      <c r="H2870" s="9" t="s">
        <v>2263</v>
      </c>
      <c r="I2870" s="4" t="s">
        <v>2263</v>
      </c>
      <c r="J2870" s="4" t="s">
        <v>2263</v>
      </c>
      <c r="K2870" s="4" t="s">
        <v>2476</v>
      </c>
      <c r="L2870" s="10">
        <v>40</v>
      </c>
      <c r="M2870" s="5">
        <v>2915.8510465116278</v>
      </c>
      <c r="N2870" s="5">
        <v>116634.04186046512</v>
      </c>
    </row>
    <row r="2871" spans="1:14" x14ac:dyDescent="0.25">
      <c r="A2871" s="4" t="s">
        <v>2317</v>
      </c>
      <c r="B2871" s="4" t="s">
        <v>3839</v>
      </c>
      <c r="C2871" s="4" t="s">
        <v>2320</v>
      </c>
      <c r="D2871" s="4" t="s">
        <v>242</v>
      </c>
      <c r="E2871" s="4" t="s">
        <v>4229</v>
      </c>
      <c r="F2871" s="4" t="s">
        <v>4228</v>
      </c>
      <c r="G2871" s="4" t="s">
        <v>2263</v>
      </c>
      <c r="H2871" s="9" t="s">
        <v>2263</v>
      </c>
      <c r="I2871" s="4" t="s">
        <v>2317</v>
      </c>
      <c r="J2871" s="4" t="s">
        <v>2316</v>
      </c>
      <c r="K2871" s="4" t="s">
        <v>2263</v>
      </c>
      <c r="L2871" s="10">
        <v>40</v>
      </c>
      <c r="M2871" s="5">
        <v>3639.3177049180331</v>
      </c>
      <c r="N2871" s="5">
        <v>145572.70819672133</v>
      </c>
    </row>
    <row r="2872" spans="1:14" x14ac:dyDescent="0.25">
      <c r="A2872" s="4" t="s">
        <v>2317</v>
      </c>
      <c r="B2872" s="4" t="s">
        <v>3839</v>
      </c>
      <c r="C2872" s="4" t="s">
        <v>2320</v>
      </c>
      <c r="D2872" s="4" t="s">
        <v>242</v>
      </c>
      <c r="E2872" s="4" t="s">
        <v>4107</v>
      </c>
      <c r="F2872" s="4" t="s">
        <v>4106</v>
      </c>
      <c r="G2872" s="4" t="s">
        <v>2263</v>
      </c>
      <c r="H2872" s="9" t="s">
        <v>2263</v>
      </c>
      <c r="I2872" s="4" t="s">
        <v>2317</v>
      </c>
      <c r="J2872" s="4" t="s">
        <v>2316</v>
      </c>
      <c r="K2872" s="4" t="s">
        <v>2263</v>
      </c>
      <c r="L2872" s="10">
        <v>40</v>
      </c>
      <c r="M2872" s="5">
        <v>19231.611836734693</v>
      </c>
      <c r="N2872" s="5">
        <v>769264.47346938786</v>
      </c>
    </row>
    <row r="2873" spans="1:14" x14ac:dyDescent="0.25">
      <c r="A2873" s="4" t="s">
        <v>2653</v>
      </c>
      <c r="B2873" s="4" t="s">
        <v>3226</v>
      </c>
      <c r="C2873" s="4" t="s">
        <v>2384</v>
      </c>
      <c r="D2873" s="4" t="s">
        <v>262</v>
      </c>
      <c r="E2873" s="4" t="s">
        <v>3320</v>
      </c>
      <c r="F2873" s="4" t="s">
        <v>3319</v>
      </c>
      <c r="G2873" s="4" t="s">
        <v>2263</v>
      </c>
      <c r="H2873" s="9" t="s">
        <v>2263</v>
      </c>
      <c r="I2873" s="4" t="s">
        <v>2317</v>
      </c>
      <c r="J2873" s="4" t="s">
        <v>2316</v>
      </c>
      <c r="K2873" s="4" t="s">
        <v>2263</v>
      </c>
      <c r="L2873" s="10">
        <v>40</v>
      </c>
      <c r="M2873" s="5">
        <v>35700</v>
      </c>
      <c r="N2873" s="5">
        <v>1428000</v>
      </c>
    </row>
    <row r="2874" spans="1:14" x14ac:dyDescent="0.25">
      <c r="A2874" s="4" t="s">
        <v>2317</v>
      </c>
      <c r="B2874" s="4" t="s">
        <v>3839</v>
      </c>
      <c r="C2874" s="4" t="s">
        <v>2320</v>
      </c>
      <c r="D2874" s="4" t="s">
        <v>242</v>
      </c>
      <c r="E2874" s="4" t="s">
        <v>4099</v>
      </c>
      <c r="F2874" s="4" t="s">
        <v>4098</v>
      </c>
      <c r="G2874" s="4" t="s">
        <v>2263</v>
      </c>
      <c r="H2874" s="9" t="s">
        <v>2263</v>
      </c>
      <c r="I2874" s="4" t="s">
        <v>2317</v>
      </c>
      <c r="J2874" s="4" t="s">
        <v>2316</v>
      </c>
      <c r="K2874" s="4" t="s">
        <v>2263</v>
      </c>
      <c r="L2874" s="10">
        <v>40</v>
      </c>
      <c r="M2874" s="5">
        <v>35743.714285714283</v>
      </c>
      <c r="N2874" s="5">
        <v>1429748.5714285714</v>
      </c>
    </row>
    <row r="2875" spans="1:14" x14ac:dyDescent="0.25">
      <c r="A2875" s="4" t="s">
        <v>2344</v>
      </c>
      <c r="B2875" s="4" t="s">
        <v>5154</v>
      </c>
      <c r="C2875" s="4" t="s">
        <v>2274</v>
      </c>
      <c r="D2875" s="4" t="s">
        <v>2273</v>
      </c>
      <c r="E2875" s="4" t="s">
        <v>5239</v>
      </c>
      <c r="F2875" s="4" t="s">
        <v>4465</v>
      </c>
      <c r="G2875" s="4" t="s">
        <v>2263</v>
      </c>
      <c r="H2875" s="9" t="s">
        <v>2263</v>
      </c>
      <c r="I2875" s="4" t="s">
        <v>2263</v>
      </c>
      <c r="J2875" s="4" t="s">
        <v>2263</v>
      </c>
      <c r="K2875" s="4" t="s">
        <v>4464</v>
      </c>
      <c r="L2875" s="10">
        <v>40</v>
      </c>
      <c r="M2875" s="5">
        <v>45925.820999999996</v>
      </c>
      <c r="N2875" s="5">
        <v>1837032.84</v>
      </c>
    </row>
    <row r="2876" spans="1:14" x14ac:dyDescent="0.25">
      <c r="A2876" s="4" t="s">
        <v>2267</v>
      </c>
      <c r="B2876" s="4" t="s">
        <v>3838</v>
      </c>
      <c r="C2876" s="4" t="s">
        <v>2320</v>
      </c>
      <c r="D2876" s="4" t="s">
        <v>242</v>
      </c>
      <c r="E2876" s="4" t="s">
        <v>2982</v>
      </c>
      <c r="F2876" s="4" t="s">
        <v>2981</v>
      </c>
      <c r="G2876" s="4" t="s">
        <v>2263</v>
      </c>
      <c r="H2876" s="9" t="s">
        <v>2263</v>
      </c>
      <c r="I2876" s="4" t="s">
        <v>2317</v>
      </c>
      <c r="J2876" s="4" t="s">
        <v>2316</v>
      </c>
      <c r="K2876" s="4" t="s">
        <v>2263</v>
      </c>
      <c r="L2876" s="10">
        <v>40</v>
      </c>
      <c r="M2876" s="5">
        <v>124027.62773584906</v>
      </c>
      <c r="N2876" s="5">
        <v>4961105.109433962</v>
      </c>
    </row>
    <row r="2877" spans="1:14" x14ac:dyDescent="0.25">
      <c r="A2877" s="4" t="s">
        <v>2274</v>
      </c>
      <c r="B2877" s="4" t="s">
        <v>4348</v>
      </c>
      <c r="C2877" s="4" t="s">
        <v>2274</v>
      </c>
      <c r="D2877" s="4" t="s">
        <v>2273</v>
      </c>
      <c r="E2877" s="4" t="s">
        <v>4472</v>
      </c>
      <c r="F2877" s="4" t="s">
        <v>4471</v>
      </c>
      <c r="G2877" s="4" t="s">
        <v>2263</v>
      </c>
      <c r="H2877" s="9" t="s">
        <v>2263</v>
      </c>
      <c r="I2877" s="4" t="s">
        <v>2263</v>
      </c>
      <c r="J2877" s="4" t="s">
        <v>2263</v>
      </c>
      <c r="K2877" s="4" t="s">
        <v>4470</v>
      </c>
      <c r="L2877" s="10">
        <v>40</v>
      </c>
      <c r="M2877" s="5">
        <v>309095.68122807017</v>
      </c>
      <c r="N2877" s="5">
        <v>12363827.249122806</v>
      </c>
    </row>
    <row r="2878" spans="1:14" x14ac:dyDescent="0.25">
      <c r="A2878" s="4" t="s">
        <v>2653</v>
      </c>
      <c r="B2878" s="4" t="s">
        <v>3226</v>
      </c>
      <c r="C2878" s="4" t="s">
        <v>3196</v>
      </c>
      <c r="D2878" s="4" t="s">
        <v>254</v>
      </c>
      <c r="E2878" s="4" t="s">
        <v>3570</v>
      </c>
      <c r="F2878" s="4" t="s">
        <v>3569</v>
      </c>
      <c r="G2878" s="4" t="s">
        <v>2263</v>
      </c>
      <c r="H2878" s="9" t="s">
        <v>2263</v>
      </c>
      <c r="I2878" s="4" t="s">
        <v>2317</v>
      </c>
      <c r="J2878" s="4" t="s">
        <v>2316</v>
      </c>
      <c r="K2878" s="4" t="s">
        <v>2263</v>
      </c>
      <c r="L2878" s="10">
        <v>41</v>
      </c>
      <c r="M2878" s="5">
        <v>-142.6829268292683</v>
      </c>
      <c r="N2878" s="5">
        <v>-5850</v>
      </c>
    </row>
    <row r="2879" spans="1:14" x14ac:dyDescent="0.25">
      <c r="A2879" s="4" t="s">
        <v>2344</v>
      </c>
      <c r="B2879" s="4" t="s">
        <v>5154</v>
      </c>
      <c r="C2879" s="4" t="s">
        <v>2344</v>
      </c>
      <c r="D2879" s="4" t="s">
        <v>237</v>
      </c>
      <c r="E2879" s="4" t="s">
        <v>4705</v>
      </c>
      <c r="F2879" s="4" t="s">
        <v>4704</v>
      </c>
      <c r="G2879" s="4" t="s">
        <v>2263</v>
      </c>
      <c r="H2879" s="9" t="s">
        <v>2263</v>
      </c>
      <c r="I2879" s="4" t="s">
        <v>2263</v>
      </c>
      <c r="J2879" s="4" t="s">
        <v>2263</v>
      </c>
      <c r="K2879" s="4" t="s">
        <v>4703</v>
      </c>
      <c r="L2879" s="10">
        <v>41</v>
      </c>
      <c r="M2879" s="5">
        <v>325</v>
      </c>
      <c r="N2879" s="5">
        <v>13325</v>
      </c>
    </row>
    <row r="2880" spans="1:14" x14ac:dyDescent="0.25">
      <c r="A2880" s="4" t="s">
        <v>2653</v>
      </c>
      <c r="B2880" s="4" t="s">
        <v>3226</v>
      </c>
      <c r="C2880" s="4" t="s">
        <v>3203</v>
      </c>
      <c r="D2880" s="4" t="s">
        <v>256</v>
      </c>
      <c r="E2880" s="4" t="s">
        <v>3626</v>
      </c>
      <c r="F2880" s="4" t="s">
        <v>3625</v>
      </c>
      <c r="G2880" s="4" t="s">
        <v>2263</v>
      </c>
      <c r="H2880" s="9" t="s">
        <v>2263</v>
      </c>
      <c r="I2880" s="4" t="s">
        <v>2317</v>
      </c>
      <c r="J2880" s="4" t="s">
        <v>2316</v>
      </c>
      <c r="K2880" s="4" t="s">
        <v>2263</v>
      </c>
      <c r="L2880" s="10">
        <v>41</v>
      </c>
      <c r="M2880" s="5">
        <v>54296.609756097561</v>
      </c>
      <c r="N2880" s="5">
        <v>2226161</v>
      </c>
    </row>
    <row r="2881" spans="1:14" x14ac:dyDescent="0.25">
      <c r="A2881" s="4" t="s">
        <v>2344</v>
      </c>
      <c r="B2881" s="4" t="s">
        <v>5154</v>
      </c>
      <c r="C2881" s="4" t="s">
        <v>2344</v>
      </c>
      <c r="D2881" s="4" t="s">
        <v>237</v>
      </c>
      <c r="E2881" s="4" t="s">
        <v>5416</v>
      </c>
      <c r="F2881" s="4" t="s">
        <v>4772</v>
      </c>
      <c r="G2881" s="4" t="s">
        <v>2263</v>
      </c>
      <c r="H2881" s="9" t="s">
        <v>2263</v>
      </c>
      <c r="I2881" s="4" t="s">
        <v>2263</v>
      </c>
      <c r="J2881" s="4" t="s">
        <v>2263</v>
      </c>
      <c r="K2881" s="4" t="s">
        <v>4771</v>
      </c>
      <c r="L2881" s="10">
        <v>42</v>
      </c>
      <c r="M2881" s="5">
        <v>2175</v>
      </c>
      <c r="N2881" s="5">
        <v>91350</v>
      </c>
    </row>
    <row r="2882" spans="1:14" x14ac:dyDescent="0.25">
      <c r="A2882" s="4" t="s">
        <v>2317</v>
      </c>
      <c r="B2882" s="4" t="s">
        <v>3839</v>
      </c>
      <c r="C2882" s="4" t="s">
        <v>2320</v>
      </c>
      <c r="D2882" s="4" t="s">
        <v>242</v>
      </c>
      <c r="E2882" s="4" t="s">
        <v>2727</v>
      </c>
      <c r="F2882" s="4" t="s">
        <v>2726</v>
      </c>
      <c r="G2882" s="4" t="s">
        <v>2263</v>
      </c>
      <c r="H2882" s="9" t="s">
        <v>2263</v>
      </c>
      <c r="I2882" s="4" t="s">
        <v>2317</v>
      </c>
      <c r="J2882" s="4" t="s">
        <v>2316</v>
      </c>
      <c r="K2882" s="4" t="s">
        <v>2263</v>
      </c>
      <c r="L2882" s="10">
        <v>42</v>
      </c>
      <c r="M2882" s="5">
        <v>2529.7741935483873</v>
      </c>
      <c r="N2882" s="5">
        <v>106250.51612903226</v>
      </c>
    </row>
    <row r="2883" spans="1:14" x14ac:dyDescent="0.25">
      <c r="A2883" s="4" t="s">
        <v>2317</v>
      </c>
      <c r="B2883" s="4" t="s">
        <v>3839</v>
      </c>
      <c r="C2883" s="4" t="s">
        <v>2320</v>
      </c>
      <c r="D2883" s="4" t="s">
        <v>242</v>
      </c>
      <c r="E2883" s="4" t="s">
        <v>4021</v>
      </c>
      <c r="F2883" s="4" t="s">
        <v>4020</v>
      </c>
      <c r="G2883" s="4" t="s">
        <v>2263</v>
      </c>
      <c r="H2883" s="9" t="s">
        <v>2263</v>
      </c>
      <c r="I2883" s="4" t="s">
        <v>2317</v>
      </c>
      <c r="J2883" s="4" t="s">
        <v>2316</v>
      </c>
      <c r="K2883" s="4" t="s">
        <v>2263</v>
      </c>
      <c r="L2883" s="10">
        <v>42</v>
      </c>
      <c r="M2883" s="5">
        <v>7937.304347826087</v>
      </c>
      <c r="N2883" s="5">
        <v>333366.78260869562</v>
      </c>
    </row>
    <row r="2884" spans="1:14" x14ac:dyDescent="0.25">
      <c r="A2884" s="4" t="s">
        <v>2320</v>
      </c>
      <c r="B2884" s="4" t="s">
        <v>4967</v>
      </c>
      <c r="C2884" s="4" t="s">
        <v>2344</v>
      </c>
      <c r="D2884" s="4" t="s">
        <v>237</v>
      </c>
      <c r="E2884" s="4" t="s">
        <v>4538</v>
      </c>
      <c r="F2884" s="4" t="s">
        <v>4537</v>
      </c>
      <c r="G2884" s="4" t="s">
        <v>2263</v>
      </c>
      <c r="H2884" s="9" t="s">
        <v>2263</v>
      </c>
      <c r="I2884" s="4" t="s">
        <v>2263</v>
      </c>
      <c r="J2884" s="4" t="s">
        <v>2263</v>
      </c>
      <c r="K2884" s="4" t="s">
        <v>4536</v>
      </c>
      <c r="L2884" s="10">
        <v>42</v>
      </c>
      <c r="M2884" s="5">
        <v>12590.576039603962</v>
      </c>
      <c r="N2884" s="5">
        <v>528804.19366336637</v>
      </c>
    </row>
    <row r="2885" spans="1:14" x14ac:dyDescent="0.25">
      <c r="A2885" s="4" t="s">
        <v>2344</v>
      </c>
      <c r="B2885" s="4" t="s">
        <v>5154</v>
      </c>
      <c r="C2885" s="4" t="s">
        <v>2317</v>
      </c>
      <c r="D2885" s="4" t="s">
        <v>2516</v>
      </c>
      <c r="E2885" s="4" t="s">
        <v>5203</v>
      </c>
      <c r="F2885" s="4" t="s">
        <v>2523</v>
      </c>
      <c r="G2885" s="4" t="s">
        <v>2263</v>
      </c>
      <c r="H2885" s="9" t="s">
        <v>2263</v>
      </c>
      <c r="I2885" s="4" t="s">
        <v>2263</v>
      </c>
      <c r="J2885" s="4" t="s">
        <v>2263</v>
      </c>
      <c r="K2885" s="4" t="s">
        <v>2522</v>
      </c>
      <c r="L2885" s="10">
        <v>42</v>
      </c>
      <c r="M2885" s="5">
        <v>18000</v>
      </c>
      <c r="N2885" s="5">
        <v>756000</v>
      </c>
    </row>
    <row r="2886" spans="1:14" x14ac:dyDescent="0.25">
      <c r="A2886" s="4" t="s">
        <v>2317</v>
      </c>
      <c r="B2886" s="4" t="s">
        <v>3839</v>
      </c>
      <c r="C2886" s="4" t="s">
        <v>2320</v>
      </c>
      <c r="D2886" s="4" t="s">
        <v>242</v>
      </c>
      <c r="E2886" s="4" t="s">
        <v>4137</v>
      </c>
      <c r="F2886" s="4" t="s">
        <v>4136</v>
      </c>
      <c r="G2886" s="4" t="s">
        <v>2263</v>
      </c>
      <c r="H2886" s="9" t="s">
        <v>2263</v>
      </c>
      <c r="I2886" s="4" t="s">
        <v>2317</v>
      </c>
      <c r="J2886" s="4" t="s">
        <v>2316</v>
      </c>
      <c r="K2886" s="4" t="s">
        <v>2263</v>
      </c>
      <c r="L2886" s="10">
        <v>42</v>
      </c>
      <c r="M2886" s="5">
        <v>26677.178571428569</v>
      </c>
      <c r="N2886" s="5">
        <v>1120441.5</v>
      </c>
    </row>
    <row r="2887" spans="1:14" x14ac:dyDescent="0.25">
      <c r="A2887" s="4" t="s">
        <v>2317</v>
      </c>
      <c r="B2887" s="4" t="s">
        <v>3839</v>
      </c>
      <c r="C2887" s="4" t="s">
        <v>2320</v>
      </c>
      <c r="D2887" s="4" t="s">
        <v>242</v>
      </c>
      <c r="E2887" s="4" t="s">
        <v>2934</v>
      </c>
      <c r="F2887" s="4" t="s">
        <v>2933</v>
      </c>
      <c r="G2887" s="4" t="s">
        <v>2263</v>
      </c>
      <c r="H2887" s="9" t="s">
        <v>2263</v>
      </c>
      <c r="I2887" s="4" t="s">
        <v>2317</v>
      </c>
      <c r="J2887" s="4" t="s">
        <v>2316</v>
      </c>
      <c r="K2887" s="4" t="s">
        <v>2263</v>
      </c>
      <c r="L2887" s="10">
        <v>42</v>
      </c>
      <c r="M2887" s="5">
        <v>30601.716744186044</v>
      </c>
      <c r="N2887" s="5">
        <v>1285272.1032558139</v>
      </c>
    </row>
    <row r="2888" spans="1:14" x14ac:dyDescent="0.25">
      <c r="A2888" s="4" t="s">
        <v>2344</v>
      </c>
      <c r="B2888" s="4" t="s">
        <v>5154</v>
      </c>
      <c r="C2888" s="4" t="s">
        <v>2344</v>
      </c>
      <c r="D2888" s="4" t="s">
        <v>237</v>
      </c>
      <c r="E2888" s="4" t="s">
        <v>4734</v>
      </c>
      <c r="F2888" s="4" t="s">
        <v>4733</v>
      </c>
      <c r="G2888" s="4" t="s">
        <v>2263</v>
      </c>
      <c r="H2888" s="9" t="s">
        <v>2263</v>
      </c>
      <c r="I2888" s="4" t="s">
        <v>2263</v>
      </c>
      <c r="J2888" s="4" t="s">
        <v>2263</v>
      </c>
      <c r="K2888" s="4" t="s">
        <v>2520</v>
      </c>
      <c r="L2888" s="10">
        <v>43</v>
      </c>
      <c r="M2888" s="5">
        <v>1616.088181818182</v>
      </c>
      <c r="N2888" s="5">
        <v>69491.791818181824</v>
      </c>
    </row>
    <row r="2889" spans="1:14" x14ac:dyDescent="0.25">
      <c r="A2889" s="4" t="s">
        <v>2317</v>
      </c>
      <c r="B2889" s="4" t="s">
        <v>3839</v>
      </c>
      <c r="C2889" s="4" t="s">
        <v>2320</v>
      </c>
      <c r="D2889" s="4" t="s">
        <v>242</v>
      </c>
      <c r="E2889" s="4" t="s">
        <v>4215</v>
      </c>
      <c r="F2889" s="4" t="s">
        <v>4214</v>
      </c>
      <c r="G2889" s="4" t="s">
        <v>2263</v>
      </c>
      <c r="H2889" s="9" t="s">
        <v>2263</v>
      </c>
      <c r="I2889" s="4" t="s">
        <v>2317</v>
      </c>
      <c r="J2889" s="4" t="s">
        <v>2316</v>
      </c>
      <c r="K2889" s="4" t="s">
        <v>2263</v>
      </c>
      <c r="L2889" s="10">
        <v>43</v>
      </c>
      <c r="M2889" s="5">
        <v>2525.5744680851062</v>
      </c>
      <c r="N2889" s="5">
        <v>108599.70212765956</v>
      </c>
    </row>
    <row r="2890" spans="1:14" x14ac:dyDescent="0.25">
      <c r="A2890" s="4" t="s">
        <v>2653</v>
      </c>
      <c r="B2890" s="4" t="s">
        <v>3226</v>
      </c>
      <c r="C2890" s="4" t="s">
        <v>2384</v>
      </c>
      <c r="D2890" s="4" t="s">
        <v>262</v>
      </c>
      <c r="E2890" s="4" t="s">
        <v>3454</v>
      </c>
      <c r="F2890" s="4" t="s">
        <v>3453</v>
      </c>
      <c r="G2890" s="4" t="s">
        <v>2263</v>
      </c>
      <c r="H2890" s="9" t="s">
        <v>2263</v>
      </c>
      <c r="I2890" s="4" t="s">
        <v>2317</v>
      </c>
      <c r="J2890" s="4" t="s">
        <v>2316</v>
      </c>
      <c r="K2890" s="4" t="s">
        <v>2263</v>
      </c>
      <c r="L2890" s="10">
        <v>43</v>
      </c>
      <c r="M2890" s="5">
        <v>13386.360465116279</v>
      </c>
      <c r="N2890" s="5">
        <v>575613.5</v>
      </c>
    </row>
    <row r="2891" spans="1:14" x14ac:dyDescent="0.25">
      <c r="A2891" s="4" t="s">
        <v>2317</v>
      </c>
      <c r="B2891" s="4" t="s">
        <v>3839</v>
      </c>
      <c r="C2891" s="4" t="s">
        <v>2320</v>
      </c>
      <c r="D2891" s="4" t="s">
        <v>242</v>
      </c>
      <c r="E2891" s="4" t="s">
        <v>4103</v>
      </c>
      <c r="F2891" s="4" t="s">
        <v>4102</v>
      </c>
      <c r="G2891" s="4" t="s">
        <v>2263</v>
      </c>
      <c r="H2891" s="9" t="s">
        <v>2263</v>
      </c>
      <c r="I2891" s="4" t="s">
        <v>2317</v>
      </c>
      <c r="J2891" s="4" t="s">
        <v>2316</v>
      </c>
      <c r="K2891" s="4" t="s">
        <v>2263</v>
      </c>
      <c r="L2891" s="10">
        <v>43</v>
      </c>
      <c r="M2891" s="5">
        <v>20041.854637681161</v>
      </c>
      <c r="N2891" s="5">
        <v>861799.74942028988</v>
      </c>
    </row>
    <row r="2892" spans="1:14" x14ac:dyDescent="0.25">
      <c r="A2892" s="4" t="s">
        <v>2317</v>
      </c>
      <c r="B2892" s="4" t="s">
        <v>3839</v>
      </c>
      <c r="C2892" s="4" t="s">
        <v>2320</v>
      </c>
      <c r="D2892" s="4" t="s">
        <v>242</v>
      </c>
      <c r="E2892" s="4" t="s">
        <v>4131</v>
      </c>
      <c r="F2892" s="4" t="s">
        <v>4130</v>
      </c>
      <c r="G2892" s="4" t="s">
        <v>2263</v>
      </c>
      <c r="H2892" s="9" t="s">
        <v>2263</v>
      </c>
      <c r="I2892" s="4" t="s">
        <v>2317</v>
      </c>
      <c r="J2892" s="4" t="s">
        <v>2316</v>
      </c>
      <c r="K2892" s="4" t="s">
        <v>2263</v>
      </c>
      <c r="L2892" s="10">
        <v>43</v>
      </c>
      <c r="M2892" s="5">
        <v>21103.222727272725</v>
      </c>
      <c r="N2892" s="5">
        <v>907438.57727272715</v>
      </c>
    </row>
    <row r="2893" spans="1:14" x14ac:dyDescent="0.25">
      <c r="A2893" s="4" t="s">
        <v>2344</v>
      </c>
      <c r="B2893" s="4" t="s">
        <v>5154</v>
      </c>
      <c r="C2893" s="4" t="s">
        <v>2320</v>
      </c>
      <c r="D2893" s="4" t="s">
        <v>242</v>
      </c>
      <c r="E2893" s="4" t="s">
        <v>2420</v>
      </c>
      <c r="F2893" s="4" t="s">
        <v>2419</v>
      </c>
      <c r="G2893" s="4" t="s">
        <v>2263</v>
      </c>
      <c r="H2893" s="9" t="s">
        <v>2263</v>
      </c>
      <c r="I2893" s="4" t="s">
        <v>2317</v>
      </c>
      <c r="J2893" s="4" t="s">
        <v>2316</v>
      </c>
      <c r="K2893" s="4" t="s">
        <v>2263</v>
      </c>
      <c r="L2893" s="10">
        <v>44</v>
      </c>
      <c r="M2893" s="5">
        <v>-1276.1739304812834</v>
      </c>
      <c r="N2893" s="5">
        <v>-56151.652941176471</v>
      </c>
    </row>
    <row r="2894" spans="1:14" x14ac:dyDescent="0.25">
      <c r="A2894" s="4" t="s">
        <v>2344</v>
      </c>
      <c r="B2894" s="4" t="s">
        <v>5154</v>
      </c>
      <c r="C2894" s="4" t="s">
        <v>2344</v>
      </c>
      <c r="D2894" s="4" t="s">
        <v>237</v>
      </c>
      <c r="E2894" s="4" t="s">
        <v>4795</v>
      </c>
      <c r="F2894" s="4" t="s">
        <v>4794</v>
      </c>
      <c r="G2894" s="4" t="s">
        <v>2263</v>
      </c>
      <c r="H2894" s="9" t="s">
        <v>2263</v>
      </c>
      <c r="I2894" s="4" t="s">
        <v>2263</v>
      </c>
      <c r="J2894" s="4" t="s">
        <v>2263</v>
      </c>
      <c r="K2894" s="4" t="s">
        <v>2488</v>
      </c>
      <c r="L2894" s="10">
        <v>44</v>
      </c>
      <c r="M2894" s="5">
        <v>286.69884615384615</v>
      </c>
      <c r="N2894" s="5">
        <v>12614.74923076923</v>
      </c>
    </row>
    <row r="2895" spans="1:14" x14ac:dyDescent="0.25">
      <c r="A2895" s="4" t="s">
        <v>2344</v>
      </c>
      <c r="B2895" s="4" t="s">
        <v>5154</v>
      </c>
      <c r="C2895" s="4" t="s">
        <v>2344</v>
      </c>
      <c r="D2895" s="4" t="s">
        <v>237</v>
      </c>
      <c r="E2895" s="4" t="s">
        <v>2450</v>
      </c>
      <c r="F2895" s="4" t="s">
        <v>2449</v>
      </c>
      <c r="G2895" s="4" t="s">
        <v>2263</v>
      </c>
      <c r="H2895" s="9" t="s">
        <v>2263</v>
      </c>
      <c r="I2895" s="4" t="s">
        <v>2263</v>
      </c>
      <c r="J2895" s="4" t="s">
        <v>2263</v>
      </c>
      <c r="K2895" s="4" t="s">
        <v>2448</v>
      </c>
      <c r="L2895" s="10">
        <v>44</v>
      </c>
      <c r="M2895" s="5">
        <v>868.85911602209944</v>
      </c>
      <c r="N2895" s="5">
        <v>38229.801104972379</v>
      </c>
    </row>
    <row r="2896" spans="1:14" x14ac:dyDescent="0.25">
      <c r="A2896" s="4" t="s">
        <v>2344</v>
      </c>
      <c r="B2896" s="4" t="s">
        <v>5154</v>
      </c>
      <c r="C2896" s="4" t="s">
        <v>2653</v>
      </c>
      <c r="D2896" s="4" t="s">
        <v>2652</v>
      </c>
      <c r="E2896" s="4" t="s">
        <v>5177</v>
      </c>
      <c r="F2896" s="4" t="s">
        <v>5176</v>
      </c>
      <c r="G2896" s="4" t="s">
        <v>2263</v>
      </c>
      <c r="H2896" s="9" t="s">
        <v>2263</v>
      </c>
      <c r="I2896" s="4" t="s">
        <v>2263</v>
      </c>
      <c r="J2896" s="4" t="s">
        <v>2263</v>
      </c>
      <c r="K2896" s="4" t="s">
        <v>4659</v>
      </c>
      <c r="L2896" s="10">
        <v>44</v>
      </c>
      <c r="M2896" s="5">
        <v>1477.5263636363636</v>
      </c>
      <c r="N2896" s="5">
        <v>65011.16</v>
      </c>
    </row>
    <row r="2897" spans="1:14" x14ac:dyDescent="0.25">
      <c r="A2897" s="4" t="s">
        <v>2344</v>
      </c>
      <c r="B2897" s="4" t="s">
        <v>5154</v>
      </c>
      <c r="C2897" s="4" t="s">
        <v>2344</v>
      </c>
      <c r="D2897" s="4" t="s">
        <v>237</v>
      </c>
      <c r="E2897" s="4" t="s">
        <v>4847</v>
      </c>
      <c r="F2897" s="4" t="s">
        <v>4846</v>
      </c>
      <c r="G2897" s="4" t="s">
        <v>2263</v>
      </c>
      <c r="H2897" s="9" t="s">
        <v>2263</v>
      </c>
      <c r="I2897" s="4" t="s">
        <v>2263</v>
      </c>
      <c r="J2897" s="4" t="s">
        <v>2263</v>
      </c>
      <c r="K2897" s="4" t="s">
        <v>4845</v>
      </c>
      <c r="L2897" s="10">
        <v>44</v>
      </c>
      <c r="M2897" s="5">
        <v>3398.8602777777778</v>
      </c>
      <c r="N2897" s="5">
        <v>149549.85222222222</v>
      </c>
    </row>
    <row r="2898" spans="1:14" x14ac:dyDescent="0.25">
      <c r="A2898" s="4" t="s">
        <v>2317</v>
      </c>
      <c r="B2898" s="4" t="s">
        <v>3839</v>
      </c>
      <c r="C2898" s="4" t="s">
        <v>2320</v>
      </c>
      <c r="D2898" s="4" t="s">
        <v>242</v>
      </c>
      <c r="E2898" s="4" t="s">
        <v>4083</v>
      </c>
      <c r="F2898" s="4" t="s">
        <v>4082</v>
      </c>
      <c r="G2898" s="4" t="s">
        <v>2263</v>
      </c>
      <c r="H2898" s="9" t="s">
        <v>2263</v>
      </c>
      <c r="I2898" s="4" t="s">
        <v>2317</v>
      </c>
      <c r="J2898" s="4" t="s">
        <v>2316</v>
      </c>
      <c r="K2898" s="4" t="s">
        <v>2263</v>
      </c>
      <c r="L2898" s="10">
        <v>44</v>
      </c>
      <c r="M2898" s="5">
        <v>6053.3708333333334</v>
      </c>
      <c r="N2898" s="5">
        <v>266348.31666666665</v>
      </c>
    </row>
    <row r="2899" spans="1:14" x14ac:dyDescent="0.25">
      <c r="A2899" s="4" t="s">
        <v>2317</v>
      </c>
      <c r="B2899" s="4" t="s">
        <v>3839</v>
      </c>
      <c r="C2899" s="4" t="s">
        <v>2320</v>
      </c>
      <c r="D2899" s="4" t="s">
        <v>242</v>
      </c>
      <c r="E2899" s="4" t="s">
        <v>4141</v>
      </c>
      <c r="F2899" s="4" t="s">
        <v>4140</v>
      </c>
      <c r="G2899" s="4" t="s">
        <v>2263</v>
      </c>
      <c r="H2899" s="9" t="s">
        <v>2263</v>
      </c>
      <c r="I2899" s="4" t="s">
        <v>2317</v>
      </c>
      <c r="J2899" s="4" t="s">
        <v>2316</v>
      </c>
      <c r="K2899" s="4" t="s">
        <v>2263</v>
      </c>
      <c r="L2899" s="10">
        <v>44</v>
      </c>
      <c r="M2899" s="5">
        <v>6664</v>
      </c>
      <c r="N2899" s="5">
        <v>293216</v>
      </c>
    </row>
    <row r="2900" spans="1:14" x14ac:dyDescent="0.25">
      <c r="A2900" s="4" t="s">
        <v>2344</v>
      </c>
      <c r="B2900" s="4" t="s">
        <v>5154</v>
      </c>
      <c r="C2900" s="4" t="s">
        <v>2344</v>
      </c>
      <c r="D2900" s="4" t="s">
        <v>237</v>
      </c>
      <c r="E2900" s="4" t="s">
        <v>5436</v>
      </c>
      <c r="F2900" s="4" t="s">
        <v>2636</v>
      </c>
      <c r="G2900" s="4" t="s">
        <v>2263</v>
      </c>
      <c r="H2900" s="9" t="s">
        <v>2263</v>
      </c>
      <c r="I2900" s="4" t="s">
        <v>2263</v>
      </c>
      <c r="J2900" s="4" t="s">
        <v>2263</v>
      </c>
      <c r="K2900" s="4" t="s">
        <v>2520</v>
      </c>
      <c r="L2900" s="10">
        <v>45</v>
      </c>
      <c r="M2900" s="5">
        <v>406.32</v>
      </c>
      <c r="N2900" s="5">
        <v>18284.400000000001</v>
      </c>
    </row>
    <row r="2901" spans="1:14" x14ac:dyDescent="0.25">
      <c r="A2901" s="4" t="s">
        <v>2320</v>
      </c>
      <c r="B2901" s="4" t="s">
        <v>4967</v>
      </c>
      <c r="C2901" s="4" t="s">
        <v>2344</v>
      </c>
      <c r="D2901" s="4" t="s">
        <v>237</v>
      </c>
      <c r="E2901" s="4" t="s">
        <v>4755</v>
      </c>
      <c r="F2901" s="4" t="s">
        <v>4521</v>
      </c>
      <c r="G2901" s="4" t="s">
        <v>2263</v>
      </c>
      <c r="H2901" s="9" t="s">
        <v>2263</v>
      </c>
      <c r="I2901" s="4" t="s">
        <v>2263</v>
      </c>
      <c r="J2901" s="4" t="s">
        <v>2263</v>
      </c>
      <c r="K2901" s="4" t="s">
        <v>4520</v>
      </c>
      <c r="L2901" s="10">
        <v>45</v>
      </c>
      <c r="M2901" s="5">
        <v>549.51703673469387</v>
      </c>
      <c r="N2901" s="5">
        <v>24728.266653061219</v>
      </c>
    </row>
    <row r="2902" spans="1:14" x14ac:dyDescent="0.25">
      <c r="A2902" s="4" t="s">
        <v>2344</v>
      </c>
      <c r="B2902" s="4" t="s">
        <v>5154</v>
      </c>
      <c r="C2902" s="4" t="s">
        <v>2344</v>
      </c>
      <c r="D2902" s="4" t="s">
        <v>237</v>
      </c>
      <c r="E2902" s="4" t="s">
        <v>4801</v>
      </c>
      <c r="F2902" s="4" t="s">
        <v>4800</v>
      </c>
      <c r="G2902" s="4" t="s">
        <v>2263</v>
      </c>
      <c r="H2902" s="9" t="s">
        <v>2263</v>
      </c>
      <c r="I2902" s="4" t="s">
        <v>2263</v>
      </c>
      <c r="J2902" s="4" t="s">
        <v>2263</v>
      </c>
      <c r="K2902" s="4" t="s">
        <v>4799</v>
      </c>
      <c r="L2902" s="10">
        <v>45</v>
      </c>
      <c r="M2902" s="5">
        <v>777.09568627450983</v>
      </c>
      <c r="N2902" s="5">
        <v>34969.305882352943</v>
      </c>
    </row>
    <row r="2903" spans="1:14" x14ac:dyDescent="0.25">
      <c r="A2903" s="4" t="s">
        <v>2320</v>
      </c>
      <c r="B2903" s="4" t="s">
        <v>4967</v>
      </c>
      <c r="C2903" s="4" t="s">
        <v>2320</v>
      </c>
      <c r="D2903" s="4" t="s">
        <v>242</v>
      </c>
      <c r="E2903" s="4" t="s">
        <v>2368</v>
      </c>
      <c r="F2903" s="4" t="s">
        <v>2367</v>
      </c>
      <c r="G2903" s="4" t="s">
        <v>2263</v>
      </c>
      <c r="H2903" s="9" t="s">
        <v>2263</v>
      </c>
      <c r="I2903" s="4" t="s">
        <v>2317</v>
      </c>
      <c r="J2903" s="4" t="s">
        <v>2316</v>
      </c>
      <c r="K2903" s="4" t="s">
        <v>2263</v>
      </c>
      <c r="L2903" s="10">
        <v>45</v>
      </c>
      <c r="M2903" s="5">
        <v>789.38775295663606</v>
      </c>
      <c r="N2903" s="5">
        <v>35522.448883048623</v>
      </c>
    </row>
    <row r="2904" spans="1:14" x14ac:dyDescent="0.25">
      <c r="A2904" s="4" t="s">
        <v>2344</v>
      </c>
      <c r="B2904" s="4" t="s">
        <v>5154</v>
      </c>
      <c r="C2904" s="4" t="s">
        <v>2267</v>
      </c>
      <c r="D2904" s="4" t="s">
        <v>2266</v>
      </c>
      <c r="E2904" s="4" t="s">
        <v>4408</v>
      </c>
      <c r="F2904" s="4" t="s">
        <v>4407</v>
      </c>
      <c r="G2904" s="4" t="s">
        <v>2263</v>
      </c>
      <c r="H2904" s="9" t="s">
        <v>2263</v>
      </c>
      <c r="I2904" s="4" t="s">
        <v>2263</v>
      </c>
      <c r="J2904" s="4" t="s">
        <v>2263</v>
      </c>
      <c r="K2904" s="4" t="s">
        <v>2262</v>
      </c>
      <c r="L2904" s="10">
        <v>45</v>
      </c>
      <c r="M2904" s="5">
        <v>904.96875968992242</v>
      </c>
      <c r="N2904" s="5">
        <v>40723.59418604651</v>
      </c>
    </row>
    <row r="2905" spans="1:14" x14ac:dyDescent="0.25">
      <c r="A2905" s="4" t="s">
        <v>2317</v>
      </c>
      <c r="B2905" s="4" t="s">
        <v>3839</v>
      </c>
      <c r="C2905" s="4" t="s">
        <v>2320</v>
      </c>
      <c r="D2905" s="4" t="s">
        <v>242</v>
      </c>
      <c r="E2905" s="4" t="s">
        <v>2701</v>
      </c>
      <c r="F2905" s="4" t="s">
        <v>2700</v>
      </c>
      <c r="G2905" s="4" t="s">
        <v>2263</v>
      </c>
      <c r="H2905" s="9" t="s">
        <v>2263</v>
      </c>
      <c r="I2905" s="4" t="s">
        <v>2317</v>
      </c>
      <c r="J2905" s="4" t="s">
        <v>2316</v>
      </c>
      <c r="K2905" s="4" t="s">
        <v>2263</v>
      </c>
      <c r="L2905" s="10">
        <v>45</v>
      </c>
      <c r="M2905" s="5">
        <v>1323.9450549450551</v>
      </c>
      <c r="N2905" s="5">
        <v>59577.527472527472</v>
      </c>
    </row>
    <row r="2906" spans="1:14" x14ac:dyDescent="0.25">
      <c r="A2906" s="4" t="s">
        <v>2317</v>
      </c>
      <c r="B2906" s="4" t="s">
        <v>3839</v>
      </c>
      <c r="C2906" s="4" t="s">
        <v>2320</v>
      </c>
      <c r="D2906" s="4" t="s">
        <v>242</v>
      </c>
      <c r="E2906" s="4" t="s">
        <v>2709</v>
      </c>
      <c r="F2906" s="4" t="s">
        <v>2708</v>
      </c>
      <c r="G2906" s="4" t="s">
        <v>2263</v>
      </c>
      <c r="H2906" s="9" t="s">
        <v>2263</v>
      </c>
      <c r="I2906" s="4" t="s">
        <v>2317</v>
      </c>
      <c r="J2906" s="4" t="s">
        <v>2316</v>
      </c>
      <c r="K2906" s="4" t="s">
        <v>2263</v>
      </c>
      <c r="L2906" s="10">
        <v>45</v>
      </c>
      <c r="M2906" s="5">
        <v>2022.0220430107527</v>
      </c>
      <c r="N2906" s="5">
        <v>90990.991935483878</v>
      </c>
    </row>
    <row r="2907" spans="1:14" x14ac:dyDescent="0.25">
      <c r="A2907" s="4" t="s">
        <v>2344</v>
      </c>
      <c r="B2907" s="4" t="s">
        <v>5154</v>
      </c>
      <c r="C2907" s="4" t="s">
        <v>2344</v>
      </c>
      <c r="D2907" s="4" t="s">
        <v>237</v>
      </c>
      <c r="E2907" s="4" t="s">
        <v>4955</v>
      </c>
      <c r="F2907" s="4" t="s">
        <v>4954</v>
      </c>
      <c r="G2907" s="4" t="s">
        <v>2263</v>
      </c>
      <c r="H2907" s="9" t="s">
        <v>2263</v>
      </c>
      <c r="I2907" s="4" t="s">
        <v>2263</v>
      </c>
      <c r="J2907" s="4" t="s">
        <v>2263</v>
      </c>
      <c r="K2907" s="4" t="s">
        <v>4953</v>
      </c>
      <c r="L2907" s="10">
        <v>45</v>
      </c>
      <c r="M2907" s="5">
        <v>2612.5223999999998</v>
      </c>
      <c r="N2907" s="5">
        <v>117563.508</v>
      </c>
    </row>
    <row r="2908" spans="1:14" x14ac:dyDescent="0.25">
      <c r="A2908" s="4" t="s">
        <v>2865</v>
      </c>
      <c r="B2908" s="4" t="s">
        <v>2864</v>
      </c>
      <c r="C2908" s="4" t="s">
        <v>2344</v>
      </c>
      <c r="D2908" s="4" t="s">
        <v>237</v>
      </c>
      <c r="E2908" s="4" t="s">
        <v>2880</v>
      </c>
      <c r="F2908" s="4" t="s">
        <v>2879</v>
      </c>
      <c r="G2908" s="4" t="s">
        <v>2263</v>
      </c>
      <c r="H2908" s="9" t="s">
        <v>2263</v>
      </c>
      <c r="I2908" s="4" t="s">
        <v>2263</v>
      </c>
      <c r="J2908" s="4" t="s">
        <v>2263</v>
      </c>
      <c r="K2908" s="4" t="s">
        <v>2878</v>
      </c>
      <c r="L2908" s="10">
        <v>45</v>
      </c>
      <c r="M2908" s="5">
        <v>2733.4718861209963</v>
      </c>
      <c r="N2908" s="5">
        <v>123006.23487544485</v>
      </c>
    </row>
    <row r="2909" spans="1:14" x14ac:dyDescent="0.25">
      <c r="A2909" s="4" t="s">
        <v>2344</v>
      </c>
      <c r="B2909" s="4" t="s">
        <v>5154</v>
      </c>
      <c r="C2909" s="4" t="s">
        <v>2320</v>
      </c>
      <c r="D2909" s="4" t="s">
        <v>242</v>
      </c>
      <c r="E2909" s="4" t="s">
        <v>4135</v>
      </c>
      <c r="F2909" s="4" t="s">
        <v>4134</v>
      </c>
      <c r="G2909" s="4" t="s">
        <v>2263</v>
      </c>
      <c r="H2909" s="9" t="s">
        <v>2263</v>
      </c>
      <c r="I2909" s="4" t="s">
        <v>2317</v>
      </c>
      <c r="J2909" s="4" t="s">
        <v>2316</v>
      </c>
      <c r="K2909" s="4" t="s">
        <v>2263</v>
      </c>
      <c r="L2909" s="10">
        <v>45</v>
      </c>
      <c r="M2909" s="5">
        <v>2850.6473571428573</v>
      </c>
      <c r="N2909" s="5">
        <v>128279.13107142856</v>
      </c>
    </row>
    <row r="2910" spans="1:14" x14ac:dyDescent="0.25">
      <c r="A2910" s="4" t="s">
        <v>2653</v>
      </c>
      <c r="B2910" s="4" t="s">
        <v>3226</v>
      </c>
      <c r="C2910" s="4" t="s">
        <v>3107</v>
      </c>
      <c r="D2910" s="4" t="s">
        <v>1105</v>
      </c>
      <c r="E2910" s="4" t="s">
        <v>3783</v>
      </c>
      <c r="F2910" s="4" t="s">
        <v>3782</v>
      </c>
      <c r="G2910" s="4" t="s">
        <v>2263</v>
      </c>
      <c r="H2910" s="9" t="s">
        <v>2263</v>
      </c>
      <c r="I2910" s="4" t="s">
        <v>2317</v>
      </c>
      <c r="J2910" s="4" t="s">
        <v>2316</v>
      </c>
      <c r="K2910" s="4" t="s">
        <v>2263</v>
      </c>
      <c r="L2910" s="10">
        <v>45</v>
      </c>
      <c r="M2910" s="5">
        <v>2996.316888888889</v>
      </c>
      <c r="N2910" s="5">
        <v>134834.26</v>
      </c>
    </row>
    <row r="2911" spans="1:14" x14ac:dyDescent="0.25">
      <c r="A2911" s="4" t="s">
        <v>2274</v>
      </c>
      <c r="B2911" s="4" t="s">
        <v>4348</v>
      </c>
      <c r="C2911" s="4" t="s">
        <v>2344</v>
      </c>
      <c r="D2911" s="4" t="s">
        <v>237</v>
      </c>
      <c r="E2911" s="4" t="s">
        <v>4878</v>
      </c>
      <c r="F2911" s="4" t="s">
        <v>4576</v>
      </c>
      <c r="G2911" s="4" t="s">
        <v>2263</v>
      </c>
      <c r="H2911" s="9" t="s">
        <v>2263</v>
      </c>
      <c r="I2911" s="4" t="s">
        <v>2263</v>
      </c>
      <c r="J2911" s="4" t="s">
        <v>2263</v>
      </c>
      <c r="K2911" s="4" t="s">
        <v>2554</v>
      </c>
      <c r="L2911" s="10">
        <v>45</v>
      </c>
      <c r="M2911" s="5">
        <v>19312.63109090909</v>
      </c>
      <c r="N2911" s="5">
        <v>869068.39909090917</v>
      </c>
    </row>
    <row r="2912" spans="1:14" x14ac:dyDescent="0.25">
      <c r="A2912" s="4" t="s">
        <v>2317</v>
      </c>
      <c r="B2912" s="4" t="s">
        <v>3839</v>
      </c>
      <c r="C2912" s="4" t="s">
        <v>2320</v>
      </c>
      <c r="D2912" s="4" t="s">
        <v>242</v>
      </c>
      <c r="E2912" s="4" t="s">
        <v>4129</v>
      </c>
      <c r="F2912" s="4" t="s">
        <v>4128</v>
      </c>
      <c r="G2912" s="4" t="s">
        <v>2263</v>
      </c>
      <c r="H2912" s="9" t="s">
        <v>2263</v>
      </c>
      <c r="I2912" s="4" t="s">
        <v>2317</v>
      </c>
      <c r="J2912" s="4" t="s">
        <v>2316</v>
      </c>
      <c r="K2912" s="4" t="s">
        <v>2263</v>
      </c>
      <c r="L2912" s="10">
        <v>45</v>
      </c>
      <c r="M2912" s="5">
        <v>21070.163559322034</v>
      </c>
      <c r="N2912" s="5">
        <v>948157.3601694915</v>
      </c>
    </row>
    <row r="2913" spans="1:14" x14ac:dyDescent="0.25">
      <c r="A2913" s="4" t="s">
        <v>2317</v>
      </c>
      <c r="B2913" s="4" t="s">
        <v>3839</v>
      </c>
      <c r="C2913" s="4" t="s">
        <v>2320</v>
      </c>
      <c r="D2913" s="4" t="s">
        <v>242</v>
      </c>
      <c r="E2913" s="4" t="s">
        <v>4227</v>
      </c>
      <c r="F2913" s="4" t="s">
        <v>4226</v>
      </c>
      <c r="G2913" s="4" t="s">
        <v>2263</v>
      </c>
      <c r="H2913" s="9" t="s">
        <v>2263</v>
      </c>
      <c r="I2913" s="4" t="s">
        <v>2317</v>
      </c>
      <c r="J2913" s="4" t="s">
        <v>2316</v>
      </c>
      <c r="K2913" s="4" t="s">
        <v>2263</v>
      </c>
      <c r="L2913" s="10">
        <v>45</v>
      </c>
      <c r="M2913" s="5">
        <v>41633.914042553188</v>
      </c>
      <c r="N2913" s="5">
        <v>1873526.1319148939</v>
      </c>
    </row>
    <row r="2914" spans="1:14" x14ac:dyDescent="0.25">
      <c r="A2914" s="4" t="s">
        <v>2344</v>
      </c>
      <c r="B2914" s="4" t="s">
        <v>5154</v>
      </c>
      <c r="C2914" s="4" t="s">
        <v>2274</v>
      </c>
      <c r="D2914" s="4" t="s">
        <v>2273</v>
      </c>
      <c r="E2914" s="4" t="s">
        <v>5269</v>
      </c>
      <c r="F2914" s="4" t="s">
        <v>5268</v>
      </c>
      <c r="G2914" s="4" t="s">
        <v>2263</v>
      </c>
      <c r="H2914" s="9" t="s">
        <v>2263</v>
      </c>
      <c r="I2914" s="4" t="s">
        <v>2263</v>
      </c>
      <c r="J2914" s="4" t="s">
        <v>2263</v>
      </c>
      <c r="K2914" s="4" t="s">
        <v>5267</v>
      </c>
      <c r="L2914" s="10">
        <v>45</v>
      </c>
      <c r="M2914" s="5">
        <v>75478.449777777772</v>
      </c>
      <c r="N2914" s="5">
        <v>3396530.24</v>
      </c>
    </row>
    <row r="2915" spans="1:14" x14ac:dyDescent="0.25">
      <c r="A2915" s="4" t="s">
        <v>2653</v>
      </c>
      <c r="B2915" s="4" t="s">
        <v>3226</v>
      </c>
      <c r="C2915" s="4" t="s">
        <v>2384</v>
      </c>
      <c r="D2915" s="4" t="s">
        <v>262</v>
      </c>
      <c r="E2915" s="4" t="s">
        <v>3404</v>
      </c>
      <c r="F2915" s="4" t="s">
        <v>3403</v>
      </c>
      <c r="G2915" s="4" t="s">
        <v>2263</v>
      </c>
      <c r="H2915" s="9" t="s">
        <v>2263</v>
      </c>
      <c r="I2915" s="4" t="s">
        <v>2317</v>
      </c>
      <c r="J2915" s="4" t="s">
        <v>2316</v>
      </c>
      <c r="K2915" s="4" t="s">
        <v>2263</v>
      </c>
      <c r="L2915" s="10">
        <v>45</v>
      </c>
      <c r="M2915" s="5">
        <v>121814.95555555556</v>
      </c>
      <c r="N2915" s="5">
        <v>5481673</v>
      </c>
    </row>
    <row r="2916" spans="1:14" x14ac:dyDescent="0.25">
      <c r="A2916" s="4" t="s">
        <v>2653</v>
      </c>
      <c r="B2916" s="4" t="s">
        <v>3226</v>
      </c>
      <c r="C2916" s="4" t="s">
        <v>3107</v>
      </c>
      <c r="D2916" s="4" t="s">
        <v>1105</v>
      </c>
      <c r="E2916" s="4" t="s">
        <v>3687</v>
      </c>
      <c r="F2916" s="4" t="s">
        <v>3686</v>
      </c>
      <c r="G2916" s="4" t="s">
        <v>2263</v>
      </c>
      <c r="H2916" s="9" t="s">
        <v>2263</v>
      </c>
      <c r="I2916" s="4" t="s">
        <v>2317</v>
      </c>
      <c r="J2916" s="4" t="s">
        <v>2316</v>
      </c>
      <c r="K2916" s="4" t="s">
        <v>2263</v>
      </c>
      <c r="L2916" s="10">
        <v>46</v>
      </c>
      <c r="M2916" s="5">
        <v>-17.217391304347824</v>
      </c>
      <c r="N2916" s="5">
        <v>-792</v>
      </c>
    </row>
    <row r="2917" spans="1:14" x14ac:dyDescent="0.25">
      <c r="A2917" s="4" t="s">
        <v>2344</v>
      </c>
      <c r="B2917" s="4" t="s">
        <v>5154</v>
      </c>
      <c r="C2917" s="4" t="s">
        <v>2344</v>
      </c>
      <c r="D2917" s="4" t="s">
        <v>237</v>
      </c>
      <c r="E2917" s="4" t="s">
        <v>5388</v>
      </c>
      <c r="F2917" s="4" t="s">
        <v>4685</v>
      </c>
      <c r="G2917" s="4" t="s">
        <v>2263</v>
      </c>
      <c r="H2917" s="9" t="s">
        <v>2263</v>
      </c>
      <c r="I2917" s="4" t="s">
        <v>2263</v>
      </c>
      <c r="J2917" s="4" t="s">
        <v>2263</v>
      </c>
      <c r="K2917" s="4" t="s">
        <v>4684</v>
      </c>
      <c r="L2917" s="10">
        <v>46</v>
      </c>
      <c r="M2917" s="5">
        <v>297.4304347826087</v>
      </c>
      <c r="N2917" s="5">
        <v>13681.8</v>
      </c>
    </row>
    <row r="2918" spans="1:14" x14ac:dyDescent="0.25">
      <c r="A2918" s="4" t="s">
        <v>2344</v>
      </c>
      <c r="B2918" s="4" t="s">
        <v>5154</v>
      </c>
      <c r="C2918" s="4" t="s">
        <v>2344</v>
      </c>
      <c r="D2918" s="4" t="s">
        <v>237</v>
      </c>
      <c r="E2918" s="4" t="s">
        <v>5370</v>
      </c>
      <c r="F2918" s="4" t="s">
        <v>2623</v>
      </c>
      <c r="G2918" s="4" t="s">
        <v>2263</v>
      </c>
      <c r="H2918" s="9" t="s">
        <v>2263</v>
      </c>
      <c r="I2918" s="4" t="s">
        <v>2263</v>
      </c>
      <c r="J2918" s="4" t="s">
        <v>2263</v>
      </c>
      <c r="K2918" s="4" t="s">
        <v>2622</v>
      </c>
      <c r="L2918" s="10">
        <v>46</v>
      </c>
      <c r="M2918" s="5">
        <v>905.40782608695656</v>
      </c>
      <c r="N2918" s="5">
        <v>41648.76</v>
      </c>
    </row>
    <row r="2919" spans="1:14" x14ac:dyDescent="0.25">
      <c r="A2919" s="4" t="s">
        <v>2344</v>
      </c>
      <c r="B2919" s="4" t="s">
        <v>5154</v>
      </c>
      <c r="C2919" s="4" t="s">
        <v>2320</v>
      </c>
      <c r="D2919" s="4" t="s">
        <v>242</v>
      </c>
      <c r="E2919" s="4" t="s">
        <v>3160</v>
      </c>
      <c r="F2919" s="4" t="s">
        <v>3159</v>
      </c>
      <c r="G2919" s="4" t="s">
        <v>2263</v>
      </c>
      <c r="H2919" s="9" t="s">
        <v>2263</v>
      </c>
      <c r="I2919" s="4" t="s">
        <v>2317</v>
      </c>
      <c r="J2919" s="4" t="s">
        <v>2316</v>
      </c>
      <c r="K2919" s="4" t="s">
        <v>2263</v>
      </c>
      <c r="L2919" s="10">
        <v>46</v>
      </c>
      <c r="M2919" s="5">
        <v>997.91805460750845</v>
      </c>
      <c r="N2919" s="5">
        <v>45904.230511945389</v>
      </c>
    </row>
    <row r="2920" spans="1:14" x14ac:dyDescent="0.25">
      <c r="A2920" s="4" t="s">
        <v>2320</v>
      </c>
      <c r="B2920" s="4" t="s">
        <v>4967</v>
      </c>
      <c r="C2920" s="4" t="s">
        <v>2344</v>
      </c>
      <c r="D2920" s="4" t="s">
        <v>237</v>
      </c>
      <c r="E2920" s="4" t="s">
        <v>2381</v>
      </c>
      <c r="F2920" s="4" t="s">
        <v>2380</v>
      </c>
      <c r="G2920" s="4" t="s">
        <v>2263</v>
      </c>
      <c r="H2920" s="9" t="s">
        <v>2263</v>
      </c>
      <c r="I2920" s="4" t="s">
        <v>2263</v>
      </c>
      <c r="J2920" s="4" t="s">
        <v>2263</v>
      </c>
      <c r="K2920" s="4" t="s">
        <v>2379</v>
      </c>
      <c r="L2920" s="10">
        <v>46</v>
      </c>
      <c r="M2920" s="5">
        <v>2206.7211700182816</v>
      </c>
      <c r="N2920" s="5">
        <v>101509.17382084097</v>
      </c>
    </row>
    <row r="2921" spans="1:14" x14ac:dyDescent="0.25">
      <c r="A2921" s="4" t="s">
        <v>2320</v>
      </c>
      <c r="B2921" s="4" t="s">
        <v>4967</v>
      </c>
      <c r="C2921" s="4" t="s">
        <v>2320</v>
      </c>
      <c r="D2921" s="4" t="s">
        <v>242</v>
      </c>
      <c r="E2921" s="4" t="s">
        <v>2891</v>
      </c>
      <c r="F2921" s="4" t="s">
        <v>2890</v>
      </c>
      <c r="G2921" s="4" t="s">
        <v>2263</v>
      </c>
      <c r="H2921" s="9" t="s">
        <v>2263</v>
      </c>
      <c r="I2921" s="4" t="s">
        <v>2317</v>
      </c>
      <c r="J2921" s="4" t="s">
        <v>2316</v>
      </c>
      <c r="K2921" s="4" t="s">
        <v>2263</v>
      </c>
      <c r="L2921" s="10">
        <v>46</v>
      </c>
      <c r="M2921" s="5">
        <v>2314.879117647059</v>
      </c>
      <c r="N2921" s="5">
        <v>106484.43941176472</v>
      </c>
    </row>
    <row r="2922" spans="1:14" x14ac:dyDescent="0.25">
      <c r="A2922" s="4" t="s">
        <v>2761</v>
      </c>
      <c r="B2922" s="4" t="s">
        <v>2760</v>
      </c>
      <c r="C2922" s="4" t="s">
        <v>2320</v>
      </c>
      <c r="D2922" s="4" t="s">
        <v>242</v>
      </c>
      <c r="E2922" s="4" t="s">
        <v>2775</v>
      </c>
      <c r="F2922" s="4" t="s">
        <v>2774</v>
      </c>
      <c r="G2922" s="4" t="s">
        <v>2263</v>
      </c>
      <c r="H2922" s="9" t="s">
        <v>2263</v>
      </c>
      <c r="I2922" s="4" t="s">
        <v>2317</v>
      </c>
      <c r="J2922" s="4" t="s">
        <v>2316</v>
      </c>
      <c r="K2922" s="4" t="s">
        <v>2263</v>
      </c>
      <c r="L2922" s="10">
        <v>47</v>
      </c>
      <c r="M2922" s="5">
        <v>-123798.43206896551</v>
      </c>
      <c r="N2922" s="5">
        <v>-5818526.3072413802</v>
      </c>
    </row>
    <row r="2923" spans="1:14" x14ac:dyDescent="0.25">
      <c r="A2923" s="4" t="s">
        <v>2344</v>
      </c>
      <c r="B2923" s="4" t="s">
        <v>5154</v>
      </c>
      <c r="C2923" s="4" t="s">
        <v>2344</v>
      </c>
      <c r="D2923" s="4" t="s">
        <v>237</v>
      </c>
      <c r="E2923" s="4" t="s">
        <v>5371</v>
      </c>
      <c r="F2923" s="4" t="s">
        <v>2558</v>
      </c>
      <c r="G2923" s="4" t="s">
        <v>2263</v>
      </c>
      <c r="H2923" s="9" t="s">
        <v>2263</v>
      </c>
      <c r="I2923" s="4" t="s">
        <v>2263</v>
      </c>
      <c r="J2923" s="4" t="s">
        <v>2263</v>
      </c>
      <c r="K2923" s="4" t="s">
        <v>2547</v>
      </c>
      <c r="L2923" s="10">
        <v>47</v>
      </c>
      <c r="M2923" s="5">
        <v>11.25531914893617</v>
      </c>
      <c r="N2923" s="5">
        <v>529</v>
      </c>
    </row>
    <row r="2924" spans="1:14" x14ac:dyDescent="0.25">
      <c r="A2924" s="4" t="s">
        <v>2344</v>
      </c>
      <c r="B2924" s="4" t="s">
        <v>5154</v>
      </c>
      <c r="C2924" s="4" t="s">
        <v>2344</v>
      </c>
      <c r="D2924" s="4" t="s">
        <v>237</v>
      </c>
      <c r="E2924" s="4" t="s">
        <v>5341</v>
      </c>
      <c r="F2924" s="4" t="s">
        <v>5340</v>
      </c>
      <c r="G2924" s="4" t="s">
        <v>2263</v>
      </c>
      <c r="H2924" s="9" t="s">
        <v>2263</v>
      </c>
      <c r="I2924" s="4" t="s">
        <v>2263</v>
      </c>
      <c r="J2924" s="4" t="s">
        <v>2263</v>
      </c>
      <c r="K2924" s="4" t="s">
        <v>2547</v>
      </c>
      <c r="L2924" s="10">
        <v>47</v>
      </c>
      <c r="M2924" s="5">
        <v>56</v>
      </c>
      <c r="N2924" s="5">
        <v>2632</v>
      </c>
    </row>
    <row r="2925" spans="1:14" x14ac:dyDescent="0.25">
      <c r="A2925" s="4" t="s">
        <v>2344</v>
      </c>
      <c r="B2925" s="4" t="s">
        <v>5154</v>
      </c>
      <c r="C2925" s="4" t="s">
        <v>2344</v>
      </c>
      <c r="D2925" s="4" t="s">
        <v>237</v>
      </c>
      <c r="E2925" s="4" t="s">
        <v>4930</v>
      </c>
      <c r="F2925" s="4" t="s">
        <v>4929</v>
      </c>
      <c r="G2925" s="4" t="s">
        <v>2263</v>
      </c>
      <c r="H2925" s="9" t="s">
        <v>2263</v>
      </c>
      <c r="I2925" s="4" t="s">
        <v>2263</v>
      </c>
      <c r="J2925" s="4" t="s">
        <v>2263</v>
      </c>
      <c r="K2925" s="4" t="s">
        <v>4720</v>
      </c>
      <c r="L2925" s="10">
        <v>47</v>
      </c>
      <c r="M2925" s="5">
        <v>1101.4140969162995</v>
      </c>
      <c r="N2925" s="5">
        <v>51766.462555066078</v>
      </c>
    </row>
    <row r="2926" spans="1:14" x14ac:dyDescent="0.25">
      <c r="A2926" s="4" t="s">
        <v>2274</v>
      </c>
      <c r="B2926" s="4" t="s">
        <v>4348</v>
      </c>
      <c r="C2926" s="4" t="s">
        <v>2344</v>
      </c>
      <c r="D2926" s="4" t="s">
        <v>237</v>
      </c>
      <c r="E2926" s="4" t="s">
        <v>4859</v>
      </c>
      <c r="F2926" s="4" t="s">
        <v>4858</v>
      </c>
      <c r="G2926" s="4" t="s">
        <v>2263</v>
      </c>
      <c r="H2926" s="9" t="s">
        <v>2263</v>
      </c>
      <c r="I2926" s="4" t="s">
        <v>2263</v>
      </c>
      <c r="J2926" s="4" t="s">
        <v>2263</v>
      </c>
      <c r="K2926" s="4" t="s">
        <v>2885</v>
      </c>
      <c r="L2926" s="10">
        <v>48</v>
      </c>
      <c r="M2926" s="5">
        <v>632.06947368421061</v>
      </c>
      <c r="N2926" s="5">
        <v>30339.334736842109</v>
      </c>
    </row>
    <row r="2927" spans="1:14" x14ac:dyDescent="0.25">
      <c r="A2927" s="4" t="s">
        <v>2274</v>
      </c>
      <c r="B2927" s="4" t="s">
        <v>4348</v>
      </c>
      <c r="C2927" s="4" t="s">
        <v>2344</v>
      </c>
      <c r="D2927" s="4" t="s">
        <v>237</v>
      </c>
      <c r="E2927" s="4" t="s">
        <v>2472</v>
      </c>
      <c r="F2927" s="4" t="s">
        <v>2471</v>
      </c>
      <c r="G2927" s="4" t="s">
        <v>2263</v>
      </c>
      <c r="H2927" s="9" t="s">
        <v>2263</v>
      </c>
      <c r="I2927" s="4" t="s">
        <v>2263</v>
      </c>
      <c r="J2927" s="4" t="s">
        <v>2263</v>
      </c>
      <c r="K2927" s="4" t="s">
        <v>2470</v>
      </c>
      <c r="L2927" s="10">
        <v>48</v>
      </c>
      <c r="M2927" s="5">
        <v>958.57</v>
      </c>
      <c r="N2927" s="5">
        <v>46011.360000000001</v>
      </c>
    </row>
    <row r="2928" spans="1:14" x14ac:dyDescent="0.25">
      <c r="A2928" s="4" t="s">
        <v>2344</v>
      </c>
      <c r="B2928" s="4" t="s">
        <v>5154</v>
      </c>
      <c r="C2928" s="4" t="s">
        <v>2267</v>
      </c>
      <c r="D2928" s="4" t="s">
        <v>2266</v>
      </c>
      <c r="E2928" s="4" t="s">
        <v>5194</v>
      </c>
      <c r="F2928" s="4" t="s">
        <v>4424</v>
      </c>
      <c r="G2928" s="4" t="s">
        <v>2263</v>
      </c>
      <c r="H2928" s="9" t="s">
        <v>2263</v>
      </c>
      <c r="I2928" s="4" t="s">
        <v>2263</v>
      </c>
      <c r="J2928" s="4" t="s">
        <v>2263</v>
      </c>
      <c r="K2928" s="4" t="s">
        <v>2462</v>
      </c>
      <c r="L2928" s="10">
        <v>48</v>
      </c>
      <c r="M2928" s="5">
        <v>1329.375</v>
      </c>
      <c r="N2928" s="5">
        <v>63810</v>
      </c>
    </row>
    <row r="2929" spans="1:14" x14ac:dyDescent="0.25">
      <c r="A2929" s="4" t="s">
        <v>2320</v>
      </c>
      <c r="B2929" s="4" t="s">
        <v>4967</v>
      </c>
      <c r="C2929" s="4" t="s">
        <v>2320</v>
      </c>
      <c r="D2929" s="4" t="s">
        <v>242</v>
      </c>
      <c r="E2929" s="4" t="s">
        <v>2903</v>
      </c>
      <c r="F2929" s="4" t="s">
        <v>2902</v>
      </c>
      <c r="G2929" s="4" t="s">
        <v>2263</v>
      </c>
      <c r="H2929" s="9" t="s">
        <v>2263</v>
      </c>
      <c r="I2929" s="4" t="s">
        <v>2317</v>
      </c>
      <c r="J2929" s="4" t="s">
        <v>2316</v>
      </c>
      <c r="K2929" s="4" t="s">
        <v>2263</v>
      </c>
      <c r="L2929" s="10">
        <v>48</v>
      </c>
      <c r="M2929" s="5">
        <v>1697.6609375</v>
      </c>
      <c r="N2929" s="5">
        <v>81487.725000000006</v>
      </c>
    </row>
    <row r="2930" spans="1:14" x14ac:dyDescent="0.25">
      <c r="A2930" s="4" t="s">
        <v>2317</v>
      </c>
      <c r="B2930" s="4" t="s">
        <v>3839</v>
      </c>
      <c r="C2930" s="4" t="s">
        <v>2320</v>
      </c>
      <c r="D2930" s="4" t="s">
        <v>242</v>
      </c>
      <c r="E2930" s="4" t="s">
        <v>2729</v>
      </c>
      <c r="F2930" s="4" t="s">
        <v>2728</v>
      </c>
      <c r="G2930" s="4" t="s">
        <v>2263</v>
      </c>
      <c r="H2930" s="9" t="s">
        <v>2263</v>
      </c>
      <c r="I2930" s="4" t="s">
        <v>2317</v>
      </c>
      <c r="J2930" s="4" t="s">
        <v>2316</v>
      </c>
      <c r="K2930" s="4" t="s">
        <v>2263</v>
      </c>
      <c r="L2930" s="10">
        <v>48</v>
      </c>
      <c r="M2930" s="5">
        <v>2343.1153424657537</v>
      </c>
      <c r="N2930" s="5">
        <v>112469.53643835615</v>
      </c>
    </row>
    <row r="2931" spans="1:14" x14ac:dyDescent="0.25">
      <c r="A2931" s="4" t="s">
        <v>2274</v>
      </c>
      <c r="B2931" s="4" t="s">
        <v>4348</v>
      </c>
      <c r="C2931" s="4" t="s">
        <v>2344</v>
      </c>
      <c r="D2931" s="4" t="s">
        <v>237</v>
      </c>
      <c r="E2931" s="4" t="s">
        <v>4524</v>
      </c>
      <c r="F2931" s="4" t="s">
        <v>4523</v>
      </c>
      <c r="G2931" s="4" t="s">
        <v>2263</v>
      </c>
      <c r="H2931" s="9" t="s">
        <v>2263</v>
      </c>
      <c r="I2931" s="4" t="s">
        <v>2263</v>
      </c>
      <c r="J2931" s="4" t="s">
        <v>2263</v>
      </c>
      <c r="K2931" s="4" t="s">
        <v>4522</v>
      </c>
      <c r="L2931" s="10">
        <v>48</v>
      </c>
      <c r="M2931" s="5">
        <v>6012.7747826086952</v>
      </c>
      <c r="N2931" s="5">
        <v>288613.18956521741</v>
      </c>
    </row>
    <row r="2932" spans="1:14" x14ac:dyDescent="0.25">
      <c r="A2932" s="4" t="s">
        <v>2317</v>
      </c>
      <c r="B2932" s="4" t="s">
        <v>3839</v>
      </c>
      <c r="C2932" s="4" t="s">
        <v>2320</v>
      </c>
      <c r="D2932" s="4" t="s">
        <v>242</v>
      </c>
      <c r="E2932" s="4" t="s">
        <v>3941</v>
      </c>
      <c r="F2932" s="4" t="s">
        <v>3940</v>
      </c>
      <c r="G2932" s="4" t="s">
        <v>2263</v>
      </c>
      <c r="H2932" s="9" t="s">
        <v>2263</v>
      </c>
      <c r="I2932" s="4" t="s">
        <v>2317</v>
      </c>
      <c r="J2932" s="4" t="s">
        <v>2316</v>
      </c>
      <c r="K2932" s="4" t="s">
        <v>2263</v>
      </c>
      <c r="L2932" s="10">
        <v>48</v>
      </c>
      <c r="M2932" s="5">
        <v>8151.5147058823522</v>
      </c>
      <c r="N2932" s="5">
        <v>391272.70588235295</v>
      </c>
    </row>
    <row r="2933" spans="1:14" x14ac:dyDescent="0.25">
      <c r="A2933" s="4" t="s">
        <v>2344</v>
      </c>
      <c r="B2933" s="4" t="s">
        <v>5154</v>
      </c>
      <c r="C2933" s="4" t="s">
        <v>2320</v>
      </c>
      <c r="D2933" s="4" t="s">
        <v>242</v>
      </c>
      <c r="E2933" s="4" t="s">
        <v>3845</v>
      </c>
      <c r="F2933" s="4" t="s">
        <v>3844</v>
      </c>
      <c r="G2933" s="4" t="s">
        <v>2263</v>
      </c>
      <c r="H2933" s="9" t="s">
        <v>2263</v>
      </c>
      <c r="I2933" s="4" t="s">
        <v>2317</v>
      </c>
      <c r="J2933" s="4" t="s">
        <v>2316</v>
      </c>
      <c r="K2933" s="4" t="s">
        <v>2263</v>
      </c>
      <c r="L2933" s="10">
        <v>48</v>
      </c>
      <c r="M2933" s="5">
        <v>8382.7697931034472</v>
      </c>
      <c r="N2933" s="5">
        <v>402372.9500689655</v>
      </c>
    </row>
    <row r="2934" spans="1:14" x14ac:dyDescent="0.25">
      <c r="A2934" s="4" t="s">
        <v>2274</v>
      </c>
      <c r="B2934" s="4" t="s">
        <v>4348</v>
      </c>
      <c r="C2934" s="4" t="s">
        <v>2481</v>
      </c>
      <c r="D2934" s="4" t="s">
        <v>2480</v>
      </c>
      <c r="E2934" s="4" t="s">
        <v>4360</v>
      </c>
      <c r="F2934" s="4" t="s">
        <v>4359</v>
      </c>
      <c r="G2934" s="4" t="s">
        <v>2263</v>
      </c>
      <c r="H2934" s="9" t="s">
        <v>2263</v>
      </c>
      <c r="I2934" s="4" t="s">
        <v>2263</v>
      </c>
      <c r="J2934" s="4" t="s">
        <v>2263</v>
      </c>
      <c r="K2934" s="4" t="s">
        <v>4358</v>
      </c>
      <c r="L2934" s="10">
        <v>48</v>
      </c>
      <c r="M2934" s="5">
        <v>11445.761964285715</v>
      </c>
      <c r="N2934" s="5">
        <v>549396.57428571431</v>
      </c>
    </row>
    <row r="2935" spans="1:14" x14ac:dyDescent="0.25">
      <c r="A2935" s="4" t="s">
        <v>2274</v>
      </c>
      <c r="B2935" s="4" t="s">
        <v>4348</v>
      </c>
      <c r="C2935" s="4" t="s">
        <v>2344</v>
      </c>
      <c r="D2935" s="4" t="s">
        <v>237</v>
      </c>
      <c r="E2935" s="4" t="s">
        <v>4538</v>
      </c>
      <c r="F2935" s="4" t="s">
        <v>4537</v>
      </c>
      <c r="G2935" s="4" t="s">
        <v>2263</v>
      </c>
      <c r="H2935" s="9" t="s">
        <v>2263</v>
      </c>
      <c r="I2935" s="4" t="s">
        <v>2263</v>
      </c>
      <c r="J2935" s="4" t="s">
        <v>2263</v>
      </c>
      <c r="K2935" s="4" t="s">
        <v>4536</v>
      </c>
      <c r="L2935" s="10">
        <v>48</v>
      </c>
      <c r="M2935" s="5">
        <v>12590.576039603962</v>
      </c>
      <c r="N2935" s="5">
        <v>604347.64990099007</v>
      </c>
    </row>
    <row r="2936" spans="1:14" x14ac:dyDescent="0.25">
      <c r="A2936" s="4" t="s">
        <v>2274</v>
      </c>
      <c r="B2936" s="4" t="s">
        <v>4348</v>
      </c>
      <c r="C2936" s="4" t="s">
        <v>2344</v>
      </c>
      <c r="D2936" s="4" t="s">
        <v>237</v>
      </c>
      <c r="E2936" s="4" t="s">
        <v>4564</v>
      </c>
      <c r="F2936" s="4" t="s">
        <v>4563</v>
      </c>
      <c r="G2936" s="4" t="s">
        <v>2263</v>
      </c>
      <c r="H2936" s="9" t="s">
        <v>2263</v>
      </c>
      <c r="I2936" s="4" t="s">
        <v>2263</v>
      </c>
      <c r="J2936" s="4" t="s">
        <v>2263</v>
      </c>
      <c r="K2936" s="4" t="s">
        <v>4562</v>
      </c>
      <c r="L2936" s="10">
        <v>48</v>
      </c>
      <c r="M2936" s="5">
        <v>23075.342133333332</v>
      </c>
      <c r="N2936" s="5">
        <v>1107616.4224</v>
      </c>
    </row>
    <row r="2937" spans="1:14" x14ac:dyDescent="0.25">
      <c r="A2937" s="4" t="s">
        <v>2274</v>
      </c>
      <c r="B2937" s="4" t="s">
        <v>4348</v>
      </c>
      <c r="C2937" s="4" t="s">
        <v>2344</v>
      </c>
      <c r="D2937" s="4" t="s">
        <v>237</v>
      </c>
      <c r="E2937" s="4" t="s">
        <v>4722</v>
      </c>
      <c r="F2937" s="4" t="s">
        <v>4721</v>
      </c>
      <c r="G2937" s="4" t="s">
        <v>2263</v>
      </c>
      <c r="H2937" s="9" t="s">
        <v>2263</v>
      </c>
      <c r="I2937" s="4" t="s">
        <v>2263</v>
      </c>
      <c r="J2937" s="4" t="s">
        <v>2263</v>
      </c>
      <c r="K2937" s="4" t="s">
        <v>2559</v>
      </c>
      <c r="L2937" s="10">
        <v>48</v>
      </c>
      <c r="M2937" s="5">
        <v>26687.623787878791</v>
      </c>
      <c r="N2937" s="5">
        <v>1281005.9418181817</v>
      </c>
    </row>
    <row r="2938" spans="1:14" x14ac:dyDescent="0.25">
      <c r="A2938" s="4" t="s">
        <v>2317</v>
      </c>
      <c r="B2938" s="4" t="s">
        <v>3839</v>
      </c>
      <c r="C2938" s="4" t="s">
        <v>2320</v>
      </c>
      <c r="D2938" s="4" t="s">
        <v>242</v>
      </c>
      <c r="E2938" s="4" t="s">
        <v>3949</v>
      </c>
      <c r="F2938" s="4" t="s">
        <v>3948</v>
      </c>
      <c r="G2938" s="4" t="s">
        <v>2263</v>
      </c>
      <c r="H2938" s="9" t="s">
        <v>2263</v>
      </c>
      <c r="I2938" s="4" t="s">
        <v>2317</v>
      </c>
      <c r="J2938" s="4" t="s">
        <v>2316</v>
      </c>
      <c r="K2938" s="4" t="s">
        <v>2263</v>
      </c>
      <c r="L2938" s="10">
        <v>48</v>
      </c>
      <c r="M2938" s="5">
        <v>54795.059701492537</v>
      </c>
      <c r="N2938" s="5">
        <v>2630162.8656716421</v>
      </c>
    </row>
    <row r="2939" spans="1:14" x14ac:dyDescent="0.25">
      <c r="A2939" s="4" t="s">
        <v>2317</v>
      </c>
      <c r="B2939" s="4" t="s">
        <v>3839</v>
      </c>
      <c r="C2939" s="4" t="s">
        <v>2320</v>
      </c>
      <c r="D2939" s="4" t="s">
        <v>242</v>
      </c>
      <c r="E2939" s="4" t="s">
        <v>4291</v>
      </c>
      <c r="F2939" s="4" t="s">
        <v>4290</v>
      </c>
      <c r="G2939" s="4" t="s">
        <v>2263</v>
      </c>
      <c r="H2939" s="9" t="s">
        <v>2263</v>
      </c>
      <c r="I2939" s="4" t="s">
        <v>2317</v>
      </c>
      <c r="J2939" s="4" t="s">
        <v>2316</v>
      </c>
      <c r="K2939" s="4" t="s">
        <v>2263</v>
      </c>
      <c r="L2939" s="10">
        <v>48</v>
      </c>
      <c r="M2939" s="5">
        <v>65871.580535714282</v>
      </c>
      <c r="N2939" s="5">
        <v>3161835.8657142855</v>
      </c>
    </row>
    <row r="2940" spans="1:14" x14ac:dyDescent="0.25">
      <c r="A2940" s="4" t="s">
        <v>2653</v>
      </c>
      <c r="B2940" s="4" t="s">
        <v>3226</v>
      </c>
      <c r="C2940" s="4" t="s">
        <v>3107</v>
      </c>
      <c r="D2940" s="4" t="s">
        <v>1105</v>
      </c>
      <c r="E2940" s="4" t="s">
        <v>3693</v>
      </c>
      <c r="F2940" s="4" t="s">
        <v>3692</v>
      </c>
      <c r="G2940" s="4" t="s">
        <v>2263</v>
      </c>
      <c r="H2940" s="9" t="s">
        <v>2263</v>
      </c>
      <c r="I2940" s="4" t="s">
        <v>2317</v>
      </c>
      <c r="J2940" s="4" t="s">
        <v>2316</v>
      </c>
      <c r="K2940" s="4" t="s">
        <v>2263</v>
      </c>
      <c r="L2940" s="10">
        <v>49</v>
      </c>
      <c r="M2940" s="5">
        <v>7168.9865306122447</v>
      </c>
      <c r="N2940" s="5">
        <v>351280.34</v>
      </c>
    </row>
    <row r="2941" spans="1:14" x14ac:dyDescent="0.25">
      <c r="A2941" s="4" t="s">
        <v>2344</v>
      </c>
      <c r="B2941" s="4" t="s">
        <v>5154</v>
      </c>
      <c r="C2941" s="4" t="s">
        <v>2274</v>
      </c>
      <c r="D2941" s="4" t="s">
        <v>2273</v>
      </c>
      <c r="E2941" s="4" t="s">
        <v>5238</v>
      </c>
      <c r="F2941" s="4" t="s">
        <v>5237</v>
      </c>
      <c r="G2941" s="4" t="s">
        <v>2263</v>
      </c>
      <c r="H2941" s="9" t="s">
        <v>2263</v>
      </c>
      <c r="I2941" s="4" t="s">
        <v>2263</v>
      </c>
      <c r="J2941" s="4" t="s">
        <v>2263</v>
      </c>
      <c r="K2941" s="4" t="s">
        <v>4467</v>
      </c>
      <c r="L2941" s="10">
        <v>49</v>
      </c>
      <c r="M2941" s="5">
        <v>8478.89</v>
      </c>
      <c r="N2941" s="5">
        <v>415465.61</v>
      </c>
    </row>
    <row r="2942" spans="1:14" x14ac:dyDescent="0.25">
      <c r="A2942" s="4" t="s">
        <v>2317</v>
      </c>
      <c r="B2942" s="4" t="s">
        <v>3839</v>
      </c>
      <c r="C2942" s="4" t="s">
        <v>2320</v>
      </c>
      <c r="D2942" s="4" t="s">
        <v>242</v>
      </c>
      <c r="E2942" s="4" t="s">
        <v>2917</v>
      </c>
      <c r="F2942" s="4" t="s">
        <v>2916</v>
      </c>
      <c r="G2942" s="4" t="s">
        <v>2263</v>
      </c>
      <c r="H2942" s="9" t="s">
        <v>2263</v>
      </c>
      <c r="I2942" s="4" t="s">
        <v>2317</v>
      </c>
      <c r="J2942" s="4" t="s">
        <v>2316</v>
      </c>
      <c r="K2942" s="4" t="s">
        <v>2263</v>
      </c>
      <c r="L2942" s="10">
        <v>49</v>
      </c>
      <c r="M2942" s="5">
        <v>12420.510985915495</v>
      </c>
      <c r="N2942" s="5">
        <v>608605.03830985911</v>
      </c>
    </row>
    <row r="2943" spans="1:14" x14ac:dyDescent="0.25">
      <c r="A2943" s="4" t="s">
        <v>2317</v>
      </c>
      <c r="B2943" s="4" t="s">
        <v>3839</v>
      </c>
      <c r="C2943" s="4" t="s">
        <v>2320</v>
      </c>
      <c r="D2943" s="4" t="s">
        <v>242</v>
      </c>
      <c r="E2943" s="4" t="s">
        <v>4145</v>
      </c>
      <c r="F2943" s="4" t="s">
        <v>4144</v>
      </c>
      <c r="G2943" s="4" t="s">
        <v>2263</v>
      </c>
      <c r="H2943" s="9" t="s">
        <v>2263</v>
      </c>
      <c r="I2943" s="4" t="s">
        <v>2317</v>
      </c>
      <c r="J2943" s="4" t="s">
        <v>2316</v>
      </c>
      <c r="K2943" s="4" t="s">
        <v>2263</v>
      </c>
      <c r="L2943" s="10">
        <v>49</v>
      </c>
      <c r="M2943" s="5">
        <v>15370.884705882354</v>
      </c>
      <c r="N2943" s="5">
        <v>753173.35058823531</v>
      </c>
    </row>
    <row r="2944" spans="1:14" x14ac:dyDescent="0.25">
      <c r="A2944" s="4" t="s">
        <v>2317</v>
      </c>
      <c r="B2944" s="4" t="s">
        <v>3839</v>
      </c>
      <c r="C2944" s="4" t="s">
        <v>2320</v>
      </c>
      <c r="D2944" s="4" t="s">
        <v>242</v>
      </c>
      <c r="E2944" s="4" t="s">
        <v>4147</v>
      </c>
      <c r="F2944" s="4" t="s">
        <v>4146</v>
      </c>
      <c r="G2944" s="4" t="s">
        <v>2263</v>
      </c>
      <c r="H2944" s="9" t="s">
        <v>2263</v>
      </c>
      <c r="I2944" s="4" t="s">
        <v>2317</v>
      </c>
      <c r="J2944" s="4" t="s">
        <v>2316</v>
      </c>
      <c r="K2944" s="4" t="s">
        <v>2263</v>
      </c>
      <c r="L2944" s="10">
        <v>49</v>
      </c>
      <c r="M2944" s="5">
        <v>27448.172352941179</v>
      </c>
      <c r="N2944" s="5">
        <v>1344960.4452941176</v>
      </c>
    </row>
    <row r="2945" spans="1:14" x14ac:dyDescent="0.25">
      <c r="A2945" s="4" t="s">
        <v>2344</v>
      </c>
      <c r="B2945" s="4" t="s">
        <v>5154</v>
      </c>
      <c r="C2945" s="4" t="s">
        <v>2344</v>
      </c>
      <c r="D2945" s="4" t="s">
        <v>237</v>
      </c>
      <c r="E2945" s="4" t="s">
        <v>4803</v>
      </c>
      <c r="F2945" s="4" t="s">
        <v>4802</v>
      </c>
      <c r="G2945" s="4" t="s">
        <v>2263</v>
      </c>
      <c r="H2945" s="9" t="s">
        <v>2263</v>
      </c>
      <c r="I2945" s="4" t="s">
        <v>2263</v>
      </c>
      <c r="J2945" s="4" t="s">
        <v>2263</v>
      </c>
      <c r="K2945" s="4" t="s">
        <v>2545</v>
      </c>
      <c r="L2945" s="10">
        <v>50</v>
      </c>
      <c r="M2945" s="5">
        <v>41</v>
      </c>
      <c r="N2945" s="5">
        <v>2050</v>
      </c>
    </row>
    <row r="2946" spans="1:14" x14ac:dyDescent="0.25">
      <c r="A2946" s="4" t="s">
        <v>2274</v>
      </c>
      <c r="B2946" s="4" t="s">
        <v>4348</v>
      </c>
      <c r="C2946" s="4" t="s">
        <v>2344</v>
      </c>
      <c r="D2946" s="4" t="s">
        <v>237</v>
      </c>
      <c r="E2946" s="4" t="s">
        <v>4803</v>
      </c>
      <c r="F2946" s="4" t="s">
        <v>4802</v>
      </c>
      <c r="G2946" s="4" t="s">
        <v>2263</v>
      </c>
      <c r="H2946" s="9" t="s">
        <v>2263</v>
      </c>
      <c r="I2946" s="4" t="s">
        <v>2263</v>
      </c>
      <c r="J2946" s="4" t="s">
        <v>2263</v>
      </c>
      <c r="K2946" s="4" t="s">
        <v>2545</v>
      </c>
      <c r="L2946" s="10">
        <v>50</v>
      </c>
      <c r="M2946" s="5">
        <v>41</v>
      </c>
      <c r="N2946" s="5">
        <v>2050</v>
      </c>
    </row>
    <row r="2947" spans="1:14" x14ac:dyDescent="0.25">
      <c r="A2947" s="4" t="s">
        <v>2344</v>
      </c>
      <c r="B2947" s="4" t="s">
        <v>5154</v>
      </c>
      <c r="C2947" s="4" t="s">
        <v>2344</v>
      </c>
      <c r="D2947" s="4" t="s">
        <v>237</v>
      </c>
      <c r="E2947" s="4" t="s">
        <v>4882</v>
      </c>
      <c r="F2947" s="4" t="s">
        <v>4881</v>
      </c>
      <c r="G2947" s="4" t="s">
        <v>2263</v>
      </c>
      <c r="H2947" s="9" t="s">
        <v>2263</v>
      </c>
      <c r="I2947" s="4" t="s">
        <v>2263</v>
      </c>
      <c r="J2947" s="4" t="s">
        <v>2263</v>
      </c>
      <c r="K2947" s="4" t="s">
        <v>2465</v>
      </c>
      <c r="L2947" s="10">
        <v>50</v>
      </c>
      <c r="M2947" s="5">
        <v>174.268</v>
      </c>
      <c r="N2947" s="5">
        <v>8713.4</v>
      </c>
    </row>
    <row r="2948" spans="1:14" x14ac:dyDescent="0.25">
      <c r="A2948" s="4" t="s">
        <v>2274</v>
      </c>
      <c r="B2948" s="4" t="s">
        <v>4348</v>
      </c>
      <c r="C2948" s="4" t="s">
        <v>2267</v>
      </c>
      <c r="D2948" s="4" t="s">
        <v>2266</v>
      </c>
      <c r="E2948" s="4" t="s">
        <v>4414</v>
      </c>
      <c r="F2948" s="4" t="s">
        <v>2496</v>
      </c>
      <c r="G2948" s="4" t="s">
        <v>2263</v>
      </c>
      <c r="H2948" s="9" t="s">
        <v>2263</v>
      </c>
      <c r="I2948" s="4" t="s">
        <v>2263</v>
      </c>
      <c r="J2948" s="4" t="s">
        <v>2263</v>
      </c>
      <c r="K2948" s="4" t="s">
        <v>2495</v>
      </c>
      <c r="L2948" s="10">
        <v>50</v>
      </c>
      <c r="M2948" s="5">
        <v>756.85053571428568</v>
      </c>
      <c r="N2948" s="5">
        <v>37842.52678571429</v>
      </c>
    </row>
    <row r="2949" spans="1:14" x14ac:dyDescent="0.25">
      <c r="A2949" s="4" t="s">
        <v>2274</v>
      </c>
      <c r="B2949" s="4" t="s">
        <v>4348</v>
      </c>
      <c r="C2949" s="4" t="s">
        <v>2344</v>
      </c>
      <c r="D2949" s="4" t="s">
        <v>237</v>
      </c>
      <c r="E2949" s="4" t="s">
        <v>2450</v>
      </c>
      <c r="F2949" s="4" t="s">
        <v>2449</v>
      </c>
      <c r="G2949" s="4" t="s">
        <v>2263</v>
      </c>
      <c r="H2949" s="9" t="s">
        <v>2263</v>
      </c>
      <c r="I2949" s="4" t="s">
        <v>2263</v>
      </c>
      <c r="J2949" s="4" t="s">
        <v>2263</v>
      </c>
      <c r="K2949" s="4" t="s">
        <v>2448</v>
      </c>
      <c r="L2949" s="10">
        <v>50</v>
      </c>
      <c r="M2949" s="5">
        <v>868.85911602209944</v>
      </c>
      <c r="N2949" s="5">
        <v>43442.955801104967</v>
      </c>
    </row>
    <row r="2950" spans="1:14" x14ac:dyDescent="0.25">
      <c r="A2950" s="4" t="s">
        <v>2653</v>
      </c>
      <c r="B2950" s="4" t="s">
        <v>3226</v>
      </c>
      <c r="C2950" s="4" t="s">
        <v>3107</v>
      </c>
      <c r="D2950" s="4" t="s">
        <v>1105</v>
      </c>
      <c r="E2950" s="4" t="s">
        <v>3655</v>
      </c>
      <c r="F2950" s="4" t="s">
        <v>3654</v>
      </c>
      <c r="G2950" s="4" t="s">
        <v>2263</v>
      </c>
      <c r="H2950" s="9" t="s">
        <v>2263</v>
      </c>
      <c r="I2950" s="4" t="s">
        <v>2317</v>
      </c>
      <c r="J2950" s="4" t="s">
        <v>2316</v>
      </c>
      <c r="K2950" s="4" t="s">
        <v>2263</v>
      </c>
      <c r="L2950" s="10">
        <v>50</v>
      </c>
      <c r="M2950" s="5">
        <v>1363.92</v>
      </c>
      <c r="N2950" s="5">
        <v>68196</v>
      </c>
    </row>
    <row r="2951" spans="1:14" x14ac:dyDescent="0.25">
      <c r="A2951" s="4" t="s">
        <v>2344</v>
      </c>
      <c r="B2951" s="4" t="s">
        <v>5154</v>
      </c>
      <c r="C2951" s="4" t="s">
        <v>2267</v>
      </c>
      <c r="D2951" s="4" t="s">
        <v>2266</v>
      </c>
      <c r="E2951" s="4" t="s">
        <v>4399</v>
      </c>
      <c r="F2951" s="4" t="s">
        <v>2501</v>
      </c>
      <c r="G2951" s="4" t="s">
        <v>2263</v>
      </c>
      <c r="H2951" s="9" t="s">
        <v>2263</v>
      </c>
      <c r="I2951" s="4" t="s">
        <v>2263</v>
      </c>
      <c r="J2951" s="4" t="s">
        <v>2263</v>
      </c>
      <c r="K2951" s="4" t="s">
        <v>2494</v>
      </c>
      <c r="L2951" s="10">
        <v>50</v>
      </c>
      <c r="M2951" s="5">
        <v>1496.0608609271524</v>
      </c>
      <c r="N2951" s="5">
        <v>74803.043046357619</v>
      </c>
    </row>
    <row r="2952" spans="1:14" x14ac:dyDescent="0.25">
      <c r="A2952" s="4" t="s">
        <v>2344</v>
      </c>
      <c r="B2952" s="4" t="s">
        <v>5154</v>
      </c>
      <c r="C2952" s="4" t="s">
        <v>2344</v>
      </c>
      <c r="D2952" s="4" t="s">
        <v>237</v>
      </c>
      <c r="E2952" s="4" t="s">
        <v>2435</v>
      </c>
      <c r="F2952" s="4" t="s">
        <v>2434</v>
      </c>
      <c r="G2952" s="4" t="s">
        <v>2263</v>
      </c>
      <c r="H2952" s="9" t="s">
        <v>2263</v>
      </c>
      <c r="I2952" s="4" t="s">
        <v>2263</v>
      </c>
      <c r="J2952" s="4" t="s">
        <v>2263</v>
      </c>
      <c r="K2952" s="4" t="s">
        <v>2433</v>
      </c>
      <c r="L2952" s="10">
        <v>50</v>
      </c>
      <c r="M2952" s="5">
        <v>1849.2706606606607</v>
      </c>
      <c r="N2952" s="5">
        <v>92463.533033033047</v>
      </c>
    </row>
    <row r="2953" spans="1:14" x14ac:dyDescent="0.25">
      <c r="A2953" s="4" t="s">
        <v>2355</v>
      </c>
      <c r="B2953" s="4" t="s">
        <v>2354</v>
      </c>
      <c r="C2953" s="4" t="s">
        <v>2344</v>
      </c>
      <c r="D2953" s="4" t="s">
        <v>237</v>
      </c>
      <c r="E2953" s="4" t="s">
        <v>2381</v>
      </c>
      <c r="F2953" s="4" t="s">
        <v>2380</v>
      </c>
      <c r="G2953" s="4" t="s">
        <v>2263</v>
      </c>
      <c r="H2953" s="9" t="s">
        <v>2263</v>
      </c>
      <c r="I2953" s="4" t="s">
        <v>2263</v>
      </c>
      <c r="J2953" s="4" t="s">
        <v>2263</v>
      </c>
      <c r="K2953" s="4" t="s">
        <v>2379</v>
      </c>
      <c r="L2953" s="10">
        <v>50</v>
      </c>
      <c r="M2953" s="5">
        <v>2206.7211700182816</v>
      </c>
      <c r="N2953" s="5">
        <v>110336.05850091408</v>
      </c>
    </row>
    <row r="2954" spans="1:14" x14ac:dyDescent="0.25">
      <c r="A2954" s="4" t="s">
        <v>2274</v>
      </c>
      <c r="B2954" s="4" t="s">
        <v>4348</v>
      </c>
      <c r="C2954" s="4" t="s">
        <v>2344</v>
      </c>
      <c r="D2954" s="4" t="s">
        <v>237</v>
      </c>
      <c r="E2954" s="4" t="s">
        <v>3043</v>
      </c>
      <c r="F2954" s="4" t="s">
        <v>2458</v>
      </c>
      <c r="G2954" s="4" t="s">
        <v>2263</v>
      </c>
      <c r="H2954" s="9" t="s">
        <v>2263</v>
      </c>
      <c r="I2954" s="4" t="s">
        <v>2263</v>
      </c>
      <c r="J2954" s="4" t="s">
        <v>2263</v>
      </c>
      <c r="K2954" s="4" t="s">
        <v>2457</v>
      </c>
      <c r="L2954" s="10">
        <v>50</v>
      </c>
      <c r="M2954" s="5">
        <v>2256.593404255319</v>
      </c>
      <c r="N2954" s="5">
        <v>112829.67021276597</v>
      </c>
    </row>
    <row r="2955" spans="1:14" x14ac:dyDescent="0.25">
      <c r="A2955" s="4" t="s">
        <v>2344</v>
      </c>
      <c r="B2955" s="4" t="s">
        <v>5154</v>
      </c>
      <c r="C2955" s="4" t="s">
        <v>2344</v>
      </c>
      <c r="D2955" s="4" t="s">
        <v>237</v>
      </c>
      <c r="E2955" s="4" t="s">
        <v>4926</v>
      </c>
      <c r="F2955" s="4" t="s">
        <v>2553</v>
      </c>
      <c r="G2955" s="4" t="s">
        <v>2263</v>
      </c>
      <c r="H2955" s="9" t="s">
        <v>2263</v>
      </c>
      <c r="I2955" s="4" t="s">
        <v>2263</v>
      </c>
      <c r="J2955" s="4" t="s">
        <v>2263</v>
      </c>
      <c r="K2955" s="4" t="s">
        <v>2552</v>
      </c>
      <c r="L2955" s="10">
        <v>50</v>
      </c>
      <c r="M2955" s="5">
        <v>2351.81</v>
      </c>
      <c r="N2955" s="5">
        <v>117590.5</v>
      </c>
    </row>
    <row r="2956" spans="1:14" x14ac:dyDescent="0.25">
      <c r="A2956" s="4" t="s">
        <v>2317</v>
      </c>
      <c r="B2956" s="4" t="s">
        <v>3839</v>
      </c>
      <c r="C2956" s="4" t="s">
        <v>2320</v>
      </c>
      <c r="D2956" s="4" t="s">
        <v>242</v>
      </c>
      <c r="E2956" s="4" t="s">
        <v>4339</v>
      </c>
      <c r="F2956" s="4" t="s">
        <v>4338</v>
      </c>
      <c r="G2956" s="4" t="s">
        <v>2263</v>
      </c>
      <c r="H2956" s="9" t="s">
        <v>2263</v>
      </c>
      <c r="I2956" s="4" t="s">
        <v>2317</v>
      </c>
      <c r="J2956" s="4" t="s">
        <v>2316</v>
      </c>
      <c r="K2956" s="4" t="s">
        <v>2263</v>
      </c>
      <c r="L2956" s="10">
        <v>50</v>
      </c>
      <c r="M2956" s="5">
        <v>3098.8842028985509</v>
      </c>
      <c r="N2956" s="5">
        <v>154944.21014492755</v>
      </c>
    </row>
    <row r="2957" spans="1:14" x14ac:dyDescent="0.25">
      <c r="A2957" s="4" t="s">
        <v>2344</v>
      </c>
      <c r="B2957" s="4" t="s">
        <v>5154</v>
      </c>
      <c r="C2957" s="4" t="s">
        <v>2267</v>
      </c>
      <c r="D2957" s="4" t="s">
        <v>2266</v>
      </c>
      <c r="E2957" s="4" t="s">
        <v>4386</v>
      </c>
      <c r="F2957" s="4" t="s">
        <v>2502</v>
      </c>
      <c r="G2957" s="4" t="s">
        <v>2263</v>
      </c>
      <c r="H2957" s="9" t="s">
        <v>2263</v>
      </c>
      <c r="I2957" s="4" t="s">
        <v>2263</v>
      </c>
      <c r="J2957" s="4" t="s">
        <v>2263</v>
      </c>
      <c r="K2957" s="4" t="s">
        <v>2494</v>
      </c>
      <c r="L2957" s="10">
        <v>50</v>
      </c>
      <c r="M2957" s="5">
        <v>3545.7840999999999</v>
      </c>
      <c r="N2957" s="5">
        <v>177289.20499999999</v>
      </c>
    </row>
    <row r="2958" spans="1:14" x14ac:dyDescent="0.25">
      <c r="A2958" s="4" t="s">
        <v>2653</v>
      </c>
      <c r="B2958" s="4" t="s">
        <v>3226</v>
      </c>
      <c r="C2958" s="4" t="s">
        <v>2384</v>
      </c>
      <c r="D2958" s="4" t="s">
        <v>262</v>
      </c>
      <c r="E2958" s="4" t="s">
        <v>3482</v>
      </c>
      <c r="F2958" s="4" t="s">
        <v>3481</v>
      </c>
      <c r="G2958" s="4" t="s">
        <v>2263</v>
      </c>
      <c r="H2958" s="9" t="s">
        <v>2263</v>
      </c>
      <c r="I2958" s="4" t="s">
        <v>2317</v>
      </c>
      <c r="J2958" s="4" t="s">
        <v>2316</v>
      </c>
      <c r="K2958" s="4" t="s">
        <v>2263</v>
      </c>
      <c r="L2958" s="10">
        <v>50</v>
      </c>
      <c r="M2958" s="5">
        <v>5479.9471999999996</v>
      </c>
      <c r="N2958" s="5">
        <v>273997.36</v>
      </c>
    </row>
    <row r="2959" spans="1:14" x14ac:dyDescent="0.25">
      <c r="A2959" s="4" t="s">
        <v>2274</v>
      </c>
      <c r="B2959" s="4" t="s">
        <v>4348</v>
      </c>
      <c r="C2959" s="4" t="s">
        <v>2267</v>
      </c>
      <c r="D2959" s="4" t="s">
        <v>2266</v>
      </c>
      <c r="E2959" s="4" t="s">
        <v>2867</v>
      </c>
      <c r="F2959" s="4" t="s">
        <v>2866</v>
      </c>
      <c r="G2959" s="4" t="s">
        <v>2263</v>
      </c>
      <c r="H2959" s="9" t="s">
        <v>2263</v>
      </c>
      <c r="I2959" s="4" t="s">
        <v>2263</v>
      </c>
      <c r="J2959" s="4" t="s">
        <v>2263</v>
      </c>
      <c r="K2959" s="4" t="s">
        <v>2262</v>
      </c>
      <c r="L2959" s="10">
        <v>50</v>
      </c>
      <c r="M2959" s="5">
        <v>5874.1665745856362</v>
      </c>
      <c r="N2959" s="5">
        <v>293708.32872928178</v>
      </c>
    </row>
    <row r="2960" spans="1:14" x14ac:dyDescent="0.25">
      <c r="A2960" s="4" t="s">
        <v>2274</v>
      </c>
      <c r="B2960" s="4" t="s">
        <v>4348</v>
      </c>
      <c r="C2960" s="4" t="s">
        <v>2344</v>
      </c>
      <c r="D2960" s="4" t="s">
        <v>237</v>
      </c>
      <c r="E2960" s="4" t="s">
        <v>4906</v>
      </c>
      <c r="F2960" s="4" t="s">
        <v>4905</v>
      </c>
      <c r="G2960" s="4" t="s">
        <v>2263</v>
      </c>
      <c r="H2960" s="9" t="s">
        <v>2263</v>
      </c>
      <c r="I2960" s="4" t="s">
        <v>2263</v>
      </c>
      <c r="J2960" s="4" t="s">
        <v>2263</v>
      </c>
      <c r="K2960" s="4" t="s">
        <v>4904</v>
      </c>
      <c r="L2960" s="10">
        <v>50</v>
      </c>
      <c r="M2960" s="5">
        <v>11221</v>
      </c>
      <c r="N2960" s="5">
        <v>561050</v>
      </c>
    </row>
    <row r="2961" spans="1:14" x14ac:dyDescent="0.25">
      <c r="A2961" s="4" t="s">
        <v>2274</v>
      </c>
      <c r="B2961" s="4" t="s">
        <v>4348</v>
      </c>
      <c r="C2961" s="4" t="s">
        <v>2344</v>
      </c>
      <c r="D2961" s="4" t="s">
        <v>237</v>
      </c>
      <c r="E2961" s="4" t="s">
        <v>4849</v>
      </c>
      <c r="F2961" s="4" t="s">
        <v>2621</v>
      </c>
      <c r="G2961" s="4" t="s">
        <v>2263</v>
      </c>
      <c r="H2961" s="9" t="s">
        <v>2263</v>
      </c>
      <c r="I2961" s="4" t="s">
        <v>2263</v>
      </c>
      <c r="J2961" s="4" t="s">
        <v>2263</v>
      </c>
      <c r="K2961" s="4" t="s">
        <v>2262</v>
      </c>
      <c r="L2961" s="10">
        <v>50</v>
      </c>
      <c r="M2961" s="5">
        <v>13613.761176470589</v>
      </c>
      <c r="N2961" s="5">
        <v>680688.0588235294</v>
      </c>
    </row>
    <row r="2962" spans="1:14" x14ac:dyDescent="0.25">
      <c r="A2962" s="4" t="s">
        <v>2274</v>
      </c>
      <c r="B2962" s="4" t="s">
        <v>4348</v>
      </c>
      <c r="C2962" s="4" t="s">
        <v>2317</v>
      </c>
      <c r="D2962" s="4" t="s">
        <v>2516</v>
      </c>
      <c r="E2962" s="4" t="s">
        <v>2870</v>
      </c>
      <c r="F2962" s="4" t="s">
        <v>2869</v>
      </c>
      <c r="G2962" s="4" t="s">
        <v>2263</v>
      </c>
      <c r="H2962" s="9" t="s">
        <v>2263</v>
      </c>
      <c r="I2962" s="4" t="s">
        <v>2263</v>
      </c>
      <c r="J2962" s="4" t="s">
        <v>2263</v>
      </c>
      <c r="K2962" s="4" t="s">
        <v>2868</v>
      </c>
      <c r="L2962" s="10">
        <v>50</v>
      </c>
      <c r="M2962" s="5">
        <v>18540.913461538461</v>
      </c>
      <c r="N2962" s="5">
        <v>927045.67307692301</v>
      </c>
    </row>
    <row r="2963" spans="1:14" x14ac:dyDescent="0.25">
      <c r="A2963" s="4" t="s">
        <v>2344</v>
      </c>
      <c r="B2963" s="4" t="s">
        <v>5154</v>
      </c>
      <c r="C2963" s="4" t="s">
        <v>2344</v>
      </c>
      <c r="D2963" s="4" t="s">
        <v>237</v>
      </c>
      <c r="E2963" s="4" t="s">
        <v>4830</v>
      </c>
      <c r="F2963" s="4" t="s">
        <v>4776</v>
      </c>
      <c r="G2963" s="4" t="s">
        <v>2263</v>
      </c>
      <c r="H2963" s="9" t="s">
        <v>2263</v>
      </c>
      <c r="I2963" s="4" t="s">
        <v>2263</v>
      </c>
      <c r="J2963" s="4" t="s">
        <v>2263</v>
      </c>
      <c r="K2963" s="4" t="s">
        <v>2465</v>
      </c>
      <c r="L2963" s="10">
        <v>51</v>
      </c>
      <c r="M2963" s="5">
        <v>346.33103448275858</v>
      </c>
      <c r="N2963" s="5">
        <v>17662.88275862069</v>
      </c>
    </row>
    <row r="2964" spans="1:14" x14ac:dyDescent="0.25">
      <c r="A2964" s="4" t="s">
        <v>2274</v>
      </c>
      <c r="B2964" s="4" t="s">
        <v>4348</v>
      </c>
      <c r="C2964" s="4" t="s">
        <v>2344</v>
      </c>
      <c r="D2964" s="4" t="s">
        <v>237</v>
      </c>
      <c r="E2964" s="4" t="s">
        <v>2375</v>
      </c>
      <c r="F2964" s="4" t="s">
        <v>2374</v>
      </c>
      <c r="G2964" s="4" t="s">
        <v>2263</v>
      </c>
      <c r="H2964" s="9" t="s">
        <v>2263</v>
      </c>
      <c r="I2964" s="4" t="s">
        <v>2263</v>
      </c>
      <c r="J2964" s="4" t="s">
        <v>2263</v>
      </c>
      <c r="K2964" s="4" t="s">
        <v>2373</v>
      </c>
      <c r="L2964" s="10">
        <v>51</v>
      </c>
      <c r="M2964" s="5">
        <v>60455.142857142855</v>
      </c>
      <c r="N2964" s="5">
        <v>3083212.2857142854</v>
      </c>
    </row>
    <row r="2965" spans="1:14" x14ac:dyDescent="0.25">
      <c r="A2965" s="4" t="s">
        <v>2269</v>
      </c>
      <c r="B2965" s="4" t="s">
        <v>2268</v>
      </c>
      <c r="C2965" s="4" t="s">
        <v>2344</v>
      </c>
      <c r="D2965" s="4" t="s">
        <v>237</v>
      </c>
      <c r="E2965" s="4" t="s">
        <v>2347</v>
      </c>
      <c r="F2965" s="4" t="s">
        <v>2346</v>
      </c>
      <c r="G2965" s="4" t="s">
        <v>2263</v>
      </c>
      <c r="H2965" s="9" t="s">
        <v>2263</v>
      </c>
      <c r="I2965" s="4" t="s">
        <v>2263</v>
      </c>
      <c r="J2965" s="4" t="s">
        <v>2263</v>
      </c>
      <c r="K2965" s="4" t="s">
        <v>2345</v>
      </c>
      <c r="L2965" s="10">
        <v>52</v>
      </c>
      <c r="M2965" s="5">
        <v>650.00016129032258</v>
      </c>
      <c r="N2965" s="5">
        <v>33800.008387096772</v>
      </c>
    </row>
    <row r="2966" spans="1:14" x14ac:dyDescent="0.25">
      <c r="A2966" s="4" t="s">
        <v>2344</v>
      </c>
      <c r="B2966" s="4" t="s">
        <v>5154</v>
      </c>
      <c r="C2966" s="4" t="s">
        <v>2344</v>
      </c>
      <c r="D2966" s="4" t="s">
        <v>237</v>
      </c>
      <c r="E2966" s="4" t="s">
        <v>4710</v>
      </c>
      <c r="F2966" s="4" t="s">
        <v>4572</v>
      </c>
      <c r="G2966" s="4" t="s">
        <v>2263</v>
      </c>
      <c r="H2966" s="9" t="s">
        <v>2263</v>
      </c>
      <c r="I2966" s="4" t="s">
        <v>2263</v>
      </c>
      <c r="J2966" s="4" t="s">
        <v>2263</v>
      </c>
      <c r="K2966" s="4" t="s">
        <v>4571</v>
      </c>
      <c r="L2966" s="10">
        <v>52</v>
      </c>
      <c r="M2966" s="5">
        <v>1750.2326724137931</v>
      </c>
      <c r="N2966" s="5">
        <v>91012.098965517245</v>
      </c>
    </row>
    <row r="2967" spans="1:14" x14ac:dyDescent="0.25">
      <c r="A2967" s="4" t="s">
        <v>2274</v>
      </c>
      <c r="B2967" s="4" t="s">
        <v>4348</v>
      </c>
      <c r="C2967" s="4" t="s">
        <v>2344</v>
      </c>
      <c r="D2967" s="4" t="s">
        <v>237</v>
      </c>
      <c r="E2967" s="4" t="s">
        <v>4922</v>
      </c>
      <c r="F2967" s="4" t="s">
        <v>2463</v>
      </c>
      <c r="G2967" s="4" t="s">
        <v>2263</v>
      </c>
      <c r="H2967" s="9" t="s">
        <v>2263</v>
      </c>
      <c r="I2967" s="4" t="s">
        <v>2263</v>
      </c>
      <c r="J2967" s="4" t="s">
        <v>2263</v>
      </c>
      <c r="K2967" s="4" t="s">
        <v>2462</v>
      </c>
      <c r="L2967" s="10">
        <v>52</v>
      </c>
      <c r="M2967" s="5">
        <v>2420.6186170212768</v>
      </c>
      <c r="N2967" s="5">
        <v>125872.16808510639</v>
      </c>
    </row>
    <row r="2968" spans="1:14" x14ac:dyDescent="0.25">
      <c r="A2968" s="4" t="s">
        <v>2274</v>
      </c>
      <c r="B2968" s="4" t="s">
        <v>4348</v>
      </c>
      <c r="C2968" s="4" t="s">
        <v>2274</v>
      </c>
      <c r="D2968" s="4" t="s">
        <v>2273</v>
      </c>
      <c r="E2968" s="4" t="s">
        <v>4485</v>
      </c>
      <c r="F2968" s="4" t="s">
        <v>2533</v>
      </c>
      <c r="G2968" s="4" t="s">
        <v>2263</v>
      </c>
      <c r="H2968" s="9" t="s">
        <v>2263</v>
      </c>
      <c r="I2968" s="4" t="s">
        <v>2263</v>
      </c>
      <c r="J2968" s="4" t="s">
        <v>2263</v>
      </c>
      <c r="K2968" s="4" t="s">
        <v>2532</v>
      </c>
      <c r="L2968" s="10">
        <v>52</v>
      </c>
      <c r="M2968" s="5">
        <v>29979.841269841269</v>
      </c>
      <c r="N2968" s="5">
        <v>1558951.746031746</v>
      </c>
    </row>
    <row r="2969" spans="1:14" x14ac:dyDescent="0.25">
      <c r="A2969" s="4" t="s">
        <v>2317</v>
      </c>
      <c r="B2969" s="4" t="s">
        <v>3839</v>
      </c>
      <c r="C2969" s="4" t="s">
        <v>2320</v>
      </c>
      <c r="D2969" s="4" t="s">
        <v>242</v>
      </c>
      <c r="E2969" s="4" t="s">
        <v>4075</v>
      </c>
      <c r="F2969" s="4" t="s">
        <v>4074</v>
      </c>
      <c r="G2969" s="4" t="s">
        <v>2263</v>
      </c>
      <c r="H2969" s="9" t="s">
        <v>2263</v>
      </c>
      <c r="I2969" s="4" t="s">
        <v>2317</v>
      </c>
      <c r="J2969" s="4" t="s">
        <v>2316</v>
      </c>
      <c r="K2969" s="4" t="s">
        <v>2263</v>
      </c>
      <c r="L2969" s="10">
        <v>52</v>
      </c>
      <c r="M2969" s="5">
        <v>33095.185624999998</v>
      </c>
      <c r="N2969" s="5">
        <v>1720949.6525000001</v>
      </c>
    </row>
    <row r="2970" spans="1:14" x14ac:dyDescent="0.25">
      <c r="A2970" s="4" t="s">
        <v>2344</v>
      </c>
      <c r="B2970" s="4" t="s">
        <v>5154</v>
      </c>
      <c r="C2970" s="4" t="s">
        <v>2344</v>
      </c>
      <c r="D2970" s="4" t="s">
        <v>237</v>
      </c>
      <c r="E2970" s="4" t="s">
        <v>2880</v>
      </c>
      <c r="F2970" s="4" t="s">
        <v>2879</v>
      </c>
      <c r="G2970" s="4" t="s">
        <v>2263</v>
      </c>
      <c r="H2970" s="9" t="s">
        <v>2263</v>
      </c>
      <c r="I2970" s="4" t="s">
        <v>2263</v>
      </c>
      <c r="J2970" s="4" t="s">
        <v>2263</v>
      </c>
      <c r="K2970" s="4" t="s">
        <v>2878</v>
      </c>
      <c r="L2970" s="10">
        <v>53</v>
      </c>
      <c r="M2970" s="5">
        <v>2733.4718861209963</v>
      </c>
      <c r="N2970" s="5">
        <v>144874.00996441281</v>
      </c>
    </row>
    <row r="2971" spans="1:14" x14ac:dyDescent="0.25">
      <c r="A2971" s="4" t="s">
        <v>2653</v>
      </c>
      <c r="B2971" s="4" t="s">
        <v>3226</v>
      </c>
      <c r="C2971" s="4" t="s">
        <v>3107</v>
      </c>
      <c r="D2971" s="4" t="s">
        <v>1105</v>
      </c>
      <c r="E2971" s="4" t="s">
        <v>3747</v>
      </c>
      <c r="F2971" s="4" t="s">
        <v>3746</v>
      </c>
      <c r="G2971" s="4" t="s">
        <v>2263</v>
      </c>
      <c r="H2971" s="9" t="s">
        <v>2263</v>
      </c>
      <c r="I2971" s="4" t="s">
        <v>2317</v>
      </c>
      <c r="J2971" s="4" t="s">
        <v>2316</v>
      </c>
      <c r="K2971" s="4" t="s">
        <v>2263</v>
      </c>
      <c r="L2971" s="10">
        <v>53</v>
      </c>
      <c r="M2971" s="5">
        <v>2950.9301886792455</v>
      </c>
      <c r="N2971" s="5">
        <v>156399.29999999999</v>
      </c>
    </row>
    <row r="2972" spans="1:14" x14ac:dyDescent="0.25">
      <c r="A2972" s="4" t="s">
        <v>2269</v>
      </c>
      <c r="B2972" s="4" t="s">
        <v>2268</v>
      </c>
      <c r="C2972" s="4" t="s">
        <v>2279</v>
      </c>
      <c r="D2972" s="4" t="s">
        <v>2278</v>
      </c>
      <c r="E2972" s="4" t="s">
        <v>2298</v>
      </c>
      <c r="F2972" s="4" t="s">
        <v>2297</v>
      </c>
      <c r="G2972" s="4" t="s">
        <v>2263</v>
      </c>
      <c r="H2972" s="9" t="s">
        <v>2263</v>
      </c>
      <c r="I2972" s="4" t="s">
        <v>2263</v>
      </c>
      <c r="J2972" s="4" t="s">
        <v>2263</v>
      </c>
      <c r="K2972" s="4" t="s">
        <v>2296</v>
      </c>
      <c r="L2972" s="10">
        <v>53</v>
      </c>
      <c r="M2972" s="5">
        <v>4294.8422641509433</v>
      </c>
      <c r="N2972" s="5">
        <v>227626.64</v>
      </c>
    </row>
    <row r="2973" spans="1:14" x14ac:dyDescent="0.25">
      <c r="A2973" s="4" t="s">
        <v>2317</v>
      </c>
      <c r="B2973" s="4" t="s">
        <v>3839</v>
      </c>
      <c r="C2973" s="4" t="s">
        <v>2320</v>
      </c>
      <c r="D2973" s="4" t="s">
        <v>242</v>
      </c>
      <c r="E2973" s="4" t="s">
        <v>3843</v>
      </c>
      <c r="F2973" s="4" t="s">
        <v>3842</v>
      </c>
      <c r="G2973" s="4" t="s">
        <v>2263</v>
      </c>
      <c r="H2973" s="9" t="s">
        <v>2263</v>
      </c>
      <c r="I2973" s="4" t="s">
        <v>2317</v>
      </c>
      <c r="J2973" s="4" t="s">
        <v>2316</v>
      </c>
      <c r="K2973" s="4" t="s">
        <v>2263</v>
      </c>
      <c r="L2973" s="10">
        <v>53</v>
      </c>
      <c r="M2973" s="5">
        <v>4557.2305263157896</v>
      </c>
      <c r="N2973" s="5">
        <v>241533.21789473685</v>
      </c>
    </row>
    <row r="2974" spans="1:14" x14ac:dyDescent="0.25">
      <c r="A2974" s="4" t="s">
        <v>2344</v>
      </c>
      <c r="B2974" s="4" t="s">
        <v>5154</v>
      </c>
      <c r="C2974" s="4" t="s">
        <v>2344</v>
      </c>
      <c r="D2974" s="4" t="s">
        <v>237</v>
      </c>
      <c r="E2974" s="4" t="s">
        <v>5143</v>
      </c>
      <c r="F2974" s="4" t="s">
        <v>2474</v>
      </c>
      <c r="G2974" s="4" t="s">
        <v>2263</v>
      </c>
      <c r="H2974" s="9" t="s">
        <v>2263</v>
      </c>
      <c r="I2974" s="4" t="s">
        <v>2263</v>
      </c>
      <c r="J2974" s="4" t="s">
        <v>2263</v>
      </c>
      <c r="K2974" s="4" t="s">
        <v>2473</v>
      </c>
      <c r="L2974" s="10">
        <v>53</v>
      </c>
      <c r="M2974" s="5">
        <v>7500.3418181818188</v>
      </c>
      <c r="N2974" s="5">
        <v>397518.11636363633</v>
      </c>
    </row>
    <row r="2975" spans="1:14" x14ac:dyDescent="0.25">
      <c r="A2975" s="4" t="s">
        <v>2653</v>
      </c>
      <c r="B2975" s="4" t="s">
        <v>3226</v>
      </c>
      <c r="C2975" s="4" t="s">
        <v>2353</v>
      </c>
      <c r="D2975" s="4" t="s">
        <v>258</v>
      </c>
      <c r="E2975" s="4" t="s">
        <v>3292</v>
      </c>
      <c r="F2975" s="4" t="s">
        <v>3291</v>
      </c>
      <c r="G2975" s="4" t="s">
        <v>2263</v>
      </c>
      <c r="H2975" s="9" t="s">
        <v>2263</v>
      </c>
      <c r="I2975" s="4" t="s">
        <v>2317</v>
      </c>
      <c r="J2975" s="4" t="s">
        <v>2316</v>
      </c>
      <c r="K2975" s="4" t="s">
        <v>2263</v>
      </c>
      <c r="L2975" s="10">
        <v>53</v>
      </c>
      <c r="M2975" s="5">
        <v>7897.517358490566</v>
      </c>
      <c r="N2975" s="5">
        <v>418568.42</v>
      </c>
    </row>
    <row r="2976" spans="1:14" x14ac:dyDescent="0.25">
      <c r="A2976" s="4" t="s">
        <v>2344</v>
      </c>
      <c r="B2976" s="4" t="s">
        <v>5154</v>
      </c>
      <c r="C2976" s="4" t="s">
        <v>2653</v>
      </c>
      <c r="D2976" s="4" t="s">
        <v>2652</v>
      </c>
      <c r="E2976" s="4" t="s">
        <v>5179</v>
      </c>
      <c r="F2976" s="4" t="s">
        <v>5178</v>
      </c>
      <c r="G2976" s="4" t="s">
        <v>2263</v>
      </c>
      <c r="H2976" s="9" t="s">
        <v>2263</v>
      </c>
      <c r="I2976" s="4" t="s">
        <v>2263</v>
      </c>
      <c r="J2976" s="4" t="s">
        <v>2263</v>
      </c>
      <c r="K2976" s="4" t="s">
        <v>2439</v>
      </c>
      <c r="L2976" s="10">
        <v>53</v>
      </c>
      <c r="M2976" s="5">
        <v>14801.990943396228</v>
      </c>
      <c r="N2976" s="5">
        <v>784505.52</v>
      </c>
    </row>
    <row r="2977" spans="1:14" x14ac:dyDescent="0.25">
      <c r="A2977" s="4" t="s">
        <v>2274</v>
      </c>
      <c r="B2977" s="4" t="s">
        <v>4348</v>
      </c>
      <c r="C2977" s="4" t="s">
        <v>2481</v>
      </c>
      <c r="D2977" s="4" t="s">
        <v>2480</v>
      </c>
      <c r="E2977" s="4" t="s">
        <v>4357</v>
      </c>
      <c r="F2977" s="4" t="s">
        <v>4356</v>
      </c>
      <c r="G2977" s="4" t="s">
        <v>2263</v>
      </c>
      <c r="H2977" s="9" t="s">
        <v>2263</v>
      </c>
      <c r="I2977" s="4" t="s">
        <v>2263</v>
      </c>
      <c r="J2977" s="4" t="s">
        <v>2263</v>
      </c>
      <c r="K2977" s="4" t="s">
        <v>2482</v>
      </c>
      <c r="L2977" s="10">
        <v>53</v>
      </c>
      <c r="M2977" s="5">
        <v>29499.503666666667</v>
      </c>
      <c r="N2977" s="5">
        <v>1563473.6943333335</v>
      </c>
    </row>
    <row r="2978" spans="1:14" x14ac:dyDescent="0.25">
      <c r="A2978" s="4" t="s">
        <v>2344</v>
      </c>
      <c r="B2978" s="4" t="s">
        <v>5154</v>
      </c>
      <c r="C2978" s="4" t="s">
        <v>2344</v>
      </c>
      <c r="D2978" s="4" t="s">
        <v>237</v>
      </c>
      <c r="E2978" s="4" t="s">
        <v>4646</v>
      </c>
      <c r="F2978" s="4" t="s">
        <v>4645</v>
      </c>
      <c r="G2978" s="4" t="s">
        <v>2263</v>
      </c>
      <c r="H2978" s="9" t="s">
        <v>2263</v>
      </c>
      <c r="I2978" s="4" t="s">
        <v>2263</v>
      </c>
      <c r="J2978" s="4" t="s">
        <v>2263</v>
      </c>
      <c r="K2978" s="4" t="s">
        <v>4644</v>
      </c>
      <c r="L2978" s="10">
        <v>54</v>
      </c>
      <c r="M2978" s="5">
        <v>1537.0255263157896</v>
      </c>
      <c r="N2978" s="5">
        <v>82999.378421052636</v>
      </c>
    </row>
    <row r="2979" spans="1:14" x14ac:dyDescent="0.25">
      <c r="A2979" s="4" t="s">
        <v>2274</v>
      </c>
      <c r="B2979" s="4" t="s">
        <v>4348</v>
      </c>
      <c r="C2979" s="4" t="s">
        <v>2267</v>
      </c>
      <c r="D2979" s="4" t="s">
        <v>2266</v>
      </c>
      <c r="E2979" s="4" t="s">
        <v>4409</v>
      </c>
      <c r="F2979" s="4" t="s">
        <v>2506</v>
      </c>
      <c r="G2979" s="4" t="s">
        <v>2263</v>
      </c>
      <c r="H2979" s="9" t="s">
        <v>2263</v>
      </c>
      <c r="I2979" s="4" t="s">
        <v>2263</v>
      </c>
      <c r="J2979" s="4" t="s">
        <v>2263</v>
      </c>
      <c r="K2979" s="4" t="s">
        <v>2505</v>
      </c>
      <c r="L2979" s="10">
        <v>54</v>
      </c>
      <c r="M2979" s="5">
        <v>4610.7261428571428</v>
      </c>
      <c r="N2979" s="5">
        <v>248979.21171428572</v>
      </c>
    </row>
    <row r="2980" spans="1:14" x14ac:dyDescent="0.25">
      <c r="A2980" s="4" t="s">
        <v>2344</v>
      </c>
      <c r="B2980" s="4" t="s">
        <v>5154</v>
      </c>
      <c r="C2980" s="4" t="s">
        <v>2267</v>
      </c>
      <c r="D2980" s="4" t="s">
        <v>2266</v>
      </c>
      <c r="E2980" s="4" t="s">
        <v>4400</v>
      </c>
      <c r="F2980" s="4" t="s">
        <v>2654</v>
      </c>
      <c r="G2980" s="4" t="s">
        <v>2263</v>
      </c>
      <c r="H2980" s="9" t="s">
        <v>2263</v>
      </c>
      <c r="I2980" s="4" t="s">
        <v>2263</v>
      </c>
      <c r="J2980" s="4" t="s">
        <v>2263</v>
      </c>
      <c r="K2980" s="4" t="s">
        <v>2262</v>
      </c>
      <c r="L2980" s="10">
        <v>55</v>
      </c>
      <c r="M2980" s="5">
        <v>210</v>
      </c>
      <c r="N2980" s="5">
        <v>11550</v>
      </c>
    </row>
    <row r="2981" spans="1:14" x14ac:dyDescent="0.25">
      <c r="A2981" s="4" t="s">
        <v>2344</v>
      </c>
      <c r="B2981" s="4" t="s">
        <v>5154</v>
      </c>
      <c r="C2981" s="4" t="s">
        <v>2344</v>
      </c>
      <c r="D2981" s="4" t="s">
        <v>237</v>
      </c>
      <c r="E2981" s="4" t="s">
        <v>5503</v>
      </c>
      <c r="F2981" s="4" t="s">
        <v>5502</v>
      </c>
      <c r="G2981" s="4" t="s">
        <v>2263</v>
      </c>
      <c r="H2981" s="9" t="s">
        <v>2263</v>
      </c>
      <c r="I2981" s="4" t="s">
        <v>2263</v>
      </c>
      <c r="J2981" s="4" t="s">
        <v>2263</v>
      </c>
      <c r="K2981" s="4" t="s">
        <v>5501</v>
      </c>
      <c r="L2981" s="10">
        <v>55</v>
      </c>
      <c r="M2981" s="5">
        <v>632.64</v>
      </c>
      <c r="N2981" s="5">
        <v>34795.199999999997</v>
      </c>
    </row>
    <row r="2982" spans="1:14" x14ac:dyDescent="0.25">
      <c r="A2982" s="4" t="s">
        <v>2344</v>
      </c>
      <c r="B2982" s="4" t="s">
        <v>5154</v>
      </c>
      <c r="C2982" s="4" t="s">
        <v>2344</v>
      </c>
      <c r="D2982" s="4" t="s">
        <v>237</v>
      </c>
      <c r="E2982" s="4" t="s">
        <v>4672</v>
      </c>
      <c r="F2982" s="4" t="s">
        <v>4671</v>
      </c>
      <c r="G2982" s="4" t="s">
        <v>2263</v>
      </c>
      <c r="H2982" s="9" t="s">
        <v>2263</v>
      </c>
      <c r="I2982" s="4" t="s">
        <v>2263</v>
      </c>
      <c r="J2982" s="4" t="s">
        <v>2263</v>
      </c>
      <c r="K2982" s="4" t="s">
        <v>4486</v>
      </c>
      <c r="L2982" s="10">
        <v>55</v>
      </c>
      <c r="M2982" s="5">
        <v>2770.1083478260871</v>
      </c>
      <c r="N2982" s="5">
        <v>152355.95913043479</v>
      </c>
    </row>
    <row r="2983" spans="1:14" x14ac:dyDescent="0.25">
      <c r="A2983" s="4" t="s">
        <v>2344</v>
      </c>
      <c r="B2983" s="4" t="s">
        <v>5154</v>
      </c>
      <c r="C2983" s="4" t="s">
        <v>2344</v>
      </c>
      <c r="D2983" s="4" t="s">
        <v>237</v>
      </c>
      <c r="E2983" s="4" t="s">
        <v>2750</v>
      </c>
      <c r="F2983" s="4" t="s">
        <v>2749</v>
      </c>
      <c r="G2983" s="4" t="s">
        <v>2263</v>
      </c>
      <c r="H2983" s="9" t="s">
        <v>2263</v>
      </c>
      <c r="I2983" s="4" t="s">
        <v>2263</v>
      </c>
      <c r="J2983" s="4" t="s">
        <v>2263</v>
      </c>
      <c r="K2983" s="4" t="s">
        <v>2748</v>
      </c>
      <c r="L2983" s="10">
        <v>55</v>
      </c>
      <c r="M2983" s="5">
        <v>2878.8739788732396</v>
      </c>
      <c r="N2983" s="5">
        <v>158338.06883802815</v>
      </c>
    </row>
    <row r="2984" spans="1:14" x14ac:dyDescent="0.25">
      <c r="A2984" s="4" t="s">
        <v>2653</v>
      </c>
      <c r="B2984" s="4" t="s">
        <v>3226</v>
      </c>
      <c r="C2984" s="4" t="s">
        <v>3107</v>
      </c>
      <c r="D2984" s="4" t="s">
        <v>1105</v>
      </c>
      <c r="E2984" s="4" t="s">
        <v>3785</v>
      </c>
      <c r="F2984" s="4" t="s">
        <v>3784</v>
      </c>
      <c r="G2984" s="4" t="s">
        <v>2263</v>
      </c>
      <c r="H2984" s="9" t="s">
        <v>2263</v>
      </c>
      <c r="I2984" s="4" t="s">
        <v>2317</v>
      </c>
      <c r="J2984" s="4" t="s">
        <v>2316</v>
      </c>
      <c r="K2984" s="4" t="s">
        <v>2263</v>
      </c>
      <c r="L2984" s="10">
        <v>55</v>
      </c>
      <c r="M2984" s="5">
        <v>6379.8067272727276</v>
      </c>
      <c r="N2984" s="5">
        <v>350889.37</v>
      </c>
    </row>
    <row r="2985" spans="1:14" x14ac:dyDescent="0.25">
      <c r="A2985" s="4" t="s">
        <v>2653</v>
      </c>
      <c r="B2985" s="4" t="s">
        <v>3226</v>
      </c>
      <c r="C2985" s="4" t="s">
        <v>3203</v>
      </c>
      <c r="D2985" s="4" t="s">
        <v>256</v>
      </c>
      <c r="E2985" s="4" t="s">
        <v>3612</v>
      </c>
      <c r="F2985" s="4" t="s">
        <v>3611</v>
      </c>
      <c r="G2985" s="4" t="s">
        <v>2263</v>
      </c>
      <c r="H2985" s="9" t="s">
        <v>2263</v>
      </c>
      <c r="I2985" s="4" t="s">
        <v>2317</v>
      </c>
      <c r="J2985" s="4" t="s">
        <v>2316</v>
      </c>
      <c r="K2985" s="4" t="s">
        <v>2263</v>
      </c>
      <c r="L2985" s="10">
        <v>55</v>
      </c>
      <c r="M2985" s="5">
        <v>9535.1452727272736</v>
      </c>
      <c r="N2985" s="5">
        <v>524432.99</v>
      </c>
    </row>
    <row r="2986" spans="1:14" x14ac:dyDescent="0.25">
      <c r="A2986" s="4" t="s">
        <v>2320</v>
      </c>
      <c r="B2986" s="4" t="s">
        <v>4967</v>
      </c>
      <c r="C2986" s="4" t="s">
        <v>2320</v>
      </c>
      <c r="D2986" s="4" t="s">
        <v>242</v>
      </c>
      <c r="E2986" s="4" t="s">
        <v>4095</v>
      </c>
      <c r="F2986" s="4" t="s">
        <v>4094</v>
      </c>
      <c r="G2986" s="4" t="s">
        <v>2263</v>
      </c>
      <c r="H2986" s="9" t="s">
        <v>2263</v>
      </c>
      <c r="I2986" s="4" t="s">
        <v>2317</v>
      </c>
      <c r="J2986" s="4" t="s">
        <v>2316</v>
      </c>
      <c r="K2986" s="4" t="s">
        <v>2263</v>
      </c>
      <c r="L2986" s="10">
        <v>56</v>
      </c>
      <c r="M2986" s="5">
        <v>364.64433544303796</v>
      </c>
      <c r="N2986" s="5">
        <v>20420.082784810129</v>
      </c>
    </row>
    <row r="2987" spans="1:14" x14ac:dyDescent="0.25">
      <c r="A2987" s="4" t="s">
        <v>2344</v>
      </c>
      <c r="B2987" s="4" t="s">
        <v>5154</v>
      </c>
      <c r="C2987" s="4" t="s">
        <v>2267</v>
      </c>
      <c r="D2987" s="4" t="s">
        <v>2266</v>
      </c>
      <c r="E2987" s="4" t="s">
        <v>4385</v>
      </c>
      <c r="F2987" s="4" t="s">
        <v>2509</v>
      </c>
      <c r="G2987" s="4" t="s">
        <v>2263</v>
      </c>
      <c r="H2987" s="9" t="s">
        <v>2263</v>
      </c>
      <c r="I2987" s="4" t="s">
        <v>2263</v>
      </c>
      <c r="J2987" s="4" t="s">
        <v>2263</v>
      </c>
      <c r="K2987" s="4" t="s">
        <v>2494</v>
      </c>
      <c r="L2987" s="10">
        <v>56</v>
      </c>
      <c r="M2987" s="5">
        <v>2319.0068493150684</v>
      </c>
      <c r="N2987" s="5">
        <v>129864.38356164384</v>
      </c>
    </row>
    <row r="2988" spans="1:14" x14ac:dyDescent="0.25">
      <c r="A2988" s="4" t="s">
        <v>2344</v>
      </c>
      <c r="B2988" s="4" t="s">
        <v>5154</v>
      </c>
      <c r="C2988" s="4" t="s">
        <v>2344</v>
      </c>
      <c r="D2988" s="4" t="s">
        <v>237</v>
      </c>
      <c r="E2988" s="4" t="s">
        <v>5390</v>
      </c>
      <c r="F2988" s="4" t="s">
        <v>4650</v>
      </c>
      <c r="G2988" s="4" t="s">
        <v>2263</v>
      </c>
      <c r="H2988" s="9" t="s">
        <v>2263</v>
      </c>
      <c r="I2988" s="4" t="s">
        <v>2263</v>
      </c>
      <c r="J2988" s="4" t="s">
        <v>2263</v>
      </c>
      <c r="K2988" s="4" t="s">
        <v>4649</v>
      </c>
      <c r="L2988" s="10">
        <v>56</v>
      </c>
      <c r="M2988" s="5">
        <v>4406.1625000000004</v>
      </c>
      <c r="N2988" s="5">
        <v>246745.1</v>
      </c>
    </row>
    <row r="2989" spans="1:14" x14ac:dyDescent="0.25">
      <c r="A2989" s="4" t="s">
        <v>2274</v>
      </c>
      <c r="B2989" s="4" t="s">
        <v>4348</v>
      </c>
      <c r="C2989" s="4" t="s">
        <v>2274</v>
      </c>
      <c r="D2989" s="4" t="s">
        <v>2273</v>
      </c>
      <c r="E2989" s="4" t="s">
        <v>4474</v>
      </c>
      <c r="F2989" s="4" t="s">
        <v>4473</v>
      </c>
      <c r="G2989" s="4" t="s">
        <v>2263</v>
      </c>
      <c r="H2989" s="9" t="s">
        <v>2263</v>
      </c>
      <c r="I2989" s="4" t="s">
        <v>2263</v>
      </c>
      <c r="J2989" s="4" t="s">
        <v>2263</v>
      </c>
      <c r="K2989" s="4" t="s">
        <v>4467</v>
      </c>
      <c r="L2989" s="10">
        <v>56</v>
      </c>
      <c r="M2989" s="5">
        <v>4715.0655462184877</v>
      </c>
      <c r="N2989" s="5">
        <v>264043.67058823525</v>
      </c>
    </row>
    <row r="2990" spans="1:14" x14ac:dyDescent="0.25">
      <c r="A2990" s="4" t="s">
        <v>2653</v>
      </c>
      <c r="B2990" s="4" t="s">
        <v>3226</v>
      </c>
      <c r="C2990" s="4" t="s">
        <v>3107</v>
      </c>
      <c r="D2990" s="4" t="s">
        <v>1105</v>
      </c>
      <c r="E2990" s="4" t="s">
        <v>3797</v>
      </c>
      <c r="F2990" s="4" t="s">
        <v>3796</v>
      </c>
      <c r="G2990" s="4" t="s">
        <v>2263</v>
      </c>
      <c r="H2990" s="9" t="s">
        <v>2263</v>
      </c>
      <c r="I2990" s="4" t="s">
        <v>2317</v>
      </c>
      <c r="J2990" s="4" t="s">
        <v>2316</v>
      </c>
      <c r="K2990" s="4" t="s">
        <v>2263</v>
      </c>
      <c r="L2990" s="10">
        <v>56</v>
      </c>
      <c r="M2990" s="5">
        <v>5279.2330357142855</v>
      </c>
      <c r="N2990" s="5">
        <v>295637.05</v>
      </c>
    </row>
    <row r="2991" spans="1:14" x14ac:dyDescent="0.25">
      <c r="A2991" s="4" t="s">
        <v>2344</v>
      </c>
      <c r="B2991" s="4" t="s">
        <v>5154</v>
      </c>
      <c r="C2991" s="4" t="s">
        <v>2344</v>
      </c>
      <c r="D2991" s="4" t="s">
        <v>237</v>
      </c>
      <c r="E2991" s="4" t="s">
        <v>2753</v>
      </c>
      <c r="F2991" s="4" t="s">
        <v>2752</v>
      </c>
      <c r="G2991" s="4" t="s">
        <v>2263</v>
      </c>
      <c r="H2991" s="9" t="s">
        <v>2263</v>
      </c>
      <c r="I2991" s="4" t="s">
        <v>2263</v>
      </c>
      <c r="J2991" s="4" t="s">
        <v>2263</v>
      </c>
      <c r="K2991" s="4" t="s">
        <v>2751</v>
      </c>
      <c r="L2991" s="10">
        <v>56</v>
      </c>
      <c r="M2991" s="5">
        <v>10080.152592592593</v>
      </c>
      <c r="N2991" s="5">
        <v>564488.54518518515</v>
      </c>
    </row>
    <row r="2992" spans="1:14" x14ac:dyDescent="0.25">
      <c r="A2992" s="4" t="s">
        <v>2653</v>
      </c>
      <c r="B2992" s="4" t="s">
        <v>3226</v>
      </c>
      <c r="C2992" s="4" t="s">
        <v>2384</v>
      </c>
      <c r="D2992" s="4" t="s">
        <v>262</v>
      </c>
      <c r="E2992" s="4" t="s">
        <v>3470</v>
      </c>
      <c r="F2992" s="4" t="s">
        <v>3469</v>
      </c>
      <c r="G2992" s="4" t="s">
        <v>2263</v>
      </c>
      <c r="H2992" s="9" t="s">
        <v>2263</v>
      </c>
      <c r="I2992" s="4" t="s">
        <v>2317</v>
      </c>
      <c r="J2992" s="4" t="s">
        <v>2316</v>
      </c>
      <c r="K2992" s="4" t="s">
        <v>2263</v>
      </c>
      <c r="L2992" s="10">
        <v>56</v>
      </c>
      <c r="M2992" s="5">
        <v>12067.32767857143</v>
      </c>
      <c r="N2992" s="5">
        <v>675770.35</v>
      </c>
    </row>
    <row r="2993" spans="1:14" x14ac:dyDescent="0.25">
      <c r="A2993" s="4" t="s">
        <v>2344</v>
      </c>
      <c r="B2993" s="4" t="s">
        <v>5154</v>
      </c>
      <c r="C2993" s="4" t="s">
        <v>2344</v>
      </c>
      <c r="D2993" s="4" t="s">
        <v>237</v>
      </c>
      <c r="E2993" s="4" t="s">
        <v>5362</v>
      </c>
      <c r="F2993" s="4" t="s">
        <v>4422</v>
      </c>
      <c r="G2993" s="4" t="s">
        <v>2263</v>
      </c>
      <c r="H2993" s="9" t="s">
        <v>2263</v>
      </c>
      <c r="I2993" s="4" t="s">
        <v>2263</v>
      </c>
      <c r="J2993" s="4" t="s">
        <v>2263</v>
      </c>
      <c r="K2993" s="4" t="s">
        <v>2262</v>
      </c>
      <c r="L2993" s="10">
        <v>57</v>
      </c>
      <c r="M2993" s="5">
        <v>124.23385964912281</v>
      </c>
      <c r="N2993" s="5">
        <v>7081.33</v>
      </c>
    </row>
    <row r="2994" spans="1:14" x14ac:dyDescent="0.25">
      <c r="A2994" s="4" t="s">
        <v>2344</v>
      </c>
      <c r="B2994" s="4" t="s">
        <v>5154</v>
      </c>
      <c r="C2994" s="4" t="s">
        <v>2344</v>
      </c>
      <c r="D2994" s="4" t="s">
        <v>237</v>
      </c>
      <c r="E2994" s="4" t="s">
        <v>4831</v>
      </c>
      <c r="F2994" s="4" t="s">
        <v>2669</v>
      </c>
      <c r="G2994" s="4" t="s">
        <v>2263</v>
      </c>
      <c r="H2994" s="9" t="s">
        <v>2263</v>
      </c>
      <c r="I2994" s="4" t="s">
        <v>2263</v>
      </c>
      <c r="J2994" s="4" t="s">
        <v>2263</v>
      </c>
      <c r="K2994" s="4" t="s">
        <v>2262</v>
      </c>
      <c r="L2994" s="10">
        <v>57</v>
      </c>
      <c r="M2994" s="5">
        <v>2395.7731958762884</v>
      </c>
      <c r="N2994" s="5">
        <v>136559.07216494845</v>
      </c>
    </row>
    <row r="2995" spans="1:14" x14ac:dyDescent="0.25">
      <c r="A2995" s="4" t="s">
        <v>2317</v>
      </c>
      <c r="B2995" s="4" t="s">
        <v>3839</v>
      </c>
      <c r="C2995" s="4" t="s">
        <v>2320</v>
      </c>
      <c r="D2995" s="4" t="s">
        <v>242</v>
      </c>
      <c r="E2995" s="4" t="s">
        <v>4123</v>
      </c>
      <c r="F2995" s="4" t="s">
        <v>4122</v>
      </c>
      <c r="G2995" s="4" t="s">
        <v>2263</v>
      </c>
      <c r="H2995" s="9" t="s">
        <v>2263</v>
      </c>
      <c r="I2995" s="4" t="s">
        <v>2317</v>
      </c>
      <c r="J2995" s="4" t="s">
        <v>2316</v>
      </c>
      <c r="K2995" s="4" t="s">
        <v>2263</v>
      </c>
      <c r="L2995" s="10">
        <v>57</v>
      </c>
      <c r="M2995" s="5">
        <v>3204.7664179104477</v>
      </c>
      <c r="N2995" s="5">
        <v>182671.68582089551</v>
      </c>
    </row>
    <row r="2996" spans="1:14" x14ac:dyDescent="0.25">
      <c r="A2996" s="4" t="s">
        <v>2344</v>
      </c>
      <c r="B2996" s="4" t="s">
        <v>5154</v>
      </c>
      <c r="C2996" s="4" t="s">
        <v>2344</v>
      </c>
      <c r="D2996" s="4" t="s">
        <v>237</v>
      </c>
      <c r="E2996" s="4" t="s">
        <v>4778</v>
      </c>
      <c r="F2996" s="4" t="s">
        <v>2504</v>
      </c>
      <c r="G2996" s="4" t="s">
        <v>2263</v>
      </c>
      <c r="H2996" s="9" t="s">
        <v>2263</v>
      </c>
      <c r="I2996" s="4" t="s">
        <v>2263</v>
      </c>
      <c r="J2996" s="4" t="s">
        <v>2263</v>
      </c>
      <c r="K2996" s="4" t="s">
        <v>2503</v>
      </c>
      <c r="L2996" s="10">
        <v>57</v>
      </c>
      <c r="M2996" s="5">
        <v>3409.5070050761419</v>
      </c>
      <c r="N2996" s="5">
        <v>194341.89928934007</v>
      </c>
    </row>
    <row r="2997" spans="1:14" x14ac:dyDescent="0.25">
      <c r="A2997" s="4" t="s">
        <v>2344</v>
      </c>
      <c r="B2997" s="4" t="s">
        <v>5154</v>
      </c>
      <c r="C2997" s="4" t="s">
        <v>2344</v>
      </c>
      <c r="D2997" s="4" t="s">
        <v>237</v>
      </c>
      <c r="E2997" s="4" t="s">
        <v>4588</v>
      </c>
      <c r="F2997" s="4" t="s">
        <v>4587</v>
      </c>
      <c r="G2997" s="4" t="s">
        <v>2263</v>
      </c>
      <c r="H2997" s="9" t="s">
        <v>2263</v>
      </c>
      <c r="I2997" s="4" t="s">
        <v>2263</v>
      </c>
      <c r="J2997" s="4" t="s">
        <v>2263</v>
      </c>
      <c r="K2997" s="4" t="s">
        <v>2520</v>
      </c>
      <c r="L2997" s="10">
        <v>58</v>
      </c>
      <c r="M2997" s="5">
        <v>648.00093220338988</v>
      </c>
      <c r="N2997" s="5">
        <v>37584.054067796613</v>
      </c>
    </row>
    <row r="2998" spans="1:14" x14ac:dyDescent="0.25">
      <c r="A2998" s="4" t="s">
        <v>2653</v>
      </c>
      <c r="B2998" s="4" t="s">
        <v>3226</v>
      </c>
      <c r="C2998" s="4" t="s">
        <v>3107</v>
      </c>
      <c r="D2998" s="4" t="s">
        <v>1105</v>
      </c>
      <c r="E2998" s="4" t="s">
        <v>3755</v>
      </c>
      <c r="F2998" s="4" t="s">
        <v>3754</v>
      </c>
      <c r="G2998" s="4" t="s">
        <v>2263</v>
      </c>
      <c r="H2998" s="9" t="s">
        <v>2263</v>
      </c>
      <c r="I2998" s="4" t="s">
        <v>2317</v>
      </c>
      <c r="J2998" s="4" t="s">
        <v>2316</v>
      </c>
      <c r="K2998" s="4" t="s">
        <v>2263</v>
      </c>
      <c r="L2998" s="10">
        <v>58</v>
      </c>
      <c r="M2998" s="5">
        <v>4454.9077586206895</v>
      </c>
      <c r="N2998" s="5">
        <v>258384.65</v>
      </c>
    </row>
    <row r="2999" spans="1:14" x14ac:dyDescent="0.25">
      <c r="A2999" s="4" t="s">
        <v>2344</v>
      </c>
      <c r="B2999" s="4" t="s">
        <v>5154</v>
      </c>
      <c r="C2999" s="4" t="s">
        <v>2344</v>
      </c>
      <c r="D2999" s="4" t="s">
        <v>237</v>
      </c>
      <c r="E2999" s="4" t="s">
        <v>4519</v>
      </c>
      <c r="F2999" s="4" t="s">
        <v>4518</v>
      </c>
      <c r="G2999" s="4" t="s">
        <v>2263</v>
      </c>
      <c r="H2999" s="9" t="s">
        <v>2263</v>
      </c>
      <c r="I2999" s="4" t="s">
        <v>2263</v>
      </c>
      <c r="J2999" s="4" t="s">
        <v>2263</v>
      </c>
      <c r="K2999" s="4" t="s">
        <v>2552</v>
      </c>
      <c r="L2999" s="10">
        <v>59</v>
      </c>
      <c r="M2999" s="5">
        <v>210</v>
      </c>
      <c r="N2999" s="5">
        <v>12390</v>
      </c>
    </row>
    <row r="3000" spans="1:14" x14ac:dyDescent="0.25">
      <c r="A3000" s="4" t="s">
        <v>2344</v>
      </c>
      <c r="B3000" s="4" t="s">
        <v>5154</v>
      </c>
      <c r="C3000" s="4" t="s">
        <v>2344</v>
      </c>
      <c r="D3000" s="4" t="s">
        <v>237</v>
      </c>
      <c r="E3000" s="4" t="s">
        <v>4527</v>
      </c>
      <c r="F3000" s="4" t="s">
        <v>4526</v>
      </c>
      <c r="G3000" s="4" t="s">
        <v>2263</v>
      </c>
      <c r="H3000" s="9" t="s">
        <v>2263</v>
      </c>
      <c r="I3000" s="4" t="s">
        <v>2263</v>
      </c>
      <c r="J3000" s="4" t="s">
        <v>2263</v>
      </c>
      <c r="K3000" s="4" t="s">
        <v>4525</v>
      </c>
      <c r="L3000" s="10">
        <v>59</v>
      </c>
      <c r="M3000" s="5">
        <v>536.02531645569616</v>
      </c>
      <c r="N3000" s="5">
        <v>31625.493670886081</v>
      </c>
    </row>
    <row r="3001" spans="1:14" x14ac:dyDescent="0.25">
      <c r="A3001" s="4" t="s">
        <v>2317</v>
      </c>
      <c r="B3001" s="4" t="s">
        <v>3839</v>
      </c>
      <c r="C3001" s="4" t="s">
        <v>2320</v>
      </c>
      <c r="D3001" s="4" t="s">
        <v>242</v>
      </c>
      <c r="E3001" s="4" t="s">
        <v>2711</v>
      </c>
      <c r="F3001" s="4" t="s">
        <v>2710</v>
      </c>
      <c r="G3001" s="4" t="s">
        <v>2263</v>
      </c>
      <c r="H3001" s="9" t="s">
        <v>2263</v>
      </c>
      <c r="I3001" s="4" t="s">
        <v>2317</v>
      </c>
      <c r="J3001" s="4" t="s">
        <v>2316</v>
      </c>
      <c r="K3001" s="4" t="s">
        <v>2263</v>
      </c>
      <c r="L3001" s="10">
        <v>59</v>
      </c>
      <c r="M3001" s="5">
        <v>1558.1416494845362</v>
      </c>
      <c r="N3001" s="5">
        <v>91930.357319587638</v>
      </c>
    </row>
    <row r="3002" spans="1:14" x14ac:dyDescent="0.25">
      <c r="A3002" s="4" t="s">
        <v>2344</v>
      </c>
      <c r="B3002" s="4" t="s">
        <v>5154</v>
      </c>
      <c r="C3002" s="4" t="s">
        <v>2320</v>
      </c>
      <c r="D3002" s="4" t="s">
        <v>242</v>
      </c>
      <c r="E3002" s="4" t="s">
        <v>3038</v>
      </c>
      <c r="F3002" s="4" t="s">
        <v>3037</v>
      </c>
      <c r="G3002" s="4" t="s">
        <v>2263</v>
      </c>
      <c r="H3002" s="9" t="s">
        <v>2263</v>
      </c>
      <c r="I3002" s="4" t="s">
        <v>2317</v>
      </c>
      <c r="J3002" s="4" t="s">
        <v>2316</v>
      </c>
      <c r="K3002" s="4" t="s">
        <v>2263</v>
      </c>
      <c r="L3002" s="10">
        <v>59</v>
      </c>
      <c r="M3002" s="5">
        <v>1959.4821739130434</v>
      </c>
      <c r="N3002" s="5">
        <v>115609.44826086955</v>
      </c>
    </row>
    <row r="3003" spans="1:14" x14ac:dyDescent="0.25">
      <c r="A3003" s="4" t="s">
        <v>2317</v>
      </c>
      <c r="B3003" s="4" t="s">
        <v>3839</v>
      </c>
      <c r="C3003" s="4" t="s">
        <v>2320</v>
      </c>
      <c r="D3003" s="4" t="s">
        <v>242</v>
      </c>
      <c r="E3003" s="4" t="s">
        <v>2897</v>
      </c>
      <c r="F3003" s="4" t="s">
        <v>2896</v>
      </c>
      <c r="G3003" s="4" t="s">
        <v>2263</v>
      </c>
      <c r="H3003" s="9" t="s">
        <v>2263</v>
      </c>
      <c r="I3003" s="4" t="s">
        <v>2317</v>
      </c>
      <c r="J3003" s="4" t="s">
        <v>2316</v>
      </c>
      <c r="K3003" s="4" t="s">
        <v>2263</v>
      </c>
      <c r="L3003" s="10">
        <v>59</v>
      </c>
      <c r="M3003" s="5">
        <v>2641.6159235668792</v>
      </c>
      <c r="N3003" s="5">
        <v>155855.33949044585</v>
      </c>
    </row>
    <row r="3004" spans="1:14" x14ac:dyDescent="0.25">
      <c r="A3004" s="4" t="s">
        <v>2344</v>
      </c>
      <c r="B3004" s="4" t="s">
        <v>5154</v>
      </c>
      <c r="C3004" s="4" t="s">
        <v>2317</v>
      </c>
      <c r="D3004" s="4" t="s">
        <v>2516</v>
      </c>
      <c r="E3004" s="4" t="s">
        <v>5204</v>
      </c>
      <c r="F3004" s="4" t="s">
        <v>2515</v>
      </c>
      <c r="G3004" s="4" t="s">
        <v>2263</v>
      </c>
      <c r="H3004" s="9" t="s">
        <v>2263</v>
      </c>
      <c r="I3004" s="4" t="s">
        <v>2263</v>
      </c>
      <c r="J3004" s="4" t="s">
        <v>2263</v>
      </c>
      <c r="K3004" s="4" t="s">
        <v>2514</v>
      </c>
      <c r="L3004" s="10">
        <v>59</v>
      </c>
      <c r="M3004" s="5">
        <v>11500</v>
      </c>
      <c r="N3004" s="5">
        <v>678500</v>
      </c>
    </row>
    <row r="3005" spans="1:14" x14ac:dyDescent="0.25">
      <c r="A3005" s="4" t="s">
        <v>2320</v>
      </c>
      <c r="B3005" s="4" t="s">
        <v>4967</v>
      </c>
      <c r="C3005" s="4" t="s">
        <v>2320</v>
      </c>
      <c r="D3005" s="4" t="s">
        <v>242</v>
      </c>
      <c r="E3005" s="4" t="s">
        <v>5059</v>
      </c>
      <c r="F3005" s="4" t="s">
        <v>5058</v>
      </c>
      <c r="G3005" s="4" t="s">
        <v>2263</v>
      </c>
      <c r="H3005" s="9" t="s">
        <v>2263</v>
      </c>
      <c r="I3005" s="4" t="s">
        <v>2317</v>
      </c>
      <c r="J3005" s="4" t="s">
        <v>2316</v>
      </c>
      <c r="K3005" s="4" t="s">
        <v>2263</v>
      </c>
      <c r="L3005" s="10">
        <v>59</v>
      </c>
      <c r="M3005" s="5">
        <v>43382.745762711864</v>
      </c>
      <c r="N3005" s="5">
        <v>2559582</v>
      </c>
    </row>
    <row r="3006" spans="1:14" x14ac:dyDescent="0.25">
      <c r="A3006" s="4" t="s">
        <v>2274</v>
      </c>
      <c r="B3006" s="4" t="s">
        <v>4348</v>
      </c>
      <c r="C3006" s="4" t="s">
        <v>2344</v>
      </c>
      <c r="D3006" s="4" t="s">
        <v>237</v>
      </c>
      <c r="E3006" s="4" t="s">
        <v>4626</v>
      </c>
      <c r="F3006" s="4" t="s">
        <v>2550</v>
      </c>
      <c r="G3006" s="4" t="s">
        <v>2263</v>
      </c>
      <c r="H3006" s="9" t="s">
        <v>2263</v>
      </c>
      <c r="I3006" s="4" t="s">
        <v>2263</v>
      </c>
      <c r="J3006" s="4" t="s">
        <v>2263</v>
      </c>
      <c r="K3006" s="4" t="s">
        <v>2465</v>
      </c>
      <c r="L3006" s="10">
        <v>60</v>
      </c>
      <c r="M3006" s="5">
        <v>53.074179104477608</v>
      </c>
      <c r="N3006" s="5">
        <v>3184.4507462686602</v>
      </c>
    </row>
    <row r="3007" spans="1:14" x14ac:dyDescent="0.25">
      <c r="A3007" s="4" t="s">
        <v>2274</v>
      </c>
      <c r="B3007" s="4" t="s">
        <v>4348</v>
      </c>
      <c r="C3007" s="4" t="s">
        <v>2344</v>
      </c>
      <c r="D3007" s="4" t="s">
        <v>237</v>
      </c>
      <c r="E3007" s="4" t="s">
        <v>4939</v>
      </c>
      <c r="F3007" s="4" t="s">
        <v>2548</v>
      </c>
      <c r="G3007" s="4" t="s">
        <v>2263</v>
      </c>
      <c r="H3007" s="9" t="s">
        <v>2263</v>
      </c>
      <c r="I3007" s="4" t="s">
        <v>2263</v>
      </c>
      <c r="J3007" s="4" t="s">
        <v>2263</v>
      </c>
      <c r="K3007" s="4" t="s">
        <v>2547</v>
      </c>
      <c r="L3007" s="10">
        <v>60</v>
      </c>
      <c r="M3007" s="5">
        <v>106</v>
      </c>
      <c r="N3007" s="5">
        <v>6360</v>
      </c>
    </row>
    <row r="3008" spans="1:14" x14ac:dyDescent="0.25">
      <c r="A3008" s="4" t="s">
        <v>2344</v>
      </c>
      <c r="B3008" s="4" t="s">
        <v>5154</v>
      </c>
      <c r="C3008" s="4" t="s">
        <v>2267</v>
      </c>
      <c r="D3008" s="4" t="s">
        <v>2266</v>
      </c>
      <c r="E3008" s="4" t="s">
        <v>4379</v>
      </c>
      <c r="F3008" s="4" t="s">
        <v>2491</v>
      </c>
      <c r="G3008" s="4" t="s">
        <v>2263</v>
      </c>
      <c r="H3008" s="9" t="s">
        <v>2263</v>
      </c>
      <c r="I3008" s="4" t="s">
        <v>2263</v>
      </c>
      <c r="J3008" s="4" t="s">
        <v>2263</v>
      </c>
      <c r="K3008" s="4" t="s">
        <v>2490</v>
      </c>
      <c r="L3008" s="10">
        <v>60</v>
      </c>
      <c r="M3008" s="5">
        <v>195.70400000000001</v>
      </c>
      <c r="N3008" s="5">
        <v>11742.24</v>
      </c>
    </row>
    <row r="3009" spans="1:14" x14ac:dyDescent="0.25">
      <c r="A3009" s="4" t="s">
        <v>2274</v>
      </c>
      <c r="B3009" s="4" t="s">
        <v>4348</v>
      </c>
      <c r="C3009" s="4" t="s">
        <v>2344</v>
      </c>
      <c r="D3009" s="4" t="s">
        <v>237</v>
      </c>
      <c r="E3009" s="4" t="s">
        <v>4770</v>
      </c>
      <c r="F3009" s="4" t="s">
        <v>4769</v>
      </c>
      <c r="G3009" s="4" t="s">
        <v>2263</v>
      </c>
      <c r="H3009" s="9" t="s">
        <v>2263</v>
      </c>
      <c r="I3009" s="4" t="s">
        <v>2263</v>
      </c>
      <c r="J3009" s="4" t="s">
        <v>2263</v>
      </c>
      <c r="K3009" s="4" t="s">
        <v>2628</v>
      </c>
      <c r="L3009" s="10">
        <v>60</v>
      </c>
      <c r="M3009" s="5">
        <v>201.17706666666666</v>
      </c>
      <c r="N3009" s="5">
        <v>12070.624</v>
      </c>
    </row>
    <row r="3010" spans="1:14" x14ac:dyDescent="0.25">
      <c r="A3010" s="4" t="s">
        <v>2274</v>
      </c>
      <c r="B3010" s="4" t="s">
        <v>4348</v>
      </c>
      <c r="C3010" s="4" t="s">
        <v>2344</v>
      </c>
      <c r="D3010" s="4" t="s">
        <v>237</v>
      </c>
      <c r="E3010" s="4" t="s">
        <v>4658</v>
      </c>
      <c r="F3010" s="4" t="s">
        <v>4657</v>
      </c>
      <c r="G3010" s="4" t="s">
        <v>2263</v>
      </c>
      <c r="H3010" s="9" t="s">
        <v>2263</v>
      </c>
      <c r="I3010" s="4" t="s">
        <v>2263</v>
      </c>
      <c r="J3010" s="4" t="s">
        <v>2263</v>
      </c>
      <c r="K3010" s="4" t="s">
        <v>2871</v>
      </c>
      <c r="L3010" s="10">
        <v>60</v>
      </c>
      <c r="M3010" s="5">
        <v>204</v>
      </c>
      <c r="N3010" s="5">
        <v>12240</v>
      </c>
    </row>
    <row r="3011" spans="1:14" x14ac:dyDescent="0.25">
      <c r="A3011" s="4" t="s">
        <v>2274</v>
      </c>
      <c r="B3011" s="4" t="s">
        <v>4348</v>
      </c>
      <c r="C3011" s="4" t="s">
        <v>2267</v>
      </c>
      <c r="D3011" s="4" t="s">
        <v>2266</v>
      </c>
      <c r="E3011" s="4" t="s">
        <v>4426</v>
      </c>
      <c r="F3011" s="4" t="s">
        <v>4377</v>
      </c>
      <c r="G3011" s="4" t="s">
        <v>2263</v>
      </c>
      <c r="H3011" s="9" t="s">
        <v>2263</v>
      </c>
      <c r="I3011" s="4" t="s">
        <v>2263</v>
      </c>
      <c r="J3011" s="4" t="s">
        <v>2263</v>
      </c>
      <c r="K3011" s="4" t="s">
        <v>2262</v>
      </c>
      <c r="L3011" s="10">
        <v>60</v>
      </c>
      <c r="M3011" s="5">
        <v>214</v>
      </c>
      <c r="N3011" s="5">
        <v>12840</v>
      </c>
    </row>
    <row r="3012" spans="1:14" x14ac:dyDescent="0.25">
      <c r="A3012" s="4" t="s">
        <v>2344</v>
      </c>
      <c r="B3012" s="4" t="s">
        <v>5154</v>
      </c>
      <c r="C3012" s="4" t="s">
        <v>2344</v>
      </c>
      <c r="D3012" s="4" t="s">
        <v>237</v>
      </c>
      <c r="E3012" s="4" t="s">
        <v>4735</v>
      </c>
      <c r="F3012" s="4" t="s">
        <v>4704</v>
      </c>
      <c r="G3012" s="4" t="s">
        <v>2263</v>
      </c>
      <c r="H3012" s="9" t="s">
        <v>2263</v>
      </c>
      <c r="I3012" s="4" t="s">
        <v>2263</v>
      </c>
      <c r="J3012" s="4" t="s">
        <v>2263</v>
      </c>
      <c r="K3012" s="4" t="s">
        <v>4703</v>
      </c>
      <c r="L3012" s="10">
        <v>60</v>
      </c>
      <c r="M3012" s="5">
        <v>235.2017222222222</v>
      </c>
      <c r="N3012" s="5">
        <v>14112.103333333331</v>
      </c>
    </row>
    <row r="3013" spans="1:14" x14ac:dyDescent="0.25">
      <c r="A3013" s="4" t="s">
        <v>2274</v>
      </c>
      <c r="B3013" s="4" t="s">
        <v>4348</v>
      </c>
      <c r="C3013" s="4" t="s">
        <v>2344</v>
      </c>
      <c r="D3013" s="4" t="s">
        <v>237</v>
      </c>
      <c r="E3013" s="4" t="s">
        <v>4795</v>
      </c>
      <c r="F3013" s="4" t="s">
        <v>4794</v>
      </c>
      <c r="G3013" s="4" t="s">
        <v>2263</v>
      </c>
      <c r="H3013" s="9" t="s">
        <v>2263</v>
      </c>
      <c r="I3013" s="4" t="s">
        <v>2263</v>
      </c>
      <c r="J3013" s="4" t="s">
        <v>2263</v>
      </c>
      <c r="K3013" s="4" t="s">
        <v>2488</v>
      </c>
      <c r="L3013" s="10">
        <v>60</v>
      </c>
      <c r="M3013" s="5">
        <v>286.69884615384615</v>
      </c>
      <c r="N3013" s="5">
        <v>17201.93076923077</v>
      </c>
    </row>
    <row r="3014" spans="1:14" x14ac:dyDescent="0.25">
      <c r="A3014" s="4" t="s">
        <v>2274</v>
      </c>
      <c r="B3014" s="4" t="s">
        <v>4348</v>
      </c>
      <c r="C3014" s="4" t="s">
        <v>2344</v>
      </c>
      <c r="D3014" s="4" t="s">
        <v>237</v>
      </c>
      <c r="E3014" s="4" t="s">
        <v>4687</v>
      </c>
      <c r="F3014" s="4" t="s">
        <v>4686</v>
      </c>
      <c r="G3014" s="4" t="s">
        <v>2263</v>
      </c>
      <c r="H3014" s="9" t="s">
        <v>2263</v>
      </c>
      <c r="I3014" s="4" t="s">
        <v>2263</v>
      </c>
      <c r="J3014" s="4" t="s">
        <v>2263</v>
      </c>
      <c r="K3014" s="4" t="s">
        <v>2488</v>
      </c>
      <c r="L3014" s="10">
        <v>60</v>
      </c>
      <c r="M3014" s="5">
        <v>327</v>
      </c>
      <c r="N3014" s="5">
        <v>19620</v>
      </c>
    </row>
    <row r="3015" spans="1:14" x14ac:dyDescent="0.25">
      <c r="A3015" s="4" t="s">
        <v>2274</v>
      </c>
      <c r="B3015" s="4" t="s">
        <v>4348</v>
      </c>
      <c r="C3015" s="4" t="s">
        <v>2344</v>
      </c>
      <c r="D3015" s="4" t="s">
        <v>237</v>
      </c>
      <c r="E3015" s="4" t="s">
        <v>4932</v>
      </c>
      <c r="F3015" s="4" t="s">
        <v>4931</v>
      </c>
      <c r="G3015" s="4" t="s">
        <v>2263</v>
      </c>
      <c r="H3015" s="9" t="s">
        <v>2263</v>
      </c>
      <c r="I3015" s="4" t="s">
        <v>2263</v>
      </c>
      <c r="J3015" s="4" t="s">
        <v>2263</v>
      </c>
      <c r="K3015" s="4" t="s">
        <v>2488</v>
      </c>
      <c r="L3015" s="10">
        <v>60</v>
      </c>
      <c r="M3015" s="5">
        <v>355.7087378640777</v>
      </c>
      <c r="N3015" s="5">
        <v>21342.524271844661</v>
      </c>
    </row>
    <row r="3016" spans="1:14" x14ac:dyDescent="0.25">
      <c r="A3016" s="4" t="s">
        <v>2274</v>
      </c>
      <c r="B3016" s="4" t="s">
        <v>4348</v>
      </c>
      <c r="C3016" s="4" t="s">
        <v>2344</v>
      </c>
      <c r="D3016" s="4" t="s">
        <v>237</v>
      </c>
      <c r="E3016" s="4" t="s">
        <v>4682</v>
      </c>
      <c r="F3016" s="4" t="s">
        <v>4681</v>
      </c>
      <c r="G3016" s="4" t="s">
        <v>2263</v>
      </c>
      <c r="H3016" s="9" t="s">
        <v>2263</v>
      </c>
      <c r="I3016" s="4" t="s">
        <v>2263</v>
      </c>
      <c r="J3016" s="4" t="s">
        <v>2263</v>
      </c>
      <c r="K3016" s="4" t="s">
        <v>4382</v>
      </c>
      <c r="L3016" s="10">
        <v>60</v>
      </c>
      <c r="M3016" s="5">
        <v>473.72245901639349</v>
      </c>
      <c r="N3016" s="5">
        <v>28423.34754098361</v>
      </c>
    </row>
    <row r="3017" spans="1:14" x14ac:dyDescent="0.25">
      <c r="A3017" s="4" t="s">
        <v>2274</v>
      </c>
      <c r="B3017" s="4" t="s">
        <v>4348</v>
      </c>
      <c r="C3017" s="4" t="s">
        <v>2344</v>
      </c>
      <c r="D3017" s="4" t="s">
        <v>237</v>
      </c>
      <c r="E3017" s="4" t="s">
        <v>4690</v>
      </c>
      <c r="F3017" s="4" t="s">
        <v>4689</v>
      </c>
      <c r="G3017" s="4" t="s">
        <v>2263</v>
      </c>
      <c r="H3017" s="9" t="s">
        <v>2263</v>
      </c>
      <c r="I3017" s="4" t="s">
        <v>2263</v>
      </c>
      <c r="J3017" s="4" t="s">
        <v>2263</v>
      </c>
      <c r="K3017" s="4" t="s">
        <v>4688</v>
      </c>
      <c r="L3017" s="10">
        <v>60</v>
      </c>
      <c r="M3017" s="5">
        <v>482.42697368421051</v>
      </c>
      <c r="N3017" s="5">
        <v>28945.61842105263</v>
      </c>
    </row>
    <row r="3018" spans="1:14" x14ac:dyDescent="0.25">
      <c r="A3018" s="4" t="s">
        <v>2274</v>
      </c>
      <c r="B3018" s="4" t="s">
        <v>4348</v>
      </c>
      <c r="C3018" s="4" t="s">
        <v>2344</v>
      </c>
      <c r="D3018" s="4" t="s">
        <v>237</v>
      </c>
      <c r="E3018" s="4" t="s">
        <v>4712</v>
      </c>
      <c r="F3018" s="4" t="s">
        <v>4694</v>
      </c>
      <c r="G3018" s="4" t="s">
        <v>2263</v>
      </c>
      <c r="H3018" s="9" t="s">
        <v>2263</v>
      </c>
      <c r="I3018" s="4" t="s">
        <v>2263</v>
      </c>
      <c r="J3018" s="4" t="s">
        <v>2263</v>
      </c>
      <c r="K3018" s="4" t="s">
        <v>4693</v>
      </c>
      <c r="L3018" s="10">
        <v>60</v>
      </c>
      <c r="M3018" s="5">
        <v>483.56799999999998</v>
      </c>
      <c r="N3018" s="5">
        <v>29014.080000000002</v>
      </c>
    </row>
    <row r="3019" spans="1:14" x14ac:dyDescent="0.25">
      <c r="A3019" s="4" t="s">
        <v>2274</v>
      </c>
      <c r="B3019" s="4" t="s">
        <v>4348</v>
      </c>
      <c r="C3019" s="4" t="s">
        <v>2344</v>
      </c>
      <c r="D3019" s="4" t="s">
        <v>237</v>
      </c>
      <c r="E3019" s="4" t="s">
        <v>4785</v>
      </c>
      <c r="F3019" s="4" t="s">
        <v>2555</v>
      </c>
      <c r="G3019" s="4" t="s">
        <v>2263</v>
      </c>
      <c r="H3019" s="9" t="s">
        <v>2263</v>
      </c>
      <c r="I3019" s="4" t="s">
        <v>2263</v>
      </c>
      <c r="J3019" s="4" t="s">
        <v>2263</v>
      </c>
      <c r="K3019" s="4" t="s">
        <v>2494</v>
      </c>
      <c r="L3019" s="10">
        <v>60</v>
      </c>
      <c r="M3019" s="5">
        <v>515.75125000000003</v>
      </c>
      <c r="N3019" s="5">
        <v>30945.075000000001</v>
      </c>
    </row>
    <row r="3020" spans="1:14" x14ac:dyDescent="0.25">
      <c r="A3020" s="4" t="s">
        <v>2344</v>
      </c>
      <c r="B3020" s="4" t="s">
        <v>5154</v>
      </c>
      <c r="C3020" s="4" t="s">
        <v>2344</v>
      </c>
      <c r="D3020" s="4" t="s">
        <v>237</v>
      </c>
      <c r="E3020" s="4" t="s">
        <v>5506</v>
      </c>
      <c r="F3020" s="4" t="s">
        <v>5505</v>
      </c>
      <c r="G3020" s="4" t="s">
        <v>2263</v>
      </c>
      <c r="H3020" s="9" t="s">
        <v>2263</v>
      </c>
      <c r="I3020" s="4" t="s">
        <v>2263</v>
      </c>
      <c r="J3020" s="4" t="s">
        <v>2263</v>
      </c>
      <c r="K3020" s="4" t="s">
        <v>5482</v>
      </c>
      <c r="L3020" s="10">
        <v>60</v>
      </c>
      <c r="M3020" s="5">
        <v>566.9</v>
      </c>
      <c r="N3020" s="5">
        <v>34014</v>
      </c>
    </row>
    <row r="3021" spans="1:14" x14ac:dyDescent="0.25">
      <c r="A3021" s="4" t="s">
        <v>2274</v>
      </c>
      <c r="B3021" s="4" t="s">
        <v>4348</v>
      </c>
      <c r="C3021" s="4" t="s">
        <v>2344</v>
      </c>
      <c r="D3021" s="4" t="s">
        <v>237</v>
      </c>
      <c r="E3021" s="4" t="s">
        <v>4883</v>
      </c>
      <c r="F3021" s="4" t="s">
        <v>2636</v>
      </c>
      <c r="G3021" s="4" t="s">
        <v>2263</v>
      </c>
      <c r="H3021" s="9" t="s">
        <v>2263</v>
      </c>
      <c r="I3021" s="4" t="s">
        <v>2263</v>
      </c>
      <c r="J3021" s="4" t="s">
        <v>2263</v>
      </c>
      <c r="K3021" s="4" t="s">
        <v>2520</v>
      </c>
      <c r="L3021" s="10">
        <v>60</v>
      </c>
      <c r="M3021" s="5">
        <v>623.13099999999997</v>
      </c>
      <c r="N3021" s="5">
        <v>37387.86</v>
      </c>
    </row>
    <row r="3022" spans="1:14" x14ac:dyDescent="0.25">
      <c r="A3022" s="4" t="s">
        <v>2274</v>
      </c>
      <c r="B3022" s="4" t="s">
        <v>4348</v>
      </c>
      <c r="C3022" s="4" t="s">
        <v>2344</v>
      </c>
      <c r="D3022" s="4" t="s">
        <v>237</v>
      </c>
      <c r="E3022" s="4" t="s">
        <v>4588</v>
      </c>
      <c r="F3022" s="4" t="s">
        <v>4587</v>
      </c>
      <c r="G3022" s="4" t="s">
        <v>2263</v>
      </c>
      <c r="H3022" s="9" t="s">
        <v>2263</v>
      </c>
      <c r="I3022" s="4" t="s">
        <v>2263</v>
      </c>
      <c r="J3022" s="4" t="s">
        <v>2263</v>
      </c>
      <c r="K3022" s="4" t="s">
        <v>2520</v>
      </c>
      <c r="L3022" s="10">
        <v>60</v>
      </c>
      <c r="M3022" s="5">
        <v>648.00093220338988</v>
      </c>
      <c r="N3022" s="5">
        <v>38880.055932203388</v>
      </c>
    </row>
    <row r="3023" spans="1:14" x14ac:dyDescent="0.25">
      <c r="A3023" s="4" t="s">
        <v>2274</v>
      </c>
      <c r="B3023" s="4" t="s">
        <v>4348</v>
      </c>
      <c r="C3023" s="4" t="s">
        <v>2344</v>
      </c>
      <c r="D3023" s="4" t="s">
        <v>237</v>
      </c>
      <c r="E3023" s="4" t="s">
        <v>3194</v>
      </c>
      <c r="F3023" s="4" t="s">
        <v>2425</v>
      </c>
      <c r="G3023" s="4" t="s">
        <v>2263</v>
      </c>
      <c r="H3023" s="9" t="s">
        <v>2263</v>
      </c>
      <c r="I3023" s="4" t="s">
        <v>2263</v>
      </c>
      <c r="J3023" s="4" t="s">
        <v>2263</v>
      </c>
      <c r="K3023" s="4" t="s">
        <v>2424</v>
      </c>
      <c r="L3023" s="10">
        <v>60</v>
      </c>
      <c r="M3023" s="5">
        <v>1013.732700729927</v>
      </c>
      <c r="N3023" s="5">
        <v>60823.962043795618</v>
      </c>
    </row>
    <row r="3024" spans="1:14" x14ac:dyDescent="0.25">
      <c r="A3024" s="4" t="s">
        <v>2653</v>
      </c>
      <c r="B3024" s="4" t="s">
        <v>3226</v>
      </c>
      <c r="C3024" s="4" t="s">
        <v>3107</v>
      </c>
      <c r="D3024" s="4" t="s">
        <v>1105</v>
      </c>
      <c r="E3024" s="4" t="s">
        <v>3749</v>
      </c>
      <c r="F3024" s="4" t="s">
        <v>3748</v>
      </c>
      <c r="G3024" s="4" t="s">
        <v>2263</v>
      </c>
      <c r="H3024" s="9" t="s">
        <v>2263</v>
      </c>
      <c r="I3024" s="4" t="s">
        <v>2317</v>
      </c>
      <c r="J3024" s="4" t="s">
        <v>2316</v>
      </c>
      <c r="K3024" s="4" t="s">
        <v>2263</v>
      </c>
      <c r="L3024" s="10">
        <v>60</v>
      </c>
      <c r="M3024" s="5">
        <v>1270.2558333333332</v>
      </c>
      <c r="N3024" s="5">
        <v>76215.350000000006</v>
      </c>
    </row>
    <row r="3025" spans="1:14" x14ac:dyDescent="0.25">
      <c r="A3025" s="4" t="s">
        <v>2274</v>
      </c>
      <c r="B3025" s="4" t="s">
        <v>4348</v>
      </c>
      <c r="C3025" s="4" t="s">
        <v>2344</v>
      </c>
      <c r="D3025" s="4" t="s">
        <v>237</v>
      </c>
      <c r="E3025" s="4" t="s">
        <v>4646</v>
      </c>
      <c r="F3025" s="4" t="s">
        <v>4645</v>
      </c>
      <c r="G3025" s="4" t="s">
        <v>2263</v>
      </c>
      <c r="H3025" s="9" t="s">
        <v>2263</v>
      </c>
      <c r="I3025" s="4" t="s">
        <v>2263</v>
      </c>
      <c r="J3025" s="4" t="s">
        <v>2263</v>
      </c>
      <c r="K3025" s="4" t="s">
        <v>4644</v>
      </c>
      <c r="L3025" s="10">
        <v>60</v>
      </c>
      <c r="M3025" s="5">
        <v>1537.0255263157896</v>
      </c>
      <c r="N3025" s="5">
        <v>92221.531578947353</v>
      </c>
    </row>
    <row r="3026" spans="1:14" x14ac:dyDescent="0.25">
      <c r="A3026" s="4" t="s">
        <v>2320</v>
      </c>
      <c r="B3026" s="4" t="s">
        <v>4967</v>
      </c>
      <c r="C3026" s="4" t="s">
        <v>2320</v>
      </c>
      <c r="D3026" s="4" t="s">
        <v>242</v>
      </c>
      <c r="E3026" s="4" t="s">
        <v>2731</v>
      </c>
      <c r="F3026" s="4" t="s">
        <v>2730</v>
      </c>
      <c r="G3026" s="4" t="s">
        <v>2263</v>
      </c>
      <c r="H3026" s="9" t="s">
        <v>2263</v>
      </c>
      <c r="I3026" s="4" t="s">
        <v>2317</v>
      </c>
      <c r="J3026" s="4" t="s">
        <v>2316</v>
      </c>
      <c r="K3026" s="4" t="s">
        <v>2263</v>
      </c>
      <c r="L3026" s="10">
        <v>60</v>
      </c>
      <c r="M3026" s="5">
        <v>1714.5099713467048</v>
      </c>
      <c r="N3026" s="5">
        <v>102870.59828080228</v>
      </c>
    </row>
    <row r="3027" spans="1:14" x14ac:dyDescent="0.25">
      <c r="A3027" s="4" t="s">
        <v>2274</v>
      </c>
      <c r="B3027" s="4" t="s">
        <v>4348</v>
      </c>
      <c r="C3027" s="4" t="s">
        <v>2653</v>
      </c>
      <c r="D3027" s="4" t="s">
        <v>2652</v>
      </c>
      <c r="E3027" s="4" t="s">
        <v>4373</v>
      </c>
      <c r="F3027" s="4" t="s">
        <v>4372</v>
      </c>
      <c r="G3027" s="4" t="s">
        <v>2263</v>
      </c>
      <c r="H3027" s="9" t="s">
        <v>2263</v>
      </c>
      <c r="I3027" s="4" t="s">
        <v>2263</v>
      </c>
      <c r="J3027" s="4" t="s">
        <v>2263</v>
      </c>
      <c r="K3027" s="4" t="s">
        <v>4371</v>
      </c>
      <c r="L3027" s="10">
        <v>60</v>
      </c>
      <c r="M3027" s="5">
        <v>1740</v>
      </c>
      <c r="N3027" s="5">
        <v>104400</v>
      </c>
    </row>
    <row r="3028" spans="1:14" x14ac:dyDescent="0.25">
      <c r="A3028" s="4" t="s">
        <v>2653</v>
      </c>
      <c r="B3028" s="4" t="s">
        <v>3226</v>
      </c>
      <c r="C3028" s="4" t="s">
        <v>2353</v>
      </c>
      <c r="D3028" s="4" t="s">
        <v>258</v>
      </c>
      <c r="E3028" s="4" t="s">
        <v>3290</v>
      </c>
      <c r="F3028" s="4" t="s">
        <v>3289</v>
      </c>
      <c r="G3028" s="4" t="s">
        <v>2263</v>
      </c>
      <c r="H3028" s="9" t="s">
        <v>2263</v>
      </c>
      <c r="I3028" s="4" t="s">
        <v>2317</v>
      </c>
      <c r="J3028" s="4" t="s">
        <v>2316</v>
      </c>
      <c r="K3028" s="4" t="s">
        <v>2263</v>
      </c>
      <c r="L3028" s="10">
        <v>60</v>
      </c>
      <c r="M3028" s="5">
        <v>1955.1333333333332</v>
      </c>
      <c r="N3028" s="5">
        <v>117308</v>
      </c>
    </row>
    <row r="3029" spans="1:14" x14ac:dyDescent="0.25">
      <c r="A3029" s="4" t="s">
        <v>2274</v>
      </c>
      <c r="B3029" s="4" t="s">
        <v>4348</v>
      </c>
      <c r="C3029" s="4" t="s">
        <v>2344</v>
      </c>
      <c r="D3029" s="4" t="s">
        <v>237</v>
      </c>
      <c r="E3029" s="4" t="s">
        <v>4672</v>
      </c>
      <c r="F3029" s="4" t="s">
        <v>4671</v>
      </c>
      <c r="G3029" s="4" t="s">
        <v>2263</v>
      </c>
      <c r="H3029" s="9" t="s">
        <v>2263</v>
      </c>
      <c r="I3029" s="4" t="s">
        <v>2263</v>
      </c>
      <c r="J3029" s="4" t="s">
        <v>2263</v>
      </c>
      <c r="K3029" s="4" t="s">
        <v>4486</v>
      </c>
      <c r="L3029" s="10">
        <v>60</v>
      </c>
      <c r="M3029" s="5">
        <v>2770.1083478260871</v>
      </c>
      <c r="N3029" s="5">
        <v>166206.50086956521</v>
      </c>
    </row>
    <row r="3030" spans="1:14" x14ac:dyDescent="0.25">
      <c r="A3030" s="4" t="s">
        <v>2274</v>
      </c>
      <c r="B3030" s="4" t="s">
        <v>4348</v>
      </c>
      <c r="C3030" s="4" t="s">
        <v>2274</v>
      </c>
      <c r="D3030" s="4" t="s">
        <v>2273</v>
      </c>
      <c r="E3030" s="4" t="s">
        <v>4488</v>
      </c>
      <c r="F3030" s="4" t="s">
        <v>4487</v>
      </c>
      <c r="G3030" s="4" t="s">
        <v>2263</v>
      </c>
      <c r="H3030" s="9" t="s">
        <v>2263</v>
      </c>
      <c r="I3030" s="4" t="s">
        <v>2263</v>
      </c>
      <c r="J3030" s="4" t="s">
        <v>2263</v>
      </c>
      <c r="K3030" s="4" t="s">
        <v>4486</v>
      </c>
      <c r="L3030" s="10">
        <v>60</v>
      </c>
      <c r="M3030" s="5">
        <v>4385.3731707317074</v>
      </c>
      <c r="N3030" s="5">
        <v>263122.39024390245</v>
      </c>
    </row>
    <row r="3031" spans="1:14" x14ac:dyDescent="0.25">
      <c r="A3031" s="4" t="s">
        <v>2274</v>
      </c>
      <c r="B3031" s="4" t="s">
        <v>4348</v>
      </c>
      <c r="C3031" s="4" t="s">
        <v>2344</v>
      </c>
      <c r="D3031" s="4" t="s">
        <v>237</v>
      </c>
      <c r="E3031" s="4" t="s">
        <v>4643</v>
      </c>
      <c r="F3031" s="4" t="s">
        <v>4642</v>
      </c>
      <c r="G3031" s="4" t="s">
        <v>2263</v>
      </c>
      <c r="H3031" s="9" t="s">
        <v>2263</v>
      </c>
      <c r="I3031" s="4" t="s">
        <v>2263</v>
      </c>
      <c r="J3031" s="4" t="s">
        <v>2263</v>
      </c>
      <c r="K3031" s="4" t="s">
        <v>4641</v>
      </c>
      <c r="L3031" s="10">
        <v>60</v>
      </c>
      <c r="M3031" s="5">
        <v>4387.9306666666662</v>
      </c>
      <c r="N3031" s="5">
        <v>263275.84000000003</v>
      </c>
    </row>
    <row r="3032" spans="1:14" x14ac:dyDescent="0.25">
      <c r="A3032" s="4" t="s">
        <v>2653</v>
      </c>
      <c r="B3032" s="4" t="s">
        <v>3226</v>
      </c>
      <c r="C3032" s="4" t="s">
        <v>2353</v>
      </c>
      <c r="D3032" s="4" t="s">
        <v>258</v>
      </c>
      <c r="E3032" s="4" t="s">
        <v>3256</v>
      </c>
      <c r="F3032" s="4" t="s">
        <v>3255</v>
      </c>
      <c r="G3032" s="4" t="s">
        <v>2263</v>
      </c>
      <c r="H3032" s="9" t="s">
        <v>2263</v>
      </c>
      <c r="I3032" s="4" t="s">
        <v>2317</v>
      </c>
      <c r="J3032" s="4" t="s">
        <v>2316</v>
      </c>
      <c r="K3032" s="4" t="s">
        <v>2263</v>
      </c>
      <c r="L3032" s="10">
        <v>60</v>
      </c>
      <c r="M3032" s="5">
        <v>4774.7333333333327</v>
      </c>
      <c r="N3032" s="5">
        <v>286484</v>
      </c>
    </row>
    <row r="3033" spans="1:14" x14ac:dyDescent="0.25">
      <c r="A3033" s="4" t="s">
        <v>2317</v>
      </c>
      <c r="B3033" s="4" t="s">
        <v>3839</v>
      </c>
      <c r="C3033" s="4" t="s">
        <v>2320</v>
      </c>
      <c r="D3033" s="4" t="s">
        <v>242</v>
      </c>
      <c r="E3033" s="4" t="s">
        <v>2697</v>
      </c>
      <c r="F3033" s="4" t="s">
        <v>2696</v>
      </c>
      <c r="G3033" s="4" t="s">
        <v>2263</v>
      </c>
      <c r="H3033" s="9" t="s">
        <v>2263</v>
      </c>
      <c r="I3033" s="4" t="s">
        <v>2317</v>
      </c>
      <c r="J3033" s="4" t="s">
        <v>2316</v>
      </c>
      <c r="K3033" s="4" t="s">
        <v>2263</v>
      </c>
      <c r="L3033" s="10">
        <v>60</v>
      </c>
      <c r="M3033" s="5">
        <v>4942.9965822784807</v>
      </c>
      <c r="N3033" s="5">
        <v>296579.79493670887</v>
      </c>
    </row>
    <row r="3034" spans="1:14" x14ac:dyDescent="0.25">
      <c r="A3034" s="4" t="s">
        <v>2274</v>
      </c>
      <c r="B3034" s="4" t="s">
        <v>4348</v>
      </c>
      <c r="C3034" s="4" t="s">
        <v>2481</v>
      </c>
      <c r="D3034" s="4" t="s">
        <v>2480</v>
      </c>
      <c r="E3034" s="4" t="s">
        <v>4368</v>
      </c>
      <c r="F3034" s="4" t="s">
        <v>4367</v>
      </c>
      <c r="G3034" s="4" t="s">
        <v>2263</v>
      </c>
      <c r="H3034" s="9" t="s">
        <v>2263</v>
      </c>
      <c r="I3034" s="4" t="s">
        <v>2263</v>
      </c>
      <c r="J3034" s="4" t="s">
        <v>2263</v>
      </c>
      <c r="K3034" s="4" t="s">
        <v>4358</v>
      </c>
      <c r="L3034" s="10">
        <v>60</v>
      </c>
      <c r="M3034" s="5">
        <v>12504.225915492958</v>
      </c>
      <c r="N3034" s="5">
        <v>750253.5549295774</v>
      </c>
    </row>
    <row r="3035" spans="1:14" x14ac:dyDescent="0.25">
      <c r="A3035" s="4" t="s">
        <v>2274</v>
      </c>
      <c r="B3035" s="4" t="s">
        <v>4348</v>
      </c>
      <c r="C3035" s="4" t="s">
        <v>2344</v>
      </c>
      <c r="D3035" s="4" t="s">
        <v>237</v>
      </c>
      <c r="E3035" s="4" t="s">
        <v>4723</v>
      </c>
      <c r="F3035" s="4" t="s">
        <v>2455</v>
      </c>
      <c r="G3035" s="4" t="s">
        <v>2263</v>
      </c>
      <c r="H3035" s="9" t="s">
        <v>2263</v>
      </c>
      <c r="I3035" s="4" t="s">
        <v>2263</v>
      </c>
      <c r="J3035" s="4" t="s">
        <v>2263</v>
      </c>
      <c r="K3035" s="4" t="s">
        <v>2454</v>
      </c>
      <c r="L3035" s="10">
        <v>60</v>
      </c>
      <c r="M3035" s="5">
        <v>13924</v>
      </c>
      <c r="N3035" s="5">
        <v>835440</v>
      </c>
    </row>
    <row r="3036" spans="1:14" x14ac:dyDescent="0.25">
      <c r="A3036" s="4" t="s">
        <v>2274</v>
      </c>
      <c r="B3036" s="4" t="s">
        <v>4348</v>
      </c>
      <c r="C3036" s="4" t="s">
        <v>2653</v>
      </c>
      <c r="D3036" s="4" t="s">
        <v>2652</v>
      </c>
      <c r="E3036" s="4" t="s">
        <v>4376</v>
      </c>
      <c r="F3036" s="4" t="s">
        <v>4375</v>
      </c>
      <c r="G3036" s="4" t="s">
        <v>2263</v>
      </c>
      <c r="H3036" s="9" t="s">
        <v>2263</v>
      </c>
      <c r="I3036" s="4" t="s">
        <v>2263</v>
      </c>
      <c r="J3036" s="4" t="s">
        <v>2263</v>
      </c>
      <c r="K3036" s="4" t="s">
        <v>4374</v>
      </c>
      <c r="L3036" s="10">
        <v>60</v>
      </c>
      <c r="M3036" s="5">
        <v>21778.343333333331</v>
      </c>
      <c r="N3036" s="5">
        <v>1306700.6000000001</v>
      </c>
    </row>
    <row r="3037" spans="1:14" x14ac:dyDescent="0.25">
      <c r="A3037" s="4" t="s">
        <v>2653</v>
      </c>
      <c r="B3037" s="4" t="s">
        <v>3226</v>
      </c>
      <c r="C3037" s="4" t="s">
        <v>3203</v>
      </c>
      <c r="D3037" s="4" t="s">
        <v>256</v>
      </c>
      <c r="E3037" s="4" t="s">
        <v>3616</v>
      </c>
      <c r="F3037" s="4" t="s">
        <v>3615</v>
      </c>
      <c r="G3037" s="4" t="s">
        <v>2263</v>
      </c>
      <c r="H3037" s="9" t="s">
        <v>2263</v>
      </c>
      <c r="I3037" s="4" t="s">
        <v>2317</v>
      </c>
      <c r="J3037" s="4" t="s">
        <v>2316</v>
      </c>
      <c r="K3037" s="4" t="s">
        <v>2263</v>
      </c>
      <c r="L3037" s="10">
        <v>60</v>
      </c>
      <c r="M3037" s="5">
        <v>55024.775333333338</v>
      </c>
      <c r="N3037" s="5">
        <v>3301486.52</v>
      </c>
    </row>
    <row r="3038" spans="1:14" x14ac:dyDescent="0.25">
      <c r="A3038" s="4" t="s">
        <v>2320</v>
      </c>
      <c r="B3038" s="4" t="s">
        <v>4967</v>
      </c>
      <c r="C3038" s="4" t="s">
        <v>2344</v>
      </c>
      <c r="D3038" s="4" t="s">
        <v>237</v>
      </c>
      <c r="E3038" s="4" t="s">
        <v>3194</v>
      </c>
      <c r="F3038" s="4" t="s">
        <v>2425</v>
      </c>
      <c r="G3038" s="4" t="s">
        <v>2263</v>
      </c>
      <c r="H3038" s="9" t="s">
        <v>2263</v>
      </c>
      <c r="I3038" s="4" t="s">
        <v>2263</v>
      </c>
      <c r="J3038" s="4" t="s">
        <v>2263</v>
      </c>
      <c r="K3038" s="4" t="s">
        <v>2424</v>
      </c>
      <c r="L3038" s="10">
        <v>61</v>
      </c>
      <c r="M3038" s="5">
        <v>1013.732700729927</v>
      </c>
      <c r="N3038" s="5">
        <v>61837.69474452555</v>
      </c>
    </row>
    <row r="3039" spans="1:14" x14ac:dyDescent="0.25">
      <c r="A3039" s="4" t="s">
        <v>2320</v>
      </c>
      <c r="B3039" s="4" t="s">
        <v>4967</v>
      </c>
      <c r="C3039" s="4" t="s">
        <v>2320</v>
      </c>
      <c r="D3039" s="4" t="s">
        <v>242</v>
      </c>
      <c r="E3039" s="4" t="s">
        <v>3129</v>
      </c>
      <c r="F3039" s="4" t="s">
        <v>3128</v>
      </c>
      <c r="G3039" s="4" t="s">
        <v>2263</v>
      </c>
      <c r="H3039" s="9" t="s">
        <v>2263</v>
      </c>
      <c r="I3039" s="4" t="s">
        <v>2317</v>
      </c>
      <c r="J3039" s="4" t="s">
        <v>2316</v>
      </c>
      <c r="K3039" s="4" t="s">
        <v>2263</v>
      </c>
      <c r="L3039" s="10">
        <v>61</v>
      </c>
      <c r="M3039" s="5">
        <v>11805.164179104477</v>
      </c>
      <c r="N3039" s="5">
        <v>720115.01492537314</v>
      </c>
    </row>
    <row r="3040" spans="1:14" x14ac:dyDescent="0.25">
      <c r="A3040" s="4" t="s">
        <v>2344</v>
      </c>
      <c r="B3040" s="4" t="s">
        <v>5154</v>
      </c>
      <c r="C3040" s="4" t="s">
        <v>2344</v>
      </c>
      <c r="D3040" s="4" t="s">
        <v>237</v>
      </c>
      <c r="E3040" s="4" t="s">
        <v>4535</v>
      </c>
      <c r="F3040" s="4" t="s">
        <v>2549</v>
      </c>
      <c r="G3040" s="4" t="s">
        <v>2263</v>
      </c>
      <c r="H3040" s="9" t="s">
        <v>2263</v>
      </c>
      <c r="I3040" s="4" t="s">
        <v>2263</v>
      </c>
      <c r="J3040" s="4" t="s">
        <v>2263</v>
      </c>
      <c r="K3040" s="4" t="s">
        <v>2520</v>
      </c>
      <c r="L3040" s="10">
        <v>62</v>
      </c>
      <c r="M3040" s="5">
        <v>32</v>
      </c>
      <c r="N3040" s="5">
        <v>1984</v>
      </c>
    </row>
    <row r="3041" spans="1:14" x14ac:dyDescent="0.25">
      <c r="A3041" s="4" t="s">
        <v>2344</v>
      </c>
      <c r="B3041" s="4" t="s">
        <v>5154</v>
      </c>
      <c r="C3041" s="4" t="s">
        <v>2320</v>
      </c>
      <c r="D3041" s="4" t="s">
        <v>242</v>
      </c>
      <c r="E3041" s="4" t="s">
        <v>5065</v>
      </c>
      <c r="F3041" s="4" t="s">
        <v>5064</v>
      </c>
      <c r="G3041" s="4" t="s">
        <v>2263</v>
      </c>
      <c r="H3041" s="9" t="s">
        <v>2263</v>
      </c>
      <c r="I3041" s="4" t="s">
        <v>2317</v>
      </c>
      <c r="J3041" s="4" t="s">
        <v>2316</v>
      </c>
      <c r="K3041" s="4" t="s">
        <v>2263</v>
      </c>
      <c r="L3041" s="10">
        <v>62</v>
      </c>
      <c r="M3041" s="5">
        <v>102.53125</v>
      </c>
      <c r="N3041" s="5">
        <v>6356.9375</v>
      </c>
    </row>
    <row r="3042" spans="1:14" x14ac:dyDescent="0.25">
      <c r="A3042" s="4" t="s">
        <v>2320</v>
      </c>
      <c r="B3042" s="4" t="s">
        <v>4967</v>
      </c>
      <c r="C3042" s="4" t="s">
        <v>2320</v>
      </c>
      <c r="D3042" s="4" t="s">
        <v>242</v>
      </c>
      <c r="E3042" s="4" t="s">
        <v>2703</v>
      </c>
      <c r="F3042" s="4" t="s">
        <v>2702</v>
      </c>
      <c r="G3042" s="4" t="s">
        <v>2263</v>
      </c>
      <c r="H3042" s="9" t="s">
        <v>2263</v>
      </c>
      <c r="I3042" s="4" t="s">
        <v>2317</v>
      </c>
      <c r="J3042" s="4" t="s">
        <v>2316</v>
      </c>
      <c r="K3042" s="4" t="s">
        <v>2263</v>
      </c>
      <c r="L3042" s="10">
        <v>62</v>
      </c>
      <c r="M3042" s="5">
        <v>202.89964967048215</v>
      </c>
      <c r="N3042" s="5">
        <v>12579.778279569889</v>
      </c>
    </row>
    <row r="3043" spans="1:14" x14ac:dyDescent="0.25">
      <c r="A3043" s="4" t="s">
        <v>2317</v>
      </c>
      <c r="B3043" s="4" t="s">
        <v>3839</v>
      </c>
      <c r="C3043" s="4" t="s">
        <v>2320</v>
      </c>
      <c r="D3043" s="4" t="s">
        <v>242</v>
      </c>
      <c r="E3043" s="4" t="s">
        <v>3034</v>
      </c>
      <c r="F3043" s="4" t="s">
        <v>3033</v>
      </c>
      <c r="G3043" s="4" t="s">
        <v>2263</v>
      </c>
      <c r="H3043" s="9" t="s">
        <v>2263</v>
      </c>
      <c r="I3043" s="4" t="s">
        <v>2317</v>
      </c>
      <c r="J3043" s="4" t="s">
        <v>2316</v>
      </c>
      <c r="K3043" s="4" t="s">
        <v>2263</v>
      </c>
      <c r="L3043" s="10">
        <v>62</v>
      </c>
      <c r="M3043" s="5">
        <v>1072.3889285714286</v>
      </c>
      <c r="N3043" s="5">
        <v>66488.113571428563</v>
      </c>
    </row>
    <row r="3044" spans="1:14" x14ac:dyDescent="0.25">
      <c r="A3044" s="4" t="s">
        <v>2344</v>
      </c>
      <c r="B3044" s="4" t="s">
        <v>5154</v>
      </c>
      <c r="C3044" s="4" t="s">
        <v>2344</v>
      </c>
      <c r="D3044" s="4" t="s">
        <v>237</v>
      </c>
      <c r="E3044" s="4" t="s">
        <v>4947</v>
      </c>
      <c r="F3044" s="4" t="s">
        <v>2446</v>
      </c>
      <c r="G3044" s="4" t="s">
        <v>2263</v>
      </c>
      <c r="H3044" s="9" t="s">
        <v>2263</v>
      </c>
      <c r="I3044" s="4" t="s">
        <v>2263</v>
      </c>
      <c r="J3044" s="4" t="s">
        <v>2263</v>
      </c>
      <c r="K3044" s="4" t="s">
        <v>2445</v>
      </c>
      <c r="L3044" s="10">
        <v>62</v>
      </c>
      <c r="M3044" s="5">
        <v>2496.78125</v>
      </c>
      <c r="N3044" s="5">
        <v>154800.4375</v>
      </c>
    </row>
    <row r="3045" spans="1:14" x14ac:dyDescent="0.25">
      <c r="A3045" s="4" t="s">
        <v>2344</v>
      </c>
      <c r="B3045" s="4" t="s">
        <v>5154</v>
      </c>
      <c r="C3045" s="4" t="s">
        <v>2344</v>
      </c>
      <c r="D3045" s="4" t="s">
        <v>237</v>
      </c>
      <c r="E3045" s="4" t="s">
        <v>4708</v>
      </c>
      <c r="F3045" s="4" t="s">
        <v>4707</v>
      </c>
      <c r="G3045" s="4" t="s">
        <v>2263</v>
      </c>
      <c r="H3045" s="9" t="s">
        <v>2263</v>
      </c>
      <c r="I3045" s="4" t="s">
        <v>2263</v>
      </c>
      <c r="J3045" s="4" t="s">
        <v>2263</v>
      </c>
      <c r="K3045" s="4" t="s">
        <v>2439</v>
      </c>
      <c r="L3045" s="10">
        <v>62</v>
      </c>
      <c r="M3045" s="5">
        <v>3950</v>
      </c>
      <c r="N3045" s="5">
        <v>244900</v>
      </c>
    </row>
    <row r="3046" spans="1:14" x14ac:dyDescent="0.25">
      <c r="A3046" s="4" t="s">
        <v>2344</v>
      </c>
      <c r="B3046" s="4" t="s">
        <v>5154</v>
      </c>
      <c r="C3046" s="4" t="s">
        <v>2344</v>
      </c>
      <c r="D3046" s="4" t="s">
        <v>237</v>
      </c>
      <c r="E3046" s="4" t="s">
        <v>2456</v>
      </c>
      <c r="F3046" s="4" t="s">
        <v>2455</v>
      </c>
      <c r="G3046" s="4" t="s">
        <v>2263</v>
      </c>
      <c r="H3046" s="9" t="s">
        <v>2263</v>
      </c>
      <c r="I3046" s="4" t="s">
        <v>2263</v>
      </c>
      <c r="J3046" s="4" t="s">
        <v>2263</v>
      </c>
      <c r="K3046" s="4" t="s">
        <v>2454</v>
      </c>
      <c r="L3046" s="10">
        <v>62</v>
      </c>
      <c r="M3046" s="5">
        <v>18361.839391304347</v>
      </c>
      <c r="N3046" s="5">
        <v>1138434.0422608696</v>
      </c>
    </row>
    <row r="3047" spans="1:14" x14ac:dyDescent="0.25">
      <c r="A3047" s="4" t="s">
        <v>2344</v>
      </c>
      <c r="B3047" s="4" t="s">
        <v>5154</v>
      </c>
      <c r="C3047" s="4" t="s">
        <v>2344</v>
      </c>
      <c r="D3047" s="4" t="s">
        <v>237</v>
      </c>
      <c r="E3047" s="4" t="s">
        <v>5389</v>
      </c>
      <c r="F3047" s="4" t="s">
        <v>2613</v>
      </c>
      <c r="G3047" s="4" t="s">
        <v>2263</v>
      </c>
      <c r="H3047" s="9" t="s">
        <v>2263</v>
      </c>
      <c r="I3047" s="4" t="s">
        <v>2263</v>
      </c>
      <c r="J3047" s="4" t="s">
        <v>2263</v>
      </c>
      <c r="K3047" s="4" t="s">
        <v>2462</v>
      </c>
      <c r="L3047" s="10">
        <v>63</v>
      </c>
      <c r="M3047" s="5">
        <v>348.47619047619048</v>
      </c>
      <c r="N3047" s="5">
        <v>21954</v>
      </c>
    </row>
    <row r="3048" spans="1:14" x14ac:dyDescent="0.25">
      <c r="A3048" s="4" t="s">
        <v>2344</v>
      </c>
      <c r="B3048" s="4" t="s">
        <v>5154</v>
      </c>
      <c r="C3048" s="4" t="s">
        <v>2344</v>
      </c>
      <c r="D3048" s="4" t="s">
        <v>237</v>
      </c>
      <c r="E3048" s="4" t="s">
        <v>4942</v>
      </c>
      <c r="F3048" s="4" t="s">
        <v>2650</v>
      </c>
      <c r="G3048" s="4" t="s">
        <v>2263</v>
      </c>
      <c r="H3048" s="9" t="s">
        <v>2263</v>
      </c>
      <c r="I3048" s="4" t="s">
        <v>2263</v>
      </c>
      <c r="J3048" s="4" t="s">
        <v>2263</v>
      </c>
      <c r="K3048" s="4" t="s">
        <v>2536</v>
      </c>
      <c r="L3048" s="10">
        <v>63</v>
      </c>
      <c r="M3048" s="5">
        <v>896.96382252559727</v>
      </c>
      <c r="N3048" s="5">
        <v>56508.720819112626</v>
      </c>
    </row>
    <row r="3049" spans="1:14" x14ac:dyDescent="0.25">
      <c r="A3049" s="4" t="s">
        <v>2320</v>
      </c>
      <c r="B3049" s="4" t="s">
        <v>4967</v>
      </c>
      <c r="C3049" s="4" t="s">
        <v>2320</v>
      </c>
      <c r="D3049" s="4" t="s">
        <v>242</v>
      </c>
      <c r="E3049" s="4" t="s">
        <v>2897</v>
      </c>
      <c r="F3049" s="4" t="s">
        <v>2896</v>
      </c>
      <c r="G3049" s="4" t="s">
        <v>2263</v>
      </c>
      <c r="H3049" s="9" t="s">
        <v>2263</v>
      </c>
      <c r="I3049" s="4" t="s">
        <v>2317</v>
      </c>
      <c r="J3049" s="4" t="s">
        <v>2316</v>
      </c>
      <c r="K3049" s="4" t="s">
        <v>2263</v>
      </c>
      <c r="L3049" s="10">
        <v>63</v>
      </c>
      <c r="M3049" s="5">
        <v>2641.6159235668792</v>
      </c>
      <c r="N3049" s="5">
        <v>166421.80318471338</v>
      </c>
    </row>
    <row r="3050" spans="1:14" x14ac:dyDescent="0.25">
      <c r="A3050" s="4" t="s">
        <v>2344</v>
      </c>
      <c r="B3050" s="4" t="s">
        <v>5154</v>
      </c>
      <c r="C3050" s="4" t="s">
        <v>2274</v>
      </c>
      <c r="D3050" s="4" t="s">
        <v>2273</v>
      </c>
      <c r="E3050" s="4" t="s">
        <v>4474</v>
      </c>
      <c r="F3050" s="4" t="s">
        <v>4473</v>
      </c>
      <c r="G3050" s="4" t="s">
        <v>2263</v>
      </c>
      <c r="H3050" s="9" t="s">
        <v>2263</v>
      </c>
      <c r="I3050" s="4" t="s">
        <v>2263</v>
      </c>
      <c r="J3050" s="4" t="s">
        <v>2263</v>
      </c>
      <c r="K3050" s="4" t="s">
        <v>4467</v>
      </c>
      <c r="L3050" s="10">
        <v>63</v>
      </c>
      <c r="M3050" s="5">
        <v>4715.0655462184877</v>
      </c>
      <c r="N3050" s="5">
        <v>297049.12941176473</v>
      </c>
    </row>
    <row r="3051" spans="1:14" x14ac:dyDescent="0.25">
      <c r="A3051" s="4" t="s">
        <v>2344</v>
      </c>
      <c r="B3051" s="4" t="s">
        <v>5154</v>
      </c>
      <c r="C3051" s="4" t="s">
        <v>2320</v>
      </c>
      <c r="D3051" s="4" t="s">
        <v>242</v>
      </c>
      <c r="E3051" s="4" t="s">
        <v>3155</v>
      </c>
      <c r="F3051" s="4" t="s">
        <v>3154</v>
      </c>
      <c r="G3051" s="4" t="s">
        <v>2263</v>
      </c>
      <c r="H3051" s="9" t="s">
        <v>2263</v>
      </c>
      <c r="I3051" s="4" t="s">
        <v>2317</v>
      </c>
      <c r="J3051" s="4" t="s">
        <v>2316</v>
      </c>
      <c r="K3051" s="4" t="s">
        <v>2263</v>
      </c>
      <c r="L3051" s="10">
        <v>63</v>
      </c>
      <c r="M3051" s="5">
        <v>5585.4120765027319</v>
      </c>
      <c r="N3051" s="5">
        <v>351880.96081967209</v>
      </c>
    </row>
    <row r="3052" spans="1:14" x14ac:dyDescent="0.25">
      <c r="A3052" s="4" t="s">
        <v>2317</v>
      </c>
      <c r="B3052" s="4" t="s">
        <v>3839</v>
      </c>
      <c r="C3052" s="4" t="s">
        <v>2320</v>
      </c>
      <c r="D3052" s="4" t="s">
        <v>242</v>
      </c>
      <c r="E3052" s="4" t="s">
        <v>4115</v>
      </c>
      <c r="F3052" s="4" t="s">
        <v>4114</v>
      </c>
      <c r="G3052" s="4" t="s">
        <v>2263</v>
      </c>
      <c r="H3052" s="9" t="s">
        <v>2263</v>
      </c>
      <c r="I3052" s="4" t="s">
        <v>2317</v>
      </c>
      <c r="J3052" s="4" t="s">
        <v>2316</v>
      </c>
      <c r="K3052" s="4" t="s">
        <v>2263</v>
      </c>
      <c r="L3052" s="10">
        <v>63</v>
      </c>
      <c r="M3052" s="5">
        <v>7410.140845070423</v>
      </c>
      <c r="N3052" s="5">
        <v>466838.87323943665</v>
      </c>
    </row>
    <row r="3053" spans="1:14" x14ac:dyDescent="0.25">
      <c r="A3053" s="4" t="s">
        <v>2317</v>
      </c>
      <c r="B3053" s="4" t="s">
        <v>3839</v>
      </c>
      <c r="C3053" s="4" t="s">
        <v>2320</v>
      </c>
      <c r="D3053" s="4" t="s">
        <v>242</v>
      </c>
      <c r="E3053" s="4" t="s">
        <v>3881</v>
      </c>
      <c r="F3053" s="4" t="s">
        <v>3880</v>
      </c>
      <c r="G3053" s="4" t="s">
        <v>2263</v>
      </c>
      <c r="H3053" s="9" t="s">
        <v>2263</v>
      </c>
      <c r="I3053" s="4" t="s">
        <v>2317</v>
      </c>
      <c r="J3053" s="4" t="s">
        <v>2316</v>
      </c>
      <c r="K3053" s="4" t="s">
        <v>2263</v>
      </c>
      <c r="L3053" s="10">
        <v>63</v>
      </c>
      <c r="M3053" s="5">
        <v>18832.731374999999</v>
      </c>
      <c r="N3053" s="5">
        <v>1186462.076625</v>
      </c>
    </row>
    <row r="3054" spans="1:14" x14ac:dyDescent="0.25">
      <c r="A3054" s="4" t="s">
        <v>2320</v>
      </c>
      <c r="B3054" s="4" t="s">
        <v>4967</v>
      </c>
      <c r="C3054" s="4" t="s">
        <v>2320</v>
      </c>
      <c r="D3054" s="4" t="s">
        <v>242</v>
      </c>
      <c r="E3054" s="4" t="s">
        <v>2707</v>
      </c>
      <c r="F3054" s="4" t="s">
        <v>2706</v>
      </c>
      <c r="G3054" s="4" t="s">
        <v>2263</v>
      </c>
      <c r="H3054" s="9" t="s">
        <v>2263</v>
      </c>
      <c r="I3054" s="4" t="s">
        <v>2317</v>
      </c>
      <c r="J3054" s="4" t="s">
        <v>2316</v>
      </c>
      <c r="K3054" s="4" t="s">
        <v>2263</v>
      </c>
      <c r="L3054" s="10">
        <v>64</v>
      </c>
      <c r="M3054" s="5">
        <v>-18687.463351548267</v>
      </c>
      <c r="N3054" s="5">
        <v>-1195997.6544990893</v>
      </c>
    </row>
    <row r="3055" spans="1:14" x14ac:dyDescent="0.25">
      <c r="A3055" s="4" t="s">
        <v>2344</v>
      </c>
      <c r="B3055" s="4" t="s">
        <v>5154</v>
      </c>
      <c r="C3055" s="4" t="s">
        <v>2344</v>
      </c>
      <c r="D3055" s="4" t="s">
        <v>237</v>
      </c>
      <c r="E3055" s="4" t="s">
        <v>5361</v>
      </c>
      <c r="F3055" s="4" t="s">
        <v>5360</v>
      </c>
      <c r="G3055" s="4" t="s">
        <v>2263</v>
      </c>
      <c r="H3055" s="9" t="s">
        <v>2263</v>
      </c>
      <c r="I3055" s="4" t="s">
        <v>2263</v>
      </c>
      <c r="J3055" s="4" t="s">
        <v>2263</v>
      </c>
      <c r="K3055" s="4" t="s">
        <v>2609</v>
      </c>
      <c r="L3055" s="10">
        <v>64</v>
      </c>
      <c r="M3055" s="5">
        <v>96</v>
      </c>
      <c r="N3055" s="5">
        <v>6144</v>
      </c>
    </row>
    <row r="3056" spans="1:14" x14ac:dyDescent="0.25">
      <c r="A3056" s="4" t="s">
        <v>2344</v>
      </c>
      <c r="B3056" s="4" t="s">
        <v>5154</v>
      </c>
      <c r="C3056" s="4" t="s">
        <v>2344</v>
      </c>
      <c r="D3056" s="4" t="s">
        <v>237</v>
      </c>
      <c r="E3056" s="4" t="s">
        <v>4606</v>
      </c>
      <c r="F3056" s="4" t="s">
        <v>4605</v>
      </c>
      <c r="G3056" s="4" t="s">
        <v>2263</v>
      </c>
      <c r="H3056" s="9" t="s">
        <v>2263</v>
      </c>
      <c r="I3056" s="4" t="s">
        <v>2263</v>
      </c>
      <c r="J3056" s="4" t="s">
        <v>2263</v>
      </c>
      <c r="K3056" s="4" t="s">
        <v>2885</v>
      </c>
      <c r="L3056" s="10">
        <v>64</v>
      </c>
      <c r="M3056" s="5">
        <v>134.27507075471698</v>
      </c>
      <c r="N3056" s="5">
        <v>8593.6045283018902</v>
      </c>
    </row>
    <row r="3057" spans="1:14" x14ac:dyDescent="0.25">
      <c r="A3057" s="4" t="s">
        <v>2320</v>
      </c>
      <c r="B3057" s="4" t="s">
        <v>4967</v>
      </c>
      <c r="C3057" s="4" t="s">
        <v>2320</v>
      </c>
      <c r="D3057" s="4" t="s">
        <v>242</v>
      </c>
      <c r="E3057" s="4" t="s">
        <v>5071</v>
      </c>
      <c r="F3057" s="4" t="s">
        <v>5070</v>
      </c>
      <c r="G3057" s="4" t="s">
        <v>2263</v>
      </c>
      <c r="H3057" s="9" t="s">
        <v>2263</v>
      </c>
      <c r="I3057" s="4" t="s">
        <v>2317</v>
      </c>
      <c r="J3057" s="4" t="s">
        <v>2316</v>
      </c>
      <c r="K3057" s="4" t="s">
        <v>2263</v>
      </c>
      <c r="L3057" s="10">
        <v>64</v>
      </c>
      <c r="M3057" s="5">
        <v>577.20937500000002</v>
      </c>
      <c r="N3057" s="5">
        <v>36941.4</v>
      </c>
    </row>
    <row r="3058" spans="1:14" x14ac:dyDescent="0.25">
      <c r="A3058" s="4" t="s">
        <v>2320</v>
      </c>
      <c r="B3058" s="4" t="s">
        <v>4967</v>
      </c>
      <c r="C3058" s="4" t="s">
        <v>2320</v>
      </c>
      <c r="D3058" s="4" t="s">
        <v>242</v>
      </c>
      <c r="E3058" s="4" t="s">
        <v>2420</v>
      </c>
      <c r="F3058" s="4" t="s">
        <v>2419</v>
      </c>
      <c r="G3058" s="4" t="s">
        <v>2263</v>
      </c>
      <c r="H3058" s="9" t="s">
        <v>2263</v>
      </c>
      <c r="I3058" s="4" t="s">
        <v>2317</v>
      </c>
      <c r="J3058" s="4" t="s">
        <v>2316</v>
      </c>
      <c r="K3058" s="4" t="s">
        <v>2263</v>
      </c>
      <c r="L3058" s="10">
        <v>65</v>
      </c>
      <c r="M3058" s="5">
        <v>-1276.1739304812834</v>
      </c>
      <c r="N3058" s="5">
        <v>-82951.305481283416</v>
      </c>
    </row>
    <row r="3059" spans="1:14" x14ac:dyDescent="0.25">
      <c r="A3059" s="4" t="s">
        <v>2344</v>
      </c>
      <c r="B3059" s="4" t="s">
        <v>5154</v>
      </c>
      <c r="C3059" s="4" t="s">
        <v>2344</v>
      </c>
      <c r="D3059" s="4" t="s">
        <v>237</v>
      </c>
      <c r="E3059" s="4" t="s">
        <v>4719</v>
      </c>
      <c r="F3059" s="4" t="s">
        <v>2882</v>
      </c>
      <c r="G3059" s="4" t="s">
        <v>2263</v>
      </c>
      <c r="H3059" s="9" t="s">
        <v>2263</v>
      </c>
      <c r="I3059" s="4" t="s">
        <v>2263</v>
      </c>
      <c r="J3059" s="4" t="s">
        <v>2263</v>
      </c>
      <c r="K3059" s="4" t="s">
        <v>2881</v>
      </c>
      <c r="L3059" s="10">
        <v>65</v>
      </c>
      <c r="M3059" s="5">
        <v>282.73235897435899</v>
      </c>
      <c r="N3059" s="5">
        <v>18377.603333333329</v>
      </c>
    </row>
    <row r="3060" spans="1:14" x14ac:dyDescent="0.25">
      <c r="A3060" s="4" t="s">
        <v>2344</v>
      </c>
      <c r="B3060" s="4" t="s">
        <v>5154</v>
      </c>
      <c r="C3060" s="4" t="s">
        <v>2279</v>
      </c>
      <c r="D3060" s="4" t="s">
        <v>2278</v>
      </c>
      <c r="E3060" s="4" t="s">
        <v>2312</v>
      </c>
      <c r="F3060" s="4" t="s">
        <v>2311</v>
      </c>
      <c r="G3060" s="4" t="s">
        <v>2263</v>
      </c>
      <c r="H3060" s="9" t="s">
        <v>2263</v>
      </c>
      <c r="I3060" s="4" t="s">
        <v>2263</v>
      </c>
      <c r="J3060" s="4" t="s">
        <v>2263</v>
      </c>
      <c r="K3060" s="4" t="s">
        <v>2310</v>
      </c>
      <c r="L3060" s="10">
        <v>65</v>
      </c>
      <c r="M3060" s="5">
        <v>1482.4945652173913</v>
      </c>
      <c r="N3060" s="5">
        <v>96362.146739130447</v>
      </c>
    </row>
    <row r="3061" spans="1:14" x14ac:dyDescent="0.25">
      <c r="A3061" s="4" t="s">
        <v>2274</v>
      </c>
      <c r="B3061" s="4" t="s">
        <v>4348</v>
      </c>
      <c r="C3061" s="4" t="s">
        <v>2344</v>
      </c>
      <c r="D3061" s="4" t="s">
        <v>237</v>
      </c>
      <c r="E3061" s="4" t="s">
        <v>4868</v>
      </c>
      <c r="F3061" s="4" t="s">
        <v>2563</v>
      </c>
      <c r="G3061" s="4" t="s">
        <v>2263</v>
      </c>
      <c r="H3061" s="9" t="s">
        <v>2263</v>
      </c>
      <c r="I3061" s="4" t="s">
        <v>2263</v>
      </c>
      <c r="J3061" s="4" t="s">
        <v>2263</v>
      </c>
      <c r="K3061" s="4" t="s">
        <v>2562</v>
      </c>
      <c r="L3061" s="10">
        <v>65</v>
      </c>
      <c r="M3061" s="5">
        <v>2200.9333333333334</v>
      </c>
      <c r="N3061" s="5">
        <v>143060.66666666669</v>
      </c>
    </row>
    <row r="3062" spans="1:14" x14ac:dyDescent="0.25">
      <c r="A3062" s="4" t="s">
        <v>2761</v>
      </c>
      <c r="B3062" s="4" t="s">
        <v>2760</v>
      </c>
      <c r="C3062" s="4" t="s">
        <v>2320</v>
      </c>
      <c r="D3062" s="4" t="s">
        <v>242</v>
      </c>
      <c r="E3062" s="4" t="s">
        <v>2781</v>
      </c>
      <c r="F3062" s="4" t="s">
        <v>2780</v>
      </c>
      <c r="G3062" s="4" t="s">
        <v>2263</v>
      </c>
      <c r="H3062" s="9" t="s">
        <v>2263</v>
      </c>
      <c r="I3062" s="4" t="s">
        <v>2317</v>
      </c>
      <c r="J3062" s="4" t="s">
        <v>2316</v>
      </c>
      <c r="K3062" s="4" t="s">
        <v>2263</v>
      </c>
      <c r="L3062" s="10">
        <v>65</v>
      </c>
      <c r="M3062" s="5">
        <v>6317.9467326732674</v>
      </c>
      <c r="N3062" s="5">
        <v>410666.53762376239</v>
      </c>
    </row>
    <row r="3063" spans="1:14" x14ac:dyDescent="0.25">
      <c r="A3063" s="4" t="s">
        <v>2344</v>
      </c>
      <c r="B3063" s="4" t="s">
        <v>5154</v>
      </c>
      <c r="C3063" s="4" t="s">
        <v>2267</v>
      </c>
      <c r="D3063" s="4" t="s">
        <v>2266</v>
      </c>
      <c r="E3063" s="4" t="s">
        <v>4416</v>
      </c>
      <c r="F3063" s="4" t="s">
        <v>2507</v>
      </c>
      <c r="G3063" s="4" t="s">
        <v>2263</v>
      </c>
      <c r="H3063" s="9" t="s">
        <v>2263</v>
      </c>
      <c r="I3063" s="4" t="s">
        <v>2263</v>
      </c>
      <c r="J3063" s="4" t="s">
        <v>2263</v>
      </c>
      <c r="K3063" s="4" t="s">
        <v>2494</v>
      </c>
      <c r="L3063" s="10">
        <v>65</v>
      </c>
      <c r="M3063" s="5">
        <v>9482.0563265306137</v>
      </c>
      <c r="N3063" s="5">
        <v>616333.6612244898</v>
      </c>
    </row>
    <row r="3064" spans="1:14" x14ac:dyDescent="0.25">
      <c r="A3064" s="4" t="s">
        <v>2344</v>
      </c>
      <c r="B3064" s="4" t="s">
        <v>5154</v>
      </c>
      <c r="C3064" s="4" t="s">
        <v>2344</v>
      </c>
      <c r="D3064" s="4" t="s">
        <v>237</v>
      </c>
      <c r="E3064" s="4" t="s">
        <v>5417</v>
      </c>
      <c r="F3064" s="4" t="s">
        <v>4665</v>
      </c>
      <c r="G3064" s="4" t="s">
        <v>2263</v>
      </c>
      <c r="H3064" s="9" t="s">
        <v>2263</v>
      </c>
      <c r="I3064" s="4" t="s">
        <v>2263</v>
      </c>
      <c r="J3064" s="4" t="s">
        <v>2263</v>
      </c>
      <c r="K3064" s="4" t="s">
        <v>2488</v>
      </c>
      <c r="L3064" s="10">
        <v>65</v>
      </c>
      <c r="M3064" s="5">
        <v>10574.911076923077</v>
      </c>
      <c r="N3064" s="5">
        <v>687369.22</v>
      </c>
    </row>
    <row r="3065" spans="1:14" x14ac:dyDescent="0.25">
      <c r="A3065" s="4" t="s">
        <v>2274</v>
      </c>
      <c r="B3065" s="4" t="s">
        <v>4348</v>
      </c>
      <c r="C3065" s="4" t="s">
        <v>2344</v>
      </c>
      <c r="D3065" s="4" t="s">
        <v>237</v>
      </c>
      <c r="E3065" s="4" t="s">
        <v>4700</v>
      </c>
      <c r="F3065" s="4" t="s">
        <v>2586</v>
      </c>
      <c r="G3065" s="4" t="s">
        <v>2263</v>
      </c>
      <c r="H3065" s="9" t="s">
        <v>2263</v>
      </c>
      <c r="I3065" s="4" t="s">
        <v>2263</v>
      </c>
      <c r="J3065" s="4" t="s">
        <v>2263</v>
      </c>
      <c r="K3065" s="4" t="s">
        <v>2541</v>
      </c>
      <c r="L3065" s="10">
        <v>65</v>
      </c>
      <c r="M3065" s="5">
        <v>10595.27</v>
      </c>
      <c r="N3065" s="5">
        <v>688692.55</v>
      </c>
    </row>
    <row r="3066" spans="1:14" x14ac:dyDescent="0.25">
      <c r="A3066" s="4" t="s">
        <v>2317</v>
      </c>
      <c r="B3066" s="4" t="s">
        <v>3839</v>
      </c>
      <c r="C3066" s="4" t="s">
        <v>2320</v>
      </c>
      <c r="D3066" s="4" t="s">
        <v>242</v>
      </c>
      <c r="E3066" s="4" t="s">
        <v>4233</v>
      </c>
      <c r="F3066" s="4" t="s">
        <v>4232</v>
      </c>
      <c r="G3066" s="4" t="s">
        <v>2263</v>
      </c>
      <c r="H3066" s="9" t="s">
        <v>2263</v>
      </c>
      <c r="I3066" s="4" t="s">
        <v>2317</v>
      </c>
      <c r="J3066" s="4" t="s">
        <v>2316</v>
      </c>
      <c r="K3066" s="4" t="s">
        <v>2263</v>
      </c>
      <c r="L3066" s="10">
        <v>65</v>
      </c>
      <c r="M3066" s="5">
        <v>12613.713373493978</v>
      </c>
      <c r="N3066" s="5">
        <v>819891.36927710846</v>
      </c>
    </row>
    <row r="3067" spans="1:14" x14ac:dyDescent="0.25">
      <c r="A3067" s="4" t="s">
        <v>2344</v>
      </c>
      <c r="B3067" s="4" t="s">
        <v>5154</v>
      </c>
      <c r="C3067" s="4" t="s">
        <v>2344</v>
      </c>
      <c r="D3067" s="4" t="s">
        <v>237</v>
      </c>
      <c r="E3067" s="4" t="s">
        <v>4790</v>
      </c>
      <c r="F3067" s="4" t="s">
        <v>2561</v>
      </c>
      <c r="G3067" s="4" t="s">
        <v>2263</v>
      </c>
      <c r="H3067" s="9" t="s">
        <v>2263</v>
      </c>
      <c r="I3067" s="4" t="s">
        <v>2263</v>
      </c>
      <c r="J3067" s="4" t="s">
        <v>2263</v>
      </c>
      <c r="K3067" s="4" t="s">
        <v>2560</v>
      </c>
      <c r="L3067" s="10">
        <v>66</v>
      </c>
      <c r="M3067" s="5">
        <v>692.7641509433962</v>
      </c>
      <c r="N3067" s="5">
        <v>45722.433962264149</v>
      </c>
    </row>
    <row r="3068" spans="1:14" x14ac:dyDescent="0.25">
      <c r="A3068" s="4" t="s">
        <v>2344</v>
      </c>
      <c r="B3068" s="4" t="s">
        <v>5154</v>
      </c>
      <c r="C3068" s="4" t="s">
        <v>2320</v>
      </c>
      <c r="D3068" s="4" t="s">
        <v>242</v>
      </c>
      <c r="E3068" s="4" t="s">
        <v>2721</v>
      </c>
      <c r="F3068" s="4" t="s">
        <v>2720</v>
      </c>
      <c r="G3068" s="4" t="s">
        <v>2263</v>
      </c>
      <c r="H3068" s="9" t="s">
        <v>2263</v>
      </c>
      <c r="I3068" s="4" t="s">
        <v>2317</v>
      </c>
      <c r="J3068" s="4" t="s">
        <v>2316</v>
      </c>
      <c r="K3068" s="4" t="s">
        <v>2263</v>
      </c>
      <c r="L3068" s="10">
        <v>66</v>
      </c>
      <c r="M3068" s="5">
        <v>2132.3942065491183</v>
      </c>
      <c r="N3068" s="5">
        <v>140738.0176322418</v>
      </c>
    </row>
    <row r="3069" spans="1:14" x14ac:dyDescent="0.25">
      <c r="A3069" s="4" t="s">
        <v>2344</v>
      </c>
      <c r="B3069" s="4" t="s">
        <v>5154</v>
      </c>
      <c r="C3069" s="4" t="s">
        <v>2344</v>
      </c>
      <c r="D3069" s="4" t="s">
        <v>237</v>
      </c>
      <c r="E3069" s="4" t="s">
        <v>4664</v>
      </c>
      <c r="F3069" s="4" t="s">
        <v>4663</v>
      </c>
      <c r="G3069" s="4" t="s">
        <v>2263</v>
      </c>
      <c r="H3069" s="9" t="s">
        <v>2263</v>
      </c>
      <c r="I3069" s="4" t="s">
        <v>2263</v>
      </c>
      <c r="J3069" s="4" t="s">
        <v>2263</v>
      </c>
      <c r="K3069" s="4" t="s">
        <v>4662</v>
      </c>
      <c r="L3069" s="10">
        <v>67</v>
      </c>
      <c r="M3069" s="5">
        <v>363.6540096618358</v>
      </c>
      <c r="N3069" s="5">
        <v>24364.818647343</v>
      </c>
    </row>
    <row r="3070" spans="1:14" x14ac:dyDescent="0.25">
      <c r="A3070" s="4" t="s">
        <v>2344</v>
      </c>
      <c r="B3070" s="4" t="s">
        <v>5154</v>
      </c>
      <c r="C3070" s="4" t="s">
        <v>2344</v>
      </c>
      <c r="D3070" s="4" t="s">
        <v>237</v>
      </c>
      <c r="E3070" s="4" t="s">
        <v>4912</v>
      </c>
      <c r="F3070" s="4" t="s">
        <v>3067</v>
      </c>
      <c r="G3070" s="4" t="s">
        <v>2263</v>
      </c>
      <c r="H3070" s="9" t="s">
        <v>2263</v>
      </c>
      <c r="I3070" s="4" t="s">
        <v>2263</v>
      </c>
      <c r="J3070" s="4" t="s">
        <v>2263</v>
      </c>
      <c r="K3070" s="4" t="s">
        <v>2619</v>
      </c>
      <c r="L3070" s="10">
        <v>67</v>
      </c>
      <c r="M3070" s="5">
        <v>724.15287499999999</v>
      </c>
      <c r="N3070" s="5">
        <v>48518.242624999999</v>
      </c>
    </row>
    <row r="3071" spans="1:14" x14ac:dyDescent="0.25">
      <c r="A3071" s="4" t="s">
        <v>2317</v>
      </c>
      <c r="B3071" s="4" t="s">
        <v>3839</v>
      </c>
      <c r="C3071" s="4" t="s">
        <v>2320</v>
      </c>
      <c r="D3071" s="4" t="s">
        <v>242</v>
      </c>
      <c r="E3071" s="4" t="s">
        <v>3883</v>
      </c>
      <c r="F3071" s="4" t="s">
        <v>3882</v>
      </c>
      <c r="G3071" s="4" t="s">
        <v>2263</v>
      </c>
      <c r="H3071" s="9" t="s">
        <v>2263</v>
      </c>
      <c r="I3071" s="4" t="s">
        <v>2317</v>
      </c>
      <c r="J3071" s="4" t="s">
        <v>2316</v>
      </c>
      <c r="K3071" s="4" t="s">
        <v>2263</v>
      </c>
      <c r="L3071" s="10">
        <v>67</v>
      </c>
      <c r="M3071" s="5">
        <v>4540.2125333333333</v>
      </c>
      <c r="N3071" s="5">
        <v>304194.23973333329</v>
      </c>
    </row>
    <row r="3072" spans="1:14" x14ac:dyDescent="0.25">
      <c r="A3072" s="4" t="s">
        <v>2317</v>
      </c>
      <c r="B3072" s="4" t="s">
        <v>3839</v>
      </c>
      <c r="C3072" s="4" t="s">
        <v>2320</v>
      </c>
      <c r="D3072" s="4" t="s">
        <v>242</v>
      </c>
      <c r="E3072" s="4" t="s">
        <v>4081</v>
      </c>
      <c r="F3072" s="4" t="s">
        <v>4080</v>
      </c>
      <c r="G3072" s="4" t="s">
        <v>2263</v>
      </c>
      <c r="H3072" s="9" t="s">
        <v>2263</v>
      </c>
      <c r="I3072" s="4" t="s">
        <v>2317</v>
      </c>
      <c r="J3072" s="4" t="s">
        <v>2316</v>
      </c>
      <c r="K3072" s="4" t="s">
        <v>2263</v>
      </c>
      <c r="L3072" s="10">
        <v>67</v>
      </c>
      <c r="M3072" s="5">
        <v>9752.0057333333316</v>
      </c>
      <c r="N3072" s="5">
        <v>653384.38413333334</v>
      </c>
    </row>
    <row r="3073" spans="1:14" x14ac:dyDescent="0.25">
      <c r="A3073" s="4" t="s">
        <v>2320</v>
      </c>
      <c r="B3073" s="4" t="s">
        <v>4967</v>
      </c>
      <c r="C3073" s="4" t="s">
        <v>2320</v>
      </c>
      <c r="D3073" s="4" t="s">
        <v>242</v>
      </c>
      <c r="E3073" s="4" t="s">
        <v>5111</v>
      </c>
      <c r="F3073" s="4" t="s">
        <v>5110</v>
      </c>
      <c r="G3073" s="4" t="s">
        <v>2263</v>
      </c>
      <c r="H3073" s="9" t="s">
        <v>2263</v>
      </c>
      <c r="I3073" s="4" t="s">
        <v>2317</v>
      </c>
      <c r="J3073" s="4" t="s">
        <v>2316</v>
      </c>
      <c r="K3073" s="4" t="s">
        <v>2263</v>
      </c>
      <c r="L3073" s="10">
        <v>67</v>
      </c>
      <c r="M3073" s="5">
        <v>11048.720447761196</v>
      </c>
      <c r="N3073" s="5">
        <v>740264.27</v>
      </c>
    </row>
    <row r="3074" spans="1:14" x14ac:dyDescent="0.25">
      <c r="A3074" s="4" t="s">
        <v>2317</v>
      </c>
      <c r="B3074" s="4" t="s">
        <v>3839</v>
      </c>
      <c r="C3074" s="4" t="s">
        <v>2320</v>
      </c>
      <c r="D3074" s="4" t="s">
        <v>242</v>
      </c>
      <c r="E3074" s="4" t="s">
        <v>3845</v>
      </c>
      <c r="F3074" s="4" t="s">
        <v>3844</v>
      </c>
      <c r="G3074" s="4" t="s">
        <v>2263</v>
      </c>
      <c r="H3074" s="9" t="s">
        <v>2263</v>
      </c>
      <c r="I3074" s="4" t="s">
        <v>2317</v>
      </c>
      <c r="J3074" s="4" t="s">
        <v>2316</v>
      </c>
      <c r="K3074" s="4" t="s">
        <v>2263</v>
      </c>
      <c r="L3074" s="10">
        <v>68</v>
      </c>
      <c r="M3074" s="5">
        <v>8382.7697931034472</v>
      </c>
      <c r="N3074" s="5">
        <v>570028.34593103454</v>
      </c>
    </row>
    <row r="3075" spans="1:14" x14ac:dyDescent="0.25">
      <c r="A3075" s="4" t="s">
        <v>2320</v>
      </c>
      <c r="B3075" s="4" t="s">
        <v>4967</v>
      </c>
      <c r="C3075" s="4" t="s">
        <v>2344</v>
      </c>
      <c r="D3075" s="4" t="s">
        <v>237</v>
      </c>
      <c r="E3075" s="4" t="s">
        <v>5145</v>
      </c>
      <c r="F3075" s="4" t="s">
        <v>2610</v>
      </c>
      <c r="G3075" s="4" t="s">
        <v>2263</v>
      </c>
      <c r="H3075" s="9" t="s">
        <v>2263</v>
      </c>
      <c r="I3075" s="4" t="s">
        <v>2263</v>
      </c>
      <c r="J3075" s="4" t="s">
        <v>2263</v>
      </c>
      <c r="K3075" s="4" t="s">
        <v>2536</v>
      </c>
      <c r="L3075" s="10">
        <v>68</v>
      </c>
      <c r="M3075" s="5">
        <v>13500.487848101266</v>
      </c>
      <c r="N3075" s="5">
        <v>918033.17367088608</v>
      </c>
    </row>
    <row r="3076" spans="1:14" x14ac:dyDescent="0.25">
      <c r="A3076" s="4" t="s">
        <v>2317</v>
      </c>
      <c r="B3076" s="4" t="s">
        <v>3839</v>
      </c>
      <c r="C3076" s="4" t="s">
        <v>2320</v>
      </c>
      <c r="D3076" s="4" t="s">
        <v>242</v>
      </c>
      <c r="E3076" s="4" t="s">
        <v>2895</v>
      </c>
      <c r="F3076" s="4" t="s">
        <v>2894</v>
      </c>
      <c r="G3076" s="4" t="s">
        <v>2263</v>
      </c>
      <c r="H3076" s="9" t="s">
        <v>2263</v>
      </c>
      <c r="I3076" s="4" t="s">
        <v>2317</v>
      </c>
      <c r="J3076" s="4" t="s">
        <v>2316</v>
      </c>
      <c r="K3076" s="4" t="s">
        <v>2263</v>
      </c>
      <c r="L3076" s="10">
        <v>69</v>
      </c>
      <c r="M3076" s="5">
        <v>2172.9377586206897</v>
      </c>
      <c r="N3076" s="5">
        <v>149932.70534482761</v>
      </c>
    </row>
    <row r="3077" spans="1:14" x14ac:dyDescent="0.25">
      <c r="A3077" s="4" t="s">
        <v>2344</v>
      </c>
      <c r="B3077" s="4" t="s">
        <v>5154</v>
      </c>
      <c r="C3077" s="4" t="s">
        <v>2344</v>
      </c>
      <c r="D3077" s="4" t="s">
        <v>237</v>
      </c>
      <c r="E3077" s="4" t="s">
        <v>3043</v>
      </c>
      <c r="F3077" s="4" t="s">
        <v>2458</v>
      </c>
      <c r="G3077" s="4" t="s">
        <v>2263</v>
      </c>
      <c r="H3077" s="9" t="s">
        <v>2263</v>
      </c>
      <c r="I3077" s="4" t="s">
        <v>2263</v>
      </c>
      <c r="J3077" s="4" t="s">
        <v>2263</v>
      </c>
      <c r="K3077" s="4" t="s">
        <v>2457</v>
      </c>
      <c r="L3077" s="10">
        <v>69</v>
      </c>
      <c r="M3077" s="5">
        <v>2256.593404255319</v>
      </c>
      <c r="N3077" s="5">
        <v>155704.94489361701</v>
      </c>
    </row>
    <row r="3078" spans="1:14" x14ac:dyDescent="0.25">
      <c r="A3078" s="4" t="s">
        <v>2317</v>
      </c>
      <c r="B3078" s="4" t="s">
        <v>3839</v>
      </c>
      <c r="C3078" s="4" t="s">
        <v>2320</v>
      </c>
      <c r="D3078" s="4" t="s">
        <v>242</v>
      </c>
      <c r="E3078" s="4" t="s">
        <v>3885</v>
      </c>
      <c r="F3078" s="4" t="s">
        <v>3884</v>
      </c>
      <c r="G3078" s="4" t="s">
        <v>2263</v>
      </c>
      <c r="H3078" s="9" t="s">
        <v>2263</v>
      </c>
      <c r="I3078" s="4" t="s">
        <v>2317</v>
      </c>
      <c r="J3078" s="4" t="s">
        <v>2316</v>
      </c>
      <c r="K3078" s="4" t="s">
        <v>2263</v>
      </c>
      <c r="L3078" s="10">
        <v>69</v>
      </c>
      <c r="M3078" s="5">
        <v>2345.8135802469137</v>
      </c>
      <c r="N3078" s="5">
        <v>161861.13703703703</v>
      </c>
    </row>
    <row r="3079" spans="1:14" x14ac:dyDescent="0.25">
      <c r="A3079" s="4" t="s">
        <v>2274</v>
      </c>
      <c r="B3079" s="4" t="s">
        <v>4348</v>
      </c>
      <c r="C3079" s="4" t="s">
        <v>2267</v>
      </c>
      <c r="D3079" s="4" t="s">
        <v>2266</v>
      </c>
      <c r="E3079" s="4" t="s">
        <v>4405</v>
      </c>
      <c r="F3079" s="4" t="s">
        <v>4404</v>
      </c>
      <c r="G3079" s="4" t="s">
        <v>2263</v>
      </c>
      <c r="H3079" s="9" t="s">
        <v>2263</v>
      </c>
      <c r="I3079" s="4" t="s">
        <v>2263</v>
      </c>
      <c r="J3079" s="4" t="s">
        <v>2263</v>
      </c>
      <c r="K3079" s="4" t="s">
        <v>2568</v>
      </c>
      <c r="L3079" s="10">
        <v>69</v>
      </c>
      <c r="M3079" s="5">
        <v>3119.0335238095236</v>
      </c>
      <c r="N3079" s="5">
        <v>215213.31314285711</v>
      </c>
    </row>
    <row r="3080" spans="1:14" x14ac:dyDescent="0.25">
      <c r="A3080" s="4" t="s">
        <v>2317</v>
      </c>
      <c r="B3080" s="4" t="s">
        <v>3839</v>
      </c>
      <c r="C3080" s="4" t="s">
        <v>2320</v>
      </c>
      <c r="D3080" s="4" t="s">
        <v>242</v>
      </c>
      <c r="E3080" s="4" t="s">
        <v>4247</v>
      </c>
      <c r="F3080" s="4" t="s">
        <v>4246</v>
      </c>
      <c r="G3080" s="4" t="s">
        <v>2263</v>
      </c>
      <c r="H3080" s="9" t="s">
        <v>2263</v>
      </c>
      <c r="I3080" s="4" t="s">
        <v>2317</v>
      </c>
      <c r="J3080" s="4" t="s">
        <v>2316</v>
      </c>
      <c r="K3080" s="4" t="s">
        <v>2263</v>
      </c>
      <c r="L3080" s="10">
        <v>69</v>
      </c>
      <c r="M3080" s="5">
        <v>17679.717400000001</v>
      </c>
      <c r="N3080" s="5">
        <v>1219900.5005999999</v>
      </c>
    </row>
    <row r="3081" spans="1:14" x14ac:dyDescent="0.25">
      <c r="A3081" s="4" t="s">
        <v>2344</v>
      </c>
      <c r="B3081" s="4" t="s">
        <v>5154</v>
      </c>
      <c r="C3081" s="4" t="s">
        <v>2279</v>
      </c>
      <c r="D3081" s="4" t="s">
        <v>2278</v>
      </c>
      <c r="E3081" s="4" t="s">
        <v>5296</v>
      </c>
      <c r="F3081" s="4" t="s">
        <v>2539</v>
      </c>
      <c r="G3081" s="4" t="s">
        <v>2263</v>
      </c>
      <c r="H3081" s="9" t="s">
        <v>2263</v>
      </c>
      <c r="I3081" s="4" t="s">
        <v>2263</v>
      </c>
      <c r="J3081" s="4" t="s">
        <v>2263</v>
      </c>
      <c r="K3081" s="4" t="s">
        <v>2305</v>
      </c>
      <c r="L3081" s="10">
        <v>70</v>
      </c>
      <c r="M3081" s="5">
        <v>51</v>
      </c>
      <c r="N3081" s="5">
        <v>3570</v>
      </c>
    </row>
    <row r="3082" spans="1:14" x14ac:dyDescent="0.25">
      <c r="A3082" s="4" t="s">
        <v>2274</v>
      </c>
      <c r="B3082" s="4" t="s">
        <v>4348</v>
      </c>
      <c r="C3082" s="4" t="s">
        <v>2344</v>
      </c>
      <c r="D3082" s="4" t="s">
        <v>237</v>
      </c>
      <c r="E3082" s="4" t="s">
        <v>4816</v>
      </c>
      <c r="F3082" s="4" t="s">
        <v>4815</v>
      </c>
      <c r="G3082" s="4" t="s">
        <v>2263</v>
      </c>
      <c r="H3082" s="9" t="s">
        <v>2263</v>
      </c>
      <c r="I3082" s="4" t="s">
        <v>2263</v>
      </c>
      <c r="J3082" s="4" t="s">
        <v>2263</v>
      </c>
      <c r="K3082" s="4" t="s">
        <v>2465</v>
      </c>
      <c r="L3082" s="10">
        <v>70</v>
      </c>
      <c r="M3082" s="5">
        <v>123</v>
      </c>
      <c r="N3082" s="5">
        <v>8610</v>
      </c>
    </row>
    <row r="3083" spans="1:14" x14ac:dyDescent="0.25">
      <c r="A3083" s="4" t="s">
        <v>2274</v>
      </c>
      <c r="B3083" s="4" t="s">
        <v>4348</v>
      </c>
      <c r="C3083" s="4" t="s">
        <v>2267</v>
      </c>
      <c r="D3083" s="4" t="s">
        <v>2266</v>
      </c>
      <c r="E3083" s="4" t="s">
        <v>4378</v>
      </c>
      <c r="F3083" s="4" t="s">
        <v>2493</v>
      </c>
      <c r="G3083" s="4" t="s">
        <v>2263</v>
      </c>
      <c r="H3083" s="9" t="s">
        <v>2263</v>
      </c>
      <c r="I3083" s="4" t="s">
        <v>2263</v>
      </c>
      <c r="J3083" s="4" t="s">
        <v>2263</v>
      </c>
      <c r="K3083" s="4" t="s">
        <v>2262</v>
      </c>
      <c r="L3083" s="10">
        <v>70</v>
      </c>
      <c r="M3083" s="5">
        <v>225.56</v>
      </c>
      <c r="N3083" s="5">
        <v>15789.2</v>
      </c>
    </row>
    <row r="3084" spans="1:14" x14ac:dyDescent="0.25">
      <c r="A3084" s="4" t="s">
        <v>2344</v>
      </c>
      <c r="B3084" s="4" t="s">
        <v>5154</v>
      </c>
      <c r="C3084" s="4" t="s">
        <v>2344</v>
      </c>
      <c r="D3084" s="4" t="s">
        <v>237</v>
      </c>
      <c r="E3084" s="4" t="s">
        <v>5384</v>
      </c>
      <c r="F3084" s="4" t="s">
        <v>2565</v>
      </c>
      <c r="G3084" s="4" t="s">
        <v>2263</v>
      </c>
      <c r="H3084" s="9" t="s">
        <v>2263</v>
      </c>
      <c r="I3084" s="4" t="s">
        <v>2263</v>
      </c>
      <c r="J3084" s="4" t="s">
        <v>2263</v>
      </c>
      <c r="K3084" s="4" t="s">
        <v>2564</v>
      </c>
      <c r="L3084" s="10">
        <v>70</v>
      </c>
      <c r="M3084" s="5">
        <v>887</v>
      </c>
      <c r="N3084" s="5">
        <v>62090</v>
      </c>
    </row>
    <row r="3085" spans="1:14" x14ac:dyDescent="0.25">
      <c r="A3085" s="4" t="s">
        <v>2274</v>
      </c>
      <c r="B3085" s="4" t="s">
        <v>4348</v>
      </c>
      <c r="C3085" s="4" t="s">
        <v>2344</v>
      </c>
      <c r="D3085" s="4" t="s">
        <v>237</v>
      </c>
      <c r="E3085" s="4" t="s">
        <v>4651</v>
      </c>
      <c r="F3085" s="4" t="s">
        <v>4650</v>
      </c>
      <c r="G3085" s="4" t="s">
        <v>2263</v>
      </c>
      <c r="H3085" s="9" t="s">
        <v>2263</v>
      </c>
      <c r="I3085" s="4" t="s">
        <v>2263</v>
      </c>
      <c r="J3085" s="4" t="s">
        <v>2263</v>
      </c>
      <c r="K3085" s="4" t="s">
        <v>4649</v>
      </c>
      <c r="L3085" s="10">
        <v>70</v>
      </c>
      <c r="M3085" s="5">
        <v>962.82</v>
      </c>
      <c r="N3085" s="5">
        <v>67397.399999999994</v>
      </c>
    </row>
    <row r="3086" spans="1:14" x14ac:dyDescent="0.25">
      <c r="A3086" s="4" t="s">
        <v>2320</v>
      </c>
      <c r="B3086" s="4" t="s">
        <v>4967</v>
      </c>
      <c r="C3086" s="4" t="s">
        <v>2320</v>
      </c>
      <c r="D3086" s="4" t="s">
        <v>242</v>
      </c>
      <c r="E3086" s="4" t="s">
        <v>2739</v>
      </c>
      <c r="F3086" s="4" t="s">
        <v>2738</v>
      </c>
      <c r="G3086" s="4" t="s">
        <v>2263</v>
      </c>
      <c r="H3086" s="9" t="s">
        <v>2263</v>
      </c>
      <c r="I3086" s="4" t="s">
        <v>2317</v>
      </c>
      <c r="J3086" s="4" t="s">
        <v>2316</v>
      </c>
      <c r="K3086" s="4" t="s">
        <v>2263</v>
      </c>
      <c r="L3086" s="10">
        <v>70</v>
      </c>
      <c r="M3086" s="5">
        <v>1018.0292795883362</v>
      </c>
      <c r="N3086" s="5">
        <v>71262.049571183525</v>
      </c>
    </row>
    <row r="3087" spans="1:14" x14ac:dyDescent="0.25">
      <c r="A3087" s="4" t="s">
        <v>2274</v>
      </c>
      <c r="B3087" s="4" t="s">
        <v>4348</v>
      </c>
      <c r="C3087" s="4" t="s">
        <v>2344</v>
      </c>
      <c r="D3087" s="4" t="s">
        <v>237</v>
      </c>
      <c r="E3087" s="4" t="s">
        <v>4926</v>
      </c>
      <c r="F3087" s="4" t="s">
        <v>2553</v>
      </c>
      <c r="G3087" s="4" t="s">
        <v>2263</v>
      </c>
      <c r="H3087" s="9" t="s">
        <v>2263</v>
      </c>
      <c r="I3087" s="4" t="s">
        <v>2263</v>
      </c>
      <c r="J3087" s="4" t="s">
        <v>2263</v>
      </c>
      <c r="K3087" s="4" t="s">
        <v>2552</v>
      </c>
      <c r="L3087" s="10">
        <v>70</v>
      </c>
      <c r="M3087" s="5">
        <v>2351.81</v>
      </c>
      <c r="N3087" s="5">
        <v>164626.70000000001</v>
      </c>
    </row>
    <row r="3088" spans="1:14" x14ac:dyDescent="0.25">
      <c r="A3088" s="4" t="s">
        <v>2317</v>
      </c>
      <c r="B3088" s="4" t="s">
        <v>3839</v>
      </c>
      <c r="C3088" s="4" t="s">
        <v>2320</v>
      </c>
      <c r="D3088" s="4" t="s">
        <v>242</v>
      </c>
      <c r="E3088" s="4" t="s">
        <v>2406</v>
      </c>
      <c r="F3088" s="4" t="s">
        <v>2405</v>
      </c>
      <c r="G3088" s="4" t="s">
        <v>2263</v>
      </c>
      <c r="H3088" s="9" t="s">
        <v>2263</v>
      </c>
      <c r="I3088" s="4" t="s">
        <v>2317</v>
      </c>
      <c r="J3088" s="4" t="s">
        <v>2316</v>
      </c>
      <c r="K3088" s="4" t="s">
        <v>2263</v>
      </c>
      <c r="L3088" s="10">
        <v>70</v>
      </c>
      <c r="M3088" s="5">
        <v>3147.4638144329897</v>
      </c>
      <c r="N3088" s="5">
        <v>220322.46701030928</v>
      </c>
    </row>
    <row r="3089" spans="1:14" x14ac:dyDescent="0.25">
      <c r="A3089" s="4" t="s">
        <v>2317</v>
      </c>
      <c r="B3089" s="4" t="s">
        <v>3839</v>
      </c>
      <c r="C3089" s="4" t="s">
        <v>2320</v>
      </c>
      <c r="D3089" s="4" t="s">
        <v>242</v>
      </c>
      <c r="E3089" s="4" t="s">
        <v>2717</v>
      </c>
      <c r="F3089" s="4" t="s">
        <v>2716</v>
      </c>
      <c r="G3089" s="4" t="s">
        <v>2263</v>
      </c>
      <c r="H3089" s="9" t="s">
        <v>2263</v>
      </c>
      <c r="I3089" s="4" t="s">
        <v>2317</v>
      </c>
      <c r="J3089" s="4" t="s">
        <v>2316</v>
      </c>
      <c r="K3089" s="4" t="s">
        <v>2263</v>
      </c>
      <c r="L3089" s="10">
        <v>70</v>
      </c>
      <c r="M3089" s="5">
        <v>10302.013482142856</v>
      </c>
      <c r="N3089" s="5">
        <v>721140.94374999998</v>
      </c>
    </row>
    <row r="3090" spans="1:14" x14ac:dyDescent="0.25">
      <c r="A3090" s="4" t="s">
        <v>2653</v>
      </c>
      <c r="B3090" s="4" t="s">
        <v>3226</v>
      </c>
      <c r="C3090" s="4" t="s">
        <v>2320</v>
      </c>
      <c r="D3090" s="4" t="s">
        <v>242</v>
      </c>
      <c r="E3090" s="4" t="s">
        <v>3008</v>
      </c>
      <c r="F3090" s="4" t="s">
        <v>3007</v>
      </c>
      <c r="G3090" s="4" t="s">
        <v>2263</v>
      </c>
      <c r="H3090" s="9" t="s">
        <v>2263</v>
      </c>
      <c r="I3090" s="4" t="s">
        <v>2317</v>
      </c>
      <c r="J3090" s="4" t="s">
        <v>2316</v>
      </c>
      <c r="K3090" s="4" t="s">
        <v>2263</v>
      </c>
      <c r="L3090" s="10">
        <v>70</v>
      </c>
      <c r="M3090" s="5">
        <v>10692.271420345489</v>
      </c>
      <c r="N3090" s="5">
        <v>748458.99942418432</v>
      </c>
    </row>
    <row r="3091" spans="1:14" x14ac:dyDescent="0.25">
      <c r="A3091" s="4" t="s">
        <v>2274</v>
      </c>
      <c r="B3091" s="4" t="s">
        <v>4348</v>
      </c>
      <c r="C3091" s="4" t="s">
        <v>2344</v>
      </c>
      <c r="D3091" s="4" t="s">
        <v>237</v>
      </c>
      <c r="E3091" s="4" t="s">
        <v>4683</v>
      </c>
      <c r="F3091" s="4" t="s">
        <v>2578</v>
      </c>
      <c r="G3091" s="4" t="s">
        <v>2263</v>
      </c>
      <c r="H3091" s="9" t="s">
        <v>2263</v>
      </c>
      <c r="I3091" s="4" t="s">
        <v>2263</v>
      </c>
      <c r="J3091" s="4" t="s">
        <v>2263</v>
      </c>
      <c r="K3091" s="4" t="s">
        <v>2577</v>
      </c>
      <c r="L3091" s="10">
        <v>70</v>
      </c>
      <c r="M3091" s="5">
        <v>15707.147521367522</v>
      </c>
      <c r="N3091" s="5">
        <v>1099500.3264957266</v>
      </c>
    </row>
    <row r="3092" spans="1:14" x14ac:dyDescent="0.25">
      <c r="A3092" s="4" t="s">
        <v>2653</v>
      </c>
      <c r="B3092" s="4" t="s">
        <v>3226</v>
      </c>
      <c r="C3092" s="4" t="s">
        <v>2384</v>
      </c>
      <c r="D3092" s="4" t="s">
        <v>262</v>
      </c>
      <c r="E3092" s="4" t="s">
        <v>3462</v>
      </c>
      <c r="F3092" s="4" t="s">
        <v>3461</v>
      </c>
      <c r="G3092" s="4" t="s">
        <v>2263</v>
      </c>
      <c r="H3092" s="9" t="s">
        <v>2263</v>
      </c>
      <c r="I3092" s="4" t="s">
        <v>2317</v>
      </c>
      <c r="J3092" s="4" t="s">
        <v>2316</v>
      </c>
      <c r="K3092" s="4" t="s">
        <v>2263</v>
      </c>
      <c r="L3092" s="10">
        <v>71</v>
      </c>
      <c r="M3092" s="5">
        <v>-25906.285352112678</v>
      </c>
      <c r="N3092" s="5">
        <v>-1839346.26</v>
      </c>
    </row>
    <row r="3093" spans="1:14" x14ac:dyDescent="0.25">
      <c r="A3093" s="4" t="s">
        <v>2344</v>
      </c>
      <c r="B3093" s="4" t="s">
        <v>5154</v>
      </c>
      <c r="C3093" s="4" t="s">
        <v>2344</v>
      </c>
      <c r="D3093" s="4" t="s">
        <v>237</v>
      </c>
      <c r="E3093" s="4" t="s">
        <v>4885</v>
      </c>
      <c r="F3093" s="4" t="s">
        <v>4884</v>
      </c>
      <c r="G3093" s="4" t="s">
        <v>2263</v>
      </c>
      <c r="H3093" s="9" t="s">
        <v>2263</v>
      </c>
      <c r="I3093" s="4" t="s">
        <v>2263</v>
      </c>
      <c r="J3093" s="4" t="s">
        <v>2263</v>
      </c>
      <c r="K3093" s="4" t="s">
        <v>4387</v>
      </c>
      <c r="L3093" s="10">
        <v>71</v>
      </c>
      <c r="M3093" s="5">
        <v>156.3866081871345</v>
      </c>
      <c r="N3093" s="5">
        <v>11103.449181286551</v>
      </c>
    </row>
    <row r="3094" spans="1:14" x14ac:dyDescent="0.25">
      <c r="A3094" s="4" t="s">
        <v>2344</v>
      </c>
      <c r="B3094" s="4" t="s">
        <v>5154</v>
      </c>
      <c r="C3094" s="4" t="s">
        <v>2279</v>
      </c>
      <c r="D3094" s="4" t="s">
        <v>2278</v>
      </c>
      <c r="E3094" s="4" t="s">
        <v>5298</v>
      </c>
      <c r="F3094" s="4" t="s">
        <v>5297</v>
      </c>
      <c r="G3094" s="4" t="s">
        <v>2263</v>
      </c>
      <c r="H3094" s="9" t="s">
        <v>2263</v>
      </c>
      <c r="I3094" s="4" t="s">
        <v>2263</v>
      </c>
      <c r="J3094" s="4" t="s">
        <v>2263</v>
      </c>
      <c r="K3094" s="4" t="s">
        <v>2462</v>
      </c>
      <c r="L3094" s="10">
        <v>71</v>
      </c>
      <c r="M3094" s="5">
        <v>419.30408450704226</v>
      </c>
      <c r="N3094" s="5">
        <v>29770.59</v>
      </c>
    </row>
    <row r="3095" spans="1:14" x14ac:dyDescent="0.25">
      <c r="A3095" s="4" t="s">
        <v>2653</v>
      </c>
      <c r="B3095" s="4" t="s">
        <v>3226</v>
      </c>
      <c r="C3095" s="4" t="s">
        <v>3107</v>
      </c>
      <c r="D3095" s="4" t="s">
        <v>1105</v>
      </c>
      <c r="E3095" s="4" t="s">
        <v>3727</v>
      </c>
      <c r="F3095" s="4" t="s">
        <v>3726</v>
      </c>
      <c r="G3095" s="4" t="s">
        <v>2263</v>
      </c>
      <c r="H3095" s="9" t="s">
        <v>2263</v>
      </c>
      <c r="I3095" s="4" t="s">
        <v>2317</v>
      </c>
      <c r="J3095" s="4" t="s">
        <v>2316</v>
      </c>
      <c r="K3095" s="4" t="s">
        <v>2263</v>
      </c>
      <c r="L3095" s="10">
        <v>71</v>
      </c>
      <c r="M3095" s="5">
        <v>45208.585211267608</v>
      </c>
      <c r="N3095" s="5">
        <v>3209809.55</v>
      </c>
    </row>
    <row r="3096" spans="1:14" x14ac:dyDescent="0.25">
      <c r="A3096" s="4" t="s">
        <v>2344</v>
      </c>
      <c r="B3096" s="4" t="s">
        <v>5154</v>
      </c>
      <c r="C3096" s="4" t="s">
        <v>2344</v>
      </c>
      <c r="D3096" s="4" t="s">
        <v>237</v>
      </c>
      <c r="E3096" s="4" t="s">
        <v>4541</v>
      </c>
      <c r="F3096" s="4" t="s">
        <v>4540</v>
      </c>
      <c r="G3096" s="4" t="s">
        <v>2263</v>
      </c>
      <c r="H3096" s="9" t="s">
        <v>2263</v>
      </c>
      <c r="I3096" s="4" t="s">
        <v>2263</v>
      </c>
      <c r="J3096" s="4" t="s">
        <v>2263</v>
      </c>
      <c r="K3096" s="4" t="s">
        <v>4539</v>
      </c>
      <c r="L3096" s="10">
        <v>72</v>
      </c>
      <c r="M3096" s="5">
        <v>28.335486111111113</v>
      </c>
      <c r="N3096" s="5">
        <v>2040.155</v>
      </c>
    </row>
    <row r="3097" spans="1:14" x14ac:dyDescent="0.25">
      <c r="A3097" s="4" t="s">
        <v>2317</v>
      </c>
      <c r="B3097" s="4" t="s">
        <v>3839</v>
      </c>
      <c r="C3097" s="4" t="s">
        <v>2320</v>
      </c>
      <c r="D3097" s="4" t="s">
        <v>242</v>
      </c>
      <c r="E3097" s="4" t="s">
        <v>3959</v>
      </c>
      <c r="F3097" s="4" t="s">
        <v>3958</v>
      </c>
      <c r="G3097" s="4" t="s">
        <v>2263</v>
      </c>
      <c r="H3097" s="9" t="s">
        <v>2263</v>
      </c>
      <c r="I3097" s="4" t="s">
        <v>2317</v>
      </c>
      <c r="J3097" s="4" t="s">
        <v>2316</v>
      </c>
      <c r="K3097" s="4" t="s">
        <v>2263</v>
      </c>
      <c r="L3097" s="10">
        <v>72</v>
      </c>
      <c r="M3097" s="5">
        <v>2133.8888888888887</v>
      </c>
      <c r="N3097" s="5">
        <v>153640</v>
      </c>
    </row>
    <row r="3098" spans="1:14" x14ac:dyDescent="0.25">
      <c r="A3098" s="4" t="s">
        <v>2344</v>
      </c>
      <c r="B3098" s="4" t="s">
        <v>5154</v>
      </c>
      <c r="C3098" s="4" t="s">
        <v>2267</v>
      </c>
      <c r="D3098" s="4" t="s">
        <v>2266</v>
      </c>
      <c r="E3098" s="4" t="s">
        <v>4406</v>
      </c>
      <c r="F3098" s="4" t="s">
        <v>2500</v>
      </c>
      <c r="G3098" s="4" t="s">
        <v>2263</v>
      </c>
      <c r="H3098" s="9" t="s">
        <v>2263</v>
      </c>
      <c r="I3098" s="4" t="s">
        <v>2263</v>
      </c>
      <c r="J3098" s="4" t="s">
        <v>2263</v>
      </c>
      <c r="K3098" s="4" t="s">
        <v>2499</v>
      </c>
      <c r="L3098" s="10">
        <v>72</v>
      </c>
      <c r="M3098" s="5">
        <v>2155.6857786885244</v>
      </c>
      <c r="N3098" s="5">
        <v>155209.37606557377</v>
      </c>
    </row>
    <row r="3099" spans="1:14" x14ac:dyDescent="0.25">
      <c r="A3099" s="4" t="s">
        <v>2819</v>
      </c>
      <c r="B3099" s="4" t="s">
        <v>2818</v>
      </c>
      <c r="C3099" s="4" t="s">
        <v>2320</v>
      </c>
      <c r="D3099" s="4" t="s">
        <v>242</v>
      </c>
      <c r="E3099" s="4" t="s">
        <v>2821</v>
      </c>
      <c r="F3099" s="4" t="s">
        <v>2820</v>
      </c>
      <c r="G3099" s="4" t="s">
        <v>2263</v>
      </c>
      <c r="H3099" s="9" t="s">
        <v>2263</v>
      </c>
      <c r="I3099" s="4" t="s">
        <v>2317</v>
      </c>
      <c r="J3099" s="4" t="s">
        <v>2316</v>
      </c>
      <c r="K3099" s="4" t="s">
        <v>2263</v>
      </c>
      <c r="L3099" s="10">
        <v>72</v>
      </c>
      <c r="M3099" s="5">
        <v>7606.7601136363637</v>
      </c>
      <c r="N3099" s="5">
        <v>547686.72818181815</v>
      </c>
    </row>
    <row r="3100" spans="1:14" x14ac:dyDescent="0.25">
      <c r="A3100" s="4" t="s">
        <v>2320</v>
      </c>
      <c r="B3100" s="4" t="s">
        <v>4967</v>
      </c>
      <c r="C3100" s="4" t="s">
        <v>2320</v>
      </c>
      <c r="D3100" s="4" t="s">
        <v>242</v>
      </c>
      <c r="E3100" s="4" t="s">
        <v>3823</v>
      </c>
      <c r="F3100" s="4" t="s">
        <v>3822</v>
      </c>
      <c r="G3100" s="4" t="s">
        <v>2263</v>
      </c>
      <c r="H3100" s="9" t="s">
        <v>2263</v>
      </c>
      <c r="I3100" s="4" t="s">
        <v>2317</v>
      </c>
      <c r="J3100" s="4" t="s">
        <v>2316</v>
      </c>
      <c r="K3100" s="4" t="s">
        <v>2263</v>
      </c>
      <c r="L3100" s="10">
        <v>73</v>
      </c>
      <c r="M3100" s="5">
        <v>3443.6737588652481</v>
      </c>
      <c r="N3100" s="5">
        <v>251388.18439716313</v>
      </c>
    </row>
    <row r="3101" spans="1:14" x14ac:dyDescent="0.25">
      <c r="A3101" s="4" t="s">
        <v>2320</v>
      </c>
      <c r="B3101" s="4" t="s">
        <v>4967</v>
      </c>
      <c r="C3101" s="4" t="s">
        <v>2320</v>
      </c>
      <c r="D3101" s="4" t="s">
        <v>242</v>
      </c>
      <c r="E3101" s="4" t="s">
        <v>3141</v>
      </c>
      <c r="F3101" s="4" t="s">
        <v>3140</v>
      </c>
      <c r="G3101" s="4" t="s">
        <v>2263</v>
      </c>
      <c r="H3101" s="9" t="s">
        <v>2263</v>
      </c>
      <c r="I3101" s="4" t="s">
        <v>2317</v>
      </c>
      <c r="J3101" s="4" t="s">
        <v>2316</v>
      </c>
      <c r="K3101" s="4" t="s">
        <v>2263</v>
      </c>
      <c r="L3101" s="10">
        <v>73</v>
      </c>
      <c r="M3101" s="5">
        <v>11604.883417721519</v>
      </c>
      <c r="N3101" s="5">
        <v>847156.48949367087</v>
      </c>
    </row>
    <row r="3102" spans="1:14" x14ac:dyDescent="0.25">
      <c r="A3102" s="4" t="s">
        <v>2317</v>
      </c>
      <c r="B3102" s="4" t="s">
        <v>3839</v>
      </c>
      <c r="C3102" s="4" t="s">
        <v>2320</v>
      </c>
      <c r="D3102" s="4" t="s">
        <v>242</v>
      </c>
      <c r="E3102" s="4" t="s">
        <v>4327</v>
      </c>
      <c r="F3102" s="4" t="s">
        <v>4326</v>
      </c>
      <c r="G3102" s="4" t="s">
        <v>2263</v>
      </c>
      <c r="H3102" s="9" t="s">
        <v>2263</v>
      </c>
      <c r="I3102" s="4" t="s">
        <v>2317</v>
      </c>
      <c r="J3102" s="4" t="s">
        <v>2316</v>
      </c>
      <c r="K3102" s="4" t="s">
        <v>2263</v>
      </c>
      <c r="L3102" s="10">
        <v>73</v>
      </c>
      <c r="M3102" s="5">
        <v>24672.913978494624</v>
      </c>
      <c r="N3102" s="5">
        <v>1801122.7204301076</v>
      </c>
    </row>
    <row r="3103" spans="1:14" x14ac:dyDescent="0.25">
      <c r="A3103" s="4" t="s">
        <v>2653</v>
      </c>
      <c r="B3103" s="4" t="s">
        <v>3226</v>
      </c>
      <c r="C3103" s="4" t="s">
        <v>2353</v>
      </c>
      <c r="D3103" s="4" t="s">
        <v>258</v>
      </c>
      <c r="E3103" s="4" t="s">
        <v>3268</v>
      </c>
      <c r="F3103" s="4" t="s">
        <v>3267</v>
      </c>
      <c r="G3103" s="4" t="s">
        <v>2263</v>
      </c>
      <c r="H3103" s="9" t="s">
        <v>2263</v>
      </c>
      <c r="I3103" s="4" t="s">
        <v>2317</v>
      </c>
      <c r="J3103" s="4" t="s">
        <v>2316</v>
      </c>
      <c r="K3103" s="4" t="s">
        <v>2263</v>
      </c>
      <c r="L3103" s="10">
        <v>73</v>
      </c>
      <c r="M3103" s="5">
        <v>37412.975342465754</v>
      </c>
      <c r="N3103" s="5">
        <v>2731147.2</v>
      </c>
    </row>
    <row r="3104" spans="1:14" x14ac:dyDescent="0.25">
      <c r="A3104" s="4" t="s">
        <v>2344</v>
      </c>
      <c r="B3104" s="4" t="s">
        <v>5154</v>
      </c>
      <c r="C3104" s="4" t="s">
        <v>2344</v>
      </c>
      <c r="D3104" s="4" t="s">
        <v>237</v>
      </c>
      <c r="E3104" s="4" t="s">
        <v>4767</v>
      </c>
      <c r="F3104" s="4" t="s">
        <v>2574</v>
      </c>
      <c r="G3104" s="4" t="s">
        <v>2263</v>
      </c>
      <c r="H3104" s="9" t="s">
        <v>2263</v>
      </c>
      <c r="I3104" s="4" t="s">
        <v>2263</v>
      </c>
      <c r="J3104" s="4" t="s">
        <v>2263</v>
      </c>
      <c r="K3104" s="4" t="s">
        <v>2573</v>
      </c>
      <c r="L3104" s="10">
        <v>74</v>
      </c>
      <c r="M3104" s="5">
        <v>98.041532846715327</v>
      </c>
      <c r="N3104" s="5">
        <v>7255.0734306569302</v>
      </c>
    </row>
    <row r="3105" spans="1:14" x14ac:dyDescent="0.25">
      <c r="A3105" s="4" t="s">
        <v>2317</v>
      </c>
      <c r="B3105" s="4" t="s">
        <v>3839</v>
      </c>
      <c r="C3105" s="4" t="s">
        <v>2320</v>
      </c>
      <c r="D3105" s="4" t="s">
        <v>242</v>
      </c>
      <c r="E3105" s="4" t="s">
        <v>3151</v>
      </c>
      <c r="F3105" s="4" t="s">
        <v>3150</v>
      </c>
      <c r="G3105" s="4" t="s">
        <v>2263</v>
      </c>
      <c r="H3105" s="9" t="s">
        <v>2263</v>
      </c>
      <c r="I3105" s="4" t="s">
        <v>2317</v>
      </c>
      <c r="J3105" s="4" t="s">
        <v>2316</v>
      </c>
      <c r="K3105" s="4" t="s">
        <v>2263</v>
      </c>
      <c r="L3105" s="10">
        <v>75</v>
      </c>
      <c r="M3105" s="5">
        <v>-7674.6067999999996</v>
      </c>
      <c r="N3105" s="5">
        <v>-575595.51</v>
      </c>
    </row>
    <row r="3106" spans="1:14" x14ac:dyDescent="0.25">
      <c r="A3106" s="4" t="s">
        <v>2274</v>
      </c>
      <c r="B3106" s="4" t="s">
        <v>4348</v>
      </c>
      <c r="C3106" s="4" t="s">
        <v>2344</v>
      </c>
      <c r="D3106" s="4" t="s">
        <v>237</v>
      </c>
      <c r="E3106" s="4" t="s">
        <v>4943</v>
      </c>
      <c r="F3106" s="4" t="s">
        <v>2665</v>
      </c>
      <c r="G3106" s="4" t="s">
        <v>2263</v>
      </c>
      <c r="H3106" s="9" t="s">
        <v>2263</v>
      </c>
      <c r="I3106" s="4" t="s">
        <v>2263</v>
      </c>
      <c r="J3106" s="4" t="s">
        <v>2263</v>
      </c>
      <c r="K3106" s="4" t="s">
        <v>2664</v>
      </c>
      <c r="L3106" s="10">
        <v>75</v>
      </c>
      <c r="M3106" s="5">
        <v>66</v>
      </c>
      <c r="N3106" s="5">
        <v>4950</v>
      </c>
    </row>
    <row r="3107" spans="1:14" x14ac:dyDescent="0.25">
      <c r="A3107" s="4" t="s">
        <v>2320</v>
      </c>
      <c r="B3107" s="4" t="s">
        <v>4967</v>
      </c>
      <c r="C3107" s="4" t="s">
        <v>2320</v>
      </c>
      <c r="D3107" s="4" t="s">
        <v>242</v>
      </c>
      <c r="E3107" s="4" t="s">
        <v>2737</v>
      </c>
      <c r="F3107" s="4" t="s">
        <v>2736</v>
      </c>
      <c r="G3107" s="4" t="s">
        <v>2263</v>
      </c>
      <c r="H3107" s="9" t="s">
        <v>2263</v>
      </c>
      <c r="I3107" s="4" t="s">
        <v>2317</v>
      </c>
      <c r="J3107" s="4" t="s">
        <v>2316</v>
      </c>
      <c r="K3107" s="4" t="s">
        <v>2263</v>
      </c>
      <c r="L3107" s="10">
        <v>75</v>
      </c>
      <c r="M3107" s="5">
        <v>1017.2755338691159</v>
      </c>
      <c r="N3107" s="5">
        <v>76295.665040183696</v>
      </c>
    </row>
    <row r="3108" spans="1:14" x14ac:dyDescent="0.25">
      <c r="A3108" s="4" t="s">
        <v>2344</v>
      </c>
      <c r="B3108" s="4" t="s">
        <v>5154</v>
      </c>
      <c r="C3108" s="4" t="s">
        <v>2344</v>
      </c>
      <c r="D3108" s="4" t="s">
        <v>237</v>
      </c>
      <c r="E3108" s="4" t="s">
        <v>4935</v>
      </c>
      <c r="F3108" s="4" t="s">
        <v>4934</v>
      </c>
      <c r="G3108" s="4" t="s">
        <v>2263</v>
      </c>
      <c r="H3108" s="9" t="s">
        <v>2263</v>
      </c>
      <c r="I3108" s="4" t="s">
        <v>2263</v>
      </c>
      <c r="J3108" s="4" t="s">
        <v>2263</v>
      </c>
      <c r="K3108" s="4" t="s">
        <v>2649</v>
      </c>
      <c r="L3108" s="10">
        <v>76</v>
      </c>
      <c r="M3108" s="5">
        <v>220</v>
      </c>
      <c r="N3108" s="5">
        <v>16720</v>
      </c>
    </row>
    <row r="3109" spans="1:14" x14ac:dyDescent="0.25">
      <c r="A3109" s="4" t="s">
        <v>2344</v>
      </c>
      <c r="B3109" s="4" t="s">
        <v>5154</v>
      </c>
      <c r="C3109" s="4" t="s">
        <v>2320</v>
      </c>
      <c r="D3109" s="4" t="s">
        <v>242</v>
      </c>
      <c r="E3109" s="4" t="s">
        <v>2364</v>
      </c>
      <c r="F3109" s="4" t="s">
        <v>2363</v>
      </c>
      <c r="G3109" s="4" t="s">
        <v>2263</v>
      </c>
      <c r="H3109" s="9" t="s">
        <v>2263</v>
      </c>
      <c r="I3109" s="4" t="s">
        <v>2317</v>
      </c>
      <c r="J3109" s="4" t="s">
        <v>2316</v>
      </c>
      <c r="K3109" s="4" t="s">
        <v>2263</v>
      </c>
      <c r="L3109" s="10">
        <v>77</v>
      </c>
      <c r="M3109" s="5">
        <v>5822.2279354838711</v>
      </c>
      <c r="N3109" s="5">
        <v>448311.55103225808</v>
      </c>
    </row>
    <row r="3110" spans="1:14" x14ac:dyDescent="0.25">
      <c r="A3110" s="4" t="s">
        <v>2653</v>
      </c>
      <c r="B3110" s="4" t="s">
        <v>3226</v>
      </c>
      <c r="C3110" s="4" t="s">
        <v>3107</v>
      </c>
      <c r="D3110" s="4" t="s">
        <v>1105</v>
      </c>
      <c r="E3110" s="4" t="s">
        <v>3763</v>
      </c>
      <c r="F3110" s="4" t="s">
        <v>3762</v>
      </c>
      <c r="G3110" s="4" t="s">
        <v>2263</v>
      </c>
      <c r="H3110" s="9" t="s">
        <v>2263</v>
      </c>
      <c r="I3110" s="4" t="s">
        <v>2317</v>
      </c>
      <c r="J3110" s="4" t="s">
        <v>2316</v>
      </c>
      <c r="K3110" s="4" t="s">
        <v>2263</v>
      </c>
      <c r="L3110" s="10">
        <v>78</v>
      </c>
      <c r="M3110" s="5">
        <v>380.24794871794876</v>
      </c>
      <c r="N3110" s="5">
        <v>29659.34</v>
      </c>
    </row>
    <row r="3111" spans="1:14" x14ac:dyDescent="0.25">
      <c r="A3111" s="4" t="s">
        <v>2320</v>
      </c>
      <c r="B3111" s="4" t="s">
        <v>4967</v>
      </c>
      <c r="C3111" s="4" t="s">
        <v>2320</v>
      </c>
      <c r="D3111" s="4" t="s">
        <v>242</v>
      </c>
      <c r="E3111" s="4" t="s">
        <v>2735</v>
      </c>
      <c r="F3111" s="4" t="s">
        <v>2734</v>
      </c>
      <c r="G3111" s="4" t="s">
        <v>2263</v>
      </c>
      <c r="H3111" s="9" t="s">
        <v>2263</v>
      </c>
      <c r="I3111" s="4" t="s">
        <v>2317</v>
      </c>
      <c r="J3111" s="4" t="s">
        <v>2316</v>
      </c>
      <c r="K3111" s="4" t="s">
        <v>2263</v>
      </c>
      <c r="L3111" s="10">
        <v>78</v>
      </c>
      <c r="M3111" s="5">
        <v>1204.1314579901152</v>
      </c>
      <c r="N3111" s="5">
        <v>93922.253723229005</v>
      </c>
    </row>
    <row r="3112" spans="1:14" x14ac:dyDescent="0.25">
      <c r="A3112" s="4" t="s">
        <v>2320</v>
      </c>
      <c r="B3112" s="4" t="s">
        <v>4967</v>
      </c>
      <c r="C3112" s="4" t="s">
        <v>2320</v>
      </c>
      <c r="D3112" s="4" t="s">
        <v>242</v>
      </c>
      <c r="E3112" s="4" t="s">
        <v>2733</v>
      </c>
      <c r="F3112" s="4" t="s">
        <v>2732</v>
      </c>
      <c r="G3112" s="4" t="s">
        <v>2263</v>
      </c>
      <c r="H3112" s="9" t="s">
        <v>2263</v>
      </c>
      <c r="I3112" s="4" t="s">
        <v>2317</v>
      </c>
      <c r="J3112" s="4" t="s">
        <v>2316</v>
      </c>
      <c r="K3112" s="4" t="s">
        <v>2263</v>
      </c>
      <c r="L3112" s="10">
        <v>79</v>
      </c>
      <c r="M3112" s="5">
        <v>1014.9652030456853</v>
      </c>
      <c r="N3112" s="5">
        <v>80182.251040609146</v>
      </c>
    </row>
    <row r="3113" spans="1:14" x14ac:dyDescent="0.25">
      <c r="A3113" s="4" t="s">
        <v>2274</v>
      </c>
      <c r="B3113" s="4" t="s">
        <v>4348</v>
      </c>
      <c r="C3113" s="4" t="s">
        <v>2344</v>
      </c>
      <c r="D3113" s="4" t="s">
        <v>237</v>
      </c>
      <c r="E3113" s="4" t="s">
        <v>4891</v>
      </c>
      <c r="F3113" s="4" t="s">
        <v>4890</v>
      </c>
      <c r="G3113" s="4" t="s">
        <v>2263</v>
      </c>
      <c r="H3113" s="9" t="s">
        <v>2263</v>
      </c>
      <c r="I3113" s="4" t="s">
        <v>2263</v>
      </c>
      <c r="J3113" s="4" t="s">
        <v>2263</v>
      </c>
      <c r="K3113" s="4" t="s">
        <v>4889</v>
      </c>
      <c r="L3113" s="10">
        <v>79</v>
      </c>
      <c r="M3113" s="5">
        <v>4750.867631578948</v>
      </c>
      <c r="N3113" s="5">
        <v>375318.54289473681</v>
      </c>
    </row>
    <row r="3114" spans="1:14" x14ac:dyDescent="0.25">
      <c r="A3114" s="4" t="s">
        <v>2653</v>
      </c>
      <c r="B3114" s="4" t="s">
        <v>3226</v>
      </c>
      <c r="C3114" s="4" t="s">
        <v>2384</v>
      </c>
      <c r="D3114" s="4" t="s">
        <v>262</v>
      </c>
      <c r="E3114" s="4" t="s">
        <v>3388</v>
      </c>
      <c r="F3114" s="4" t="s">
        <v>3387</v>
      </c>
      <c r="G3114" s="4" t="s">
        <v>2263</v>
      </c>
      <c r="H3114" s="9" t="s">
        <v>2263</v>
      </c>
      <c r="I3114" s="4" t="s">
        <v>2317</v>
      </c>
      <c r="J3114" s="4" t="s">
        <v>2316</v>
      </c>
      <c r="K3114" s="4" t="s">
        <v>2263</v>
      </c>
      <c r="L3114" s="10">
        <v>79</v>
      </c>
      <c r="M3114" s="5">
        <v>11941.493670886077</v>
      </c>
      <c r="N3114" s="5">
        <v>943378</v>
      </c>
    </row>
    <row r="3115" spans="1:14" x14ac:dyDescent="0.25">
      <c r="A3115" s="4" t="s">
        <v>2344</v>
      </c>
      <c r="B3115" s="4" t="s">
        <v>5154</v>
      </c>
      <c r="C3115" s="4" t="s">
        <v>2344</v>
      </c>
      <c r="D3115" s="4" t="s">
        <v>237</v>
      </c>
      <c r="E3115" s="4" t="s">
        <v>5467</v>
      </c>
      <c r="F3115" s="4" t="s">
        <v>5466</v>
      </c>
      <c r="G3115" s="4" t="s">
        <v>2263</v>
      </c>
      <c r="H3115" s="9" t="s">
        <v>2263</v>
      </c>
      <c r="I3115" s="4" t="s">
        <v>2263</v>
      </c>
      <c r="J3115" s="4" t="s">
        <v>2263</v>
      </c>
      <c r="K3115" s="4" t="s">
        <v>2552</v>
      </c>
      <c r="L3115" s="10">
        <v>80</v>
      </c>
      <c r="M3115" s="5">
        <v>148.058875</v>
      </c>
      <c r="N3115" s="5">
        <v>11844.71</v>
      </c>
    </row>
    <row r="3116" spans="1:14" x14ac:dyDescent="0.25">
      <c r="A3116" s="4" t="s">
        <v>2274</v>
      </c>
      <c r="B3116" s="4" t="s">
        <v>4348</v>
      </c>
      <c r="C3116" s="4" t="s">
        <v>2267</v>
      </c>
      <c r="D3116" s="4" t="s">
        <v>2266</v>
      </c>
      <c r="E3116" s="4" t="s">
        <v>4379</v>
      </c>
      <c r="F3116" s="4" t="s">
        <v>2491</v>
      </c>
      <c r="G3116" s="4" t="s">
        <v>2263</v>
      </c>
      <c r="H3116" s="9" t="s">
        <v>2263</v>
      </c>
      <c r="I3116" s="4" t="s">
        <v>2263</v>
      </c>
      <c r="J3116" s="4" t="s">
        <v>2263</v>
      </c>
      <c r="K3116" s="4" t="s">
        <v>2490</v>
      </c>
      <c r="L3116" s="10">
        <v>80</v>
      </c>
      <c r="M3116" s="5">
        <v>195.70400000000001</v>
      </c>
      <c r="N3116" s="5">
        <v>15656.32</v>
      </c>
    </row>
    <row r="3117" spans="1:14" x14ac:dyDescent="0.25">
      <c r="A3117" s="4" t="s">
        <v>2344</v>
      </c>
      <c r="B3117" s="4" t="s">
        <v>5154</v>
      </c>
      <c r="C3117" s="4" t="s">
        <v>2344</v>
      </c>
      <c r="D3117" s="4" t="s">
        <v>237</v>
      </c>
      <c r="E3117" s="4" t="s">
        <v>4864</v>
      </c>
      <c r="F3117" s="4" t="s">
        <v>2626</v>
      </c>
      <c r="G3117" s="4" t="s">
        <v>2263</v>
      </c>
      <c r="H3117" s="9" t="s">
        <v>2263</v>
      </c>
      <c r="I3117" s="4" t="s">
        <v>2263</v>
      </c>
      <c r="J3117" s="4" t="s">
        <v>2263</v>
      </c>
      <c r="K3117" s="4" t="s">
        <v>2495</v>
      </c>
      <c r="L3117" s="10">
        <v>80</v>
      </c>
      <c r="M3117" s="5">
        <v>243.40824074074072</v>
      </c>
      <c r="N3117" s="5">
        <v>19472.659259259261</v>
      </c>
    </row>
    <row r="3118" spans="1:14" x14ac:dyDescent="0.25">
      <c r="A3118" s="4" t="s">
        <v>2274</v>
      </c>
      <c r="B3118" s="4" t="s">
        <v>4348</v>
      </c>
      <c r="C3118" s="4" t="s">
        <v>2344</v>
      </c>
      <c r="D3118" s="4" t="s">
        <v>237</v>
      </c>
      <c r="E3118" s="4" t="s">
        <v>4867</v>
      </c>
      <c r="F3118" s="4" t="s">
        <v>4866</v>
      </c>
      <c r="G3118" s="4" t="s">
        <v>2263</v>
      </c>
      <c r="H3118" s="9" t="s">
        <v>2263</v>
      </c>
      <c r="I3118" s="4" t="s">
        <v>2263</v>
      </c>
      <c r="J3118" s="4" t="s">
        <v>2263</v>
      </c>
      <c r="K3118" s="4" t="s">
        <v>2462</v>
      </c>
      <c r="L3118" s="10">
        <v>80</v>
      </c>
      <c r="M3118" s="5">
        <v>309.70238095238091</v>
      </c>
      <c r="N3118" s="5">
        <v>24776.190476190481</v>
      </c>
    </row>
    <row r="3119" spans="1:14" x14ac:dyDescent="0.25">
      <c r="A3119" s="4" t="s">
        <v>2274</v>
      </c>
      <c r="B3119" s="4" t="s">
        <v>4348</v>
      </c>
      <c r="C3119" s="4" t="s">
        <v>2344</v>
      </c>
      <c r="D3119" s="4" t="s">
        <v>237</v>
      </c>
      <c r="E3119" s="4" t="s">
        <v>4894</v>
      </c>
      <c r="F3119" s="4" t="s">
        <v>4893</v>
      </c>
      <c r="G3119" s="4" t="s">
        <v>2263</v>
      </c>
      <c r="H3119" s="9" t="s">
        <v>2263</v>
      </c>
      <c r="I3119" s="4" t="s">
        <v>2263</v>
      </c>
      <c r="J3119" s="4" t="s">
        <v>2263</v>
      </c>
      <c r="K3119" s="4" t="s">
        <v>2462</v>
      </c>
      <c r="L3119" s="10">
        <v>80</v>
      </c>
      <c r="M3119" s="5">
        <v>365.56</v>
      </c>
      <c r="N3119" s="5">
        <v>29244.799999999999</v>
      </c>
    </row>
    <row r="3120" spans="1:14" x14ac:dyDescent="0.25">
      <c r="A3120" s="4" t="s">
        <v>2274</v>
      </c>
      <c r="B3120" s="4" t="s">
        <v>4348</v>
      </c>
      <c r="C3120" s="4" t="s">
        <v>2344</v>
      </c>
      <c r="D3120" s="4" t="s">
        <v>237</v>
      </c>
      <c r="E3120" s="4" t="s">
        <v>4692</v>
      </c>
      <c r="F3120" s="4" t="s">
        <v>2508</v>
      </c>
      <c r="G3120" s="4" t="s">
        <v>2263</v>
      </c>
      <c r="H3120" s="9" t="s">
        <v>2263</v>
      </c>
      <c r="I3120" s="4" t="s">
        <v>2263</v>
      </c>
      <c r="J3120" s="4" t="s">
        <v>2263</v>
      </c>
      <c r="K3120" s="4" t="s">
        <v>2494</v>
      </c>
      <c r="L3120" s="10">
        <v>80</v>
      </c>
      <c r="M3120" s="5">
        <v>1373.1057627118644</v>
      </c>
      <c r="N3120" s="5">
        <v>109848.46101694916</v>
      </c>
    </row>
    <row r="3121" spans="1:14" x14ac:dyDescent="0.25">
      <c r="A3121" s="4" t="s">
        <v>2274</v>
      </c>
      <c r="B3121" s="4" t="s">
        <v>4348</v>
      </c>
      <c r="C3121" s="4" t="s">
        <v>2344</v>
      </c>
      <c r="D3121" s="4" t="s">
        <v>237</v>
      </c>
      <c r="E3121" s="4" t="s">
        <v>4608</v>
      </c>
      <c r="F3121" s="4" t="s">
        <v>4607</v>
      </c>
      <c r="G3121" s="4" t="s">
        <v>2263</v>
      </c>
      <c r="H3121" s="9" t="s">
        <v>2263</v>
      </c>
      <c r="I3121" s="4" t="s">
        <v>2263</v>
      </c>
      <c r="J3121" s="4" t="s">
        <v>2263</v>
      </c>
      <c r="K3121" s="4" t="s">
        <v>4470</v>
      </c>
      <c r="L3121" s="10">
        <v>80</v>
      </c>
      <c r="M3121" s="5">
        <v>2295.8730927835049</v>
      </c>
      <c r="N3121" s="5">
        <v>183669.84742268041</v>
      </c>
    </row>
    <row r="3122" spans="1:14" x14ac:dyDescent="0.25">
      <c r="A3122" s="4" t="s">
        <v>2274</v>
      </c>
      <c r="B3122" s="4" t="s">
        <v>4348</v>
      </c>
      <c r="C3122" s="4" t="s">
        <v>2344</v>
      </c>
      <c r="D3122" s="4" t="s">
        <v>237</v>
      </c>
      <c r="E3122" s="4" t="s">
        <v>4601</v>
      </c>
      <c r="F3122" s="4" t="s">
        <v>4600</v>
      </c>
      <c r="G3122" s="4" t="s">
        <v>2263</v>
      </c>
      <c r="H3122" s="9" t="s">
        <v>2263</v>
      </c>
      <c r="I3122" s="4" t="s">
        <v>2263</v>
      </c>
      <c r="J3122" s="4" t="s">
        <v>2263</v>
      </c>
      <c r="K3122" s="4" t="s">
        <v>4599</v>
      </c>
      <c r="L3122" s="10">
        <v>80</v>
      </c>
      <c r="M3122" s="5">
        <v>2833.9621649484534</v>
      </c>
      <c r="N3122" s="5">
        <v>226716.97319587629</v>
      </c>
    </row>
    <row r="3123" spans="1:14" x14ac:dyDescent="0.25">
      <c r="A3123" s="4" t="s">
        <v>2344</v>
      </c>
      <c r="B3123" s="4" t="s">
        <v>5154</v>
      </c>
      <c r="C3123" s="4" t="s">
        <v>2344</v>
      </c>
      <c r="D3123" s="4" t="s">
        <v>237</v>
      </c>
      <c r="E3123" s="4" t="s">
        <v>4647</v>
      </c>
      <c r="F3123" s="4" t="s">
        <v>2618</v>
      </c>
      <c r="G3123" s="4" t="s">
        <v>2263</v>
      </c>
      <c r="H3123" s="9" t="s">
        <v>2263</v>
      </c>
      <c r="I3123" s="4" t="s">
        <v>2263</v>
      </c>
      <c r="J3123" s="4" t="s">
        <v>2263</v>
      </c>
      <c r="K3123" s="4" t="s">
        <v>2617</v>
      </c>
      <c r="L3123" s="10">
        <v>81</v>
      </c>
      <c r="M3123" s="5">
        <v>524.74826989619385</v>
      </c>
      <c r="N3123" s="5">
        <v>42504.6098615917</v>
      </c>
    </row>
    <row r="3124" spans="1:14" x14ac:dyDescent="0.25">
      <c r="A3124" s="4" t="s">
        <v>2320</v>
      </c>
      <c r="B3124" s="4" t="s">
        <v>4967</v>
      </c>
      <c r="C3124" s="4" t="s">
        <v>2344</v>
      </c>
      <c r="D3124" s="4" t="s">
        <v>237</v>
      </c>
      <c r="E3124" s="4" t="s">
        <v>4841</v>
      </c>
      <c r="F3124" s="4" t="s">
        <v>2625</v>
      </c>
      <c r="G3124" s="4" t="s">
        <v>2263</v>
      </c>
      <c r="H3124" s="9" t="s">
        <v>2263</v>
      </c>
      <c r="I3124" s="4" t="s">
        <v>2263</v>
      </c>
      <c r="J3124" s="4" t="s">
        <v>2263</v>
      </c>
      <c r="K3124" s="4" t="s">
        <v>2624</v>
      </c>
      <c r="L3124" s="10">
        <v>82</v>
      </c>
      <c r="M3124" s="5">
        <v>808.82349206349204</v>
      </c>
      <c r="N3124" s="5">
        <v>66323.526349206353</v>
      </c>
    </row>
    <row r="3125" spans="1:14" x14ac:dyDescent="0.25">
      <c r="A3125" s="4" t="s">
        <v>2344</v>
      </c>
      <c r="B3125" s="4" t="s">
        <v>5154</v>
      </c>
      <c r="C3125" s="4" t="s">
        <v>2344</v>
      </c>
      <c r="D3125" s="4" t="s">
        <v>237</v>
      </c>
      <c r="E3125" s="4" t="s">
        <v>4928</v>
      </c>
      <c r="F3125" s="4" t="s">
        <v>4927</v>
      </c>
      <c r="G3125" s="4" t="s">
        <v>2263</v>
      </c>
      <c r="H3125" s="9" t="s">
        <v>2263</v>
      </c>
      <c r="I3125" s="4" t="s">
        <v>2263</v>
      </c>
      <c r="J3125" s="4" t="s">
        <v>2263</v>
      </c>
      <c r="K3125" s="4" t="s">
        <v>2885</v>
      </c>
      <c r="L3125" s="10">
        <v>83</v>
      </c>
      <c r="M3125" s="5">
        <v>48.623318385650222</v>
      </c>
      <c r="N3125" s="5">
        <v>4035.7354260089701</v>
      </c>
    </row>
    <row r="3126" spans="1:14" x14ac:dyDescent="0.25">
      <c r="A3126" s="4" t="s">
        <v>2274</v>
      </c>
      <c r="B3126" s="4" t="s">
        <v>4348</v>
      </c>
      <c r="C3126" s="4" t="s">
        <v>2344</v>
      </c>
      <c r="D3126" s="4" t="s">
        <v>237</v>
      </c>
      <c r="E3126" s="4" t="s">
        <v>4912</v>
      </c>
      <c r="F3126" s="4" t="s">
        <v>3067</v>
      </c>
      <c r="G3126" s="4" t="s">
        <v>2263</v>
      </c>
      <c r="H3126" s="9" t="s">
        <v>2263</v>
      </c>
      <c r="I3126" s="4" t="s">
        <v>2263</v>
      </c>
      <c r="J3126" s="4" t="s">
        <v>2263</v>
      </c>
      <c r="K3126" s="4" t="s">
        <v>2619</v>
      </c>
      <c r="L3126" s="10">
        <v>83</v>
      </c>
      <c r="M3126" s="5">
        <v>724.15287499999999</v>
      </c>
      <c r="N3126" s="5">
        <v>60104.688625000003</v>
      </c>
    </row>
    <row r="3127" spans="1:14" x14ac:dyDescent="0.25">
      <c r="A3127" s="4" t="s">
        <v>2274</v>
      </c>
      <c r="B3127" s="4" t="s">
        <v>4348</v>
      </c>
      <c r="C3127" s="4" t="s">
        <v>2344</v>
      </c>
      <c r="D3127" s="4" t="s">
        <v>237</v>
      </c>
      <c r="E3127" s="4" t="s">
        <v>4741</v>
      </c>
      <c r="F3127" s="4" t="s">
        <v>4740</v>
      </c>
      <c r="G3127" s="4" t="s">
        <v>2263</v>
      </c>
      <c r="H3127" s="9" t="s">
        <v>2263</v>
      </c>
      <c r="I3127" s="4" t="s">
        <v>2263</v>
      </c>
      <c r="J3127" s="4" t="s">
        <v>2263</v>
      </c>
      <c r="K3127" s="4" t="s">
        <v>4739</v>
      </c>
      <c r="L3127" s="10">
        <v>83</v>
      </c>
      <c r="M3127" s="5">
        <v>5183.5294117647063</v>
      </c>
      <c r="N3127" s="5">
        <v>430232.94117647054</v>
      </c>
    </row>
    <row r="3128" spans="1:14" x14ac:dyDescent="0.25">
      <c r="A3128" s="4" t="s">
        <v>2344</v>
      </c>
      <c r="B3128" s="4" t="s">
        <v>5154</v>
      </c>
      <c r="C3128" s="4" t="s">
        <v>2344</v>
      </c>
      <c r="D3128" s="4" t="s">
        <v>237</v>
      </c>
      <c r="E3128" s="4" t="s">
        <v>5434</v>
      </c>
      <c r="F3128" s="4" t="s">
        <v>2647</v>
      </c>
      <c r="G3128" s="4" t="s">
        <v>2263</v>
      </c>
      <c r="H3128" s="9" t="s">
        <v>2263</v>
      </c>
      <c r="I3128" s="4" t="s">
        <v>2263</v>
      </c>
      <c r="J3128" s="4" t="s">
        <v>2263</v>
      </c>
      <c r="K3128" s="4" t="s">
        <v>2646</v>
      </c>
      <c r="L3128" s="10">
        <v>84</v>
      </c>
      <c r="M3128" s="5">
        <v>505.97619047619048</v>
      </c>
      <c r="N3128" s="5">
        <v>42502</v>
      </c>
    </row>
    <row r="3129" spans="1:14" x14ac:dyDescent="0.25">
      <c r="A3129" s="4" t="s">
        <v>2274</v>
      </c>
      <c r="B3129" s="4" t="s">
        <v>4348</v>
      </c>
      <c r="C3129" s="4" t="s">
        <v>2267</v>
      </c>
      <c r="D3129" s="4" t="s">
        <v>2266</v>
      </c>
      <c r="E3129" s="4" t="s">
        <v>4408</v>
      </c>
      <c r="F3129" s="4" t="s">
        <v>4407</v>
      </c>
      <c r="G3129" s="4" t="s">
        <v>2263</v>
      </c>
      <c r="H3129" s="9" t="s">
        <v>2263</v>
      </c>
      <c r="I3129" s="4" t="s">
        <v>2263</v>
      </c>
      <c r="J3129" s="4" t="s">
        <v>2263</v>
      </c>
      <c r="K3129" s="4" t="s">
        <v>2262</v>
      </c>
      <c r="L3129" s="10">
        <v>84</v>
      </c>
      <c r="M3129" s="5">
        <v>904.96875968992242</v>
      </c>
      <c r="N3129" s="5">
        <v>76017.375813953491</v>
      </c>
    </row>
    <row r="3130" spans="1:14" x14ac:dyDescent="0.25">
      <c r="A3130" s="4" t="s">
        <v>2317</v>
      </c>
      <c r="B3130" s="4" t="s">
        <v>3839</v>
      </c>
      <c r="C3130" s="4" t="s">
        <v>2320</v>
      </c>
      <c r="D3130" s="4" t="s">
        <v>242</v>
      </c>
      <c r="E3130" s="4" t="s">
        <v>2903</v>
      </c>
      <c r="F3130" s="4" t="s">
        <v>2902</v>
      </c>
      <c r="G3130" s="4" t="s">
        <v>2263</v>
      </c>
      <c r="H3130" s="9" t="s">
        <v>2263</v>
      </c>
      <c r="I3130" s="4" t="s">
        <v>2317</v>
      </c>
      <c r="J3130" s="4" t="s">
        <v>2316</v>
      </c>
      <c r="K3130" s="4" t="s">
        <v>2263</v>
      </c>
      <c r="L3130" s="10">
        <v>84</v>
      </c>
      <c r="M3130" s="5">
        <v>1697.6609375</v>
      </c>
      <c r="N3130" s="5">
        <v>142603.51874999999</v>
      </c>
    </row>
    <row r="3131" spans="1:14" x14ac:dyDescent="0.25">
      <c r="A3131" s="4" t="s">
        <v>2317</v>
      </c>
      <c r="B3131" s="4" t="s">
        <v>3839</v>
      </c>
      <c r="C3131" s="4" t="s">
        <v>2320</v>
      </c>
      <c r="D3131" s="4" t="s">
        <v>242</v>
      </c>
      <c r="E3131" s="4" t="s">
        <v>4239</v>
      </c>
      <c r="F3131" s="4" t="s">
        <v>4238</v>
      </c>
      <c r="G3131" s="4" t="s">
        <v>2263</v>
      </c>
      <c r="H3131" s="9" t="s">
        <v>2263</v>
      </c>
      <c r="I3131" s="4" t="s">
        <v>2317</v>
      </c>
      <c r="J3131" s="4" t="s">
        <v>2316</v>
      </c>
      <c r="K3131" s="4" t="s">
        <v>2263</v>
      </c>
      <c r="L3131" s="10">
        <v>84</v>
      </c>
      <c r="M3131" s="5">
        <v>1722.221235955056</v>
      </c>
      <c r="N3131" s="5">
        <v>144666.58382022471</v>
      </c>
    </row>
    <row r="3132" spans="1:14" x14ac:dyDescent="0.25">
      <c r="A3132" s="4" t="s">
        <v>2317</v>
      </c>
      <c r="B3132" s="4" t="s">
        <v>3839</v>
      </c>
      <c r="C3132" s="4" t="s">
        <v>2320</v>
      </c>
      <c r="D3132" s="4" t="s">
        <v>242</v>
      </c>
      <c r="E3132" s="4" t="s">
        <v>2899</v>
      </c>
      <c r="F3132" s="4" t="s">
        <v>2898</v>
      </c>
      <c r="G3132" s="4" t="s">
        <v>2263</v>
      </c>
      <c r="H3132" s="9" t="s">
        <v>2263</v>
      </c>
      <c r="I3132" s="4" t="s">
        <v>2317</v>
      </c>
      <c r="J3132" s="4" t="s">
        <v>2316</v>
      </c>
      <c r="K3132" s="4" t="s">
        <v>2263</v>
      </c>
      <c r="L3132" s="10">
        <v>84</v>
      </c>
      <c r="M3132" s="5">
        <v>1936.3739855072463</v>
      </c>
      <c r="N3132" s="5">
        <v>162655.41478260871</v>
      </c>
    </row>
    <row r="3133" spans="1:14" x14ac:dyDescent="0.25">
      <c r="A3133" s="4" t="s">
        <v>2344</v>
      </c>
      <c r="B3133" s="4" t="s">
        <v>5154</v>
      </c>
      <c r="C3133" s="4" t="s">
        <v>2267</v>
      </c>
      <c r="D3133" s="4" t="s">
        <v>2266</v>
      </c>
      <c r="E3133" s="4" t="s">
        <v>4970</v>
      </c>
      <c r="F3133" s="4" t="s">
        <v>2513</v>
      </c>
      <c r="G3133" s="4" t="s">
        <v>2263</v>
      </c>
      <c r="H3133" s="9" t="s">
        <v>2263</v>
      </c>
      <c r="I3133" s="4" t="s">
        <v>2263</v>
      </c>
      <c r="J3133" s="4" t="s">
        <v>2263</v>
      </c>
      <c r="K3133" s="4" t="s">
        <v>2512</v>
      </c>
      <c r="L3133" s="10">
        <v>84</v>
      </c>
      <c r="M3133" s="5">
        <v>2979</v>
      </c>
      <c r="N3133" s="5">
        <v>250236</v>
      </c>
    </row>
    <row r="3134" spans="1:14" x14ac:dyDescent="0.25">
      <c r="A3134" s="4" t="s">
        <v>2320</v>
      </c>
      <c r="B3134" s="4" t="s">
        <v>4967</v>
      </c>
      <c r="C3134" s="4" t="s">
        <v>2344</v>
      </c>
      <c r="D3134" s="4" t="s">
        <v>237</v>
      </c>
      <c r="E3134" s="4" t="s">
        <v>5141</v>
      </c>
      <c r="F3134" s="4" t="s">
        <v>2571</v>
      </c>
      <c r="G3134" s="4" t="s">
        <v>2263</v>
      </c>
      <c r="H3134" s="9" t="s">
        <v>2263</v>
      </c>
      <c r="I3134" s="4" t="s">
        <v>2263</v>
      </c>
      <c r="J3134" s="4" t="s">
        <v>2263</v>
      </c>
      <c r="K3134" s="4" t="s">
        <v>2465</v>
      </c>
      <c r="L3134" s="10">
        <v>84</v>
      </c>
      <c r="M3134" s="5">
        <v>9136.7907865168545</v>
      </c>
      <c r="N3134" s="5">
        <v>767490.42606741562</v>
      </c>
    </row>
    <row r="3135" spans="1:14" x14ac:dyDescent="0.25">
      <c r="A3135" s="4" t="s">
        <v>2653</v>
      </c>
      <c r="B3135" s="4" t="s">
        <v>3226</v>
      </c>
      <c r="C3135" s="4" t="s">
        <v>3203</v>
      </c>
      <c r="D3135" s="4" t="s">
        <v>256</v>
      </c>
      <c r="E3135" s="4" t="s">
        <v>3600</v>
      </c>
      <c r="F3135" s="4" t="s">
        <v>3599</v>
      </c>
      <c r="G3135" s="4" t="s">
        <v>2263</v>
      </c>
      <c r="H3135" s="9" t="s">
        <v>2263</v>
      </c>
      <c r="I3135" s="4" t="s">
        <v>2317</v>
      </c>
      <c r="J3135" s="4" t="s">
        <v>2316</v>
      </c>
      <c r="K3135" s="4" t="s">
        <v>2263</v>
      </c>
      <c r="L3135" s="10">
        <v>86</v>
      </c>
      <c r="M3135" s="5">
        <v>1</v>
      </c>
      <c r="N3135" s="5">
        <v>86</v>
      </c>
    </row>
    <row r="3136" spans="1:14" x14ac:dyDescent="0.25">
      <c r="A3136" s="4" t="s">
        <v>2653</v>
      </c>
      <c r="B3136" s="4" t="s">
        <v>3226</v>
      </c>
      <c r="C3136" s="4" t="s">
        <v>2384</v>
      </c>
      <c r="D3136" s="4" t="s">
        <v>262</v>
      </c>
      <c r="E3136" s="4" t="s">
        <v>3520</v>
      </c>
      <c r="F3136" s="4" t="s">
        <v>3519</v>
      </c>
      <c r="G3136" s="4" t="s">
        <v>2263</v>
      </c>
      <c r="H3136" s="9" t="s">
        <v>2263</v>
      </c>
      <c r="I3136" s="4" t="s">
        <v>2317</v>
      </c>
      <c r="J3136" s="4" t="s">
        <v>2316</v>
      </c>
      <c r="K3136" s="4" t="s">
        <v>2263</v>
      </c>
      <c r="L3136" s="10">
        <v>86</v>
      </c>
      <c r="M3136" s="5">
        <v>9077.7294186046511</v>
      </c>
      <c r="N3136" s="5">
        <v>780684.73</v>
      </c>
    </row>
    <row r="3137" spans="1:14" x14ac:dyDescent="0.25">
      <c r="A3137" s="4" t="s">
        <v>2344</v>
      </c>
      <c r="B3137" s="4" t="s">
        <v>5154</v>
      </c>
      <c r="C3137" s="4" t="s">
        <v>2344</v>
      </c>
      <c r="D3137" s="4" t="s">
        <v>237</v>
      </c>
      <c r="E3137" s="4" t="s">
        <v>4798</v>
      </c>
      <c r="F3137" s="4" t="s">
        <v>4797</v>
      </c>
      <c r="G3137" s="4" t="s">
        <v>2263</v>
      </c>
      <c r="H3137" s="9" t="s">
        <v>2263</v>
      </c>
      <c r="I3137" s="4" t="s">
        <v>2263</v>
      </c>
      <c r="J3137" s="4" t="s">
        <v>2263</v>
      </c>
      <c r="K3137" s="4" t="s">
        <v>4796</v>
      </c>
      <c r="L3137" s="10">
        <v>89</v>
      </c>
      <c r="M3137" s="5">
        <v>25320.789896907219</v>
      </c>
      <c r="N3137" s="5">
        <v>2253550.3008247423</v>
      </c>
    </row>
    <row r="3138" spans="1:14" x14ac:dyDescent="0.25">
      <c r="A3138" s="4" t="s">
        <v>2344</v>
      </c>
      <c r="B3138" s="4" t="s">
        <v>5154</v>
      </c>
      <c r="C3138" s="4" t="s">
        <v>2344</v>
      </c>
      <c r="D3138" s="4" t="s">
        <v>237</v>
      </c>
      <c r="E3138" s="4" t="s">
        <v>5440</v>
      </c>
      <c r="F3138" s="4" t="s">
        <v>4839</v>
      </c>
      <c r="G3138" s="4" t="s">
        <v>2263</v>
      </c>
      <c r="H3138" s="9" t="s">
        <v>2263</v>
      </c>
      <c r="I3138" s="4" t="s">
        <v>2263</v>
      </c>
      <c r="J3138" s="4" t="s">
        <v>2263</v>
      </c>
      <c r="K3138" s="4" t="s">
        <v>2462</v>
      </c>
      <c r="L3138" s="10">
        <v>90</v>
      </c>
      <c r="M3138" s="5">
        <v>162.13333333333335</v>
      </c>
      <c r="N3138" s="5">
        <v>14592</v>
      </c>
    </row>
    <row r="3139" spans="1:14" x14ac:dyDescent="0.25">
      <c r="A3139" s="4" t="s">
        <v>2344</v>
      </c>
      <c r="B3139" s="4" t="s">
        <v>5154</v>
      </c>
      <c r="C3139" s="4" t="s">
        <v>2344</v>
      </c>
      <c r="D3139" s="4" t="s">
        <v>237</v>
      </c>
      <c r="E3139" s="4" t="s">
        <v>4531</v>
      </c>
      <c r="F3139" s="4" t="s">
        <v>2603</v>
      </c>
      <c r="G3139" s="4" t="s">
        <v>2263</v>
      </c>
      <c r="H3139" s="9" t="s">
        <v>2263</v>
      </c>
      <c r="I3139" s="4" t="s">
        <v>2263</v>
      </c>
      <c r="J3139" s="4" t="s">
        <v>2263</v>
      </c>
      <c r="K3139" s="4" t="s">
        <v>2602</v>
      </c>
      <c r="L3139" s="10">
        <v>90</v>
      </c>
      <c r="M3139" s="5">
        <v>199.88266666666667</v>
      </c>
      <c r="N3139" s="5">
        <v>17989.439999999999</v>
      </c>
    </row>
    <row r="3140" spans="1:14" x14ac:dyDescent="0.25">
      <c r="A3140" s="4" t="s">
        <v>2344</v>
      </c>
      <c r="B3140" s="4" t="s">
        <v>5154</v>
      </c>
      <c r="C3140" s="4" t="s">
        <v>2344</v>
      </c>
      <c r="D3140" s="4" t="s">
        <v>237</v>
      </c>
      <c r="E3140" s="4" t="s">
        <v>4770</v>
      </c>
      <c r="F3140" s="4" t="s">
        <v>4769</v>
      </c>
      <c r="G3140" s="4" t="s">
        <v>2263</v>
      </c>
      <c r="H3140" s="9" t="s">
        <v>2263</v>
      </c>
      <c r="I3140" s="4" t="s">
        <v>2263</v>
      </c>
      <c r="J3140" s="4" t="s">
        <v>2263</v>
      </c>
      <c r="K3140" s="4" t="s">
        <v>2628</v>
      </c>
      <c r="L3140" s="10">
        <v>90</v>
      </c>
      <c r="M3140" s="5">
        <v>201.17706666666666</v>
      </c>
      <c r="N3140" s="5">
        <v>18105.936000000002</v>
      </c>
    </row>
    <row r="3141" spans="1:14" x14ac:dyDescent="0.25">
      <c r="A3141" s="4" t="s">
        <v>2344</v>
      </c>
      <c r="B3141" s="4" t="s">
        <v>5154</v>
      </c>
      <c r="C3141" s="4" t="s">
        <v>2344</v>
      </c>
      <c r="D3141" s="4" t="s">
        <v>237</v>
      </c>
      <c r="E3141" s="4" t="s">
        <v>5435</v>
      </c>
      <c r="F3141" s="4" t="s">
        <v>2613</v>
      </c>
      <c r="G3141" s="4" t="s">
        <v>2263</v>
      </c>
      <c r="H3141" s="9" t="s">
        <v>2263</v>
      </c>
      <c r="I3141" s="4" t="s">
        <v>2263</v>
      </c>
      <c r="J3141" s="4" t="s">
        <v>2263</v>
      </c>
      <c r="K3141" s="4" t="s">
        <v>2462</v>
      </c>
      <c r="L3141" s="10">
        <v>90</v>
      </c>
      <c r="M3141" s="5">
        <v>447</v>
      </c>
      <c r="N3141" s="5">
        <v>40230</v>
      </c>
    </row>
    <row r="3142" spans="1:14" x14ac:dyDescent="0.25">
      <c r="A3142" s="4" t="s">
        <v>2274</v>
      </c>
      <c r="B3142" s="4" t="s">
        <v>4348</v>
      </c>
      <c r="C3142" s="4" t="s">
        <v>2344</v>
      </c>
      <c r="D3142" s="4" t="s">
        <v>237</v>
      </c>
      <c r="E3142" s="4" t="s">
        <v>4743</v>
      </c>
      <c r="F3142" s="4" t="s">
        <v>4742</v>
      </c>
      <c r="G3142" s="4" t="s">
        <v>2263</v>
      </c>
      <c r="H3142" s="9" t="s">
        <v>2263</v>
      </c>
      <c r="I3142" s="4" t="s">
        <v>2263</v>
      </c>
      <c r="J3142" s="4" t="s">
        <v>2263</v>
      </c>
      <c r="K3142" s="4" t="s">
        <v>2439</v>
      </c>
      <c r="L3142" s="10">
        <v>90</v>
      </c>
      <c r="M3142" s="5">
        <v>617</v>
      </c>
      <c r="N3142" s="5">
        <v>55530</v>
      </c>
    </row>
    <row r="3143" spans="1:14" x14ac:dyDescent="0.25">
      <c r="A3143" s="4" t="s">
        <v>2274</v>
      </c>
      <c r="B3143" s="4" t="s">
        <v>4348</v>
      </c>
      <c r="C3143" s="4" t="s">
        <v>2344</v>
      </c>
      <c r="D3143" s="4" t="s">
        <v>237</v>
      </c>
      <c r="E3143" s="4" t="s">
        <v>4676</v>
      </c>
      <c r="F3143" s="4" t="s">
        <v>4675</v>
      </c>
      <c r="G3143" s="4" t="s">
        <v>2263</v>
      </c>
      <c r="H3143" s="9" t="s">
        <v>2263</v>
      </c>
      <c r="I3143" s="4" t="s">
        <v>2263</v>
      </c>
      <c r="J3143" s="4" t="s">
        <v>2263</v>
      </c>
      <c r="K3143" s="4" t="s">
        <v>2262</v>
      </c>
      <c r="L3143" s="10">
        <v>90</v>
      </c>
      <c r="M3143" s="5">
        <v>779.30612244897964</v>
      </c>
      <c r="N3143" s="5">
        <v>70137.551020408166</v>
      </c>
    </row>
    <row r="3144" spans="1:14" x14ac:dyDescent="0.25">
      <c r="A3144" s="4" t="s">
        <v>2274</v>
      </c>
      <c r="B3144" s="4" t="s">
        <v>4348</v>
      </c>
      <c r="C3144" s="4" t="s">
        <v>2344</v>
      </c>
      <c r="D3144" s="4" t="s">
        <v>237</v>
      </c>
      <c r="E3144" s="4" t="s">
        <v>4841</v>
      </c>
      <c r="F3144" s="4" t="s">
        <v>2625</v>
      </c>
      <c r="G3144" s="4" t="s">
        <v>2263</v>
      </c>
      <c r="H3144" s="9" t="s">
        <v>2263</v>
      </c>
      <c r="I3144" s="4" t="s">
        <v>2263</v>
      </c>
      <c r="J3144" s="4" t="s">
        <v>2263</v>
      </c>
      <c r="K3144" s="4" t="s">
        <v>2624</v>
      </c>
      <c r="L3144" s="10">
        <v>90</v>
      </c>
      <c r="M3144" s="5">
        <v>808.82349206349204</v>
      </c>
      <c r="N3144" s="5">
        <v>72794.114285714284</v>
      </c>
    </row>
    <row r="3145" spans="1:14" x14ac:dyDescent="0.25">
      <c r="A3145" s="4" t="s">
        <v>2344</v>
      </c>
      <c r="B3145" s="4" t="s">
        <v>5154</v>
      </c>
      <c r="C3145" s="4" t="s">
        <v>2320</v>
      </c>
      <c r="D3145" s="4" t="s">
        <v>242</v>
      </c>
      <c r="E3145" s="4" t="s">
        <v>2733</v>
      </c>
      <c r="F3145" s="4" t="s">
        <v>2732</v>
      </c>
      <c r="G3145" s="4" t="s">
        <v>2263</v>
      </c>
      <c r="H3145" s="9" t="s">
        <v>2263</v>
      </c>
      <c r="I3145" s="4" t="s">
        <v>2317</v>
      </c>
      <c r="J3145" s="4" t="s">
        <v>2316</v>
      </c>
      <c r="K3145" s="4" t="s">
        <v>2263</v>
      </c>
      <c r="L3145" s="10">
        <v>90</v>
      </c>
      <c r="M3145" s="5">
        <v>1014.9652030456853</v>
      </c>
      <c r="N3145" s="5">
        <v>91346.868274111679</v>
      </c>
    </row>
    <row r="3146" spans="1:14" x14ac:dyDescent="0.25">
      <c r="A3146" s="4" t="s">
        <v>2274</v>
      </c>
      <c r="B3146" s="4" t="s">
        <v>4348</v>
      </c>
      <c r="C3146" s="4" t="s">
        <v>2317</v>
      </c>
      <c r="D3146" s="4" t="s">
        <v>2516</v>
      </c>
      <c r="E3146" s="4" t="s">
        <v>4436</v>
      </c>
      <c r="F3146" s="4" t="s">
        <v>4435</v>
      </c>
      <c r="G3146" s="4" t="s">
        <v>2263</v>
      </c>
      <c r="H3146" s="9" t="s">
        <v>2263</v>
      </c>
      <c r="I3146" s="4" t="s">
        <v>2263</v>
      </c>
      <c r="J3146" s="4" t="s">
        <v>2263</v>
      </c>
      <c r="K3146" s="4" t="s">
        <v>2345</v>
      </c>
      <c r="L3146" s="10">
        <v>90</v>
      </c>
      <c r="M3146" s="5">
        <v>1495</v>
      </c>
      <c r="N3146" s="5">
        <v>134550</v>
      </c>
    </row>
    <row r="3147" spans="1:14" x14ac:dyDescent="0.25">
      <c r="A3147" s="4" t="s">
        <v>2344</v>
      </c>
      <c r="B3147" s="4" t="s">
        <v>5154</v>
      </c>
      <c r="C3147" s="4" t="s">
        <v>2344</v>
      </c>
      <c r="D3147" s="4" t="s">
        <v>237</v>
      </c>
      <c r="E3147" s="4" t="s">
        <v>3180</v>
      </c>
      <c r="F3147" s="4" t="s">
        <v>3179</v>
      </c>
      <c r="G3147" s="4" t="s">
        <v>2263</v>
      </c>
      <c r="H3147" s="9" t="s">
        <v>2263</v>
      </c>
      <c r="I3147" s="4" t="s">
        <v>2263</v>
      </c>
      <c r="J3147" s="4" t="s">
        <v>2263</v>
      </c>
      <c r="K3147" s="4" t="s">
        <v>2582</v>
      </c>
      <c r="L3147" s="10">
        <v>90</v>
      </c>
      <c r="M3147" s="5">
        <v>1854.4881250000001</v>
      </c>
      <c r="N3147" s="5">
        <v>166903.93124999999</v>
      </c>
    </row>
    <row r="3148" spans="1:14" x14ac:dyDescent="0.25">
      <c r="A3148" s="4" t="s">
        <v>2274</v>
      </c>
      <c r="B3148" s="4" t="s">
        <v>4348</v>
      </c>
      <c r="C3148" s="4" t="s">
        <v>2344</v>
      </c>
      <c r="D3148" s="4" t="s">
        <v>237</v>
      </c>
      <c r="E3148" s="4" t="s">
        <v>4666</v>
      </c>
      <c r="F3148" s="4" t="s">
        <v>4665</v>
      </c>
      <c r="G3148" s="4" t="s">
        <v>2263</v>
      </c>
      <c r="H3148" s="9" t="s">
        <v>2263</v>
      </c>
      <c r="I3148" s="4" t="s">
        <v>2263</v>
      </c>
      <c r="J3148" s="4" t="s">
        <v>2263</v>
      </c>
      <c r="K3148" s="4" t="s">
        <v>2488</v>
      </c>
      <c r="L3148" s="10">
        <v>90</v>
      </c>
      <c r="M3148" s="5">
        <v>1963</v>
      </c>
      <c r="N3148" s="5">
        <v>176670</v>
      </c>
    </row>
    <row r="3149" spans="1:14" x14ac:dyDescent="0.25">
      <c r="A3149" s="4" t="s">
        <v>2274</v>
      </c>
      <c r="B3149" s="4" t="s">
        <v>4348</v>
      </c>
      <c r="C3149" s="4" t="s">
        <v>2267</v>
      </c>
      <c r="D3149" s="4" t="s">
        <v>2266</v>
      </c>
      <c r="E3149" s="4" t="s">
        <v>4385</v>
      </c>
      <c r="F3149" s="4" t="s">
        <v>2509</v>
      </c>
      <c r="G3149" s="4" t="s">
        <v>2263</v>
      </c>
      <c r="H3149" s="9" t="s">
        <v>2263</v>
      </c>
      <c r="I3149" s="4" t="s">
        <v>2263</v>
      </c>
      <c r="J3149" s="4" t="s">
        <v>2263</v>
      </c>
      <c r="K3149" s="4" t="s">
        <v>2494</v>
      </c>
      <c r="L3149" s="10">
        <v>90</v>
      </c>
      <c r="M3149" s="5">
        <v>2319.0068493150684</v>
      </c>
      <c r="N3149" s="5">
        <v>208710.61643835617</v>
      </c>
    </row>
    <row r="3150" spans="1:14" x14ac:dyDescent="0.25">
      <c r="A3150" s="4" t="s">
        <v>2653</v>
      </c>
      <c r="B3150" s="4" t="s">
        <v>3226</v>
      </c>
      <c r="C3150" s="4" t="s">
        <v>2320</v>
      </c>
      <c r="D3150" s="4" t="s">
        <v>242</v>
      </c>
      <c r="E3150" s="4" t="s">
        <v>3829</v>
      </c>
      <c r="F3150" s="4" t="s">
        <v>3828</v>
      </c>
      <c r="G3150" s="4" t="s">
        <v>2263</v>
      </c>
      <c r="H3150" s="9" t="s">
        <v>2263</v>
      </c>
      <c r="I3150" s="4" t="s">
        <v>2317</v>
      </c>
      <c r="J3150" s="4" t="s">
        <v>2316</v>
      </c>
      <c r="K3150" s="4" t="s">
        <v>2263</v>
      </c>
      <c r="L3150" s="10">
        <v>90</v>
      </c>
      <c r="M3150" s="5">
        <v>2498.0486052631577</v>
      </c>
      <c r="N3150" s="5">
        <v>224824.37447368421</v>
      </c>
    </row>
    <row r="3151" spans="1:14" x14ac:dyDescent="0.25">
      <c r="A3151" s="4" t="s">
        <v>2317</v>
      </c>
      <c r="B3151" s="4" t="s">
        <v>3839</v>
      </c>
      <c r="C3151" s="4" t="s">
        <v>2320</v>
      </c>
      <c r="D3151" s="4" t="s">
        <v>242</v>
      </c>
      <c r="E3151" s="4" t="s">
        <v>4135</v>
      </c>
      <c r="F3151" s="4" t="s">
        <v>4134</v>
      </c>
      <c r="G3151" s="4" t="s">
        <v>2263</v>
      </c>
      <c r="H3151" s="9" t="s">
        <v>2263</v>
      </c>
      <c r="I3151" s="4" t="s">
        <v>2317</v>
      </c>
      <c r="J3151" s="4" t="s">
        <v>2316</v>
      </c>
      <c r="K3151" s="4" t="s">
        <v>2263</v>
      </c>
      <c r="L3151" s="10">
        <v>90</v>
      </c>
      <c r="M3151" s="5">
        <v>2850.6473571428573</v>
      </c>
      <c r="N3151" s="5">
        <v>256558.26214285713</v>
      </c>
    </row>
    <row r="3152" spans="1:14" x14ac:dyDescent="0.25">
      <c r="A3152" s="4" t="s">
        <v>2317</v>
      </c>
      <c r="B3152" s="4" t="s">
        <v>3839</v>
      </c>
      <c r="C3152" s="4" t="s">
        <v>2320</v>
      </c>
      <c r="D3152" s="4" t="s">
        <v>242</v>
      </c>
      <c r="E3152" s="4" t="s">
        <v>4237</v>
      </c>
      <c r="F3152" s="4" t="s">
        <v>4236</v>
      </c>
      <c r="G3152" s="4" t="s">
        <v>2263</v>
      </c>
      <c r="H3152" s="9" t="s">
        <v>2263</v>
      </c>
      <c r="I3152" s="4" t="s">
        <v>2317</v>
      </c>
      <c r="J3152" s="4" t="s">
        <v>2316</v>
      </c>
      <c r="K3152" s="4" t="s">
        <v>2263</v>
      </c>
      <c r="L3152" s="10">
        <v>90</v>
      </c>
      <c r="M3152" s="5">
        <v>3504.0364035087719</v>
      </c>
      <c r="N3152" s="5">
        <v>315363.2763157895</v>
      </c>
    </row>
    <row r="3153" spans="1:14" x14ac:dyDescent="0.25">
      <c r="A3153" s="4" t="s">
        <v>2274</v>
      </c>
      <c r="B3153" s="4" t="s">
        <v>4348</v>
      </c>
      <c r="C3153" s="4" t="s">
        <v>2274</v>
      </c>
      <c r="D3153" s="4" t="s">
        <v>2273</v>
      </c>
      <c r="E3153" s="4" t="s">
        <v>4469</v>
      </c>
      <c r="F3153" s="4" t="s">
        <v>4468</v>
      </c>
      <c r="G3153" s="4" t="s">
        <v>2263</v>
      </c>
      <c r="H3153" s="9" t="s">
        <v>2263</v>
      </c>
      <c r="I3153" s="4" t="s">
        <v>2263</v>
      </c>
      <c r="J3153" s="4" t="s">
        <v>2263</v>
      </c>
      <c r="K3153" s="4" t="s">
        <v>4467</v>
      </c>
      <c r="L3153" s="10">
        <v>90</v>
      </c>
      <c r="M3153" s="5">
        <v>3685.6808928571427</v>
      </c>
      <c r="N3153" s="5">
        <v>331711.28035714285</v>
      </c>
    </row>
    <row r="3154" spans="1:14" x14ac:dyDescent="0.25">
      <c r="A3154" s="4" t="s">
        <v>2274</v>
      </c>
      <c r="B3154" s="4" t="s">
        <v>4348</v>
      </c>
      <c r="C3154" s="4" t="s">
        <v>2344</v>
      </c>
      <c r="D3154" s="4" t="s">
        <v>237</v>
      </c>
      <c r="E3154" s="4" t="s">
        <v>4862</v>
      </c>
      <c r="F3154" s="4" t="s">
        <v>4861</v>
      </c>
      <c r="G3154" s="4" t="s">
        <v>2263</v>
      </c>
      <c r="H3154" s="9" t="s">
        <v>2263</v>
      </c>
      <c r="I3154" s="4" t="s">
        <v>2263</v>
      </c>
      <c r="J3154" s="4" t="s">
        <v>2263</v>
      </c>
      <c r="K3154" s="4" t="s">
        <v>4860</v>
      </c>
      <c r="L3154" s="10">
        <v>90</v>
      </c>
      <c r="M3154" s="5">
        <v>8076.2247572815531</v>
      </c>
      <c r="N3154" s="5">
        <v>726860.22815533984</v>
      </c>
    </row>
    <row r="3155" spans="1:14" x14ac:dyDescent="0.25">
      <c r="A3155" s="4" t="s">
        <v>2274</v>
      </c>
      <c r="B3155" s="4" t="s">
        <v>4348</v>
      </c>
      <c r="C3155" s="4" t="s">
        <v>2481</v>
      </c>
      <c r="D3155" s="4" t="s">
        <v>2480</v>
      </c>
      <c r="E3155" s="4" t="s">
        <v>4362</v>
      </c>
      <c r="F3155" s="4" t="s">
        <v>4361</v>
      </c>
      <c r="G3155" s="4" t="s">
        <v>2263</v>
      </c>
      <c r="H3155" s="9" t="s">
        <v>2263</v>
      </c>
      <c r="I3155" s="4" t="s">
        <v>2263</v>
      </c>
      <c r="J3155" s="4" t="s">
        <v>2263</v>
      </c>
      <c r="K3155" s="4" t="s">
        <v>2485</v>
      </c>
      <c r="L3155" s="10">
        <v>90</v>
      </c>
      <c r="M3155" s="5">
        <v>12324.562702702702</v>
      </c>
      <c r="N3155" s="5">
        <v>1109210.6432432432</v>
      </c>
    </row>
    <row r="3156" spans="1:14" x14ac:dyDescent="0.25">
      <c r="A3156" s="4" t="s">
        <v>2274</v>
      </c>
      <c r="B3156" s="4" t="s">
        <v>4348</v>
      </c>
      <c r="C3156" s="4" t="s">
        <v>2344</v>
      </c>
      <c r="D3156" s="4" t="s">
        <v>237</v>
      </c>
      <c r="E3156" s="4" t="s">
        <v>4798</v>
      </c>
      <c r="F3156" s="4" t="s">
        <v>4797</v>
      </c>
      <c r="G3156" s="4" t="s">
        <v>2263</v>
      </c>
      <c r="H3156" s="9" t="s">
        <v>2263</v>
      </c>
      <c r="I3156" s="4" t="s">
        <v>2263</v>
      </c>
      <c r="J3156" s="4" t="s">
        <v>2263</v>
      </c>
      <c r="K3156" s="4" t="s">
        <v>4796</v>
      </c>
      <c r="L3156" s="10">
        <v>90</v>
      </c>
      <c r="M3156" s="5">
        <v>25320.789896907219</v>
      </c>
      <c r="N3156" s="5">
        <v>2278871.0907216496</v>
      </c>
    </row>
    <row r="3157" spans="1:14" x14ac:dyDescent="0.25">
      <c r="A3157" s="4" t="s">
        <v>2274</v>
      </c>
      <c r="B3157" s="4" t="s">
        <v>4348</v>
      </c>
      <c r="C3157" s="4" t="s">
        <v>2274</v>
      </c>
      <c r="D3157" s="4" t="s">
        <v>2273</v>
      </c>
      <c r="E3157" s="4" t="s">
        <v>4449</v>
      </c>
      <c r="F3157" s="4" t="s">
        <v>4448</v>
      </c>
      <c r="G3157" s="4" t="s">
        <v>2263</v>
      </c>
      <c r="H3157" s="9" t="s">
        <v>2263</v>
      </c>
      <c r="I3157" s="4" t="s">
        <v>2263</v>
      </c>
      <c r="J3157" s="4" t="s">
        <v>2263</v>
      </c>
      <c r="K3157" s="4" t="s">
        <v>4447</v>
      </c>
      <c r="L3157" s="10">
        <v>90</v>
      </c>
      <c r="M3157" s="5">
        <v>52782.251078431378</v>
      </c>
      <c r="N3157" s="5">
        <v>4750402.5970588233</v>
      </c>
    </row>
    <row r="3158" spans="1:14" x14ac:dyDescent="0.25">
      <c r="A3158" s="4" t="s">
        <v>2344</v>
      </c>
      <c r="B3158" s="4" t="s">
        <v>5154</v>
      </c>
      <c r="C3158" s="4" t="s">
        <v>2279</v>
      </c>
      <c r="D3158" s="4" t="s">
        <v>2278</v>
      </c>
      <c r="E3158" s="4" t="s">
        <v>5286</v>
      </c>
      <c r="F3158" s="4" t="s">
        <v>2874</v>
      </c>
      <c r="G3158" s="4" t="s">
        <v>2263</v>
      </c>
      <c r="H3158" s="9" t="s">
        <v>2263</v>
      </c>
      <c r="I3158" s="4" t="s">
        <v>2263</v>
      </c>
      <c r="J3158" s="4" t="s">
        <v>2263</v>
      </c>
      <c r="K3158" s="4" t="s">
        <v>2873</v>
      </c>
      <c r="L3158" s="10">
        <v>91</v>
      </c>
      <c r="M3158" s="5">
        <v>1844</v>
      </c>
      <c r="N3158" s="5">
        <v>167804</v>
      </c>
    </row>
    <row r="3159" spans="1:14" x14ac:dyDescent="0.25">
      <c r="A3159" s="4" t="s">
        <v>2344</v>
      </c>
      <c r="B3159" s="4" t="s">
        <v>5154</v>
      </c>
      <c r="C3159" s="4" t="s">
        <v>2344</v>
      </c>
      <c r="D3159" s="4" t="s">
        <v>237</v>
      </c>
      <c r="E3159" s="4" t="s">
        <v>4962</v>
      </c>
      <c r="F3159" s="4" t="s">
        <v>4961</v>
      </c>
      <c r="G3159" s="4" t="s">
        <v>2263</v>
      </c>
      <c r="H3159" s="9" t="s">
        <v>2263</v>
      </c>
      <c r="I3159" s="4" t="s">
        <v>2263</v>
      </c>
      <c r="J3159" s="4" t="s">
        <v>2263</v>
      </c>
      <c r="K3159" s="4" t="s">
        <v>2547</v>
      </c>
      <c r="L3159" s="10">
        <v>92</v>
      </c>
      <c r="M3159" s="5">
        <v>38.44803278688525</v>
      </c>
      <c r="N3159" s="5">
        <v>3537.2190163934401</v>
      </c>
    </row>
    <row r="3160" spans="1:14" x14ac:dyDescent="0.25">
      <c r="A3160" s="4" t="s">
        <v>2344</v>
      </c>
      <c r="B3160" s="4" t="s">
        <v>5154</v>
      </c>
      <c r="C3160" s="4" t="s">
        <v>2344</v>
      </c>
      <c r="D3160" s="4" t="s">
        <v>237</v>
      </c>
      <c r="E3160" s="4" t="s">
        <v>4933</v>
      </c>
      <c r="F3160" s="4" t="s">
        <v>2668</v>
      </c>
      <c r="G3160" s="4" t="s">
        <v>2263</v>
      </c>
      <c r="H3160" s="9" t="s">
        <v>2263</v>
      </c>
      <c r="I3160" s="4" t="s">
        <v>2263</v>
      </c>
      <c r="J3160" s="4" t="s">
        <v>2263</v>
      </c>
      <c r="K3160" s="4" t="s">
        <v>2536</v>
      </c>
      <c r="L3160" s="10">
        <v>93</v>
      </c>
      <c r="M3160" s="5">
        <v>62</v>
      </c>
      <c r="N3160" s="5">
        <v>5766</v>
      </c>
    </row>
    <row r="3161" spans="1:14" x14ac:dyDescent="0.25">
      <c r="A3161" s="4" t="s">
        <v>2344</v>
      </c>
      <c r="B3161" s="4" t="s">
        <v>5154</v>
      </c>
      <c r="C3161" s="4" t="s">
        <v>2344</v>
      </c>
      <c r="D3161" s="4" t="s">
        <v>237</v>
      </c>
      <c r="E3161" s="4" t="s">
        <v>5387</v>
      </c>
      <c r="F3161" s="4" t="s">
        <v>5386</v>
      </c>
      <c r="G3161" s="4" t="s">
        <v>2263</v>
      </c>
      <c r="H3161" s="9" t="s">
        <v>2263</v>
      </c>
      <c r="I3161" s="4" t="s">
        <v>2263</v>
      </c>
      <c r="J3161" s="4" t="s">
        <v>2263</v>
      </c>
      <c r="K3161" s="4" t="s">
        <v>2536</v>
      </c>
      <c r="L3161" s="10">
        <v>93</v>
      </c>
      <c r="M3161" s="5">
        <v>75</v>
      </c>
      <c r="N3161" s="5">
        <v>6975</v>
      </c>
    </row>
    <row r="3162" spans="1:14" x14ac:dyDescent="0.25">
      <c r="A3162" s="4" t="s">
        <v>2344</v>
      </c>
      <c r="B3162" s="4" t="s">
        <v>5154</v>
      </c>
      <c r="C3162" s="4" t="s">
        <v>2320</v>
      </c>
      <c r="D3162" s="4" t="s">
        <v>242</v>
      </c>
      <c r="E3162" s="4" t="s">
        <v>4111</v>
      </c>
      <c r="F3162" s="4" t="s">
        <v>4110</v>
      </c>
      <c r="G3162" s="4" t="s">
        <v>2263</v>
      </c>
      <c r="H3162" s="9" t="s">
        <v>2263</v>
      </c>
      <c r="I3162" s="4" t="s">
        <v>2317</v>
      </c>
      <c r="J3162" s="4" t="s">
        <v>2316</v>
      </c>
      <c r="K3162" s="4" t="s">
        <v>2263</v>
      </c>
      <c r="L3162" s="10">
        <v>93</v>
      </c>
      <c r="M3162" s="5">
        <v>78.775359433007083</v>
      </c>
      <c r="N3162" s="5">
        <v>7326.1084272696598</v>
      </c>
    </row>
    <row r="3163" spans="1:14" x14ac:dyDescent="0.25">
      <c r="A3163" s="4" t="s">
        <v>2274</v>
      </c>
      <c r="B3163" s="4" t="s">
        <v>4348</v>
      </c>
      <c r="C3163" s="4" t="s">
        <v>2344</v>
      </c>
      <c r="D3163" s="4" t="s">
        <v>237</v>
      </c>
      <c r="E3163" s="4" t="s">
        <v>2432</v>
      </c>
      <c r="F3163" s="4" t="s">
        <v>2431</v>
      </c>
      <c r="G3163" s="4" t="s">
        <v>2263</v>
      </c>
      <c r="H3163" s="9" t="s">
        <v>2263</v>
      </c>
      <c r="I3163" s="4" t="s">
        <v>2263</v>
      </c>
      <c r="J3163" s="4" t="s">
        <v>2263</v>
      </c>
      <c r="K3163" s="4" t="s">
        <v>2430</v>
      </c>
      <c r="L3163" s="10">
        <v>94</v>
      </c>
      <c r="M3163" s="5">
        <v>9728.7152252252235</v>
      </c>
      <c r="N3163" s="5">
        <v>914499.23117117118</v>
      </c>
    </row>
    <row r="3164" spans="1:14" x14ac:dyDescent="0.25">
      <c r="A3164" s="4" t="s">
        <v>2344</v>
      </c>
      <c r="B3164" s="4" t="s">
        <v>5154</v>
      </c>
      <c r="C3164" s="4" t="s">
        <v>2320</v>
      </c>
      <c r="D3164" s="4" t="s">
        <v>242</v>
      </c>
      <c r="E3164" s="4" t="s">
        <v>2731</v>
      </c>
      <c r="F3164" s="4" t="s">
        <v>2730</v>
      </c>
      <c r="G3164" s="4" t="s">
        <v>2263</v>
      </c>
      <c r="H3164" s="9" t="s">
        <v>2263</v>
      </c>
      <c r="I3164" s="4" t="s">
        <v>2317</v>
      </c>
      <c r="J3164" s="4" t="s">
        <v>2316</v>
      </c>
      <c r="K3164" s="4" t="s">
        <v>2263</v>
      </c>
      <c r="L3164" s="10">
        <v>95</v>
      </c>
      <c r="M3164" s="5">
        <v>1714.5099713467048</v>
      </c>
      <c r="N3164" s="5">
        <v>162878.44727793697</v>
      </c>
    </row>
    <row r="3165" spans="1:14" x14ac:dyDescent="0.25">
      <c r="A3165" s="4" t="s">
        <v>2653</v>
      </c>
      <c r="B3165" s="4" t="s">
        <v>3226</v>
      </c>
      <c r="C3165" s="4" t="s">
        <v>2353</v>
      </c>
      <c r="D3165" s="4" t="s">
        <v>258</v>
      </c>
      <c r="E3165" s="4" t="s">
        <v>3274</v>
      </c>
      <c r="F3165" s="4" t="s">
        <v>3273</v>
      </c>
      <c r="G3165" s="4" t="s">
        <v>2263</v>
      </c>
      <c r="H3165" s="9" t="s">
        <v>2263</v>
      </c>
      <c r="I3165" s="4" t="s">
        <v>2317</v>
      </c>
      <c r="J3165" s="4" t="s">
        <v>2316</v>
      </c>
      <c r="K3165" s="4" t="s">
        <v>2263</v>
      </c>
      <c r="L3165" s="10">
        <v>95</v>
      </c>
      <c r="M3165" s="5">
        <v>4921.9473684210525</v>
      </c>
      <c r="N3165" s="5">
        <v>467585</v>
      </c>
    </row>
    <row r="3166" spans="1:14" x14ac:dyDescent="0.25">
      <c r="A3166" s="4" t="s">
        <v>2344</v>
      </c>
      <c r="B3166" s="4" t="s">
        <v>5154</v>
      </c>
      <c r="C3166" s="4" t="s">
        <v>2344</v>
      </c>
      <c r="D3166" s="4" t="s">
        <v>237</v>
      </c>
      <c r="E3166" s="4" t="s">
        <v>5404</v>
      </c>
      <c r="F3166" s="4" t="s">
        <v>4760</v>
      </c>
      <c r="G3166" s="4" t="s">
        <v>2263</v>
      </c>
      <c r="H3166" s="9" t="s">
        <v>2263</v>
      </c>
      <c r="I3166" s="4" t="s">
        <v>2263</v>
      </c>
      <c r="J3166" s="4" t="s">
        <v>2263</v>
      </c>
      <c r="K3166" s="4" t="s">
        <v>4711</v>
      </c>
      <c r="L3166" s="10">
        <v>96</v>
      </c>
      <c r="M3166" s="5">
        <v>167.42583333333334</v>
      </c>
      <c r="N3166" s="5">
        <v>16072.88</v>
      </c>
    </row>
    <row r="3167" spans="1:14" x14ac:dyDescent="0.25">
      <c r="A3167" s="4" t="s">
        <v>2317</v>
      </c>
      <c r="B3167" s="4" t="s">
        <v>3839</v>
      </c>
      <c r="C3167" s="4" t="s">
        <v>2320</v>
      </c>
      <c r="D3167" s="4" t="s">
        <v>242</v>
      </c>
      <c r="E3167" s="4" t="s">
        <v>2901</v>
      </c>
      <c r="F3167" s="4" t="s">
        <v>2900</v>
      </c>
      <c r="G3167" s="4" t="s">
        <v>2263</v>
      </c>
      <c r="H3167" s="9" t="s">
        <v>2263</v>
      </c>
      <c r="I3167" s="4" t="s">
        <v>2317</v>
      </c>
      <c r="J3167" s="4" t="s">
        <v>2316</v>
      </c>
      <c r="K3167" s="4" t="s">
        <v>2263</v>
      </c>
      <c r="L3167" s="10">
        <v>96</v>
      </c>
      <c r="M3167" s="5">
        <v>1692.1930827067667</v>
      </c>
      <c r="N3167" s="5">
        <v>162450.53593984962</v>
      </c>
    </row>
    <row r="3168" spans="1:14" x14ac:dyDescent="0.25">
      <c r="A3168" s="4" t="s">
        <v>2344</v>
      </c>
      <c r="B3168" s="4" t="s">
        <v>5154</v>
      </c>
      <c r="C3168" s="4" t="s">
        <v>2344</v>
      </c>
      <c r="D3168" s="4" t="s">
        <v>237</v>
      </c>
      <c r="E3168" s="4" t="s">
        <v>4651</v>
      </c>
      <c r="F3168" s="4" t="s">
        <v>4650</v>
      </c>
      <c r="G3168" s="4" t="s">
        <v>2263</v>
      </c>
      <c r="H3168" s="9" t="s">
        <v>2263</v>
      </c>
      <c r="I3168" s="4" t="s">
        <v>2263</v>
      </c>
      <c r="J3168" s="4" t="s">
        <v>2263</v>
      </c>
      <c r="K3168" s="4" t="s">
        <v>4649</v>
      </c>
      <c r="L3168" s="10">
        <v>98</v>
      </c>
      <c r="M3168" s="5">
        <v>962.82</v>
      </c>
      <c r="N3168" s="5">
        <v>94356.36</v>
      </c>
    </row>
    <row r="3169" spans="1:14" x14ac:dyDescent="0.25">
      <c r="A3169" s="4" t="s">
        <v>2274</v>
      </c>
      <c r="B3169" s="4" t="s">
        <v>4348</v>
      </c>
      <c r="C3169" s="4" t="s">
        <v>2267</v>
      </c>
      <c r="D3169" s="4" t="s">
        <v>2266</v>
      </c>
      <c r="E3169" s="4" t="s">
        <v>4403</v>
      </c>
      <c r="F3169" s="4" t="s">
        <v>2656</v>
      </c>
      <c r="G3169" s="4" t="s">
        <v>2263</v>
      </c>
      <c r="H3169" s="9" t="s">
        <v>2263</v>
      </c>
      <c r="I3169" s="4" t="s">
        <v>2263</v>
      </c>
      <c r="J3169" s="4" t="s">
        <v>2263</v>
      </c>
      <c r="K3169" s="4" t="s">
        <v>2655</v>
      </c>
      <c r="L3169" s="10">
        <v>98</v>
      </c>
      <c r="M3169" s="5">
        <v>1649.4257391304347</v>
      </c>
      <c r="N3169" s="5">
        <v>161643.7224347826</v>
      </c>
    </row>
    <row r="3170" spans="1:14" x14ac:dyDescent="0.25">
      <c r="A3170" s="4" t="s">
        <v>2653</v>
      </c>
      <c r="B3170" s="4" t="s">
        <v>3226</v>
      </c>
      <c r="C3170" s="4" t="s">
        <v>3196</v>
      </c>
      <c r="D3170" s="4" t="s">
        <v>254</v>
      </c>
      <c r="E3170" s="4" t="s">
        <v>3560</v>
      </c>
      <c r="F3170" s="4" t="s">
        <v>3559</v>
      </c>
      <c r="G3170" s="4" t="s">
        <v>2263</v>
      </c>
      <c r="H3170" s="9" t="s">
        <v>2263</v>
      </c>
      <c r="I3170" s="4" t="s">
        <v>2317</v>
      </c>
      <c r="J3170" s="4" t="s">
        <v>2316</v>
      </c>
      <c r="K3170" s="4" t="s">
        <v>2263</v>
      </c>
      <c r="L3170" s="10">
        <v>100</v>
      </c>
      <c r="M3170" s="5">
        <v>-3138.9</v>
      </c>
      <c r="N3170" s="5">
        <v>-313890</v>
      </c>
    </row>
    <row r="3171" spans="1:14" x14ac:dyDescent="0.25">
      <c r="A3171" s="4" t="s">
        <v>2274</v>
      </c>
      <c r="B3171" s="4" t="s">
        <v>4348</v>
      </c>
      <c r="C3171" s="4" t="s">
        <v>2344</v>
      </c>
      <c r="D3171" s="4" t="s">
        <v>237</v>
      </c>
      <c r="E3171" s="4" t="s">
        <v>4880</v>
      </c>
      <c r="F3171" s="4" t="s">
        <v>4879</v>
      </c>
      <c r="G3171" s="4" t="s">
        <v>2263</v>
      </c>
      <c r="H3171" s="9" t="s">
        <v>2263</v>
      </c>
      <c r="I3171" s="4" t="s">
        <v>2263</v>
      </c>
      <c r="J3171" s="4" t="s">
        <v>2263</v>
      </c>
      <c r="K3171" s="4" t="s">
        <v>2520</v>
      </c>
      <c r="L3171" s="10">
        <v>100</v>
      </c>
      <c r="M3171" s="5">
        <v>35.8003</v>
      </c>
      <c r="N3171" s="5">
        <v>3580.03</v>
      </c>
    </row>
    <row r="3172" spans="1:14" x14ac:dyDescent="0.25">
      <c r="A3172" s="4" t="s">
        <v>2274</v>
      </c>
      <c r="B3172" s="4" t="s">
        <v>4348</v>
      </c>
      <c r="C3172" s="4" t="s">
        <v>2344</v>
      </c>
      <c r="D3172" s="4" t="s">
        <v>237</v>
      </c>
      <c r="E3172" s="4" t="s">
        <v>4896</v>
      </c>
      <c r="F3172" s="4" t="s">
        <v>4895</v>
      </c>
      <c r="G3172" s="4" t="s">
        <v>2263</v>
      </c>
      <c r="H3172" s="9" t="s">
        <v>2263</v>
      </c>
      <c r="I3172" s="4" t="s">
        <v>2263</v>
      </c>
      <c r="J3172" s="4" t="s">
        <v>2263</v>
      </c>
      <c r="K3172" s="4" t="s">
        <v>2465</v>
      </c>
      <c r="L3172" s="10">
        <v>100</v>
      </c>
      <c r="M3172" s="5">
        <v>63.133333333333333</v>
      </c>
      <c r="N3172" s="5">
        <v>6313.3333333333303</v>
      </c>
    </row>
    <row r="3173" spans="1:14" x14ac:dyDescent="0.25">
      <c r="A3173" s="4" t="s">
        <v>2274</v>
      </c>
      <c r="B3173" s="4" t="s">
        <v>4348</v>
      </c>
      <c r="C3173" s="4" t="s">
        <v>2344</v>
      </c>
      <c r="D3173" s="4" t="s">
        <v>237</v>
      </c>
      <c r="E3173" s="4" t="s">
        <v>4595</v>
      </c>
      <c r="F3173" s="4" t="s">
        <v>4594</v>
      </c>
      <c r="G3173" s="4" t="s">
        <v>2263</v>
      </c>
      <c r="H3173" s="9" t="s">
        <v>2263</v>
      </c>
      <c r="I3173" s="4" t="s">
        <v>2263</v>
      </c>
      <c r="J3173" s="4" t="s">
        <v>2263</v>
      </c>
      <c r="K3173" s="4" t="s">
        <v>2262</v>
      </c>
      <c r="L3173" s="10">
        <v>100</v>
      </c>
      <c r="M3173" s="5">
        <v>80</v>
      </c>
      <c r="N3173" s="5">
        <v>8000</v>
      </c>
    </row>
    <row r="3174" spans="1:14" x14ac:dyDescent="0.25">
      <c r="A3174" s="4" t="s">
        <v>2274</v>
      </c>
      <c r="B3174" s="4" t="s">
        <v>4348</v>
      </c>
      <c r="C3174" s="4" t="s">
        <v>2267</v>
      </c>
      <c r="D3174" s="4" t="s">
        <v>2266</v>
      </c>
      <c r="E3174" s="4" t="s">
        <v>4423</v>
      </c>
      <c r="F3174" s="4" t="s">
        <v>4422</v>
      </c>
      <c r="G3174" s="4" t="s">
        <v>2263</v>
      </c>
      <c r="H3174" s="9" t="s">
        <v>2263</v>
      </c>
      <c r="I3174" s="4" t="s">
        <v>2263</v>
      </c>
      <c r="J3174" s="4" t="s">
        <v>2263</v>
      </c>
      <c r="K3174" s="4" t="s">
        <v>2262</v>
      </c>
      <c r="L3174" s="10">
        <v>100</v>
      </c>
      <c r="M3174" s="5">
        <v>114</v>
      </c>
      <c r="N3174" s="5">
        <v>11400</v>
      </c>
    </row>
    <row r="3175" spans="1:14" x14ac:dyDescent="0.25">
      <c r="A3175" s="4" t="s">
        <v>2274</v>
      </c>
      <c r="B3175" s="4" t="s">
        <v>4348</v>
      </c>
      <c r="C3175" s="4" t="s">
        <v>2344</v>
      </c>
      <c r="D3175" s="4" t="s">
        <v>237</v>
      </c>
      <c r="E3175" s="4" t="s">
        <v>4885</v>
      </c>
      <c r="F3175" s="4" t="s">
        <v>4884</v>
      </c>
      <c r="G3175" s="4" t="s">
        <v>2263</v>
      </c>
      <c r="H3175" s="9" t="s">
        <v>2263</v>
      </c>
      <c r="I3175" s="4" t="s">
        <v>2263</v>
      </c>
      <c r="J3175" s="4" t="s">
        <v>2263</v>
      </c>
      <c r="K3175" s="4" t="s">
        <v>4387</v>
      </c>
      <c r="L3175" s="10">
        <v>100</v>
      </c>
      <c r="M3175" s="5">
        <v>156.3866081871345</v>
      </c>
      <c r="N3175" s="5">
        <v>15638.66081871345</v>
      </c>
    </row>
    <row r="3176" spans="1:14" x14ac:dyDescent="0.25">
      <c r="A3176" s="4" t="s">
        <v>2274</v>
      </c>
      <c r="B3176" s="4" t="s">
        <v>4348</v>
      </c>
      <c r="C3176" s="4" t="s">
        <v>2344</v>
      </c>
      <c r="D3176" s="4" t="s">
        <v>237</v>
      </c>
      <c r="E3176" s="4" t="s">
        <v>4754</v>
      </c>
      <c r="F3176" s="4" t="s">
        <v>4753</v>
      </c>
      <c r="G3176" s="4" t="s">
        <v>2263</v>
      </c>
      <c r="H3176" s="9" t="s">
        <v>2263</v>
      </c>
      <c r="I3176" s="4" t="s">
        <v>2263</v>
      </c>
      <c r="J3176" s="4" t="s">
        <v>2263</v>
      </c>
      <c r="K3176" s="4" t="s">
        <v>4752</v>
      </c>
      <c r="L3176" s="10">
        <v>100</v>
      </c>
      <c r="M3176" s="5">
        <v>199.90476190476193</v>
      </c>
      <c r="N3176" s="5">
        <v>19990.476190476191</v>
      </c>
    </row>
    <row r="3177" spans="1:14" x14ac:dyDescent="0.25">
      <c r="A3177" s="4" t="s">
        <v>2274</v>
      </c>
      <c r="B3177" s="4" t="s">
        <v>4348</v>
      </c>
      <c r="C3177" s="4" t="s">
        <v>2267</v>
      </c>
      <c r="D3177" s="4" t="s">
        <v>2266</v>
      </c>
      <c r="E3177" s="4" t="s">
        <v>4425</v>
      </c>
      <c r="F3177" s="4" t="s">
        <v>4424</v>
      </c>
      <c r="G3177" s="4" t="s">
        <v>2263</v>
      </c>
      <c r="H3177" s="9" t="s">
        <v>2263</v>
      </c>
      <c r="I3177" s="4" t="s">
        <v>2263</v>
      </c>
      <c r="J3177" s="4" t="s">
        <v>2263</v>
      </c>
      <c r="K3177" s="4" t="s">
        <v>2462</v>
      </c>
      <c r="L3177" s="10">
        <v>100</v>
      </c>
      <c r="M3177" s="5">
        <v>214.08702970297031</v>
      </c>
      <c r="N3177" s="5">
        <v>21408.702970297029</v>
      </c>
    </row>
    <row r="3178" spans="1:14" x14ac:dyDescent="0.25">
      <c r="A3178" s="4" t="s">
        <v>2355</v>
      </c>
      <c r="B3178" s="4" t="s">
        <v>2354</v>
      </c>
      <c r="C3178" s="4" t="s">
        <v>2320</v>
      </c>
      <c r="D3178" s="4" t="s">
        <v>242</v>
      </c>
      <c r="E3178" s="4" t="s">
        <v>2360</v>
      </c>
      <c r="F3178" s="4" t="s">
        <v>2359</v>
      </c>
      <c r="G3178" s="4" t="s">
        <v>2263</v>
      </c>
      <c r="H3178" s="9" t="s">
        <v>2263</v>
      </c>
      <c r="I3178" s="4" t="s">
        <v>2317</v>
      </c>
      <c r="J3178" s="4" t="s">
        <v>2316</v>
      </c>
      <c r="K3178" s="4" t="s">
        <v>2263</v>
      </c>
      <c r="L3178" s="10">
        <v>100</v>
      </c>
      <c r="M3178" s="5">
        <v>261.77091875138365</v>
      </c>
      <c r="N3178" s="5">
        <v>26177.091875138369</v>
      </c>
    </row>
    <row r="3179" spans="1:14" x14ac:dyDescent="0.25">
      <c r="A3179" s="4" t="s">
        <v>2355</v>
      </c>
      <c r="B3179" s="4" t="s">
        <v>2354</v>
      </c>
      <c r="C3179" s="4" t="s">
        <v>2320</v>
      </c>
      <c r="D3179" s="4" t="s">
        <v>242</v>
      </c>
      <c r="E3179" s="4" t="s">
        <v>2370</v>
      </c>
      <c r="F3179" s="4" t="s">
        <v>2369</v>
      </c>
      <c r="G3179" s="4" t="s">
        <v>2263</v>
      </c>
      <c r="H3179" s="9" t="s">
        <v>2263</v>
      </c>
      <c r="I3179" s="4" t="s">
        <v>2317</v>
      </c>
      <c r="J3179" s="4" t="s">
        <v>2316</v>
      </c>
      <c r="K3179" s="4" t="s">
        <v>2263</v>
      </c>
      <c r="L3179" s="10">
        <v>100</v>
      </c>
      <c r="M3179" s="5">
        <v>303.54016676418956</v>
      </c>
      <c r="N3179" s="5">
        <v>30354.01667641896</v>
      </c>
    </row>
    <row r="3180" spans="1:14" x14ac:dyDescent="0.25">
      <c r="A3180" s="4" t="s">
        <v>2317</v>
      </c>
      <c r="B3180" s="4" t="s">
        <v>3839</v>
      </c>
      <c r="C3180" s="4" t="s">
        <v>2320</v>
      </c>
      <c r="D3180" s="4" t="s">
        <v>242</v>
      </c>
      <c r="E3180" s="4" t="s">
        <v>4105</v>
      </c>
      <c r="F3180" s="4" t="s">
        <v>4104</v>
      </c>
      <c r="G3180" s="4" t="s">
        <v>2263</v>
      </c>
      <c r="H3180" s="9" t="s">
        <v>2263</v>
      </c>
      <c r="I3180" s="4" t="s">
        <v>2317</v>
      </c>
      <c r="J3180" s="4" t="s">
        <v>2316</v>
      </c>
      <c r="K3180" s="4" t="s">
        <v>2263</v>
      </c>
      <c r="L3180" s="10">
        <v>100</v>
      </c>
      <c r="M3180" s="5">
        <v>409.59333333333331</v>
      </c>
      <c r="N3180" s="5">
        <v>40959.333333333328</v>
      </c>
    </row>
    <row r="3181" spans="1:14" x14ac:dyDescent="0.25">
      <c r="A3181" s="4" t="s">
        <v>2274</v>
      </c>
      <c r="B3181" s="4" t="s">
        <v>4348</v>
      </c>
      <c r="C3181" s="4" t="s">
        <v>2344</v>
      </c>
      <c r="D3181" s="4" t="s">
        <v>237</v>
      </c>
      <c r="E3181" s="4" t="s">
        <v>2453</v>
      </c>
      <c r="F3181" s="4" t="s">
        <v>2452</v>
      </c>
      <c r="G3181" s="4" t="s">
        <v>2263</v>
      </c>
      <c r="H3181" s="9" t="s">
        <v>2263</v>
      </c>
      <c r="I3181" s="4" t="s">
        <v>2263</v>
      </c>
      <c r="J3181" s="4" t="s">
        <v>2263</v>
      </c>
      <c r="K3181" s="4" t="s">
        <v>2451</v>
      </c>
      <c r="L3181" s="10">
        <v>100</v>
      </c>
      <c r="M3181" s="5">
        <v>480.11012658227844</v>
      </c>
      <c r="N3181" s="5">
        <v>48011.012658227854</v>
      </c>
    </row>
    <row r="3182" spans="1:14" x14ac:dyDescent="0.25">
      <c r="A3182" s="4" t="s">
        <v>2344</v>
      </c>
      <c r="B3182" s="4" t="s">
        <v>5154</v>
      </c>
      <c r="C3182" s="4" t="s">
        <v>2344</v>
      </c>
      <c r="D3182" s="4" t="s">
        <v>237</v>
      </c>
      <c r="E3182" s="4" t="s">
        <v>5408</v>
      </c>
      <c r="F3182" s="4" t="s">
        <v>4532</v>
      </c>
      <c r="G3182" s="4" t="s">
        <v>2263</v>
      </c>
      <c r="H3182" s="9" t="s">
        <v>2263</v>
      </c>
      <c r="I3182" s="4" t="s">
        <v>2263</v>
      </c>
      <c r="J3182" s="4" t="s">
        <v>2263</v>
      </c>
      <c r="K3182" s="4" t="s">
        <v>2488</v>
      </c>
      <c r="L3182" s="10">
        <v>100</v>
      </c>
      <c r="M3182" s="5">
        <v>501.94600000000003</v>
      </c>
      <c r="N3182" s="5">
        <v>50194.6</v>
      </c>
    </row>
    <row r="3183" spans="1:14" x14ac:dyDescent="0.25">
      <c r="A3183" s="4" t="s">
        <v>2317</v>
      </c>
      <c r="B3183" s="4" t="s">
        <v>3839</v>
      </c>
      <c r="C3183" s="4" t="s">
        <v>2320</v>
      </c>
      <c r="D3183" s="4" t="s">
        <v>242</v>
      </c>
      <c r="E3183" s="4" t="s">
        <v>4097</v>
      </c>
      <c r="F3183" s="4" t="s">
        <v>4096</v>
      </c>
      <c r="G3183" s="4" t="s">
        <v>2263</v>
      </c>
      <c r="H3183" s="9" t="s">
        <v>2263</v>
      </c>
      <c r="I3183" s="4" t="s">
        <v>2317</v>
      </c>
      <c r="J3183" s="4" t="s">
        <v>2316</v>
      </c>
      <c r="K3183" s="4" t="s">
        <v>2263</v>
      </c>
      <c r="L3183" s="10">
        <v>100</v>
      </c>
      <c r="M3183" s="5">
        <v>553.89200000000005</v>
      </c>
      <c r="N3183" s="5">
        <v>55389.2</v>
      </c>
    </row>
    <row r="3184" spans="1:14" x14ac:dyDescent="0.25">
      <c r="A3184" s="4" t="s">
        <v>2274</v>
      </c>
      <c r="B3184" s="4" t="s">
        <v>4348</v>
      </c>
      <c r="C3184" s="4" t="s">
        <v>2344</v>
      </c>
      <c r="D3184" s="4" t="s">
        <v>237</v>
      </c>
      <c r="E3184" s="4" t="s">
        <v>3192</v>
      </c>
      <c r="F3184" s="4" t="s">
        <v>2471</v>
      </c>
      <c r="G3184" s="4" t="s">
        <v>2263</v>
      </c>
      <c r="H3184" s="9" t="s">
        <v>2263</v>
      </c>
      <c r="I3184" s="4" t="s">
        <v>2263</v>
      </c>
      <c r="J3184" s="4" t="s">
        <v>2263</v>
      </c>
      <c r="K3184" s="4" t="s">
        <v>2470</v>
      </c>
      <c r="L3184" s="10">
        <v>100</v>
      </c>
      <c r="M3184" s="5">
        <v>756.09078431372541</v>
      </c>
      <c r="N3184" s="5">
        <v>75609.078431372545</v>
      </c>
    </row>
    <row r="3185" spans="1:14" x14ac:dyDescent="0.25">
      <c r="A3185" s="4" t="s">
        <v>2317</v>
      </c>
      <c r="B3185" s="4" t="s">
        <v>3839</v>
      </c>
      <c r="C3185" s="4" t="s">
        <v>2320</v>
      </c>
      <c r="D3185" s="4" t="s">
        <v>242</v>
      </c>
      <c r="E3185" s="4" t="s">
        <v>4109</v>
      </c>
      <c r="F3185" s="4" t="s">
        <v>4108</v>
      </c>
      <c r="G3185" s="4" t="s">
        <v>2263</v>
      </c>
      <c r="H3185" s="9" t="s">
        <v>2263</v>
      </c>
      <c r="I3185" s="4" t="s">
        <v>2317</v>
      </c>
      <c r="J3185" s="4" t="s">
        <v>2316</v>
      </c>
      <c r="K3185" s="4" t="s">
        <v>2263</v>
      </c>
      <c r="L3185" s="10">
        <v>100</v>
      </c>
      <c r="M3185" s="5">
        <v>818.82290598290604</v>
      </c>
      <c r="N3185" s="5">
        <v>81882.290598290594</v>
      </c>
    </row>
    <row r="3186" spans="1:14" x14ac:dyDescent="0.25">
      <c r="A3186" s="4" t="s">
        <v>2274</v>
      </c>
      <c r="B3186" s="4" t="s">
        <v>4348</v>
      </c>
      <c r="C3186" s="4" t="s">
        <v>2267</v>
      </c>
      <c r="D3186" s="4" t="s">
        <v>2266</v>
      </c>
      <c r="E3186" s="4" t="s">
        <v>4399</v>
      </c>
      <c r="F3186" s="4" t="s">
        <v>2501</v>
      </c>
      <c r="G3186" s="4" t="s">
        <v>2263</v>
      </c>
      <c r="H3186" s="9" t="s">
        <v>2263</v>
      </c>
      <c r="I3186" s="4" t="s">
        <v>2263</v>
      </c>
      <c r="J3186" s="4" t="s">
        <v>2263</v>
      </c>
      <c r="K3186" s="4" t="s">
        <v>2494</v>
      </c>
      <c r="L3186" s="10">
        <v>100</v>
      </c>
      <c r="M3186" s="5">
        <v>1496.0608609271524</v>
      </c>
      <c r="N3186" s="5">
        <v>149606.08609271524</v>
      </c>
    </row>
    <row r="3187" spans="1:14" x14ac:dyDescent="0.25">
      <c r="A3187" s="4" t="s">
        <v>2317</v>
      </c>
      <c r="B3187" s="4" t="s">
        <v>3839</v>
      </c>
      <c r="C3187" s="4" t="s">
        <v>2320</v>
      </c>
      <c r="D3187" s="4" t="s">
        <v>242</v>
      </c>
      <c r="E3187" s="4" t="s">
        <v>4093</v>
      </c>
      <c r="F3187" s="4" t="s">
        <v>4092</v>
      </c>
      <c r="G3187" s="4" t="s">
        <v>2263</v>
      </c>
      <c r="H3187" s="9" t="s">
        <v>2263</v>
      </c>
      <c r="I3187" s="4" t="s">
        <v>2317</v>
      </c>
      <c r="J3187" s="4" t="s">
        <v>2316</v>
      </c>
      <c r="K3187" s="4" t="s">
        <v>2263</v>
      </c>
      <c r="L3187" s="10">
        <v>100</v>
      </c>
      <c r="M3187" s="5">
        <v>2841.516984126984</v>
      </c>
      <c r="N3187" s="5">
        <v>284151.6984126984</v>
      </c>
    </row>
    <row r="3188" spans="1:14" x14ac:dyDescent="0.25">
      <c r="A3188" s="4" t="s">
        <v>2274</v>
      </c>
      <c r="B3188" s="4" t="s">
        <v>4348</v>
      </c>
      <c r="C3188" s="4" t="s">
        <v>2267</v>
      </c>
      <c r="D3188" s="4" t="s">
        <v>2266</v>
      </c>
      <c r="E3188" s="4" t="s">
        <v>4430</v>
      </c>
      <c r="F3188" s="4" t="s">
        <v>2513</v>
      </c>
      <c r="G3188" s="4" t="s">
        <v>2263</v>
      </c>
      <c r="H3188" s="9" t="s">
        <v>2263</v>
      </c>
      <c r="I3188" s="4" t="s">
        <v>2263</v>
      </c>
      <c r="J3188" s="4" t="s">
        <v>2263</v>
      </c>
      <c r="K3188" s="4" t="s">
        <v>2512</v>
      </c>
      <c r="L3188" s="10">
        <v>100</v>
      </c>
      <c r="M3188" s="5">
        <v>3126.0934999999999</v>
      </c>
      <c r="N3188" s="5">
        <v>312609.34999999998</v>
      </c>
    </row>
    <row r="3189" spans="1:14" x14ac:dyDescent="0.25">
      <c r="A3189" s="4" t="s">
        <v>2274</v>
      </c>
      <c r="B3189" s="4" t="s">
        <v>4348</v>
      </c>
      <c r="C3189" s="4" t="s">
        <v>2344</v>
      </c>
      <c r="D3189" s="4" t="s">
        <v>237</v>
      </c>
      <c r="E3189" s="4" t="s">
        <v>4622</v>
      </c>
      <c r="F3189" s="4" t="s">
        <v>2569</v>
      </c>
      <c r="G3189" s="4" t="s">
        <v>2263</v>
      </c>
      <c r="H3189" s="9" t="s">
        <v>2263</v>
      </c>
      <c r="I3189" s="4" t="s">
        <v>2263</v>
      </c>
      <c r="J3189" s="4" t="s">
        <v>2263</v>
      </c>
      <c r="K3189" s="4" t="s">
        <v>2568</v>
      </c>
      <c r="L3189" s="10">
        <v>100</v>
      </c>
      <c r="M3189" s="5">
        <v>4594.8019801980199</v>
      </c>
      <c r="N3189" s="5">
        <v>459480.19801980199</v>
      </c>
    </row>
    <row r="3190" spans="1:14" x14ac:dyDescent="0.25">
      <c r="A3190" s="4" t="s">
        <v>2274</v>
      </c>
      <c r="B3190" s="4" t="s">
        <v>4348</v>
      </c>
      <c r="C3190" s="4" t="s">
        <v>2481</v>
      </c>
      <c r="D3190" s="4" t="s">
        <v>2480</v>
      </c>
      <c r="E3190" s="4" t="s">
        <v>4351</v>
      </c>
      <c r="F3190" s="4" t="s">
        <v>4350</v>
      </c>
      <c r="G3190" s="4" t="s">
        <v>2263</v>
      </c>
      <c r="H3190" s="9" t="s">
        <v>2263</v>
      </c>
      <c r="I3190" s="4" t="s">
        <v>2263</v>
      </c>
      <c r="J3190" s="4" t="s">
        <v>2263</v>
      </c>
      <c r="K3190" s="4" t="s">
        <v>4349</v>
      </c>
      <c r="L3190" s="10">
        <v>100</v>
      </c>
      <c r="M3190" s="5">
        <v>8497.0020338983049</v>
      </c>
      <c r="N3190" s="5">
        <v>849700.20338983054</v>
      </c>
    </row>
    <row r="3191" spans="1:14" x14ac:dyDescent="0.25">
      <c r="A3191" s="4" t="s">
        <v>2317</v>
      </c>
      <c r="B3191" s="4" t="s">
        <v>3839</v>
      </c>
      <c r="C3191" s="4" t="s">
        <v>2320</v>
      </c>
      <c r="D3191" s="4" t="s">
        <v>242</v>
      </c>
      <c r="E3191" s="4" t="s">
        <v>2877</v>
      </c>
      <c r="F3191" s="4" t="s">
        <v>2876</v>
      </c>
      <c r="G3191" s="4" t="s">
        <v>2263</v>
      </c>
      <c r="H3191" s="9" t="s">
        <v>2263</v>
      </c>
      <c r="I3191" s="4" t="s">
        <v>2317</v>
      </c>
      <c r="J3191" s="4" t="s">
        <v>2316</v>
      </c>
      <c r="K3191" s="4" t="s">
        <v>2263</v>
      </c>
      <c r="L3191" s="10">
        <v>100</v>
      </c>
      <c r="M3191" s="5">
        <v>26231.993161764709</v>
      </c>
      <c r="N3191" s="5">
        <v>2623199.3161764708</v>
      </c>
    </row>
    <row r="3192" spans="1:14" x14ac:dyDescent="0.25">
      <c r="A3192" s="4" t="s">
        <v>2344</v>
      </c>
      <c r="B3192" s="4" t="s">
        <v>5154</v>
      </c>
      <c r="C3192" s="4" t="s">
        <v>2344</v>
      </c>
      <c r="D3192" s="4" t="s">
        <v>237</v>
      </c>
      <c r="E3192" s="4" t="s">
        <v>5139</v>
      </c>
      <c r="F3192" s="4" t="s">
        <v>2567</v>
      </c>
      <c r="G3192" s="4" t="s">
        <v>2263</v>
      </c>
      <c r="H3192" s="9" t="s">
        <v>2263</v>
      </c>
      <c r="I3192" s="4" t="s">
        <v>2263</v>
      </c>
      <c r="J3192" s="4" t="s">
        <v>2263</v>
      </c>
      <c r="K3192" s="4" t="s">
        <v>2566</v>
      </c>
      <c r="L3192" s="10">
        <v>101</v>
      </c>
      <c r="M3192" s="5">
        <v>275</v>
      </c>
      <c r="N3192" s="5">
        <v>27775</v>
      </c>
    </row>
    <row r="3193" spans="1:14" x14ac:dyDescent="0.25">
      <c r="A3193" s="4" t="s">
        <v>2317</v>
      </c>
      <c r="B3193" s="4" t="s">
        <v>3839</v>
      </c>
      <c r="C3193" s="4" t="s">
        <v>2320</v>
      </c>
      <c r="D3193" s="4" t="s">
        <v>242</v>
      </c>
      <c r="E3193" s="4" t="s">
        <v>4231</v>
      </c>
      <c r="F3193" s="4" t="s">
        <v>4230</v>
      </c>
      <c r="G3193" s="4" t="s">
        <v>2263</v>
      </c>
      <c r="H3193" s="9" t="s">
        <v>2263</v>
      </c>
      <c r="I3193" s="4" t="s">
        <v>2317</v>
      </c>
      <c r="J3193" s="4" t="s">
        <v>2316</v>
      </c>
      <c r="K3193" s="4" t="s">
        <v>2263</v>
      </c>
      <c r="L3193" s="10">
        <v>101</v>
      </c>
      <c r="M3193" s="5">
        <v>53512.670810810807</v>
      </c>
      <c r="N3193" s="5">
        <v>5404779.7518918915</v>
      </c>
    </row>
    <row r="3194" spans="1:14" x14ac:dyDescent="0.25">
      <c r="A3194" s="4" t="s">
        <v>2653</v>
      </c>
      <c r="B3194" s="4" t="s">
        <v>3226</v>
      </c>
      <c r="C3194" s="4" t="s">
        <v>2353</v>
      </c>
      <c r="D3194" s="4" t="s">
        <v>258</v>
      </c>
      <c r="E3194" s="4" t="s">
        <v>3264</v>
      </c>
      <c r="F3194" s="4" t="s">
        <v>3263</v>
      </c>
      <c r="G3194" s="4" t="s">
        <v>2263</v>
      </c>
      <c r="H3194" s="9" t="s">
        <v>2263</v>
      </c>
      <c r="I3194" s="4" t="s">
        <v>2317</v>
      </c>
      <c r="J3194" s="4" t="s">
        <v>2316</v>
      </c>
      <c r="K3194" s="4" t="s">
        <v>2263</v>
      </c>
      <c r="L3194" s="10">
        <v>102</v>
      </c>
      <c r="M3194" s="5">
        <v>6004.2436893203885</v>
      </c>
      <c r="N3194" s="5">
        <v>612432.85631067958</v>
      </c>
    </row>
    <row r="3195" spans="1:14" x14ac:dyDescent="0.25">
      <c r="A3195" s="4" t="s">
        <v>2274</v>
      </c>
      <c r="B3195" s="4" t="s">
        <v>4348</v>
      </c>
      <c r="C3195" s="4" t="s">
        <v>2274</v>
      </c>
      <c r="D3195" s="4" t="s">
        <v>2273</v>
      </c>
      <c r="E3195" s="4" t="s">
        <v>4456</v>
      </c>
      <c r="F3195" s="4" t="s">
        <v>2527</v>
      </c>
      <c r="G3195" s="4" t="s">
        <v>2263</v>
      </c>
      <c r="H3195" s="9" t="s">
        <v>2263</v>
      </c>
      <c r="I3195" s="4" t="s">
        <v>2263</v>
      </c>
      <c r="J3195" s="4" t="s">
        <v>2263</v>
      </c>
      <c r="K3195" s="4" t="s">
        <v>2494</v>
      </c>
      <c r="L3195" s="10">
        <v>103</v>
      </c>
      <c r="M3195" s="5">
        <v>2236.8357692307691</v>
      </c>
      <c r="N3195" s="5">
        <v>230394.08423076925</v>
      </c>
    </row>
    <row r="3196" spans="1:14" x14ac:dyDescent="0.25">
      <c r="A3196" s="4" t="s">
        <v>2653</v>
      </c>
      <c r="B3196" s="4" t="s">
        <v>3226</v>
      </c>
      <c r="C3196" s="4" t="s">
        <v>2353</v>
      </c>
      <c r="D3196" s="4" t="s">
        <v>258</v>
      </c>
      <c r="E3196" s="4" t="s">
        <v>3238</v>
      </c>
      <c r="F3196" s="4" t="s">
        <v>3237</v>
      </c>
      <c r="G3196" s="4" t="s">
        <v>2263</v>
      </c>
      <c r="H3196" s="9" t="s">
        <v>2263</v>
      </c>
      <c r="I3196" s="4" t="s">
        <v>2317</v>
      </c>
      <c r="J3196" s="4" t="s">
        <v>2316</v>
      </c>
      <c r="K3196" s="4" t="s">
        <v>2263</v>
      </c>
      <c r="L3196" s="10">
        <v>103</v>
      </c>
      <c r="M3196" s="5">
        <v>23800.311844660195</v>
      </c>
      <c r="N3196" s="5">
        <v>2451432.12</v>
      </c>
    </row>
    <row r="3197" spans="1:14" x14ac:dyDescent="0.25">
      <c r="A3197" s="4" t="s">
        <v>2344</v>
      </c>
      <c r="B3197" s="4" t="s">
        <v>5154</v>
      </c>
      <c r="C3197" s="4" t="s">
        <v>2344</v>
      </c>
      <c r="D3197" s="4" t="s">
        <v>237</v>
      </c>
      <c r="E3197" s="4" t="s">
        <v>5418</v>
      </c>
      <c r="F3197" s="4" t="s">
        <v>2637</v>
      </c>
      <c r="G3197" s="4" t="s">
        <v>2263</v>
      </c>
      <c r="H3197" s="9" t="s">
        <v>2263</v>
      </c>
      <c r="I3197" s="4" t="s">
        <v>2263</v>
      </c>
      <c r="J3197" s="4" t="s">
        <v>2263</v>
      </c>
      <c r="K3197" s="4" t="s">
        <v>2520</v>
      </c>
      <c r="L3197" s="10">
        <v>104</v>
      </c>
      <c r="M3197" s="5">
        <v>53.653846153846153</v>
      </c>
      <c r="N3197" s="5">
        <v>5580</v>
      </c>
    </row>
    <row r="3198" spans="1:14" x14ac:dyDescent="0.25">
      <c r="A3198" s="4" t="s">
        <v>2344</v>
      </c>
      <c r="B3198" s="4" t="s">
        <v>5154</v>
      </c>
      <c r="C3198" s="4" t="s">
        <v>2320</v>
      </c>
      <c r="D3198" s="4" t="s">
        <v>242</v>
      </c>
      <c r="E3198" s="4" t="s">
        <v>4105</v>
      </c>
      <c r="F3198" s="4" t="s">
        <v>4104</v>
      </c>
      <c r="G3198" s="4" t="s">
        <v>2263</v>
      </c>
      <c r="H3198" s="9" t="s">
        <v>2263</v>
      </c>
      <c r="I3198" s="4" t="s">
        <v>2317</v>
      </c>
      <c r="J3198" s="4" t="s">
        <v>2316</v>
      </c>
      <c r="K3198" s="4" t="s">
        <v>2263</v>
      </c>
      <c r="L3198" s="10">
        <v>104</v>
      </c>
      <c r="M3198" s="5">
        <v>409.59333333333331</v>
      </c>
      <c r="N3198" s="5">
        <v>42597.706666666672</v>
      </c>
    </row>
    <row r="3199" spans="1:14" x14ac:dyDescent="0.25">
      <c r="A3199" s="4" t="s">
        <v>2344</v>
      </c>
      <c r="B3199" s="4" t="s">
        <v>5154</v>
      </c>
      <c r="C3199" s="4" t="s">
        <v>2344</v>
      </c>
      <c r="D3199" s="4" t="s">
        <v>237</v>
      </c>
      <c r="E3199" s="4" t="s">
        <v>5496</v>
      </c>
      <c r="F3199" s="4" t="s">
        <v>2570</v>
      </c>
      <c r="G3199" s="4" t="s">
        <v>2263</v>
      </c>
      <c r="H3199" s="9" t="s">
        <v>2263</v>
      </c>
      <c r="I3199" s="4" t="s">
        <v>2263</v>
      </c>
      <c r="J3199" s="4" t="s">
        <v>2263</v>
      </c>
      <c r="K3199" s="4" t="s">
        <v>2488</v>
      </c>
      <c r="L3199" s="10">
        <v>105</v>
      </c>
      <c r="M3199" s="5">
        <v>155.81904761904761</v>
      </c>
      <c r="N3199" s="5">
        <v>16361</v>
      </c>
    </row>
    <row r="3200" spans="1:14" x14ac:dyDescent="0.25">
      <c r="A3200" s="4" t="s">
        <v>2320</v>
      </c>
      <c r="B3200" s="4" t="s">
        <v>4967</v>
      </c>
      <c r="C3200" s="4" t="s">
        <v>2320</v>
      </c>
      <c r="D3200" s="4" t="s">
        <v>242</v>
      </c>
      <c r="E3200" s="4" t="s">
        <v>2719</v>
      </c>
      <c r="F3200" s="4" t="s">
        <v>2718</v>
      </c>
      <c r="G3200" s="4" t="s">
        <v>2263</v>
      </c>
      <c r="H3200" s="9" t="s">
        <v>2263</v>
      </c>
      <c r="I3200" s="4" t="s">
        <v>2317</v>
      </c>
      <c r="J3200" s="4" t="s">
        <v>2316</v>
      </c>
      <c r="K3200" s="4" t="s">
        <v>2263</v>
      </c>
      <c r="L3200" s="10">
        <v>105</v>
      </c>
      <c r="M3200" s="5">
        <v>863.47163555555562</v>
      </c>
      <c r="N3200" s="5">
        <v>90664.521733333313</v>
      </c>
    </row>
    <row r="3201" spans="1:14" x14ac:dyDescent="0.25">
      <c r="A3201" s="4" t="s">
        <v>2344</v>
      </c>
      <c r="B3201" s="4" t="s">
        <v>5154</v>
      </c>
      <c r="C3201" s="4" t="s">
        <v>2320</v>
      </c>
      <c r="D3201" s="4" t="s">
        <v>242</v>
      </c>
      <c r="E3201" s="4" t="s">
        <v>3189</v>
      </c>
      <c r="F3201" s="4" t="s">
        <v>3188</v>
      </c>
      <c r="G3201" s="4" t="s">
        <v>2263</v>
      </c>
      <c r="H3201" s="9" t="s">
        <v>2263</v>
      </c>
      <c r="I3201" s="4" t="s">
        <v>2317</v>
      </c>
      <c r="J3201" s="4" t="s">
        <v>2316</v>
      </c>
      <c r="K3201" s="4" t="s">
        <v>2263</v>
      </c>
      <c r="L3201" s="10">
        <v>105</v>
      </c>
      <c r="M3201" s="5">
        <v>1813.293306451613</v>
      </c>
      <c r="N3201" s="5">
        <v>190395.79717741936</v>
      </c>
    </row>
    <row r="3202" spans="1:14" x14ac:dyDescent="0.25">
      <c r="A3202" s="4" t="s">
        <v>2317</v>
      </c>
      <c r="B3202" s="4" t="s">
        <v>3839</v>
      </c>
      <c r="C3202" s="4" t="s">
        <v>2320</v>
      </c>
      <c r="D3202" s="4" t="s">
        <v>242</v>
      </c>
      <c r="E3202" s="4" t="s">
        <v>4079</v>
      </c>
      <c r="F3202" s="4" t="s">
        <v>4078</v>
      </c>
      <c r="G3202" s="4" t="s">
        <v>2263</v>
      </c>
      <c r="H3202" s="9" t="s">
        <v>2263</v>
      </c>
      <c r="I3202" s="4" t="s">
        <v>2317</v>
      </c>
      <c r="J3202" s="4" t="s">
        <v>2316</v>
      </c>
      <c r="K3202" s="4" t="s">
        <v>2263</v>
      </c>
      <c r="L3202" s="10">
        <v>105</v>
      </c>
      <c r="M3202" s="5">
        <v>3950.5238983050849</v>
      </c>
      <c r="N3202" s="5">
        <v>414805.0093220339</v>
      </c>
    </row>
    <row r="3203" spans="1:14" x14ac:dyDescent="0.25">
      <c r="A3203" s="4" t="s">
        <v>2344</v>
      </c>
      <c r="B3203" s="4" t="s">
        <v>5154</v>
      </c>
      <c r="C3203" s="4" t="s">
        <v>2279</v>
      </c>
      <c r="D3203" s="4" t="s">
        <v>2278</v>
      </c>
      <c r="E3203" s="4" t="s">
        <v>5295</v>
      </c>
      <c r="F3203" s="4" t="s">
        <v>5294</v>
      </c>
      <c r="G3203" s="4" t="s">
        <v>2263</v>
      </c>
      <c r="H3203" s="9" t="s">
        <v>2263</v>
      </c>
      <c r="I3203" s="4" t="s">
        <v>2263</v>
      </c>
      <c r="J3203" s="4" t="s">
        <v>2263</v>
      </c>
      <c r="K3203" s="4" t="s">
        <v>5293</v>
      </c>
      <c r="L3203" s="10">
        <v>106</v>
      </c>
      <c r="M3203" s="5">
        <v>-18631.558207547172</v>
      </c>
      <c r="N3203" s="5">
        <v>-1974945.17</v>
      </c>
    </row>
    <row r="3204" spans="1:14" x14ac:dyDescent="0.25">
      <c r="A3204" s="4" t="s">
        <v>2344</v>
      </c>
      <c r="B3204" s="4" t="s">
        <v>5154</v>
      </c>
      <c r="C3204" s="4" t="s">
        <v>2267</v>
      </c>
      <c r="D3204" s="4" t="s">
        <v>2266</v>
      </c>
      <c r="E3204" s="4" t="s">
        <v>2867</v>
      </c>
      <c r="F3204" s="4" t="s">
        <v>2866</v>
      </c>
      <c r="G3204" s="4" t="s">
        <v>2263</v>
      </c>
      <c r="H3204" s="9" t="s">
        <v>2263</v>
      </c>
      <c r="I3204" s="4" t="s">
        <v>2263</v>
      </c>
      <c r="J3204" s="4" t="s">
        <v>2263</v>
      </c>
      <c r="K3204" s="4" t="s">
        <v>2262</v>
      </c>
      <c r="L3204" s="10">
        <v>107</v>
      </c>
      <c r="M3204" s="5">
        <v>5874.1665745856362</v>
      </c>
      <c r="N3204" s="5">
        <v>628535.82348066301</v>
      </c>
    </row>
    <row r="3205" spans="1:14" x14ac:dyDescent="0.25">
      <c r="A3205" s="4" t="s">
        <v>2344</v>
      </c>
      <c r="B3205" s="4" t="s">
        <v>5154</v>
      </c>
      <c r="C3205" s="4" t="s">
        <v>2344</v>
      </c>
      <c r="D3205" s="4" t="s">
        <v>237</v>
      </c>
      <c r="E3205" s="4" t="s">
        <v>4900</v>
      </c>
      <c r="F3205" s="4" t="s">
        <v>4899</v>
      </c>
      <c r="G3205" s="4" t="s">
        <v>2263</v>
      </c>
      <c r="H3205" s="9" t="s">
        <v>2263</v>
      </c>
      <c r="I3205" s="4" t="s">
        <v>2263</v>
      </c>
      <c r="J3205" s="4" t="s">
        <v>2263</v>
      </c>
      <c r="K3205" s="4" t="s">
        <v>2547</v>
      </c>
      <c r="L3205" s="10">
        <v>110</v>
      </c>
      <c r="M3205" s="5">
        <v>94.445161290322574</v>
      </c>
      <c r="N3205" s="5">
        <v>10388.967741935479</v>
      </c>
    </row>
    <row r="3206" spans="1:14" x14ac:dyDescent="0.25">
      <c r="A3206" s="4" t="s">
        <v>2317</v>
      </c>
      <c r="B3206" s="4" t="s">
        <v>3839</v>
      </c>
      <c r="C3206" s="4" t="s">
        <v>2320</v>
      </c>
      <c r="D3206" s="4" t="s">
        <v>242</v>
      </c>
      <c r="E3206" s="4" t="s">
        <v>2725</v>
      </c>
      <c r="F3206" s="4" t="s">
        <v>2724</v>
      </c>
      <c r="G3206" s="4" t="s">
        <v>2263</v>
      </c>
      <c r="H3206" s="9" t="s">
        <v>2263</v>
      </c>
      <c r="I3206" s="4" t="s">
        <v>2317</v>
      </c>
      <c r="J3206" s="4" t="s">
        <v>2316</v>
      </c>
      <c r="K3206" s="4" t="s">
        <v>2263</v>
      </c>
      <c r="L3206" s="10">
        <v>110</v>
      </c>
      <c r="M3206" s="5">
        <v>669.47519999999997</v>
      </c>
      <c r="N3206" s="5">
        <v>73642.271999999997</v>
      </c>
    </row>
    <row r="3207" spans="1:14" x14ac:dyDescent="0.25">
      <c r="A3207" s="4" t="s">
        <v>2274</v>
      </c>
      <c r="B3207" s="4" t="s">
        <v>4348</v>
      </c>
      <c r="C3207" s="4" t="s">
        <v>2344</v>
      </c>
      <c r="D3207" s="4" t="s">
        <v>237</v>
      </c>
      <c r="E3207" s="4" t="s">
        <v>4751</v>
      </c>
      <c r="F3207" s="4" t="s">
        <v>4750</v>
      </c>
      <c r="G3207" s="4" t="s">
        <v>2263</v>
      </c>
      <c r="H3207" s="9" t="s">
        <v>2263</v>
      </c>
      <c r="I3207" s="4" t="s">
        <v>2263</v>
      </c>
      <c r="J3207" s="4" t="s">
        <v>2263</v>
      </c>
      <c r="K3207" s="4" t="s">
        <v>4749</v>
      </c>
      <c r="L3207" s="10">
        <v>110</v>
      </c>
      <c r="M3207" s="5">
        <v>755.54084507042251</v>
      </c>
      <c r="N3207" s="5">
        <v>83109.492957746479</v>
      </c>
    </row>
    <row r="3208" spans="1:14" x14ac:dyDescent="0.25">
      <c r="A3208" s="4" t="s">
        <v>2274</v>
      </c>
      <c r="B3208" s="4" t="s">
        <v>4348</v>
      </c>
      <c r="C3208" s="4" t="s">
        <v>2267</v>
      </c>
      <c r="D3208" s="4" t="s">
        <v>2266</v>
      </c>
      <c r="E3208" s="4" t="s">
        <v>4402</v>
      </c>
      <c r="F3208" s="4" t="s">
        <v>4401</v>
      </c>
      <c r="G3208" s="4" t="s">
        <v>2263</v>
      </c>
      <c r="H3208" s="9" t="s">
        <v>2263</v>
      </c>
      <c r="I3208" s="4" t="s">
        <v>2263</v>
      </c>
      <c r="J3208" s="4" t="s">
        <v>2263</v>
      </c>
      <c r="K3208" s="4" t="s">
        <v>2494</v>
      </c>
      <c r="L3208" s="10">
        <v>110</v>
      </c>
      <c r="M3208" s="5">
        <v>2061.9522807017543</v>
      </c>
      <c r="N3208" s="5">
        <v>226814.75087719297</v>
      </c>
    </row>
    <row r="3209" spans="1:14" x14ac:dyDescent="0.25">
      <c r="A3209" s="4" t="s">
        <v>2865</v>
      </c>
      <c r="B3209" s="4" t="s">
        <v>2864</v>
      </c>
      <c r="C3209" s="4" t="s">
        <v>2279</v>
      </c>
      <c r="D3209" s="4" t="s">
        <v>2278</v>
      </c>
      <c r="E3209" s="4" t="s">
        <v>2285</v>
      </c>
      <c r="F3209" s="4" t="s">
        <v>2284</v>
      </c>
      <c r="G3209" s="4" t="s">
        <v>2263</v>
      </c>
      <c r="H3209" s="9" t="s">
        <v>2263</v>
      </c>
      <c r="I3209" s="4" t="s">
        <v>2263</v>
      </c>
      <c r="J3209" s="4" t="s">
        <v>2263</v>
      </c>
      <c r="K3209" s="4" t="s">
        <v>2283</v>
      </c>
      <c r="L3209" s="10">
        <v>110</v>
      </c>
      <c r="M3209" s="5">
        <v>2235.065979532164</v>
      </c>
      <c r="N3209" s="5">
        <v>245857.25774853799</v>
      </c>
    </row>
    <row r="3210" spans="1:14" x14ac:dyDescent="0.25">
      <c r="A3210" s="4" t="s">
        <v>2317</v>
      </c>
      <c r="B3210" s="4" t="s">
        <v>3839</v>
      </c>
      <c r="C3210" s="4" t="s">
        <v>2320</v>
      </c>
      <c r="D3210" s="4" t="s">
        <v>242</v>
      </c>
      <c r="E3210" s="4" t="s">
        <v>2891</v>
      </c>
      <c r="F3210" s="4" t="s">
        <v>2890</v>
      </c>
      <c r="G3210" s="4" t="s">
        <v>2263</v>
      </c>
      <c r="H3210" s="9" t="s">
        <v>2263</v>
      </c>
      <c r="I3210" s="4" t="s">
        <v>2317</v>
      </c>
      <c r="J3210" s="4" t="s">
        <v>2316</v>
      </c>
      <c r="K3210" s="4" t="s">
        <v>2263</v>
      </c>
      <c r="L3210" s="10">
        <v>110</v>
      </c>
      <c r="M3210" s="5">
        <v>2314.879117647059</v>
      </c>
      <c r="N3210" s="5">
        <v>254636.70294117648</v>
      </c>
    </row>
    <row r="3211" spans="1:14" x14ac:dyDescent="0.25">
      <c r="A3211" s="4" t="s">
        <v>2653</v>
      </c>
      <c r="B3211" s="4" t="s">
        <v>3226</v>
      </c>
      <c r="C3211" s="4" t="s">
        <v>3196</v>
      </c>
      <c r="D3211" s="4" t="s">
        <v>254</v>
      </c>
      <c r="E3211" s="4" t="s">
        <v>3566</v>
      </c>
      <c r="F3211" s="4" t="s">
        <v>3565</v>
      </c>
      <c r="G3211" s="4" t="s">
        <v>2263</v>
      </c>
      <c r="H3211" s="9" t="s">
        <v>2263</v>
      </c>
      <c r="I3211" s="4" t="s">
        <v>2317</v>
      </c>
      <c r="J3211" s="4" t="s">
        <v>2316</v>
      </c>
      <c r="K3211" s="4" t="s">
        <v>2263</v>
      </c>
      <c r="L3211" s="10">
        <v>110</v>
      </c>
      <c r="M3211" s="5">
        <v>4448.4190909090912</v>
      </c>
      <c r="N3211" s="5">
        <v>489326.1</v>
      </c>
    </row>
    <row r="3212" spans="1:14" x14ac:dyDescent="0.25">
      <c r="A3212" s="4" t="s">
        <v>2344</v>
      </c>
      <c r="B3212" s="4" t="s">
        <v>5154</v>
      </c>
      <c r="C3212" s="4" t="s">
        <v>2320</v>
      </c>
      <c r="D3212" s="4" t="s">
        <v>242</v>
      </c>
      <c r="E3212" s="4" t="s">
        <v>2737</v>
      </c>
      <c r="F3212" s="4" t="s">
        <v>2736</v>
      </c>
      <c r="G3212" s="4" t="s">
        <v>2263</v>
      </c>
      <c r="H3212" s="9" t="s">
        <v>2263</v>
      </c>
      <c r="I3212" s="4" t="s">
        <v>2317</v>
      </c>
      <c r="J3212" s="4" t="s">
        <v>2316</v>
      </c>
      <c r="K3212" s="4" t="s">
        <v>2263</v>
      </c>
      <c r="L3212" s="10">
        <v>111</v>
      </c>
      <c r="M3212" s="5">
        <v>1017.2755338691159</v>
      </c>
      <c r="N3212" s="5">
        <v>112917.58425947189</v>
      </c>
    </row>
    <row r="3213" spans="1:14" x14ac:dyDescent="0.25">
      <c r="A3213" s="4" t="s">
        <v>2344</v>
      </c>
      <c r="B3213" s="4" t="s">
        <v>5154</v>
      </c>
      <c r="C3213" s="4" t="s">
        <v>2344</v>
      </c>
      <c r="D3213" s="4" t="s">
        <v>237</v>
      </c>
      <c r="E3213" s="4" t="s">
        <v>4737</v>
      </c>
      <c r="F3213" s="4" t="s">
        <v>2590</v>
      </c>
      <c r="G3213" s="4" t="s">
        <v>2263</v>
      </c>
      <c r="H3213" s="9" t="s">
        <v>2263</v>
      </c>
      <c r="I3213" s="4" t="s">
        <v>2263</v>
      </c>
      <c r="J3213" s="4" t="s">
        <v>2263</v>
      </c>
      <c r="K3213" s="4" t="s">
        <v>2560</v>
      </c>
      <c r="L3213" s="10">
        <v>112</v>
      </c>
      <c r="M3213" s="5">
        <v>116.26838028169014</v>
      </c>
      <c r="N3213" s="5">
        <v>13022.058591549299</v>
      </c>
    </row>
    <row r="3214" spans="1:14" x14ac:dyDescent="0.25">
      <c r="A3214" s="4" t="s">
        <v>2344</v>
      </c>
      <c r="B3214" s="4" t="s">
        <v>5154</v>
      </c>
      <c r="C3214" s="4" t="s">
        <v>2267</v>
      </c>
      <c r="D3214" s="4" t="s">
        <v>2266</v>
      </c>
      <c r="E3214" s="4" t="s">
        <v>5190</v>
      </c>
      <c r="F3214" s="4" t="s">
        <v>4401</v>
      </c>
      <c r="G3214" s="4" t="s">
        <v>2263</v>
      </c>
      <c r="H3214" s="9" t="s">
        <v>2263</v>
      </c>
      <c r="I3214" s="4" t="s">
        <v>2263</v>
      </c>
      <c r="J3214" s="4" t="s">
        <v>2263</v>
      </c>
      <c r="K3214" s="4" t="s">
        <v>2494</v>
      </c>
      <c r="L3214" s="10">
        <v>112</v>
      </c>
      <c r="M3214" s="5">
        <v>1869.7551785714286</v>
      </c>
      <c r="N3214" s="5">
        <v>209412.58</v>
      </c>
    </row>
    <row r="3215" spans="1:14" x14ac:dyDescent="0.25">
      <c r="A3215" s="4" t="s">
        <v>2344</v>
      </c>
      <c r="B3215" s="4" t="s">
        <v>5154</v>
      </c>
      <c r="C3215" s="4" t="s">
        <v>2344</v>
      </c>
      <c r="D3215" s="4" t="s">
        <v>237</v>
      </c>
      <c r="E3215" s="4" t="s">
        <v>5492</v>
      </c>
      <c r="F3215" s="4" t="s">
        <v>2634</v>
      </c>
      <c r="G3215" s="4" t="s">
        <v>2263</v>
      </c>
      <c r="H3215" s="9" t="s">
        <v>2263</v>
      </c>
      <c r="I3215" s="4" t="s">
        <v>2263</v>
      </c>
      <c r="J3215" s="4" t="s">
        <v>2263</v>
      </c>
      <c r="K3215" s="4" t="s">
        <v>2633</v>
      </c>
      <c r="L3215" s="10">
        <v>114</v>
      </c>
      <c r="M3215" s="5">
        <v>332.07149122807016</v>
      </c>
      <c r="N3215" s="5">
        <v>37856.15</v>
      </c>
    </row>
    <row r="3216" spans="1:14" x14ac:dyDescent="0.25">
      <c r="A3216" s="4" t="s">
        <v>2344</v>
      </c>
      <c r="B3216" s="4" t="s">
        <v>5154</v>
      </c>
      <c r="C3216" s="4" t="s">
        <v>2344</v>
      </c>
      <c r="D3216" s="4" t="s">
        <v>237</v>
      </c>
      <c r="E3216" s="4" t="s">
        <v>4569</v>
      </c>
      <c r="F3216" s="4" t="s">
        <v>2551</v>
      </c>
      <c r="G3216" s="4" t="s">
        <v>2263</v>
      </c>
      <c r="H3216" s="9" t="s">
        <v>2263</v>
      </c>
      <c r="I3216" s="4" t="s">
        <v>2263</v>
      </c>
      <c r="J3216" s="4" t="s">
        <v>2263</v>
      </c>
      <c r="K3216" s="4" t="s">
        <v>2545</v>
      </c>
      <c r="L3216" s="10">
        <v>115</v>
      </c>
      <c r="M3216" s="5">
        <v>185.44675862068965</v>
      </c>
      <c r="N3216" s="5">
        <v>21326.377241379309</v>
      </c>
    </row>
    <row r="3217" spans="1:14" x14ac:dyDescent="0.25">
      <c r="A3217" s="4" t="s">
        <v>2320</v>
      </c>
      <c r="B3217" s="4" t="s">
        <v>4967</v>
      </c>
      <c r="C3217" s="4" t="s">
        <v>2320</v>
      </c>
      <c r="D3217" s="4" t="s">
        <v>242</v>
      </c>
      <c r="E3217" s="4" t="s">
        <v>2360</v>
      </c>
      <c r="F3217" s="4" t="s">
        <v>2359</v>
      </c>
      <c r="G3217" s="4" t="s">
        <v>2263</v>
      </c>
      <c r="H3217" s="9" t="s">
        <v>2263</v>
      </c>
      <c r="I3217" s="4" t="s">
        <v>2317</v>
      </c>
      <c r="J3217" s="4" t="s">
        <v>2316</v>
      </c>
      <c r="K3217" s="4" t="s">
        <v>2263</v>
      </c>
      <c r="L3217" s="10">
        <v>115</v>
      </c>
      <c r="M3217" s="5">
        <v>261.77091875138365</v>
      </c>
      <c r="N3217" s="5">
        <v>30103.655656409119</v>
      </c>
    </row>
    <row r="3218" spans="1:14" x14ac:dyDescent="0.25">
      <c r="A3218" s="4" t="s">
        <v>2653</v>
      </c>
      <c r="B3218" s="4" t="s">
        <v>3226</v>
      </c>
      <c r="C3218" s="4" t="s">
        <v>2384</v>
      </c>
      <c r="D3218" s="4" t="s">
        <v>262</v>
      </c>
      <c r="E3218" s="4" t="s">
        <v>3346</v>
      </c>
      <c r="F3218" s="4" t="s">
        <v>3345</v>
      </c>
      <c r="G3218" s="4" t="s">
        <v>2263</v>
      </c>
      <c r="H3218" s="9" t="s">
        <v>2263</v>
      </c>
      <c r="I3218" s="4" t="s">
        <v>2317</v>
      </c>
      <c r="J3218" s="4" t="s">
        <v>2316</v>
      </c>
      <c r="K3218" s="4" t="s">
        <v>2263</v>
      </c>
      <c r="L3218" s="10">
        <v>115</v>
      </c>
      <c r="M3218" s="5">
        <v>2252.5878260869567</v>
      </c>
      <c r="N3218" s="5">
        <v>259047.6</v>
      </c>
    </row>
    <row r="3219" spans="1:14" x14ac:dyDescent="0.25">
      <c r="A3219" s="4" t="s">
        <v>2344</v>
      </c>
      <c r="B3219" s="4" t="s">
        <v>5154</v>
      </c>
      <c r="C3219" s="4" t="s">
        <v>2344</v>
      </c>
      <c r="D3219" s="4" t="s">
        <v>237</v>
      </c>
      <c r="E3219" s="4" t="s">
        <v>4648</v>
      </c>
      <c r="F3219" s="4" t="s">
        <v>2599</v>
      </c>
      <c r="G3219" s="4" t="s">
        <v>2263</v>
      </c>
      <c r="H3219" s="9" t="s">
        <v>2263</v>
      </c>
      <c r="I3219" s="4" t="s">
        <v>2263</v>
      </c>
      <c r="J3219" s="4" t="s">
        <v>2263</v>
      </c>
      <c r="K3219" s="4" t="s">
        <v>2262</v>
      </c>
      <c r="L3219" s="10">
        <v>117</v>
      </c>
      <c r="M3219" s="5">
        <v>469.38202247191015</v>
      </c>
      <c r="N3219" s="5">
        <v>54917.696629213482</v>
      </c>
    </row>
    <row r="3220" spans="1:14" x14ac:dyDescent="0.25">
      <c r="A3220" s="4" t="s">
        <v>2344</v>
      </c>
      <c r="B3220" s="4" t="s">
        <v>5154</v>
      </c>
      <c r="C3220" s="4" t="s">
        <v>2279</v>
      </c>
      <c r="D3220" s="4" t="s">
        <v>2278</v>
      </c>
      <c r="E3220" s="4" t="s">
        <v>5292</v>
      </c>
      <c r="F3220" s="4" t="s">
        <v>5291</v>
      </c>
      <c r="G3220" s="4" t="s">
        <v>2263</v>
      </c>
      <c r="H3220" s="9" t="s">
        <v>2263</v>
      </c>
      <c r="I3220" s="4" t="s">
        <v>2263</v>
      </c>
      <c r="J3220" s="4" t="s">
        <v>2263</v>
      </c>
      <c r="K3220" s="4" t="s">
        <v>2547</v>
      </c>
      <c r="L3220" s="10">
        <v>118</v>
      </c>
      <c r="M3220" s="5">
        <v>92.347457627118644</v>
      </c>
      <c r="N3220" s="5">
        <v>10897</v>
      </c>
    </row>
    <row r="3221" spans="1:14" x14ac:dyDescent="0.25">
      <c r="A3221" s="4" t="s">
        <v>2344</v>
      </c>
      <c r="B3221" s="4" t="s">
        <v>5154</v>
      </c>
      <c r="C3221" s="4" t="s">
        <v>2344</v>
      </c>
      <c r="D3221" s="4" t="s">
        <v>237</v>
      </c>
      <c r="E3221" s="4" t="s">
        <v>4743</v>
      </c>
      <c r="F3221" s="4" t="s">
        <v>4742</v>
      </c>
      <c r="G3221" s="4" t="s">
        <v>2263</v>
      </c>
      <c r="H3221" s="9" t="s">
        <v>2263</v>
      </c>
      <c r="I3221" s="4" t="s">
        <v>2263</v>
      </c>
      <c r="J3221" s="4" t="s">
        <v>2263</v>
      </c>
      <c r="K3221" s="4" t="s">
        <v>2439</v>
      </c>
      <c r="L3221" s="10">
        <v>118</v>
      </c>
      <c r="M3221" s="5">
        <v>617</v>
      </c>
      <c r="N3221" s="5">
        <v>72806</v>
      </c>
    </row>
    <row r="3222" spans="1:14" x14ac:dyDescent="0.25">
      <c r="A3222" s="4" t="s">
        <v>2317</v>
      </c>
      <c r="B3222" s="4" t="s">
        <v>3839</v>
      </c>
      <c r="C3222" s="4" t="s">
        <v>2320</v>
      </c>
      <c r="D3222" s="4" t="s">
        <v>242</v>
      </c>
      <c r="E3222" s="4" t="s">
        <v>4077</v>
      </c>
      <c r="F3222" s="4" t="s">
        <v>4076</v>
      </c>
      <c r="G3222" s="4" t="s">
        <v>2263</v>
      </c>
      <c r="H3222" s="9" t="s">
        <v>2263</v>
      </c>
      <c r="I3222" s="4" t="s">
        <v>2317</v>
      </c>
      <c r="J3222" s="4" t="s">
        <v>2316</v>
      </c>
      <c r="K3222" s="4" t="s">
        <v>2263</v>
      </c>
      <c r="L3222" s="10">
        <v>118</v>
      </c>
      <c r="M3222" s="5">
        <v>6722.8188976377951</v>
      </c>
      <c r="N3222" s="5">
        <v>793292.62992125982</v>
      </c>
    </row>
    <row r="3223" spans="1:14" x14ac:dyDescent="0.25">
      <c r="A3223" s="4" t="s">
        <v>2344</v>
      </c>
      <c r="B3223" s="4" t="s">
        <v>5154</v>
      </c>
      <c r="C3223" s="4" t="s">
        <v>2344</v>
      </c>
      <c r="D3223" s="4" t="s">
        <v>237</v>
      </c>
      <c r="E3223" s="4" t="s">
        <v>4907</v>
      </c>
      <c r="F3223" s="4" t="s">
        <v>2644</v>
      </c>
      <c r="G3223" s="4" t="s">
        <v>2263</v>
      </c>
      <c r="H3223" s="9" t="s">
        <v>2263</v>
      </c>
      <c r="I3223" s="4" t="s">
        <v>2263</v>
      </c>
      <c r="J3223" s="4" t="s">
        <v>2263</v>
      </c>
      <c r="K3223" s="4" t="s">
        <v>2462</v>
      </c>
      <c r="L3223" s="10">
        <v>120</v>
      </c>
      <c r="M3223" s="5">
        <v>34.286206896551725</v>
      </c>
      <c r="N3223" s="5">
        <v>4114.3448275862102</v>
      </c>
    </row>
    <row r="3224" spans="1:14" x14ac:dyDescent="0.25">
      <c r="A3224" s="4" t="s">
        <v>2274</v>
      </c>
      <c r="B3224" s="4" t="s">
        <v>4348</v>
      </c>
      <c r="C3224" s="4" t="s">
        <v>2344</v>
      </c>
      <c r="D3224" s="4" t="s">
        <v>237</v>
      </c>
      <c r="E3224" s="4" t="s">
        <v>4713</v>
      </c>
      <c r="F3224" s="4" t="s">
        <v>2584</v>
      </c>
      <c r="G3224" s="4" t="s">
        <v>2263</v>
      </c>
      <c r="H3224" s="9" t="s">
        <v>2263</v>
      </c>
      <c r="I3224" s="4" t="s">
        <v>2263</v>
      </c>
      <c r="J3224" s="4" t="s">
        <v>2263</v>
      </c>
      <c r="K3224" s="4" t="s">
        <v>2583</v>
      </c>
      <c r="L3224" s="10">
        <v>120</v>
      </c>
      <c r="M3224" s="5">
        <v>59.091666666666661</v>
      </c>
      <c r="N3224" s="5">
        <v>7091</v>
      </c>
    </row>
    <row r="3225" spans="1:14" x14ac:dyDescent="0.25">
      <c r="A3225" s="4" t="s">
        <v>2274</v>
      </c>
      <c r="B3225" s="4" t="s">
        <v>4348</v>
      </c>
      <c r="C3225" s="4" t="s">
        <v>2344</v>
      </c>
      <c r="D3225" s="4" t="s">
        <v>237</v>
      </c>
      <c r="E3225" s="4" t="s">
        <v>4732</v>
      </c>
      <c r="F3225" s="4" t="s">
        <v>4731</v>
      </c>
      <c r="G3225" s="4" t="s">
        <v>2263</v>
      </c>
      <c r="H3225" s="9" t="s">
        <v>2263</v>
      </c>
      <c r="I3225" s="4" t="s">
        <v>2263</v>
      </c>
      <c r="J3225" s="4" t="s">
        <v>2263</v>
      </c>
      <c r="K3225" s="4" t="s">
        <v>2628</v>
      </c>
      <c r="L3225" s="10">
        <v>120</v>
      </c>
      <c r="M3225" s="5">
        <v>193</v>
      </c>
      <c r="N3225" s="5">
        <v>23160</v>
      </c>
    </row>
    <row r="3226" spans="1:14" x14ac:dyDescent="0.25">
      <c r="A3226" s="4" t="s">
        <v>2274</v>
      </c>
      <c r="B3226" s="4" t="s">
        <v>4348</v>
      </c>
      <c r="C3226" s="4" t="s">
        <v>2344</v>
      </c>
      <c r="D3226" s="4" t="s">
        <v>237</v>
      </c>
      <c r="E3226" s="4" t="s">
        <v>4789</v>
      </c>
      <c r="F3226" s="4" t="s">
        <v>2648</v>
      </c>
      <c r="G3226" s="4" t="s">
        <v>2263</v>
      </c>
      <c r="H3226" s="9" t="s">
        <v>2263</v>
      </c>
      <c r="I3226" s="4" t="s">
        <v>2263</v>
      </c>
      <c r="J3226" s="4" t="s">
        <v>2263</v>
      </c>
      <c r="K3226" s="4" t="s">
        <v>2536</v>
      </c>
      <c r="L3226" s="10">
        <v>120</v>
      </c>
      <c r="M3226" s="5">
        <v>209</v>
      </c>
      <c r="N3226" s="5">
        <v>25080</v>
      </c>
    </row>
    <row r="3227" spans="1:14" x14ac:dyDescent="0.25">
      <c r="A3227" s="4" t="s">
        <v>2274</v>
      </c>
      <c r="B3227" s="4" t="s">
        <v>4348</v>
      </c>
      <c r="C3227" s="4" t="s">
        <v>2344</v>
      </c>
      <c r="D3227" s="4" t="s">
        <v>237</v>
      </c>
      <c r="E3227" s="4" t="s">
        <v>4759</v>
      </c>
      <c r="F3227" s="4" t="s">
        <v>4704</v>
      </c>
      <c r="G3227" s="4" t="s">
        <v>2263</v>
      </c>
      <c r="H3227" s="9" t="s">
        <v>2263</v>
      </c>
      <c r="I3227" s="4" t="s">
        <v>2263</v>
      </c>
      <c r="J3227" s="4" t="s">
        <v>2263</v>
      </c>
      <c r="K3227" s="4" t="s">
        <v>4703</v>
      </c>
      <c r="L3227" s="10">
        <v>120</v>
      </c>
      <c r="M3227" s="5">
        <v>235</v>
      </c>
      <c r="N3227" s="5">
        <v>28200</v>
      </c>
    </row>
    <row r="3228" spans="1:14" x14ac:dyDescent="0.25">
      <c r="A3228" s="4" t="s">
        <v>2274</v>
      </c>
      <c r="B3228" s="4" t="s">
        <v>4348</v>
      </c>
      <c r="C3228" s="4" t="s">
        <v>2344</v>
      </c>
      <c r="D3228" s="4" t="s">
        <v>237</v>
      </c>
      <c r="E3228" s="4" t="s">
        <v>4735</v>
      </c>
      <c r="F3228" s="4" t="s">
        <v>4704</v>
      </c>
      <c r="G3228" s="4" t="s">
        <v>2263</v>
      </c>
      <c r="H3228" s="9" t="s">
        <v>2263</v>
      </c>
      <c r="I3228" s="4" t="s">
        <v>2263</v>
      </c>
      <c r="J3228" s="4" t="s">
        <v>2263</v>
      </c>
      <c r="K3228" s="4" t="s">
        <v>4703</v>
      </c>
      <c r="L3228" s="10">
        <v>120</v>
      </c>
      <c r="M3228" s="5">
        <v>235.2017222222222</v>
      </c>
      <c r="N3228" s="5">
        <v>28224.206666666669</v>
      </c>
    </row>
    <row r="3229" spans="1:14" x14ac:dyDescent="0.25">
      <c r="A3229" s="4" t="s">
        <v>2274</v>
      </c>
      <c r="B3229" s="4" t="s">
        <v>4348</v>
      </c>
      <c r="C3229" s="4" t="s">
        <v>2344</v>
      </c>
      <c r="D3229" s="4" t="s">
        <v>237</v>
      </c>
      <c r="E3229" s="4" t="s">
        <v>4757</v>
      </c>
      <c r="F3229" s="4" t="s">
        <v>4756</v>
      </c>
      <c r="G3229" s="4" t="s">
        <v>2263</v>
      </c>
      <c r="H3229" s="9" t="s">
        <v>2263</v>
      </c>
      <c r="I3229" s="4" t="s">
        <v>2263</v>
      </c>
      <c r="J3229" s="4" t="s">
        <v>2263</v>
      </c>
      <c r="K3229" s="4" t="s">
        <v>2622</v>
      </c>
      <c r="L3229" s="10">
        <v>120</v>
      </c>
      <c r="M3229" s="5">
        <v>1000.1208178438661</v>
      </c>
      <c r="N3229" s="5">
        <v>120014.49814126395</v>
      </c>
    </row>
    <row r="3230" spans="1:14" x14ac:dyDescent="0.25">
      <c r="A3230" s="4" t="s">
        <v>2274</v>
      </c>
      <c r="B3230" s="4" t="s">
        <v>4348</v>
      </c>
      <c r="C3230" s="4" t="s">
        <v>2344</v>
      </c>
      <c r="D3230" s="4" t="s">
        <v>237</v>
      </c>
      <c r="E3230" s="4" t="s">
        <v>2459</v>
      </c>
      <c r="F3230" s="4" t="s">
        <v>2458</v>
      </c>
      <c r="G3230" s="4" t="s">
        <v>2263</v>
      </c>
      <c r="H3230" s="9" t="s">
        <v>2263</v>
      </c>
      <c r="I3230" s="4" t="s">
        <v>2263</v>
      </c>
      <c r="J3230" s="4" t="s">
        <v>2263</v>
      </c>
      <c r="K3230" s="4" t="s">
        <v>2457</v>
      </c>
      <c r="L3230" s="10">
        <v>120</v>
      </c>
      <c r="M3230" s="5">
        <v>2198.5294117647059</v>
      </c>
      <c r="N3230" s="5">
        <v>263823.5294117647</v>
      </c>
    </row>
    <row r="3231" spans="1:14" x14ac:dyDescent="0.25">
      <c r="A3231" s="4" t="s">
        <v>2274</v>
      </c>
      <c r="B3231" s="4" t="s">
        <v>4348</v>
      </c>
      <c r="C3231" s="4" t="s">
        <v>2344</v>
      </c>
      <c r="D3231" s="4" t="s">
        <v>237</v>
      </c>
      <c r="E3231" s="4" t="s">
        <v>4729</v>
      </c>
      <c r="F3231" s="4" t="s">
        <v>4674</v>
      </c>
      <c r="G3231" s="4" t="s">
        <v>2263</v>
      </c>
      <c r="H3231" s="9" t="s">
        <v>2263</v>
      </c>
      <c r="I3231" s="4" t="s">
        <v>2263</v>
      </c>
      <c r="J3231" s="4" t="s">
        <v>2263</v>
      </c>
      <c r="K3231" s="4" t="s">
        <v>4673</v>
      </c>
      <c r="L3231" s="10">
        <v>120</v>
      </c>
      <c r="M3231" s="5">
        <v>2351.5508088235297</v>
      </c>
      <c r="N3231" s="5">
        <v>282186.09705882351</v>
      </c>
    </row>
    <row r="3232" spans="1:14" x14ac:dyDescent="0.25">
      <c r="A3232" s="4" t="s">
        <v>2653</v>
      </c>
      <c r="B3232" s="4" t="s">
        <v>3226</v>
      </c>
      <c r="C3232" s="4" t="s">
        <v>3629</v>
      </c>
      <c r="D3232" s="4" t="s">
        <v>264</v>
      </c>
      <c r="E3232" s="4" t="s">
        <v>3637</v>
      </c>
      <c r="F3232" s="4" t="s">
        <v>3636</v>
      </c>
      <c r="G3232" s="4" t="s">
        <v>2263</v>
      </c>
      <c r="H3232" s="9" t="s">
        <v>2263</v>
      </c>
      <c r="I3232" s="4" t="s">
        <v>2317</v>
      </c>
      <c r="J3232" s="4" t="s">
        <v>2316</v>
      </c>
      <c r="K3232" s="4" t="s">
        <v>2263</v>
      </c>
      <c r="L3232" s="10">
        <v>120</v>
      </c>
      <c r="M3232" s="5">
        <v>2520.3159999999998</v>
      </c>
      <c r="N3232" s="5">
        <v>302437.92</v>
      </c>
    </row>
    <row r="3233" spans="1:14" x14ac:dyDescent="0.25">
      <c r="A3233" s="4" t="s">
        <v>2274</v>
      </c>
      <c r="B3233" s="4" t="s">
        <v>4348</v>
      </c>
      <c r="C3233" s="4" t="s">
        <v>2344</v>
      </c>
      <c r="D3233" s="4" t="s">
        <v>237</v>
      </c>
      <c r="E3233" s="4" t="s">
        <v>4566</v>
      </c>
      <c r="F3233" s="4" t="s">
        <v>4565</v>
      </c>
      <c r="G3233" s="4" t="s">
        <v>2263</v>
      </c>
      <c r="H3233" s="9" t="s">
        <v>2263</v>
      </c>
      <c r="I3233" s="4" t="s">
        <v>2263</v>
      </c>
      <c r="J3233" s="4" t="s">
        <v>2263</v>
      </c>
      <c r="K3233" s="4" t="s">
        <v>2906</v>
      </c>
      <c r="L3233" s="10">
        <v>120</v>
      </c>
      <c r="M3233" s="5">
        <v>5714.86</v>
      </c>
      <c r="N3233" s="5">
        <v>685783.2</v>
      </c>
    </row>
    <row r="3234" spans="1:14" x14ac:dyDescent="0.25">
      <c r="A3234" s="4" t="s">
        <v>2344</v>
      </c>
      <c r="B3234" s="4" t="s">
        <v>5154</v>
      </c>
      <c r="C3234" s="4" t="s">
        <v>2344</v>
      </c>
      <c r="D3234" s="4" t="s">
        <v>237</v>
      </c>
      <c r="E3234" s="4" t="s">
        <v>4534</v>
      </c>
      <c r="F3234" s="4" t="s">
        <v>4533</v>
      </c>
      <c r="G3234" s="4" t="s">
        <v>2263</v>
      </c>
      <c r="H3234" s="9" t="s">
        <v>2263</v>
      </c>
      <c r="I3234" s="4" t="s">
        <v>2263</v>
      </c>
      <c r="J3234" s="4" t="s">
        <v>2263</v>
      </c>
      <c r="K3234" s="4" t="s">
        <v>2488</v>
      </c>
      <c r="L3234" s="10">
        <v>121</v>
      </c>
      <c r="M3234" s="5">
        <v>133.50191570881225</v>
      </c>
      <c r="N3234" s="5">
        <v>16153.73180076628</v>
      </c>
    </row>
    <row r="3235" spans="1:14" x14ac:dyDescent="0.25">
      <c r="A3235" s="4" t="s">
        <v>2344</v>
      </c>
      <c r="B3235" s="4" t="s">
        <v>5154</v>
      </c>
      <c r="C3235" s="4" t="s">
        <v>2344</v>
      </c>
      <c r="D3235" s="4" t="s">
        <v>237</v>
      </c>
      <c r="E3235" s="4" t="s">
        <v>5487</v>
      </c>
      <c r="F3235" s="4" t="s">
        <v>5486</v>
      </c>
      <c r="G3235" s="4" t="s">
        <v>2263</v>
      </c>
      <c r="H3235" s="9" t="s">
        <v>2263</v>
      </c>
      <c r="I3235" s="4" t="s">
        <v>2263</v>
      </c>
      <c r="J3235" s="4" t="s">
        <v>2263</v>
      </c>
      <c r="K3235" s="4" t="s">
        <v>2462</v>
      </c>
      <c r="L3235" s="10">
        <v>121</v>
      </c>
      <c r="M3235" s="5">
        <v>949.63636363636363</v>
      </c>
      <c r="N3235" s="5">
        <v>114906</v>
      </c>
    </row>
    <row r="3236" spans="1:14" x14ac:dyDescent="0.25">
      <c r="A3236" s="4" t="s">
        <v>2865</v>
      </c>
      <c r="B3236" s="4" t="s">
        <v>2864</v>
      </c>
      <c r="C3236" s="4" t="s">
        <v>2279</v>
      </c>
      <c r="D3236" s="4" t="s">
        <v>2278</v>
      </c>
      <c r="E3236" s="4" t="s">
        <v>2875</v>
      </c>
      <c r="F3236" s="4" t="s">
        <v>2874</v>
      </c>
      <c r="G3236" s="4" t="s">
        <v>2263</v>
      </c>
      <c r="H3236" s="9" t="s">
        <v>2263</v>
      </c>
      <c r="I3236" s="4" t="s">
        <v>2263</v>
      </c>
      <c r="J3236" s="4" t="s">
        <v>2263</v>
      </c>
      <c r="K3236" s="4" t="s">
        <v>2873</v>
      </c>
      <c r="L3236" s="10">
        <v>123</v>
      </c>
      <c r="M3236" s="5">
        <v>3307.4908974358973</v>
      </c>
      <c r="N3236" s="5">
        <v>406821.38038461533</v>
      </c>
    </row>
    <row r="3237" spans="1:14" x14ac:dyDescent="0.25">
      <c r="A3237" s="4" t="s">
        <v>2344</v>
      </c>
      <c r="B3237" s="4" t="s">
        <v>5154</v>
      </c>
      <c r="C3237" s="4" t="s">
        <v>2344</v>
      </c>
      <c r="D3237" s="4" t="s">
        <v>237</v>
      </c>
      <c r="E3237" s="4" t="s">
        <v>4784</v>
      </c>
      <c r="F3237" s="4" t="s">
        <v>4783</v>
      </c>
      <c r="G3237" s="4" t="s">
        <v>2263</v>
      </c>
      <c r="H3237" s="9" t="s">
        <v>2263</v>
      </c>
      <c r="I3237" s="4" t="s">
        <v>2263</v>
      </c>
      <c r="J3237" s="4" t="s">
        <v>2263</v>
      </c>
      <c r="K3237" s="4" t="s">
        <v>4782</v>
      </c>
      <c r="L3237" s="10">
        <v>124</v>
      </c>
      <c r="M3237" s="5">
        <v>59.246788321167877</v>
      </c>
      <c r="N3237" s="5">
        <v>7346.60175182482</v>
      </c>
    </row>
    <row r="3238" spans="1:14" x14ac:dyDescent="0.25">
      <c r="A3238" s="4" t="s">
        <v>2344</v>
      </c>
      <c r="B3238" s="4" t="s">
        <v>5154</v>
      </c>
      <c r="C3238" s="4" t="s">
        <v>2344</v>
      </c>
      <c r="D3238" s="4" t="s">
        <v>237</v>
      </c>
      <c r="E3238" s="4" t="s">
        <v>4702</v>
      </c>
      <c r="F3238" s="4" t="s">
        <v>2614</v>
      </c>
      <c r="G3238" s="4" t="s">
        <v>2263</v>
      </c>
      <c r="H3238" s="9" t="s">
        <v>2263</v>
      </c>
      <c r="I3238" s="4" t="s">
        <v>2263</v>
      </c>
      <c r="J3238" s="4" t="s">
        <v>2263</v>
      </c>
      <c r="K3238" s="4" t="s">
        <v>2547</v>
      </c>
      <c r="L3238" s="10">
        <v>124</v>
      </c>
      <c r="M3238" s="5">
        <v>151.88805921052631</v>
      </c>
      <c r="N3238" s="5">
        <v>18834.119342105259</v>
      </c>
    </row>
    <row r="3239" spans="1:14" x14ac:dyDescent="0.25">
      <c r="A3239" s="4" t="s">
        <v>2344</v>
      </c>
      <c r="B3239" s="4" t="s">
        <v>5154</v>
      </c>
      <c r="C3239" s="4" t="s">
        <v>2320</v>
      </c>
      <c r="D3239" s="4" t="s">
        <v>242</v>
      </c>
      <c r="E3239" s="4" t="s">
        <v>2713</v>
      </c>
      <c r="F3239" s="4" t="s">
        <v>2712</v>
      </c>
      <c r="G3239" s="4" t="s">
        <v>2263</v>
      </c>
      <c r="H3239" s="9" t="s">
        <v>2263</v>
      </c>
      <c r="I3239" s="4" t="s">
        <v>2317</v>
      </c>
      <c r="J3239" s="4" t="s">
        <v>2316</v>
      </c>
      <c r="K3239" s="4" t="s">
        <v>2263</v>
      </c>
      <c r="L3239" s="10">
        <v>124</v>
      </c>
      <c r="M3239" s="5">
        <v>2145.7358134490237</v>
      </c>
      <c r="N3239" s="5">
        <v>266071.24086767895</v>
      </c>
    </row>
    <row r="3240" spans="1:14" x14ac:dyDescent="0.25">
      <c r="A3240" s="4" t="s">
        <v>2344</v>
      </c>
      <c r="B3240" s="4" t="s">
        <v>5154</v>
      </c>
      <c r="C3240" s="4" t="s">
        <v>2344</v>
      </c>
      <c r="D3240" s="4" t="s">
        <v>237</v>
      </c>
      <c r="E3240" s="4" t="s">
        <v>5343</v>
      </c>
      <c r="F3240" s="4" t="s">
        <v>5342</v>
      </c>
      <c r="G3240" s="4" t="s">
        <v>2263</v>
      </c>
      <c r="H3240" s="9" t="s">
        <v>2263</v>
      </c>
      <c r="I3240" s="4" t="s">
        <v>2263</v>
      </c>
      <c r="J3240" s="4" t="s">
        <v>2263</v>
      </c>
      <c r="K3240" s="4" t="s">
        <v>2633</v>
      </c>
      <c r="L3240" s="10">
        <v>125</v>
      </c>
      <c r="M3240" s="5">
        <v>97.225040000000007</v>
      </c>
      <c r="N3240" s="5">
        <v>12153.13</v>
      </c>
    </row>
    <row r="3241" spans="1:14" x14ac:dyDescent="0.25">
      <c r="A3241" s="4" t="s">
        <v>2344</v>
      </c>
      <c r="B3241" s="4" t="s">
        <v>5154</v>
      </c>
      <c r="C3241" s="4" t="s">
        <v>2274</v>
      </c>
      <c r="D3241" s="4" t="s">
        <v>2273</v>
      </c>
      <c r="E3241" s="4" t="s">
        <v>4973</v>
      </c>
      <c r="F3241" s="4" t="s">
        <v>2527</v>
      </c>
      <c r="G3241" s="4" t="s">
        <v>2263</v>
      </c>
      <c r="H3241" s="9" t="s">
        <v>2263</v>
      </c>
      <c r="I3241" s="4" t="s">
        <v>2263</v>
      </c>
      <c r="J3241" s="4" t="s">
        <v>2263</v>
      </c>
      <c r="K3241" s="4" t="s">
        <v>2494</v>
      </c>
      <c r="L3241" s="10">
        <v>125</v>
      </c>
      <c r="M3241" s="5">
        <v>2061</v>
      </c>
      <c r="N3241" s="5">
        <v>257625</v>
      </c>
    </row>
    <row r="3242" spans="1:14" x14ac:dyDescent="0.25">
      <c r="A3242" s="4" t="s">
        <v>2344</v>
      </c>
      <c r="B3242" s="4" t="s">
        <v>5154</v>
      </c>
      <c r="C3242" s="4" t="s">
        <v>2344</v>
      </c>
      <c r="D3242" s="4" t="s">
        <v>237</v>
      </c>
      <c r="E3242" s="4" t="s">
        <v>4819</v>
      </c>
      <c r="F3242" s="4" t="s">
        <v>4818</v>
      </c>
      <c r="G3242" s="4" t="s">
        <v>2263</v>
      </c>
      <c r="H3242" s="9" t="s">
        <v>2263</v>
      </c>
      <c r="I3242" s="4" t="s">
        <v>2263</v>
      </c>
      <c r="J3242" s="4" t="s">
        <v>2263</v>
      </c>
      <c r="K3242" s="4" t="s">
        <v>4817</v>
      </c>
      <c r="L3242" s="10">
        <v>128</v>
      </c>
      <c r="M3242" s="5">
        <v>34.002048611111114</v>
      </c>
      <c r="N3242" s="5">
        <v>4352.2622222222199</v>
      </c>
    </row>
    <row r="3243" spans="1:14" x14ac:dyDescent="0.25">
      <c r="A3243" s="4" t="s">
        <v>2320</v>
      </c>
      <c r="B3243" s="4" t="s">
        <v>4967</v>
      </c>
      <c r="C3243" s="4" t="s">
        <v>2320</v>
      </c>
      <c r="D3243" s="4" t="s">
        <v>242</v>
      </c>
      <c r="E3243" s="4" t="s">
        <v>2370</v>
      </c>
      <c r="F3243" s="4" t="s">
        <v>2369</v>
      </c>
      <c r="G3243" s="4" t="s">
        <v>2263</v>
      </c>
      <c r="H3243" s="9" t="s">
        <v>2263</v>
      </c>
      <c r="I3243" s="4" t="s">
        <v>2317</v>
      </c>
      <c r="J3243" s="4" t="s">
        <v>2316</v>
      </c>
      <c r="K3243" s="4" t="s">
        <v>2263</v>
      </c>
      <c r="L3243" s="10">
        <v>128</v>
      </c>
      <c r="M3243" s="5">
        <v>303.54016676418956</v>
      </c>
      <c r="N3243" s="5">
        <v>38853.141345816271</v>
      </c>
    </row>
    <row r="3244" spans="1:14" x14ac:dyDescent="0.25">
      <c r="A3244" s="4" t="s">
        <v>2274</v>
      </c>
      <c r="B3244" s="4" t="s">
        <v>4348</v>
      </c>
      <c r="C3244" s="4" t="s">
        <v>2344</v>
      </c>
      <c r="D3244" s="4" t="s">
        <v>237</v>
      </c>
      <c r="E3244" s="4" t="s">
        <v>4719</v>
      </c>
      <c r="F3244" s="4" t="s">
        <v>2882</v>
      </c>
      <c r="G3244" s="4" t="s">
        <v>2263</v>
      </c>
      <c r="H3244" s="9" t="s">
        <v>2263</v>
      </c>
      <c r="I3244" s="4" t="s">
        <v>2263</v>
      </c>
      <c r="J3244" s="4" t="s">
        <v>2263</v>
      </c>
      <c r="K3244" s="4" t="s">
        <v>2881</v>
      </c>
      <c r="L3244" s="10">
        <v>130</v>
      </c>
      <c r="M3244" s="5">
        <v>282.73235897435899</v>
      </c>
      <c r="N3244" s="5">
        <v>36755.206666666672</v>
      </c>
    </row>
    <row r="3245" spans="1:14" x14ac:dyDescent="0.25">
      <c r="A3245" s="4" t="s">
        <v>2274</v>
      </c>
      <c r="B3245" s="4" t="s">
        <v>4348</v>
      </c>
      <c r="C3245" s="4" t="s">
        <v>2344</v>
      </c>
      <c r="D3245" s="4" t="s">
        <v>237</v>
      </c>
      <c r="E3245" s="4" t="s">
        <v>4947</v>
      </c>
      <c r="F3245" s="4" t="s">
        <v>2446</v>
      </c>
      <c r="G3245" s="4" t="s">
        <v>2263</v>
      </c>
      <c r="H3245" s="9" t="s">
        <v>2263</v>
      </c>
      <c r="I3245" s="4" t="s">
        <v>2263</v>
      </c>
      <c r="J3245" s="4" t="s">
        <v>2263</v>
      </c>
      <c r="K3245" s="4" t="s">
        <v>2445</v>
      </c>
      <c r="L3245" s="10">
        <v>130</v>
      </c>
      <c r="M3245" s="5">
        <v>2496.78125</v>
      </c>
      <c r="N3245" s="5">
        <v>324581.5625</v>
      </c>
    </row>
    <row r="3246" spans="1:14" x14ac:dyDescent="0.25">
      <c r="A3246" s="4" t="s">
        <v>2274</v>
      </c>
      <c r="B3246" s="4" t="s">
        <v>4348</v>
      </c>
      <c r="C3246" s="4" t="s">
        <v>2267</v>
      </c>
      <c r="D3246" s="4" t="s">
        <v>2266</v>
      </c>
      <c r="E3246" s="4" t="s">
        <v>4413</v>
      </c>
      <c r="F3246" s="4" t="s">
        <v>2866</v>
      </c>
      <c r="G3246" s="4" t="s">
        <v>2263</v>
      </c>
      <c r="H3246" s="9" t="s">
        <v>2263</v>
      </c>
      <c r="I3246" s="4" t="s">
        <v>2263</v>
      </c>
      <c r="J3246" s="4" t="s">
        <v>2263</v>
      </c>
      <c r="K3246" s="4" t="s">
        <v>2262</v>
      </c>
      <c r="L3246" s="10">
        <v>130</v>
      </c>
      <c r="M3246" s="5">
        <v>7900.2853076923075</v>
      </c>
      <c r="N3246" s="5">
        <v>1027037.09</v>
      </c>
    </row>
    <row r="3247" spans="1:14" x14ac:dyDescent="0.25">
      <c r="A3247" s="4" t="s">
        <v>2344</v>
      </c>
      <c r="B3247" s="4" t="s">
        <v>5154</v>
      </c>
      <c r="C3247" s="4" t="s">
        <v>2344</v>
      </c>
      <c r="D3247" s="4" t="s">
        <v>237</v>
      </c>
      <c r="E3247" s="4" t="s">
        <v>4871</v>
      </c>
      <c r="F3247" s="4" t="s">
        <v>2604</v>
      </c>
      <c r="G3247" s="4" t="s">
        <v>2263</v>
      </c>
      <c r="H3247" s="9" t="s">
        <v>2263</v>
      </c>
      <c r="I3247" s="4" t="s">
        <v>2263</v>
      </c>
      <c r="J3247" s="4" t="s">
        <v>2263</v>
      </c>
      <c r="K3247" s="4" t="s">
        <v>2529</v>
      </c>
      <c r="L3247" s="10">
        <v>131</v>
      </c>
      <c r="M3247" s="5">
        <v>32.907160120845923</v>
      </c>
      <c r="N3247" s="5">
        <v>4310.8379758308201</v>
      </c>
    </row>
    <row r="3248" spans="1:14" x14ac:dyDescent="0.25">
      <c r="A3248" s="4" t="s">
        <v>2317</v>
      </c>
      <c r="B3248" s="4" t="s">
        <v>3839</v>
      </c>
      <c r="C3248" s="4" t="s">
        <v>2320</v>
      </c>
      <c r="D3248" s="4" t="s">
        <v>242</v>
      </c>
      <c r="E3248" s="4" t="s">
        <v>3176</v>
      </c>
      <c r="F3248" s="4" t="s">
        <v>3175</v>
      </c>
      <c r="G3248" s="4" t="s">
        <v>2263</v>
      </c>
      <c r="H3248" s="9" t="s">
        <v>2263</v>
      </c>
      <c r="I3248" s="4" t="s">
        <v>2317</v>
      </c>
      <c r="J3248" s="4" t="s">
        <v>2316</v>
      </c>
      <c r="K3248" s="4" t="s">
        <v>2263</v>
      </c>
      <c r="L3248" s="10">
        <v>131</v>
      </c>
      <c r="M3248" s="5">
        <v>10464.536519337018</v>
      </c>
      <c r="N3248" s="5">
        <v>1370854.284033149</v>
      </c>
    </row>
    <row r="3249" spans="1:14" x14ac:dyDescent="0.25">
      <c r="A3249" s="4" t="s">
        <v>2274</v>
      </c>
      <c r="B3249" s="4" t="s">
        <v>4348</v>
      </c>
      <c r="C3249" s="4" t="s">
        <v>2344</v>
      </c>
      <c r="D3249" s="4" t="s">
        <v>237</v>
      </c>
      <c r="E3249" s="4" t="s">
        <v>4933</v>
      </c>
      <c r="F3249" s="4" t="s">
        <v>2668</v>
      </c>
      <c r="G3249" s="4" t="s">
        <v>2263</v>
      </c>
      <c r="H3249" s="9" t="s">
        <v>2263</v>
      </c>
      <c r="I3249" s="4" t="s">
        <v>2263</v>
      </c>
      <c r="J3249" s="4" t="s">
        <v>2263</v>
      </c>
      <c r="K3249" s="4" t="s">
        <v>2536</v>
      </c>
      <c r="L3249" s="10">
        <v>132</v>
      </c>
      <c r="M3249" s="5">
        <v>62</v>
      </c>
      <c r="N3249" s="5">
        <v>8184</v>
      </c>
    </row>
    <row r="3250" spans="1:14" x14ac:dyDescent="0.25">
      <c r="A3250" s="4" t="s">
        <v>2344</v>
      </c>
      <c r="B3250" s="4" t="s">
        <v>5154</v>
      </c>
      <c r="C3250" s="4" t="s">
        <v>2344</v>
      </c>
      <c r="D3250" s="4" t="s">
        <v>237</v>
      </c>
      <c r="E3250" s="4" t="s">
        <v>4810</v>
      </c>
      <c r="F3250" s="4" t="s">
        <v>4809</v>
      </c>
      <c r="G3250" s="4" t="s">
        <v>2263</v>
      </c>
      <c r="H3250" s="9" t="s">
        <v>2263</v>
      </c>
      <c r="I3250" s="4" t="s">
        <v>2263</v>
      </c>
      <c r="J3250" s="4" t="s">
        <v>2263</v>
      </c>
      <c r="K3250" s="4" t="s">
        <v>2597</v>
      </c>
      <c r="L3250" s="10">
        <v>133</v>
      </c>
      <c r="M3250" s="5">
        <v>542.98709677419356</v>
      </c>
      <c r="N3250" s="5">
        <v>72217.283870967745</v>
      </c>
    </row>
    <row r="3251" spans="1:14" x14ac:dyDescent="0.25">
      <c r="A3251" s="4" t="s">
        <v>2344</v>
      </c>
      <c r="B3251" s="4" t="s">
        <v>5154</v>
      </c>
      <c r="C3251" s="4" t="s">
        <v>2344</v>
      </c>
      <c r="D3251" s="4" t="s">
        <v>237</v>
      </c>
      <c r="E3251" s="4" t="s">
        <v>4546</v>
      </c>
      <c r="F3251" s="4" t="s">
        <v>4545</v>
      </c>
      <c r="G3251" s="4" t="s">
        <v>2263</v>
      </c>
      <c r="H3251" s="9" t="s">
        <v>2263</v>
      </c>
      <c r="I3251" s="4" t="s">
        <v>2263</v>
      </c>
      <c r="J3251" s="4" t="s">
        <v>2263</v>
      </c>
      <c r="K3251" s="4" t="s">
        <v>2552</v>
      </c>
      <c r="L3251" s="10">
        <v>134</v>
      </c>
      <c r="M3251" s="5">
        <v>33.323282442748095</v>
      </c>
      <c r="N3251" s="5">
        <v>4465.31984732824</v>
      </c>
    </row>
    <row r="3252" spans="1:14" x14ac:dyDescent="0.25">
      <c r="A3252" s="4" t="s">
        <v>2344</v>
      </c>
      <c r="B3252" s="4" t="s">
        <v>5154</v>
      </c>
      <c r="C3252" s="4" t="s">
        <v>2274</v>
      </c>
      <c r="D3252" s="4" t="s">
        <v>2273</v>
      </c>
      <c r="E3252" s="4" t="s">
        <v>2272</v>
      </c>
      <c r="F3252" s="4" t="s">
        <v>2271</v>
      </c>
      <c r="G3252" s="4" t="s">
        <v>2263</v>
      </c>
      <c r="H3252" s="9" t="s">
        <v>2263</v>
      </c>
      <c r="I3252" s="4" t="s">
        <v>2263</v>
      </c>
      <c r="J3252" s="4" t="s">
        <v>2263</v>
      </c>
      <c r="K3252" s="4" t="s">
        <v>2270</v>
      </c>
      <c r="L3252" s="10">
        <v>134</v>
      </c>
      <c r="M3252" s="5">
        <v>1584.2822696245735</v>
      </c>
      <c r="N3252" s="5">
        <v>212293.82412969283</v>
      </c>
    </row>
    <row r="3253" spans="1:14" x14ac:dyDescent="0.25">
      <c r="A3253" s="4" t="s">
        <v>2344</v>
      </c>
      <c r="B3253" s="4" t="s">
        <v>5154</v>
      </c>
      <c r="C3253" s="4" t="s">
        <v>2279</v>
      </c>
      <c r="D3253" s="4" t="s">
        <v>2278</v>
      </c>
      <c r="E3253" s="4" t="s">
        <v>5300</v>
      </c>
      <c r="F3253" s="4" t="s">
        <v>5299</v>
      </c>
      <c r="G3253" s="4" t="s">
        <v>2263</v>
      </c>
      <c r="H3253" s="9" t="s">
        <v>2263</v>
      </c>
      <c r="I3253" s="4" t="s">
        <v>2263</v>
      </c>
      <c r="J3253" s="4" t="s">
        <v>2263</v>
      </c>
      <c r="K3253" s="4" t="s">
        <v>2529</v>
      </c>
      <c r="L3253" s="10">
        <v>135</v>
      </c>
      <c r="M3253" s="5">
        <v>651.95437037037038</v>
      </c>
      <c r="N3253" s="5">
        <v>88013.84</v>
      </c>
    </row>
    <row r="3254" spans="1:14" x14ac:dyDescent="0.25">
      <c r="A3254" s="4" t="s">
        <v>2344</v>
      </c>
      <c r="B3254" s="4" t="s">
        <v>5154</v>
      </c>
      <c r="C3254" s="4" t="s">
        <v>2274</v>
      </c>
      <c r="D3254" s="4" t="s">
        <v>2273</v>
      </c>
      <c r="E3254" s="4" t="s">
        <v>4466</v>
      </c>
      <c r="F3254" s="4" t="s">
        <v>2530</v>
      </c>
      <c r="G3254" s="4" t="s">
        <v>2263</v>
      </c>
      <c r="H3254" s="9" t="s">
        <v>2263</v>
      </c>
      <c r="I3254" s="4" t="s">
        <v>2263</v>
      </c>
      <c r="J3254" s="4" t="s">
        <v>2263</v>
      </c>
      <c r="K3254" s="4" t="s">
        <v>2528</v>
      </c>
      <c r="L3254" s="10">
        <v>135</v>
      </c>
      <c r="M3254" s="5">
        <v>7654.5804154302668</v>
      </c>
      <c r="N3254" s="5">
        <v>1033368.3560830861</v>
      </c>
    </row>
    <row r="3255" spans="1:14" x14ac:dyDescent="0.25">
      <c r="A3255" s="4" t="s">
        <v>2344</v>
      </c>
      <c r="B3255" s="4" t="s">
        <v>5154</v>
      </c>
      <c r="C3255" s="4" t="s">
        <v>2344</v>
      </c>
      <c r="D3255" s="4" t="s">
        <v>237</v>
      </c>
      <c r="E3255" s="4" t="s">
        <v>2887</v>
      </c>
      <c r="F3255" s="4" t="s">
        <v>2620</v>
      </c>
      <c r="G3255" s="4" t="s">
        <v>2263</v>
      </c>
      <c r="H3255" s="9" t="s">
        <v>2263</v>
      </c>
      <c r="I3255" s="4" t="s">
        <v>2263</v>
      </c>
      <c r="J3255" s="4" t="s">
        <v>2263</v>
      </c>
      <c r="K3255" s="4" t="s">
        <v>2619</v>
      </c>
      <c r="L3255" s="10">
        <v>136</v>
      </c>
      <c r="M3255" s="5">
        <v>995.27191919191921</v>
      </c>
      <c r="N3255" s="5">
        <v>135356.98101010101</v>
      </c>
    </row>
    <row r="3256" spans="1:14" x14ac:dyDescent="0.25">
      <c r="A3256" s="4" t="s">
        <v>2344</v>
      </c>
      <c r="B3256" s="4" t="s">
        <v>5154</v>
      </c>
      <c r="C3256" s="4" t="s">
        <v>2320</v>
      </c>
      <c r="D3256" s="4" t="s">
        <v>242</v>
      </c>
      <c r="E3256" s="4" t="s">
        <v>2739</v>
      </c>
      <c r="F3256" s="4" t="s">
        <v>2738</v>
      </c>
      <c r="G3256" s="4" t="s">
        <v>2263</v>
      </c>
      <c r="H3256" s="9" t="s">
        <v>2263</v>
      </c>
      <c r="I3256" s="4" t="s">
        <v>2317</v>
      </c>
      <c r="J3256" s="4" t="s">
        <v>2316</v>
      </c>
      <c r="K3256" s="4" t="s">
        <v>2263</v>
      </c>
      <c r="L3256" s="10">
        <v>137</v>
      </c>
      <c r="M3256" s="5">
        <v>1018.0292795883362</v>
      </c>
      <c r="N3256" s="5">
        <v>139470.01130360205</v>
      </c>
    </row>
    <row r="3257" spans="1:14" x14ac:dyDescent="0.25">
      <c r="A3257" s="4" t="s">
        <v>2344</v>
      </c>
      <c r="B3257" s="4" t="s">
        <v>5154</v>
      </c>
      <c r="C3257" s="4" t="s">
        <v>2279</v>
      </c>
      <c r="D3257" s="4" t="s">
        <v>2278</v>
      </c>
      <c r="E3257" s="4" t="s">
        <v>2309</v>
      </c>
      <c r="F3257" s="4" t="s">
        <v>2284</v>
      </c>
      <c r="G3257" s="4" t="s">
        <v>2263</v>
      </c>
      <c r="H3257" s="9" t="s">
        <v>2263</v>
      </c>
      <c r="I3257" s="4" t="s">
        <v>2263</v>
      </c>
      <c r="J3257" s="4" t="s">
        <v>2263</v>
      </c>
      <c r="K3257" s="4" t="s">
        <v>2283</v>
      </c>
      <c r="L3257" s="10">
        <v>137</v>
      </c>
      <c r="M3257" s="5">
        <v>2291</v>
      </c>
      <c r="N3257" s="5">
        <v>313867</v>
      </c>
    </row>
    <row r="3258" spans="1:14" x14ac:dyDescent="0.25">
      <c r="A3258" s="4" t="s">
        <v>2653</v>
      </c>
      <c r="B3258" s="4" t="s">
        <v>3226</v>
      </c>
      <c r="C3258" s="4" t="s">
        <v>3203</v>
      </c>
      <c r="D3258" s="4" t="s">
        <v>256</v>
      </c>
      <c r="E3258" s="4" t="s">
        <v>3622</v>
      </c>
      <c r="F3258" s="4" t="s">
        <v>3621</v>
      </c>
      <c r="G3258" s="4" t="s">
        <v>2263</v>
      </c>
      <c r="H3258" s="9" t="s">
        <v>2263</v>
      </c>
      <c r="I3258" s="4" t="s">
        <v>2317</v>
      </c>
      <c r="J3258" s="4" t="s">
        <v>2316</v>
      </c>
      <c r="K3258" s="4" t="s">
        <v>2263</v>
      </c>
      <c r="L3258" s="10">
        <v>137</v>
      </c>
      <c r="M3258" s="5">
        <v>39308.613138686131</v>
      </c>
      <c r="N3258" s="5">
        <v>5385280</v>
      </c>
    </row>
    <row r="3259" spans="1:14" x14ac:dyDescent="0.25">
      <c r="A3259" s="4" t="s">
        <v>2274</v>
      </c>
      <c r="B3259" s="4" t="s">
        <v>4348</v>
      </c>
      <c r="C3259" s="4" t="s">
        <v>2344</v>
      </c>
      <c r="D3259" s="4" t="s">
        <v>237</v>
      </c>
      <c r="E3259" s="4" t="s">
        <v>4535</v>
      </c>
      <c r="F3259" s="4" t="s">
        <v>2549</v>
      </c>
      <c r="G3259" s="4" t="s">
        <v>2263</v>
      </c>
      <c r="H3259" s="9" t="s">
        <v>2263</v>
      </c>
      <c r="I3259" s="4" t="s">
        <v>2263</v>
      </c>
      <c r="J3259" s="4" t="s">
        <v>2263</v>
      </c>
      <c r="K3259" s="4" t="s">
        <v>2520</v>
      </c>
      <c r="L3259" s="10">
        <v>140</v>
      </c>
      <c r="M3259" s="5">
        <v>32</v>
      </c>
      <c r="N3259" s="5">
        <v>4480</v>
      </c>
    </row>
    <row r="3260" spans="1:14" x14ac:dyDescent="0.25">
      <c r="A3260" s="4" t="s">
        <v>2274</v>
      </c>
      <c r="B3260" s="4" t="s">
        <v>4348</v>
      </c>
      <c r="C3260" s="4" t="s">
        <v>2344</v>
      </c>
      <c r="D3260" s="4" t="s">
        <v>237</v>
      </c>
      <c r="E3260" s="4" t="s">
        <v>4928</v>
      </c>
      <c r="F3260" s="4" t="s">
        <v>4927</v>
      </c>
      <c r="G3260" s="4" t="s">
        <v>2263</v>
      </c>
      <c r="H3260" s="9" t="s">
        <v>2263</v>
      </c>
      <c r="I3260" s="4" t="s">
        <v>2263</v>
      </c>
      <c r="J3260" s="4" t="s">
        <v>2263</v>
      </c>
      <c r="K3260" s="4" t="s">
        <v>2885</v>
      </c>
      <c r="L3260" s="10">
        <v>140</v>
      </c>
      <c r="M3260" s="5">
        <v>48.623318385650222</v>
      </c>
      <c r="N3260" s="5">
        <v>6807.2645739910304</v>
      </c>
    </row>
    <row r="3261" spans="1:14" x14ac:dyDescent="0.25">
      <c r="A3261" s="4" t="s">
        <v>2274</v>
      </c>
      <c r="B3261" s="4" t="s">
        <v>4348</v>
      </c>
      <c r="C3261" s="4" t="s">
        <v>2344</v>
      </c>
      <c r="D3261" s="4" t="s">
        <v>237</v>
      </c>
      <c r="E3261" s="4" t="s">
        <v>4534</v>
      </c>
      <c r="F3261" s="4" t="s">
        <v>4533</v>
      </c>
      <c r="G3261" s="4" t="s">
        <v>2263</v>
      </c>
      <c r="H3261" s="9" t="s">
        <v>2263</v>
      </c>
      <c r="I3261" s="4" t="s">
        <v>2263</v>
      </c>
      <c r="J3261" s="4" t="s">
        <v>2263</v>
      </c>
      <c r="K3261" s="4" t="s">
        <v>2488</v>
      </c>
      <c r="L3261" s="10">
        <v>140</v>
      </c>
      <c r="M3261" s="5">
        <v>133.50191570881225</v>
      </c>
      <c r="N3261" s="5">
        <v>18690.26819923372</v>
      </c>
    </row>
    <row r="3262" spans="1:14" x14ac:dyDescent="0.25">
      <c r="A3262" s="4" t="s">
        <v>2274</v>
      </c>
      <c r="B3262" s="4" t="s">
        <v>4348</v>
      </c>
      <c r="C3262" s="4" t="s">
        <v>2344</v>
      </c>
      <c r="D3262" s="4" t="s">
        <v>237</v>
      </c>
      <c r="E3262" s="4" t="s">
        <v>4519</v>
      </c>
      <c r="F3262" s="4" t="s">
        <v>4518</v>
      </c>
      <c r="G3262" s="4" t="s">
        <v>2263</v>
      </c>
      <c r="H3262" s="9" t="s">
        <v>2263</v>
      </c>
      <c r="I3262" s="4" t="s">
        <v>2263</v>
      </c>
      <c r="J3262" s="4" t="s">
        <v>2263</v>
      </c>
      <c r="K3262" s="4" t="s">
        <v>2552</v>
      </c>
      <c r="L3262" s="10">
        <v>140</v>
      </c>
      <c r="M3262" s="5">
        <v>210</v>
      </c>
      <c r="N3262" s="5">
        <v>29400</v>
      </c>
    </row>
    <row r="3263" spans="1:14" x14ac:dyDescent="0.25">
      <c r="A3263" s="4" t="s">
        <v>2274</v>
      </c>
      <c r="B3263" s="4" t="s">
        <v>4348</v>
      </c>
      <c r="C3263" s="4" t="s">
        <v>2344</v>
      </c>
      <c r="D3263" s="4" t="s">
        <v>237</v>
      </c>
      <c r="E3263" s="4" t="s">
        <v>4664</v>
      </c>
      <c r="F3263" s="4" t="s">
        <v>4663</v>
      </c>
      <c r="G3263" s="4" t="s">
        <v>2263</v>
      </c>
      <c r="H3263" s="9" t="s">
        <v>2263</v>
      </c>
      <c r="I3263" s="4" t="s">
        <v>2263</v>
      </c>
      <c r="J3263" s="4" t="s">
        <v>2263</v>
      </c>
      <c r="K3263" s="4" t="s">
        <v>4662</v>
      </c>
      <c r="L3263" s="10">
        <v>140</v>
      </c>
      <c r="M3263" s="5">
        <v>363.6540096618358</v>
      </c>
      <c r="N3263" s="5">
        <v>50911.561352657001</v>
      </c>
    </row>
    <row r="3264" spans="1:14" x14ac:dyDescent="0.25">
      <c r="A3264" s="4" t="s">
        <v>2274</v>
      </c>
      <c r="B3264" s="4" t="s">
        <v>4348</v>
      </c>
      <c r="C3264" s="4" t="s">
        <v>2344</v>
      </c>
      <c r="D3264" s="4" t="s">
        <v>237</v>
      </c>
      <c r="E3264" s="4" t="s">
        <v>4778</v>
      </c>
      <c r="F3264" s="4" t="s">
        <v>2504</v>
      </c>
      <c r="G3264" s="4" t="s">
        <v>2263</v>
      </c>
      <c r="H3264" s="9" t="s">
        <v>2263</v>
      </c>
      <c r="I3264" s="4" t="s">
        <v>2263</v>
      </c>
      <c r="J3264" s="4" t="s">
        <v>2263</v>
      </c>
      <c r="K3264" s="4" t="s">
        <v>2503</v>
      </c>
      <c r="L3264" s="10">
        <v>140</v>
      </c>
      <c r="M3264" s="5">
        <v>3409.5070050761419</v>
      </c>
      <c r="N3264" s="5">
        <v>477330.98071065993</v>
      </c>
    </row>
    <row r="3265" spans="1:14" x14ac:dyDescent="0.25">
      <c r="A3265" s="4" t="s">
        <v>2269</v>
      </c>
      <c r="B3265" s="4" t="s">
        <v>2268</v>
      </c>
      <c r="C3265" s="4" t="s">
        <v>2279</v>
      </c>
      <c r="D3265" s="4" t="s">
        <v>2278</v>
      </c>
      <c r="E3265" s="4" t="s">
        <v>2304</v>
      </c>
      <c r="F3265" s="4" t="s">
        <v>2303</v>
      </c>
      <c r="G3265" s="4" t="s">
        <v>2263</v>
      </c>
      <c r="H3265" s="9" t="s">
        <v>2263</v>
      </c>
      <c r="I3265" s="4" t="s">
        <v>2263</v>
      </c>
      <c r="J3265" s="4" t="s">
        <v>2263</v>
      </c>
      <c r="K3265" s="4" t="s">
        <v>2302</v>
      </c>
      <c r="L3265" s="10">
        <v>141</v>
      </c>
      <c r="M3265" s="5">
        <v>68</v>
      </c>
      <c r="N3265" s="5">
        <v>9588</v>
      </c>
    </row>
    <row r="3266" spans="1:14" x14ac:dyDescent="0.25">
      <c r="A3266" s="4" t="s">
        <v>2344</v>
      </c>
      <c r="B3266" s="4" t="s">
        <v>5154</v>
      </c>
      <c r="C3266" s="4" t="s">
        <v>2344</v>
      </c>
      <c r="D3266" s="4" t="s">
        <v>237</v>
      </c>
      <c r="E3266" s="4" t="s">
        <v>4544</v>
      </c>
      <c r="F3266" s="4" t="s">
        <v>4543</v>
      </c>
      <c r="G3266" s="4" t="s">
        <v>2263</v>
      </c>
      <c r="H3266" s="9" t="s">
        <v>2263</v>
      </c>
      <c r="I3266" s="4" t="s">
        <v>2263</v>
      </c>
      <c r="J3266" s="4" t="s">
        <v>2263</v>
      </c>
      <c r="K3266" s="4" t="s">
        <v>4542</v>
      </c>
      <c r="L3266" s="10">
        <v>141</v>
      </c>
      <c r="M3266" s="5">
        <v>147.983991507431</v>
      </c>
      <c r="N3266" s="5">
        <v>20865.742802547771</v>
      </c>
    </row>
    <row r="3267" spans="1:14" x14ac:dyDescent="0.25">
      <c r="A3267" s="4" t="s">
        <v>2344</v>
      </c>
      <c r="B3267" s="4" t="s">
        <v>5154</v>
      </c>
      <c r="C3267" s="4" t="s">
        <v>2344</v>
      </c>
      <c r="D3267" s="4" t="s">
        <v>237</v>
      </c>
      <c r="E3267" s="4" t="s">
        <v>4921</v>
      </c>
      <c r="F3267" s="4" t="s">
        <v>4553</v>
      </c>
      <c r="G3267" s="4" t="s">
        <v>2263</v>
      </c>
      <c r="H3267" s="9" t="s">
        <v>2263</v>
      </c>
      <c r="I3267" s="4" t="s">
        <v>2263</v>
      </c>
      <c r="J3267" s="4" t="s">
        <v>2263</v>
      </c>
      <c r="K3267" s="4" t="s">
        <v>2545</v>
      </c>
      <c r="L3267" s="10">
        <v>142</v>
      </c>
      <c r="M3267" s="5">
        <v>56</v>
      </c>
      <c r="N3267" s="5">
        <v>7952</v>
      </c>
    </row>
    <row r="3268" spans="1:14" x14ac:dyDescent="0.25">
      <c r="A3268" s="4" t="s">
        <v>2274</v>
      </c>
      <c r="B3268" s="4" t="s">
        <v>4348</v>
      </c>
      <c r="C3268" s="4" t="s">
        <v>2344</v>
      </c>
      <c r="D3268" s="4" t="s">
        <v>237</v>
      </c>
      <c r="E3268" s="4" t="s">
        <v>4634</v>
      </c>
      <c r="F3268" s="4" t="s">
        <v>2581</v>
      </c>
      <c r="G3268" s="4" t="s">
        <v>2263</v>
      </c>
      <c r="H3268" s="9" t="s">
        <v>2263</v>
      </c>
      <c r="I3268" s="4" t="s">
        <v>2263</v>
      </c>
      <c r="J3268" s="4" t="s">
        <v>2263</v>
      </c>
      <c r="K3268" s="4" t="s">
        <v>2580</v>
      </c>
      <c r="L3268" s="10">
        <v>144</v>
      </c>
      <c r="M3268" s="5">
        <v>8465.4114583333339</v>
      </c>
      <c r="N3268" s="5">
        <v>1219019.25</v>
      </c>
    </row>
    <row r="3269" spans="1:14" x14ac:dyDescent="0.25">
      <c r="A3269" s="4" t="s">
        <v>2819</v>
      </c>
      <c r="B3269" s="4" t="s">
        <v>2818</v>
      </c>
      <c r="C3269" s="4" t="s">
        <v>2320</v>
      </c>
      <c r="D3269" s="4" t="s">
        <v>242</v>
      </c>
      <c r="E3269" s="4" t="s">
        <v>2817</v>
      </c>
      <c r="F3269" s="4" t="s">
        <v>2816</v>
      </c>
      <c r="G3269" s="4" t="s">
        <v>2263</v>
      </c>
      <c r="H3269" s="9" t="s">
        <v>2263</v>
      </c>
      <c r="I3269" s="4" t="s">
        <v>2317</v>
      </c>
      <c r="J3269" s="4" t="s">
        <v>2316</v>
      </c>
      <c r="K3269" s="4" t="s">
        <v>2263</v>
      </c>
      <c r="L3269" s="10">
        <v>144</v>
      </c>
      <c r="M3269" s="5">
        <v>11865</v>
      </c>
      <c r="N3269" s="5">
        <v>1708560</v>
      </c>
    </row>
    <row r="3270" spans="1:14" x14ac:dyDescent="0.25">
      <c r="A3270" s="4" t="s">
        <v>2274</v>
      </c>
      <c r="B3270" s="4" t="s">
        <v>4348</v>
      </c>
      <c r="C3270" s="4" t="s">
        <v>2274</v>
      </c>
      <c r="D3270" s="4" t="s">
        <v>2273</v>
      </c>
      <c r="E3270" s="4" t="s">
        <v>2358</v>
      </c>
      <c r="F3270" s="4" t="s">
        <v>2357</v>
      </c>
      <c r="G3270" s="4" t="s">
        <v>2263</v>
      </c>
      <c r="H3270" s="9" t="s">
        <v>2263</v>
      </c>
      <c r="I3270" s="4" t="s">
        <v>2263</v>
      </c>
      <c r="J3270" s="4" t="s">
        <v>2263</v>
      </c>
      <c r="K3270" s="4" t="s">
        <v>2356</v>
      </c>
      <c r="L3270" s="10">
        <v>145</v>
      </c>
      <c r="M3270" s="5">
        <v>92812.845025641014</v>
      </c>
      <c r="N3270" s="5">
        <v>13457862.52871795</v>
      </c>
    </row>
    <row r="3271" spans="1:14" x14ac:dyDescent="0.25">
      <c r="A3271" s="4" t="s">
        <v>2344</v>
      </c>
      <c r="B3271" s="4" t="s">
        <v>5154</v>
      </c>
      <c r="C3271" s="4" t="s">
        <v>2344</v>
      </c>
      <c r="D3271" s="4" t="s">
        <v>237</v>
      </c>
      <c r="E3271" s="4" t="s">
        <v>4932</v>
      </c>
      <c r="F3271" s="4" t="s">
        <v>4931</v>
      </c>
      <c r="G3271" s="4" t="s">
        <v>2263</v>
      </c>
      <c r="H3271" s="9" t="s">
        <v>2263</v>
      </c>
      <c r="I3271" s="4" t="s">
        <v>2263</v>
      </c>
      <c r="J3271" s="4" t="s">
        <v>2263</v>
      </c>
      <c r="K3271" s="4" t="s">
        <v>2488</v>
      </c>
      <c r="L3271" s="10">
        <v>146</v>
      </c>
      <c r="M3271" s="5">
        <v>355.7087378640777</v>
      </c>
      <c r="N3271" s="5">
        <v>51933.475728155339</v>
      </c>
    </row>
    <row r="3272" spans="1:14" x14ac:dyDescent="0.25">
      <c r="A3272" s="4" t="s">
        <v>2344</v>
      </c>
      <c r="B3272" s="4" t="s">
        <v>5154</v>
      </c>
      <c r="C3272" s="4" t="s">
        <v>2344</v>
      </c>
      <c r="D3272" s="4" t="s">
        <v>237</v>
      </c>
      <c r="E3272" s="4" t="s">
        <v>4766</v>
      </c>
      <c r="F3272" s="4" t="s">
        <v>4765</v>
      </c>
      <c r="G3272" s="4" t="s">
        <v>2263</v>
      </c>
      <c r="H3272" s="9" t="s">
        <v>2263</v>
      </c>
      <c r="I3272" s="4" t="s">
        <v>2263</v>
      </c>
      <c r="J3272" s="4" t="s">
        <v>2263</v>
      </c>
      <c r="K3272" s="4" t="s">
        <v>4764</v>
      </c>
      <c r="L3272" s="10">
        <v>147</v>
      </c>
      <c r="M3272" s="5">
        <v>514.18471710974779</v>
      </c>
      <c r="N3272" s="5">
        <v>75585.153415132925</v>
      </c>
    </row>
    <row r="3273" spans="1:14" x14ac:dyDescent="0.25">
      <c r="A3273" s="4" t="s">
        <v>2653</v>
      </c>
      <c r="B3273" s="4" t="s">
        <v>3226</v>
      </c>
      <c r="C3273" s="4" t="s">
        <v>2353</v>
      </c>
      <c r="D3273" s="4" t="s">
        <v>258</v>
      </c>
      <c r="E3273" s="4" t="s">
        <v>3282</v>
      </c>
      <c r="F3273" s="4" t="s">
        <v>3281</v>
      </c>
      <c r="G3273" s="4" t="s">
        <v>2263</v>
      </c>
      <c r="H3273" s="9" t="s">
        <v>2263</v>
      </c>
      <c r="I3273" s="4" t="s">
        <v>2317</v>
      </c>
      <c r="J3273" s="4" t="s">
        <v>2316</v>
      </c>
      <c r="K3273" s="4" t="s">
        <v>2263</v>
      </c>
      <c r="L3273" s="10">
        <v>147</v>
      </c>
      <c r="M3273" s="5">
        <v>3201.9795918367345</v>
      </c>
      <c r="N3273" s="5">
        <v>470691</v>
      </c>
    </row>
    <row r="3274" spans="1:14" x14ac:dyDescent="0.25">
      <c r="A3274" s="4" t="s">
        <v>2865</v>
      </c>
      <c r="B3274" s="4" t="s">
        <v>2864</v>
      </c>
      <c r="C3274" s="4" t="s">
        <v>2279</v>
      </c>
      <c r="D3274" s="4" t="s">
        <v>2278</v>
      </c>
      <c r="E3274" s="4" t="s">
        <v>2295</v>
      </c>
      <c r="F3274" s="4" t="s">
        <v>2294</v>
      </c>
      <c r="G3274" s="4" t="s">
        <v>2263</v>
      </c>
      <c r="H3274" s="9" t="s">
        <v>2263</v>
      </c>
      <c r="I3274" s="4" t="s">
        <v>2263</v>
      </c>
      <c r="J3274" s="4" t="s">
        <v>2263</v>
      </c>
      <c r="K3274" s="4" t="s">
        <v>2293</v>
      </c>
      <c r="L3274" s="10">
        <v>147</v>
      </c>
      <c r="M3274" s="5">
        <v>4812.416766370251</v>
      </c>
      <c r="N3274" s="5">
        <v>707425.26465642685</v>
      </c>
    </row>
    <row r="3275" spans="1:14" x14ac:dyDescent="0.25">
      <c r="A3275" s="4" t="s">
        <v>2344</v>
      </c>
      <c r="B3275" s="4" t="s">
        <v>5154</v>
      </c>
      <c r="C3275" s="4" t="s">
        <v>2344</v>
      </c>
      <c r="D3275" s="4" t="s">
        <v>237</v>
      </c>
      <c r="E3275" s="4" t="s">
        <v>5412</v>
      </c>
      <c r="F3275" s="4" t="s">
        <v>4550</v>
      </c>
      <c r="G3275" s="4" t="s">
        <v>2263</v>
      </c>
      <c r="H3275" s="9" t="s">
        <v>2263</v>
      </c>
      <c r="I3275" s="4" t="s">
        <v>2263</v>
      </c>
      <c r="J3275" s="4" t="s">
        <v>2263</v>
      </c>
      <c r="K3275" s="4" t="s">
        <v>2520</v>
      </c>
      <c r="L3275" s="10">
        <v>149</v>
      </c>
      <c r="M3275" s="5">
        <v>100</v>
      </c>
      <c r="N3275" s="5">
        <v>14900</v>
      </c>
    </row>
    <row r="3276" spans="1:14" x14ac:dyDescent="0.25">
      <c r="A3276" s="4" t="s">
        <v>2344</v>
      </c>
      <c r="B3276" s="4" t="s">
        <v>5154</v>
      </c>
      <c r="C3276" s="4" t="s">
        <v>2344</v>
      </c>
      <c r="D3276" s="4" t="s">
        <v>237</v>
      </c>
      <c r="E3276" s="4" t="s">
        <v>4757</v>
      </c>
      <c r="F3276" s="4" t="s">
        <v>4756</v>
      </c>
      <c r="G3276" s="4" t="s">
        <v>2263</v>
      </c>
      <c r="H3276" s="9" t="s">
        <v>2263</v>
      </c>
      <c r="I3276" s="4" t="s">
        <v>2263</v>
      </c>
      <c r="J3276" s="4" t="s">
        <v>2263</v>
      </c>
      <c r="K3276" s="4" t="s">
        <v>2622</v>
      </c>
      <c r="L3276" s="10">
        <v>149</v>
      </c>
      <c r="M3276" s="5">
        <v>1000.1208178438661</v>
      </c>
      <c r="N3276" s="5">
        <v>149018.00185873607</v>
      </c>
    </row>
    <row r="3277" spans="1:14" x14ac:dyDescent="0.25">
      <c r="A3277" s="4" t="s">
        <v>2344</v>
      </c>
      <c r="B3277" s="4" t="s">
        <v>5154</v>
      </c>
      <c r="C3277" s="4" t="s">
        <v>2320</v>
      </c>
      <c r="D3277" s="4" t="s">
        <v>242</v>
      </c>
      <c r="E3277" s="4" t="s">
        <v>4093</v>
      </c>
      <c r="F3277" s="4" t="s">
        <v>4092</v>
      </c>
      <c r="G3277" s="4" t="s">
        <v>2263</v>
      </c>
      <c r="H3277" s="9" t="s">
        <v>2263</v>
      </c>
      <c r="I3277" s="4" t="s">
        <v>2317</v>
      </c>
      <c r="J3277" s="4" t="s">
        <v>2316</v>
      </c>
      <c r="K3277" s="4" t="s">
        <v>2263</v>
      </c>
      <c r="L3277" s="10">
        <v>149</v>
      </c>
      <c r="M3277" s="5">
        <v>2841.516984126984</v>
      </c>
      <c r="N3277" s="5">
        <v>423386.03063492064</v>
      </c>
    </row>
    <row r="3278" spans="1:14" x14ac:dyDescent="0.25">
      <c r="A3278" s="4" t="s">
        <v>2344</v>
      </c>
      <c r="B3278" s="4" t="s">
        <v>5154</v>
      </c>
      <c r="C3278" s="4" t="s">
        <v>2344</v>
      </c>
      <c r="D3278" s="4" t="s">
        <v>237</v>
      </c>
      <c r="E3278" s="4" t="s">
        <v>5468</v>
      </c>
      <c r="F3278" s="4" t="s">
        <v>2632</v>
      </c>
      <c r="G3278" s="4" t="s">
        <v>2263</v>
      </c>
      <c r="H3278" s="9" t="s">
        <v>2263</v>
      </c>
      <c r="I3278" s="4" t="s">
        <v>2263</v>
      </c>
      <c r="J3278" s="4" t="s">
        <v>2263</v>
      </c>
      <c r="K3278" s="4" t="s">
        <v>2631</v>
      </c>
      <c r="L3278" s="10">
        <v>150</v>
      </c>
      <c r="M3278" s="5">
        <v>41.160600000000002</v>
      </c>
      <c r="N3278" s="5">
        <v>6174.09</v>
      </c>
    </row>
    <row r="3279" spans="1:14" x14ac:dyDescent="0.25">
      <c r="A3279" s="4" t="s">
        <v>2274</v>
      </c>
      <c r="B3279" s="4" t="s">
        <v>4348</v>
      </c>
      <c r="C3279" s="4" t="s">
        <v>2344</v>
      </c>
      <c r="D3279" s="4" t="s">
        <v>237</v>
      </c>
      <c r="E3279" s="4" t="s">
        <v>4921</v>
      </c>
      <c r="F3279" s="4" t="s">
        <v>4553</v>
      </c>
      <c r="G3279" s="4" t="s">
        <v>2263</v>
      </c>
      <c r="H3279" s="9" t="s">
        <v>2263</v>
      </c>
      <c r="I3279" s="4" t="s">
        <v>2263</v>
      </c>
      <c r="J3279" s="4" t="s">
        <v>2263</v>
      </c>
      <c r="K3279" s="4" t="s">
        <v>2545</v>
      </c>
      <c r="L3279" s="10">
        <v>150</v>
      </c>
      <c r="M3279" s="5">
        <v>56</v>
      </c>
      <c r="N3279" s="5">
        <v>8400</v>
      </c>
    </row>
    <row r="3280" spans="1:14" x14ac:dyDescent="0.25">
      <c r="A3280" s="4" t="s">
        <v>2274</v>
      </c>
      <c r="B3280" s="4" t="s">
        <v>4348</v>
      </c>
      <c r="C3280" s="4" t="s">
        <v>2344</v>
      </c>
      <c r="D3280" s="4" t="s">
        <v>237</v>
      </c>
      <c r="E3280" s="4" t="s">
        <v>4784</v>
      </c>
      <c r="F3280" s="4" t="s">
        <v>4783</v>
      </c>
      <c r="G3280" s="4" t="s">
        <v>2263</v>
      </c>
      <c r="H3280" s="9" t="s">
        <v>2263</v>
      </c>
      <c r="I3280" s="4" t="s">
        <v>2263</v>
      </c>
      <c r="J3280" s="4" t="s">
        <v>2263</v>
      </c>
      <c r="K3280" s="4" t="s">
        <v>4782</v>
      </c>
      <c r="L3280" s="10">
        <v>150</v>
      </c>
      <c r="M3280" s="5">
        <v>59.246788321167877</v>
      </c>
      <c r="N3280" s="5">
        <v>8887.0182481751799</v>
      </c>
    </row>
    <row r="3281" spans="1:14" x14ac:dyDescent="0.25">
      <c r="A3281" s="4" t="s">
        <v>2274</v>
      </c>
      <c r="B3281" s="4" t="s">
        <v>4348</v>
      </c>
      <c r="C3281" s="4" t="s">
        <v>2344</v>
      </c>
      <c r="D3281" s="4" t="s">
        <v>237</v>
      </c>
      <c r="E3281" s="4" t="s">
        <v>4706</v>
      </c>
      <c r="F3281" s="4" t="s">
        <v>2589</v>
      </c>
      <c r="G3281" s="4" t="s">
        <v>2263</v>
      </c>
      <c r="H3281" s="9" t="s">
        <v>2263</v>
      </c>
      <c r="I3281" s="4" t="s">
        <v>2263</v>
      </c>
      <c r="J3281" s="4" t="s">
        <v>2263</v>
      </c>
      <c r="K3281" s="4" t="s">
        <v>2560</v>
      </c>
      <c r="L3281" s="10">
        <v>150</v>
      </c>
      <c r="M3281" s="5">
        <v>154.92448979591836</v>
      </c>
      <c r="N3281" s="5">
        <v>23238.673469387759</v>
      </c>
    </row>
    <row r="3282" spans="1:14" x14ac:dyDescent="0.25">
      <c r="A3282" s="4" t="s">
        <v>2274</v>
      </c>
      <c r="B3282" s="4" t="s">
        <v>4348</v>
      </c>
      <c r="C3282" s="4" t="s">
        <v>2344</v>
      </c>
      <c r="D3282" s="4" t="s">
        <v>237</v>
      </c>
      <c r="E3282" s="4" t="s">
        <v>4629</v>
      </c>
      <c r="F3282" s="4" t="s">
        <v>2574</v>
      </c>
      <c r="G3282" s="4" t="s">
        <v>2263</v>
      </c>
      <c r="H3282" s="9" t="s">
        <v>2263</v>
      </c>
      <c r="I3282" s="4" t="s">
        <v>2263</v>
      </c>
      <c r="J3282" s="4" t="s">
        <v>2263</v>
      </c>
      <c r="K3282" s="4" t="s">
        <v>2573</v>
      </c>
      <c r="L3282" s="10">
        <v>150</v>
      </c>
      <c r="M3282" s="5">
        <v>295.66666666666669</v>
      </c>
      <c r="N3282" s="5">
        <v>44350</v>
      </c>
    </row>
    <row r="3283" spans="1:14" x14ac:dyDescent="0.25">
      <c r="A3283" s="4" t="s">
        <v>2274</v>
      </c>
      <c r="B3283" s="4" t="s">
        <v>4348</v>
      </c>
      <c r="C3283" s="4" t="s">
        <v>2344</v>
      </c>
      <c r="D3283" s="4" t="s">
        <v>237</v>
      </c>
      <c r="E3283" s="4" t="s">
        <v>4648</v>
      </c>
      <c r="F3283" s="4" t="s">
        <v>2599</v>
      </c>
      <c r="G3283" s="4" t="s">
        <v>2263</v>
      </c>
      <c r="H3283" s="9" t="s">
        <v>2263</v>
      </c>
      <c r="I3283" s="4" t="s">
        <v>2263</v>
      </c>
      <c r="J3283" s="4" t="s">
        <v>2263</v>
      </c>
      <c r="K3283" s="4" t="s">
        <v>2262</v>
      </c>
      <c r="L3283" s="10">
        <v>150</v>
      </c>
      <c r="M3283" s="5">
        <v>469.38202247191015</v>
      </c>
      <c r="N3283" s="5">
        <v>70407.303370786525</v>
      </c>
    </row>
    <row r="3284" spans="1:14" x14ac:dyDescent="0.25">
      <c r="A3284" s="4" t="s">
        <v>2274</v>
      </c>
      <c r="B3284" s="4" t="s">
        <v>4348</v>
      </c>
      <c r="C3284" s="4" t="s">
        <v>2344</v>
      </c>
      <c r="D3284" s="4" t="s">
        <v>237</v>
      </c>
      <c r="E3284" s="4" t="s">
        <v>4810</v>
      </c>
      <c r="F3284" s="4" t="s">
        <v>4809</v>
      </c>
      <c r="G3284" s="4" t="s">
        <v>2263</v>
      </c>
      <c r="H3284" s="9" t="s">
        <v>2263</v>
      </c>
      <c r="I3284" s="4" t="s">
        <v>2263</v>
      </c>
      <c r="J3284" s="4" t="s">
        <v>2263</v>
      </c>
      <c r="K3284" s="4" t="s">
        <v>2597</v>
      </c>
      <c r="L3284" s="10">
        <v>150</v>
      </c>
      <c r="M3284" s="5">
        <v>542.98709677419356</v>
      </c>
      <c r="N3284" s="5">
        <v>81448.06451612903</v>
      </c>
    </row>
    <row r="3285" spans="1:14" x14ac:dyDescent="0.25">
      <c r="A3285" s="4" t="s">
        <v>2653</v>
      </c>
      <c r="B3285" s="4" t="s">
        <v>3226</v>
      </c>
      <c r="C3285" s="4" t="s">
        <v>3107</v>
      </c>
      <c r="D3285" s="4" t="s">
        <v>1105</v>
      </c>
      <c r="E3285" s="4" t="s">
        <v>3653</v>
      </c>
      <c r="F3285" s="4" t="s">
        <v>3652</v>
      </c>
      <c r="G3285" s="4" t="s">
        <v>2263</v>
      </c>
      <c r="H3285" s="9" t="s">
        <v>2263</v>
      </c>
      <c r="I3285" s="4" t="s">
        <v>2317</v>
      </c>
      <c r="J3285" s="4" t="s">
        <v>2316</v>
      </c>
      <c r="K3285" s="4" t="s">
        <v>2263</v>
      </c>
      <c r="L3285" s="10">
        <v>150</v>
      </c>
      <c r="M3285" s="5">
        <v>1306.9866666666667</v>
      </c>
      <c r="N3285" s="5">
        <v>196048</v>
      </c>
    </row>
    <row r="3286" spans="1:14" x14ac:dyDescent="0.25">
      <c r="A3286" s="4" t="s">
        <v>2274</v>
      </c>
      <c r="B3286" s="4" t="s">
        <v>4348</v>
      </c>
      <c r="C3286" s="4" t="s">
        <v>2267</v>
      </c>
      <c r="D3286" s="4" t="s">
        <v>2266</v>
      </c>
      <c r="E3286" s="4" t="s">
        <v>4393</v>
      </c>
      <c r="F3286" s="4" t="s">
        <v>2511</v>
      </c>
      <c r="G3286" s="4" t="s">
        <v>2263</v>
      </c>
      <c r="H3286" s="9" t="s">
        <v>2263</v>
      </c>
      <c r="I3286" s="4" t="s">
        <v>2263</v>
      </c>
      <c r="J3286" s="4" t="s">
        <v>2263</v>
      </c>
      <c r="K3286" s="4" t="s">
        <v>2510</v>
      </c>
      <c r="L3286" s="10">
        <v>150</v>
      </c>
      <c r="M3286" s="5">
        <v>1499.9680110497236</v>
      </c>
      <c r="N3286" s="5">
        <v>224995.20165745856</v>
      </c>
    </row>
    <row r="3287" spans="1:14" x14ac:dyDescent="0.25">
      <c r="A3287" s="4" t="s">
        <v>2274</v>
      </c>
      <c r="B3287" s="4" t="s">
        <v>4348</v>
      </c>
      <c r="C3287" s="4" t="s">
        <v>2344</v>
      </c>
      <c r="D3287" s="4" t="s">
        <v>237</v>
      </c>
      <c r="E3287" s="4" t="s">
        <v>2435</v>
      </c>
      <c r="F3287" s="4" t="s">
        <v>2434</v>
      </c>
      <c r="G3287" s="4" t="s">
        <v>2263</v>
      </c>
      <c r="H3287" s="9" t="s">
        <v>2263</v>
      </c>
      <c r="I3287" s="4" t="s">
        <v>2263</v>
      </c>
      <c r="J3287" s="4" t="s">
        <v>2263</v>
      </c>
      <c r="K3287" s="4" t="s">
        <v>2433</v>
      </c>
      <c r="L3287" s="10">
        <v>150</v>
      </c>
      <c r="M3287" s="5">
        <v>1849.2706606606607</v>
      </c>
      <c r="N3287" s="5">
        <v>277390.59909909911</v>
      </c>
    </row>
    <row r="3288" spans="1:14" x14ac:dyDescent="0.25">
      <c r="A3288" s="4" t="s">
        <v>2653</v>
      </c>
      <c r="B3288" s="4" t="s">
        <v>3226</v>
      </c>
      <c r="C3288" s="4" t="s">
        <v>3107</v>
      </c>
      <c r="D3288" s="4" t="s">
        <v>1105</v>
      </c>
      <c r="E3288" s="4" t="s">
        <v>3703</v>
      </c>
      <c r="F3288" s="4" t="s">
        <v>3702</v>
      </c>
      <c r="G3288" s="4" t="s">
        <v>2263</v>
      </c>
      <c r="H3288" s="9" t="s">
        <v>2263</v>
      </c>
      <c r="I3288" s="4" t="s">
        <v>2317</v>
      </c>
      <c r="J3288" s="4" t="s">
        <v>2316</v>
      </c>
      <c r="K3288" s="4" t="s">
        <v>2263</v>
      </c>
      <c r="L3288" s="10">
        <v>150</v>
      </c>
      <c r="M3288" s="5">
        <v>2100.1999999999998</v>
      </c>
      <c r="N3288" s="5">
        <v>315030</v>
      </c>
    </row>
    <row r="3289" spans="1:14" x14ac:dyDescent="0.25">
      <c r="A3289" s="4" t="s">
        <v>2653</v>
      </c>
      <c r="B3289" s="4" t="s">
        <v>3226</v>
      </c>
      <c r="C3289" s="4" t="s">
        <v>2320</v>
      </c>
      <c r="D3289" s="4" t="s">
        <v>242</v>
      </c>
      <c r="E3289" s="4" t="s">
        <v>3823</v>
      </c>
      <c r="F3289" s="4" t="s">
        <v>3822</v>
      </c>
      <c r="G3289" s="4" t="s">
        <v>2263</v>
      </c>
      <c r="H3289" s="9" t="s">
        <v>2263</v>
      </c>
      <c r="I3289" s="4" t="s">
        <v>2317</v>
      </c>
      <c r="J3289" s="4" t="s">
        <v>2316</v>
      </c>
      <c r="K3289" s="4" t="s">
        <v>2263</v>
      </c>
      <c r="L3289" s="10">
        <v>150</v>
      </c>
      <c r="M3289" s="5">
        <v>3443.6737588652481</v>
      </c>
      <c r="N3289" s="5">
        <v>516551.06382978719</v>
      </c>
    </row>
    <row r="3290" spans="1:14" x14ac:dyDescent="0.25">
      <c r="A3290" s="4" t="s">
        <v>2274</v>
      </c>
      <c r="B3290" s="4" t="s">
        <v>4348</v>
      </c>
      <c r="C3290" s="4" t="s">
        <v>2267</v>
      </c>
      <c r="D3290" s="4" t="s">
        <v>2266</v>
      </c>
      <c r="E3290" s="4" t="s">
        <v>4386</v>
      </c>
      <c r="F3290" s="4" t="s">
        <v>2502</v>
      </c>
      <c r="G3290" s="4" t="s">
        <v>2263</v>
      </c>
      <c r="H3290" s="9" t="s">
        <v>2263</v>
      </c>
      <c r="I3290" s="4" t="s">
        <v>2263</v>
      </c>
      <c r="J3290" s="4" t="s">
        <v>2263</v>
      </c>
      <c r="K3290" s="4" t="s">
        <v>2494</v>
      </c>
      <c r="L3290" s="10">
        <v>150</v>
      </c>
      <c r="M3290" s="5">
        <v>3545.7840999999999</v>
      </c>
      <c r="N3290" s="5">
        <v>531867.61499999999</v>
      </c>
    </row>
    <row r="3291" spans="1:14" x14ac:dyDescent="0.25">
      <c r="A3291" s="4" t="s">
        <v>2274</v>
      </c>
      <c r="B3291" s="4" t="s">
        <v>4348</v>
      </c>
      <c r="C3291" s="4" t="s">
        <v>2344</v>
      </c>
      <c r="D3291" s="4" t="s">
        <v>237</v>
      </c>
      <c r="E3291" s="4" t="s">
        <v>2754</v>
      </c>
      <c r="F3291" s="4" t="s">
        <v>2474</v>
      </c>
      <c r="G3291" s="4" t="s">
        <v>2263</v>
      </c>
      <c r="H3291" s="9" t="s">
        <v>2263</v>
      </c>
      <c r="I3291" s="4" t="s">
        <v>2263</v>
      </c>
      <c r="J3291" s="4" t="s">
        <v>2263</v>
      </c>
      <c r="K3291" s="4" t="s">
        <v>2473</v>
      </c>
      <c r="L3291" s="10">
        <v>150</v>
      </c>
      <c r="M3291" s="5">
        <v>8400.3259602649014</v>
      </c>
      <c r="N3291" s="5">
        <v>1260048.894039735</v>
      </c>
    </row>
    <row r="3292" spans="1:14" x14ac:dyDescent="0.25">
      <c r="A3292" s="4" t="s">
        <v>2344</v>
      </c>
      <c r="B3292" s="4" t="s">
        <v>5154</v>
      </c>
      <c r="C3292" s="4" t="s">
        <v>2320</v>
      </c>
      <c r="D3292" s="4" t="s">
        <v>242</v>
      </c>
      <c r="E3292" s="4" t="s">
        <v>2715</v>
      </c>
      <c r="F3292" s="4" t="s">
        <v>2714</v>
      </c>
      <c r="G3292" s="4" t="s">
        <v>2263</v>
      </c>
      <c r="H3292" s="9" t="s">
        <v>2263</v>
      </c>
      <c r="I3292" s="4" t="s">
        <v>2317</v>
      </c>
      <c r="J3292" s="4" t="s">
        <v>2316</v>
      </c>
      <c r="K3292" s="4" t="s">
        <v>2263</v>
      </c>
      <c r="L3292" s="10">
        <v>151</v>
      </c>
      <c r="M3292" s="5">
        <v>285.17608450704222</v>
      </c>
      <c r="N3292" s="5">
        <v>43061.588760563383</v>
      </c>
    </row>
    <row r="3293" spans="1:14" x14ac:dyDescent="0.25">
      <c r="A3293" s="4" t="s">
        <v>2320</v>
      </c>
      <c r="B3293" s="4" t="s">
        <v>4967</v>
      </c>
      <c r="C3293" s="4" t="s">
        <v>2320</v>
      </c>
      <c r="D3293" s="4" t="s">
        <v>242</v>
      </c>
      <c r="E3293" s="4" t="s">
        <v>2741</v>
      </c>
      <c r="F3293" s="4" t="s">
        <v>2740</v>
      </c>
      <c r="G3293" s="4" t="s">
        <v>2263</v>
      </c>
      <c r="H3293" s="9" t="s">
        <v>2263</v>
      </c>
      <c r="I3293" s="4" t="s">
        <v>2317</v>
      </c>
      <c r="J3293" s="4" t="s">
        <v>2316</v>
      </c>
      <c r="K3293" s="4" t="s">
        <v>2263</v>
      </c>
      <c r="L3293" s="10">
        <v>151</v>
      </c>
      <c r="M3293" s="5">
        <v>454.76405146618788</v>
      </c>
      <c r="N3293" s="5">
        <v>68669.371771394377</v>
      </c>
    </row>
    <row r="3294" spans="1:14" x14ac:dyDescent="0.25">
      <c r="A3294" s="4" t="s">
        <v>2344</v>
      </c>
      <c r="B3294" s="4" t="s">
        <v>5154</v>
      </c>
      <c r="C3294" s="4" t="s">
        <v>2320</v>
      </c>
      <c r="D3294" s="4" t="s">
        <v>242</v>
      </c>
      <c r="E3294" s="4" t="s">
        <v>3162</v>
      </c>
      <c r="F3294" s="4" t="s">
        <v>3161</v>
      </c>
      <c r="G3294" s="4" t="s">
        <v>2263</v>
      </c>
      <c r="H3294" s="9" t="s">
        <v>2263</v>
      </c>
      <c r="I3294" s="4" t="s">
        <v>2317</v>
      </c>
      <c r="J3294" s="4" t="s">
        <v>2316</v>
      </c>
      <c r="K3294" s="4" t="s">
        <v>2263</v>
      </c>
      <c r="L3294" s="10">
        <v>154</v>
      </c>
      <c r="M3294" s="5">
        <v>70.974907834101387</v>
      </c>
      <c r="N3294" s="5">
        <v>10930.13580645161</v>
      </c>
    </row>
    <row r="3295" spans="1:14" x14ac:dyDescent="0.25">
      <c r="A3295" s="4" t="s">
        <v>2344</v>
      </c>
      <c r="B3295" s="4" t="s">
        <v>5154</v>
      </c>
      <c r="C3295" s="4" t="s">
        <v>2320</v>
      </c>
      <c r="D3295" s="4" t="s">
        <v>242</v>
      </c>
      <c r="E3295" s="4" t="s">
        <v>2707</v>
      </c>
      <c r="F3295" s="4" t="s">
        <v>2706</v>
      </c>
      <c r="G3295" s="4" t="s">
        <v>2263</v>
      </c>
      <c r="H3295" s="9" t="s">
        <v>2263</v>
      </c>
      <c r="I3295" s="4" t="s">
        <v>2317</v>
      </c>
      <c r="J3295" s="4" t="s">
        <v>2316</v>
      </c>
      <c r="K3295" s="4" t="s">
        <v>2263</v>
      </c>
      <c r="L3295" s="10">
        <v>155</v>
      </c>
      <c r="M3295" s="5">
        <v>-18687.463351548267</v>
      </c>
      <c r="N3295" s="5">
        <v>-2896556.819489982</v>
      </c>
    </row>
    <row r="3296" spans="1:14" x14ac:dyDescent="0.25">
      <c r="A3296" s="4" t="s">
        <v>2344</v>
      </c>
      <c r="B3296" s="4" t="s">
        <v>5154</v>
      </c>
      <c r="C3296" s="4" t="s">
        <v>3174</v>
      </c>
      <c r="D3296" s="4" t="s">
        <v>4347</v>
      </c>
      <c r="E3296" s="4" t="s">
        <v>5162</v>
      </c>
      <c r="F3296" s="4" t="s">
        <v>5161</v>
      </c>
      <c r="G3296" s="4" t="s">
        <v>2263</v>
      </c>
      <c r="H3296" s="9" t="s">
        <v>2263</v>
      </c>
      <c r="I3296" s="4" t="s">
        <v>2263</v>
      </c>
      <c r="J3296" s="4" t="s">
        <v>2263</v>
      </c>
      <c r="K3296" s="4" t="s">
        <v>2560</v>
      </c>
      <c r="L3296" s="10">
        <v>155</v>
      </c>
      <c r="M3296" s="5">
        <v>0.83870967741935398</v>
      </c>
      <c r="N3296" s="5">
        <v>130</v>
      </c>
    </row>
    <row r="3297" spans="1:14" x14ac:dyDescent="0.25">
      <c r="A3297" s="4" t="s">
        <v>2653</v>
      </c>
      <c r="B3297" s="4" t="s">
        <v>3226</v>
      </c>
      <c r="C3297" s="4" t="s">
        <v>2384</v>
      </c>
      <c r="D3297" s="4" t="s">
        <v>262</v>
      </c>
      <c r="E3297" s="4" t="s">
        <v>3532</v>
      </c>
      <c r="F3297" s="4" t="s">
        <v>3531</v>
      </c>
      <c r="G3297" s="4" t="s">
        <v>2263</v>
      </c>
      <c r="H3297" s="9" t="s">
        <v>2263</v>
      </c>
      <c r="I3297" s="4" t="s">
        <v>2317</v>
      </c>
      <c r="J3297" s="4" t="s">
        <v>2316</v>
      </c>
      <c r="K3297" s="4" t="s">
        <v>2263</v>
      </c>
      <c r="L3297" s="10">
        <v>156</v>
      </c>
      <c r="M3297" s="5">
        <v>1083.0044871794873</v>
      </c>
      <c r="N3297" s="5">
        <v>168948.7</v>
      </c>
    </row>
    <row r="3298" spans="1:14" x14ac:dyDescent="0.25">
      <c r="A3298" s="4" t="s">
        <v>2274</v>
      </c>
      <c r="B3298" s="4" t="s">
        <v>4348</v>
      </c>
      <c r="C3298" s="4" t="s">
        <v>2317</v>
      </c>
      <c r="D3298" s="4" t="s">
        <v>2516</v>
      </c>
      <c r="E3298" s="4" t="s">
        <v>4439</v>
      </c>
      <c r="F3298" s="4" t="s">
        <v>2517</v>
      </c>
      <c r="G3298" s="4" t="s">
        <v>2263</v>
      </c>
      <c r="H3298" s="9" t="s">
        <v>2263</v>
      </c>
      <c r="I3298" s="4" t="s">
        <v>2263</v>
      </c>
      <c r="J3298" s="4" t="s">
        <v>2263</v>
      </c>
      <c r="K3298" s="4" t="s">
        <v>2514</v>
      </c>
      <c r="L3298" s="10">
        <v>156</v>
      </c>
      <c r="M3298" s="5">
        <v>11499.597701149425</v>
      </c>
      <c r="N3298" s="5">
        <v>1793937.2413793104</v>
      </c>
    </row>
    <row r="3299" spans="1:14" x14ac:dyDescent="0.25">
      <c r="A3299" s="4" t="s">
        <v>2317</v>
      </c>
      <c r="B3299" s="4" t="s">
        <v>3839</v>
      </c>
      <c r="C3299" s="4" t="s">
        <v>2320</v>
      </c>
      <c r="D3299" s="4" t="s">
        <v>242</v>
      </c>
      <c r="E3299" s="4" t="s">
        <v>2715</v>
      </c>
      <c r="F3299" s="4" t="s">
        <v>2714</v>
      </c>
      <c r="G3299" s="4" t="s">
        <v>2263</v>
      </c>
      <c r="H3299" s="9" t="s">
        <v>2263</v>
      </c>
      <c r="I3299" s="4" t="s">
        <v>2317</v>
      </c>
      <c r="J3299" s="4" t="s">
        <v>2316</v>
      </c>
      <c r="K3299" s="4" t="s">
        <v>2263</v>
      </c>
      <c r="L3299" s="10">
        <v>158</v>
      </c>
      <c r="M3299" s="5">
        <v>285.17608450704222</v>
      </c>
      <c r="N3299" s="5">
        <v>45057.821352112682</v>
      </c>
    </row>
    <row r="3300" spans="1:14" x14ac:dyDescent="0.25">
      <c r="A3300" s="4" t="s">
        <v>2344</v>
      </c>
      <c r="B3300" s="4" t="s">
        <v>5154</v>
      </c>
      <c r="C3300" s="4" t="s">
        <v>2344</v>
      </c>
      <c r="D3300" s="4" t="s">
        <v>237</v>
      </c>
      <c r="E3300" s="4" t="s">
        <v>2453</v>
      </c>
      <c r="F3300" s="4" t="s">
        <v>2452</v>
      </c>
      <c r="G3300" s="4" t="s">
        <v>2263</v>
      </c>
      <c r="H3300" s="9" t="s">
        <v>2263</v>
      </c>
      <c r="I3300" s="4" t="s">
        <v>2263</v>
      </c>
      <c r="J3300" s="4" t="s">
        <v>2263</v>
      </c>
      <c r="K3300" s="4" t="s">
        <v>2451</v>
      </c>
      <c r="L3300" s="10">
        <v>158</v>
      </c>
      <c r="M3300" s="5">
        <v>480.11012658227844</v>
      </c>
      <c r="N3300" s="5">
        <v>75857.399999999994</v>
      </c>
    </row>
    <row r="3301" spans="1:14" x14ac:dyDescent="0.25">
      <c r="A3301" s="4" t="s">
        <v>2344</v>
      </c>
      <c r="B3301" s="4" t="s">
        <v>5154</v>
      </c>
      <c r="C3301" s="4" t="s">
        <v>2344</v>
      </c>
      <c r="D3301" s="4" t="s">
        <v>237</v>
      </c>
      <c r="E3301" s="4" t="s">
        <v>2378</v>
      </c>
      <c r="F3301" s="4" t="s">
        <v>2377</v>
      </c>
      <c r="G3301" s="4" t="s">
        <v>2263</v>
      </c>
      <c r="H3301" s="9" t="s">
        <v>2263</v>
      </c>
      <c r="I3301" s="4" t="s">
        <v>2263</v>
      </c>
      <c r="J3301" s="4" t="s">
        <v>2263</v>
      </c>
      <c r="K3301" s="4" t="s">
        <v>2376</v>
      </c>
      <c r="L3301" s="10">
        <v>159</v>
      </c>
      <c r="M3301" s="5">
        <v>2635.2512459283389</v>
      </c>
      <c r="N3301" s="5">
        <v>419004.94810260582</v>
      </c>
    </row>
    <row r="3302" spans="1:14" x14ac:dyDescent="0.25">
      <c r="A3302" s="4" t="s">
        <v>2274</v>
      </c>
      <c r="B3302" s="4" t="s">
        <v>4348</v>
      </c>
      <c r="C3302" s="4" t="s">
        <v>2344</v>
      </c>
      <c r="D3302" s="4" t="s">
        <v>237</v>
      </c>
      <c r="E3302" s="4" t="s">
        <v>4819</v>
      </c>
      <c r="F3302" s="4" t="s">
        <v>4818</v>
      </c>
      <c r="G3302" s="4" t="s">
        <v>2263</v>
      </c>
      <c r="H3302" s="9" t="s">
        <v>2263</v>
      </c>
      <c r="I3302" s="4" t="s">
        <v>2263</v>
      </c>
      <c r="J3302" s="4" t="s">
        <v>2263</v>
      </c>
      <c r="K3302" s="4" t="s">
        <v>4817</v>
      </c>
      <c r="L3302" s="10">
        <v>160</v>
      </c>
      <c r="M3302" s="5">
        <v>34.002048611111114</v>
      </c>
      <c r="N3302" s="5">
        <v>5440.3277777777803</v>
      </c>
    </row>
    <row r="3303" spans="1:14" x14ac:dyDescent="0.25">
      <c r="A3303" s="4" t="s">
        <v>2653</v>
      </c>
      <c r="B3303" s="4" t="s">
        <v>3226</v>
      </c>
      <c r="C3303" s="4" t="s">
        <v>2353</v>
      </c>
      <c r="D3303" s="4" t="s">
        <v>258</v>
      </c>
      <c r="E3303" s="4" t="s">
        <v>3280</v>
      </c>
      <c r="F3303" s="4" t="s">
        <v>3279</v>
      </c>
      <c r="G3303" s="4" t="s">
        <v>2263</v>
      </c>
      <c r="H3303" s="9" t="s">
        <v>2263</v>
      </c>
      <c r="I3303" s="4" t="s">
        <v>2317</v>
      </c>
      <c r="J3303" s="4" t="s">
        <v>2316</v>
      </c>
      <c r="K3303" s="4" t="s">
        <v>2263</v>
      </c>
      <c r="L3303" s="10">
        <v>162</v>
      </c>
      <c r="M3303" s="5">
        <v>2963.6055555555554</v>
      </c>
      <c r="N3303" s="5">
        <v>480104.1</v>
      </c>
    </row>
    <row r="3304" spans="1:14" x14ac:dyDescent="0.25">
      <c r="A3304" s="4" t="s">
        <v>2344</v>
      </c>
      <c r="B3304" s="4" t="s">
        <v>5154</v>
      </c>
      <c r="C3304" s="4" t="s">
        <v>2344</v>
      </c>
      <c r="D3304" s="4" t="s">
        <v>237</v>
      </c>
      <c r="E3304" s="4" t="s">
        <v>5484</v>
      </c>
      <c r="F3304" s="4" t="s">
        <v>5483</v>
      </c>
      <c r="G3304" s="4" t="s">
        <v>2263</v>
      </c>
      <c r="H3304" s="9" t="s">
        <v>2263</v>
      </c>
      <c r="I3304" s="4" t="s">
        <v>2263</v>
      </c>
      <c r="J3304" s="4" t="s">
        <v>2263</v>
      </c>
      <c r="K3304" s="4" t="s">
        <v>5482</v>
      </c>
      <c r="L3304" s="10">
        <v>168</v>
      </c>
      <c r="M3304" s="5">
        <v>435.99309523809524</v>
      </c>
      <c r="N3304" s="5">
        <v>73246.84</v>
      </c>
    </row>
    <row r="3305" spans="1:14" x14ac:dyDescent="0.25">
      <c r="A3305" s="4" t="s">
        <v>2274</v>
      </c>
      <c r="B3305" s="4" t="s">
        <v>4348</v>
      </c>
      <c r="C3305" s="4" t="s">
        <v>2344</v>
      </c>
      <c r="D3305" s="4" t="s">
        <v>237</v>
      </c>
      <c r="E3305" s="4" t="s">
        <v>2880</v>
      </c>
      <c r="F3305" s="4" t="s">
        <v>2879</v>
      </c>
      <c r="G3305" s="4" t="s">
        <v>2263</v>
      </c>
      <c r="H3305" s="9" t="s">
        <v>2263</v>
      </c>
      <c r="I3305" s="4" t="s">
        <v>2263</v>
      </c>
      <c r="J3305" s="4" t="s">
        <v>2263</v>
      </c>
      <c r="K3305" s="4" t="s">
        <v>2878</v>
      </c>
      <c r="L3305" s="10">
        <v>168</v>
      </c>
      <c r="M3305" s="5">
        <v>2733.4718861209963</v>
      </c>
      <c r="N3305" s="5">
        <v>459223.27686832735</v>
      </c>
    </row>
    <row r="3306" spans="1:14" x14ac:dyDescent="0.25">
      <c r="A3306" s="4" t="s">
        <v>2653</v>
      </c>
      <c r="B3306" s="4" t="s">
        <v>3226</v>
      </c>
      <c r="C3306" s="4" t="s">
        <v>2353</v>
      </c>
      <c r="D3306" s="4" t="s">
        <v>258</v>
      </c>
      <c r="E3306" s="4" t="s">
        <v>3250</v>
      </c>
      <c r="F3306" s="4" t="s">
        <v>3249</v>
      </c>
      <c r="G3306" s="4" t="s">
        <v>2263</v>
      </c>
      <c r="H3306" s="9" t="s">
        <v>2263</v>
      </c>
      <c r="I3306" s="4" t="s">
        <v>2317</v>
      </c>
      <c r="J3306" s="4" t="s">
        <v>2316</v>
      </c>
      <c r="K3306" s="4" t="s">
        <v>2263</v>
      </c>
      <c r="L3306" s="10">
        <v>168</v>
      </c>
      <c r="M3306" s="5">
        <v>32555.005952380954</v>
      </c>
      <c r="N3306" s="5">
        <v>5469241</v>
      </c>
    </row>
    <row r="3307" spans="1:14" x14ac:dyDescent="0.25">
      <c r="A3307" s="4" t="s">
        <v>2317</v>
      </c>
      <c r="B3307" s="4" t="s">
        <v>3839</v>
      </c>
      <c r="C3307" s="4" t="s">
        <v>2320</v>
      </c>
      <c r="D3307" s="4" t="s">
        <v>242</v>
      </c>
      <c r="E3307" s="4" t="s">
        <v>2731</v>
      </c>
      <c r="F3307" s="4" t="s">
        <v>2730</v>
      </c>
      <c r="G3307" s="4" t="s">
        <v>2263</v>
      </c>
      <c r="H3307" s="9" t="s">
        <v>2263</v>
      </c>
      <c r="I3307" s="4" t="s">
        <v>2317</v>
      </c>
      <c r="J3307" s="4" t="s">
        <v>2316</v>
      </c>
      <c r="K3307" s="4" t="s">
        <v>2263</v>
      </c>
      <c r="L3307" s="10">
        <v>170</v>
      </c>
      <c r="M3307" s="5">
        <v>1714.5099713467048</v>
      </c>
      <c r="N3307" s="5">
        <v>291466.69512893981</v>
      </c>
    </row>
    <row r="3308" spans="1:14" x14ac:dyDescent="0.25">
      <c r="A3308" s="4" t="s">
        <v>2344</v>
      </c>
      <c r="B3308" s="4" t="s">
        <v>5154</v>
      </c>
      <c r="C3308" s="4" t="s">
        <v>2320</v>
      </c>
      <c r="D3308" s="4" t="s">
        <v>242</v>
      </c>
      <c r="E3308" s="4" t="s">
        <v>2414</v>
      </c>
      <c r="F3308" s="4" t="s">
        <v>2413</v>
      </c>
      <c r="G3308" s="4" t="s">
        <v>2263</v>
      </c>
      <c r="H3308" s="9" t="s">
        <v>2263</v>
      </c>
      <c r="I3308" s="4" t="s">
        <v>2317</v>
      </c>
      <c r="J3308" s="4" t="s">
        <v>2316</v>
      </c>
      <c r="K3308" s="4" t="s">
        <v>2263</v>
      </c>
      <c r="L3308" s="10">
        <v>175</v>
      </c>
      <c r="M3308" s="5">
        <v>24641.383614744351</v>
      </c>
      <c r="N3308" s="5">
        <v>4312242.1325802617</v>
      </c>
    </row>
    <row r="3309" spans="1:14" x14ac:dyDescent="0.25">
      <c r="A3309" s="4" t="s">
        <v>2653</v>
      </c>
      <c r="B3309" s="4" t="s">
        <v>3226</v>
      </c>
      <c r="C3309" s="4" t="s">
        <v>3107</v>
      </c>
      <c r="D3309" s="4" t="s">
        <v>1105</v>
      </c>
      <c r="E3309" s="4" t="s">
        <v>3745</v>
      </c>
      <c r="F3309" s="4" t="s">
        <v>3744</v>
      </c>
      <c r="G3309" s="4" t="s">
        <v>2263</v>
      </c>
      <c r="H3309" s="9" t="s">
        <v>2263</v>
      </c>
      <c r="I3309" s="4" t="s">
        <v>2317</v>
      </c>
      <c r="J3309" s="4" t="s">
        <v>2316</v>
      </c>
      <c r="K3309" s="4" t="s">
        <v>2263</v>
      </c>
      <c r="L3309" s="10">
        <v>177</v>
      </c>
      <c r="M3309" s="5">
        <v>89</v>
      </c>
      <c r="N3309" s="5">
        <v>15753</v>
      </c>
    </row>
    <row r="3310" spans="1:14" x14ac:dyDescent="0.25">
      <c r="A3310" s="4" t="s">
        <v>2274</v>
      </c>
      <c r="B3310" s="4" t="s">
        <v>4348</v>
      </c>
      <c r="C3310" s="4" t="s">
        <v>2344</v>
      </c>
      <c r="D3310" s="4" t="s">
        <v>237</v>
      </c>
      <c r="E3310" s="4" t="s">
        <v>4702</v>
      </c>
      <c r="F3310" s="4" t="s">
        <v>2614</v>
      </c>
      <c r="G3310" s="4" t="s">
        <v>2263</v>
      </c>
      <c r="H3310" s="9" t="s">
        <v>2263</v>
      </c>
      <c r="I3310" s="4" t="s">
        <v>2263</v>
      </c>
      <c r="J3310" s="4" t="s">
        <v>2263</v>
      </c>
      <c r="K3310" s="4" t="s">
        <v>2547</v>
      </c>
      <c r="L3310" s="10">
        <v>180</v>
      </c>
      <c r="M3310" s="5">
        <v>151.88805921052631</v>
      </c>
      <c r="N3310" s="5">
        <v>27339.850657894742</v>
      </c>
    </row>
    <row r="3311" spans="1:14" x14ac:dyDescent="0.25">
      <c r="A3311" s="4" t="s">
        <v>2317</v>
      </c>
      <c r="B3311" s="4" t="s">
        <v>3839</v>
      </c>
      <c r="C3311" s="4" t="s">
        <v>2320</v>
      </c>
      <c r="D3311" s="4" t="s">
        <v>242</v>
      </c>
      <c r="E3311" s="4" t="s">
        <v>2402</v>
      </c>
      <c r="F3311" s="4" t="s">
        <v>2401</v>
      </c>
      <c r="G3311" s="4" t="s">
        <v>2263</v>
      </c>
      <c r="H3311" s="9" t="s">
        <v>2263</v>
      </c>
      <c r="I3311" s="4" t="s">
        <v>2317</v>
      </c>
      <c r="J3311" s="4" t="s">
        <v>2316</v>
      </c>
      <c r="K3311" s="4" t="s">
        <v>2263</v>
      </c>
      <c r="L3311" s="10">
        <v>180</v>
      </c>
      <c r="M3311" s="5">
        <v>1015.8373846153846</v>
      </c>
      <c r="N3311" s="5">
        <v>182850.72923076924</v>
      </c>
    </row>
    <row r="3312" spans="1:14" x14ac:dyDescent="0.25">
      <c r="A3312" s="4" t="s">
        <v>2274</v>
      </c>
      <c r="B3312" s="4" t="s">
        <v>4348</v>
      </c>
      <c r="C3312" s="4" t="s">
        <v>2344</v>
      </c>
      <c r="D3312" s="4" t="s">
        <v>237</v>
      </c>
      <c r="E3312" s="4" t="s">
        <v>4930</v>
      </c>
      <c r="F3312" s="4" t="s">
        <v>4929</v>
      </c>
      <c r="G3312" s="4" t="s">
        <v>2263</v>
      </c>
      <c r="H3312" s="9" t="s">
        <v>2263</v>
      </c>
      <c r="I3312" s="4" t="s">
        <v>2263</v>
      </c>
      <c r="J3312" s="4" t="s">
        <v>2263</v>
      </c>
      <c r="K3312" s="4" t="s">
        <v>4720</v>
      </c>
      <c r="L3312" s="10">
        <v>180</v>
      </c>
      <c r="M3312" s="5">
        <v>1101.4140969162995</v>
      </c>
      <c r="N3312" s="5">
        <v>198254.53744493393</v>
      </c>
    </row>
    <row r="3313" spans="1:14" x14ac:dyDescent="0.25">
      <c r="A3313" s="4" t="s">
        <v>2274</v>
      </c>
      <c r="B3313" s="4" t="s">
        <v>4348</v>
      </c>
      <c r="C3313" s="4" t="s">
        <v>2344</v>
      </c>
      <c r="D3313" s="4" t="s">
        <v>237</v>
      </c>
      <c r="E3313" s="4" t="s">
        <v>4710</v>
      </c>
      <c r="F3313" s="4" t="s">
        <v>4572</v>
      </c>
      <c r="G3313" s="4" t="s">
        <v>2263</v>
      </c>
      <c r="H3313" s="9" t="s">
        <v>2263</v>
      </c>
      <c r="I3313" s="4" t="s">
        <v>2263</v>
      </c>
      <c r="J3313" s="4" t="s">
        <v>2263</v>
      </c>
      <c r="K3313" s="4" t="s">
        <v>4571</v>
      </c>
      <c r="L3313" s="10">
        <v>180</v>
      </c>
      <c r="M3313" s="5">
        <v>1750.2326724137931</v>
      </c>
      <c r="N3313" s="5">
        <v>315041.88103448274</v>
      </c>
    </row>
    <row r="3314" spans="1:14" x14ac:dyDescent="0.25">
      <c r="A3314" s="4" t="s">
        <v>2317</v>
      </c>
      <c r="B3314" s="4" t="s">
        <v>3839</v>
      </c>
      <c r="C3314" s="4" t="s">
        <v>2320</v>
      </c>
      <c r="D3314" s="4" t="s">
        <v>242</v>
      </c>
      <c r="E3314" s="4" t="s">
        <v>3835</v>
      </c>
      <c r="F3314" s="4" t="s">
        <v>3834</v>
      </c>
      <c r="G3314" s="4" t="s">
        <v>2263</v>
      </c>
      <c r="H3314" s="9" t="s">
        <v>2263</v>
      </c>
      <c r="I3314" s="4" t="s">
        <v>2317</v>
      </c>
      <c r="J3314" s="4" t="s">
        <v>2316</v>
      </c>
      <c r="K3314" s="4" t="s">
        <v>2263</v>
      </c>
      <c r="L3314" s="10">
        <v>180</v>
      </c>
      <c r="M3314" s="5">
        <v>5041.3560273972607</v>
      </c>
      <c r="N3314" s="5">
        <v>907444.08493150689</v>
      </c>
    </row>
    <row r="3315" spans="1:14" x14ac:dyDescent="0.25">
      <c r="A3315" s="4" t="s">
        <v>2653</v>
      </c>
      <c r="B3315" s="4" t="s">
        <v>3226</v>
      </c>
      <c r="C3315" s="4" t="s">
        <v>3196</v>
      </c>
      <c r="D3315" s="4" t="s">
        <v>254</v>
      </c>
      <c r="E3315" s="4" t="s">
        <v>3572</v>
      </c>
      <c r="F3315" s="4" t="s">
        <v>3571</v>
      </c>
      <c r="G3315" s="4" t="s">
        <v>2263</v>
      </c>
      <c r="H3315" s="9" t="s">
        <v>2263</v>
      </c>
      <c r="I3315" s="4" t="s">
        <v>2317</v>
      </c>
      <c r="J3315" s="4" t="s">
        <v>2316</v>
      </c>
      <c r="K3315" s="4" t="s">
        <v>2263</v>
      </c>
      <c r="L3315" s="10">
        <v>180</v>
      </c>
      <c r="M3315" s="5">
        <v>5352.7033333333329</v>
      </c>
      <c r="N3315" s="5">
        <v>963486.6</v>
      </c>
    </row>
    <row r="3316" spans="1:14" x14ac:dyDescent="0.25">
      <c r="A3316" s="4" t="s">
        <v>2653</v>
      </c>
      <c r="B3316" s="4" t="s">
        <v>3226</v>
      </c>
      <c r="C3316" s="4" t="s">
        <v>2353</v>
      </c>
      <c r="D3316" s="4" t="s">
        <v>258</v>
      </c>
      <c r="E3316" s="4" t="s">
        <v>2675</v>
      </c>
      <c r="F3316" s="4" t="s">
        <v>2674</v>
      </c>
      <c r="G3316" s="4" t="s">
        <v>2263</v>
      </c>
      <c r="H3316" s="9" t="s">
        <v>2263</v>
      </c>
      <c r="I3316" s="4" t="s">
        <v>2317</v>
      </c>
      <c r="J3316" s="4" t="s">
        <v>2316</v>
      </c>
      <c r="K3316" s="4" t="s">
        <v>2263</v>
      </c>
      <c r="L3316" s="10">
        <v>180</v>
      </c>
      <c r="M3316" s="5">
        <v>6452.4775690607739</v>
      </c>
      <c r="N3316" s="5">
        <v>1161445.9624309393</v>
      </c>
    </row>
    <row r="3317" spans="1:14" x14ac:dyDescent="0.25">
      <c r="A3317" s="4" t="s">
        <v>2274</v>
      </c>
      <c r="B3317" s="4" t="s">
        <v>4348</v>
      </c>
      <c r="C3317" s="4" t="s">
        <v>2267</v>
      </c>
      <c r="D3317" s="4" t="s">
        <v>2266</v>
      </c>
      <c r="E3317" s="4" t="s">
        <v>4416</v>
      </c>
      <c r="F3317" s="4" t="s">
        <v>2507</v>
      </c>
      <c r="G3317" s="4" t="s">
        <v>2263</v>
      </c>
      <c r="H3317" s="9" t="s">
        <v>2263</v>
      </c>
      <c r="I3317" s="4" t="s">
        <v>2263</v>
      </c>
      <c r="J3317" s="4" t="s">
        <v>2263</v>
      </c>
      <c r="K3317" s="4" t="s">
        <v>2494</v>
      </c>
      <c r="L3317" s="10">
        <v>180</v>
      </c>
      <c r="M3317" s="5">
        <v>9482.0563265306137</v>
      </c>
      <c r="N3317" s="5">
        <v>1706770.13877551</v>
      </c>
    </row>
    <row r="3318" spans="1:14" x14ac:dyDescent="0.25">
      <c r="A3318" s="4" t="s">
        <v>2653</v>
      </c>
      <c r="B3318" s="4" t="s">
        <v>3226</v>
      </c>
      <c r="C3318" s="4" t="s">
        <v>3107</v>
      </c>
      <c r="D3318" s="4" t="s">
        <v>1105</v>
      </c>
      <c r="E3318" s="4" t="s">
        <v>3743</v>
      </c>
      <c r="F3318" s="4" t="s">
        <v>3742</v>
      </c>
      <c r="G3318" s="4" t="s">
        <v>2263</v>
      </c>
      <c r="H3318" s="9" t="s">
        <v>2263</v>
      </c>
      <c r="I3318" s="4" t="s">
        <v>2317</v>
      </c>
      <c r="J3318" s="4" t="s">
        <v>2316</v>
      </c>
      <c r="K3318" s="4" t="s">
        <v>2263</v>
      </c>
      <c r="L3318" s="10">
        <v>180</v>
      </c>
      <c r="M3318" s="5">
        <v>11400.869666666667</v>
      </c>
      <c r="N3318" s="5">
        <v>2052156.54</v>
      </c>
    </row>
    <row r="3319" spans="1:14" x14ac:dyDescent="0.25">
      <c r="A3319" s="4" t="s">
        <v>2274</v>
      </c>
      <c r="B3319" s="4" t="s">
        <v>4348</v>
      </c>
      <c r="C3319" s="4" t="s">
        <v>2317</v>
      </c>
      <c r="D3319" s="4" t="s">
        <v>2516</v>
      </c>
      <c r="E3319" s="4" t="s">
        <v>4438</v>
      </c>
      <c r="F3319" s="4" t="s">
        <v>2523</v>
      </c>
      <c r="G3319" s="4" t="s">
        <v>2263</v>
      </c>
      <c r="H3319" s="9" t="s">
        <v>2263</v>
      </c>
      <c r="I3319" s="4" t="s">
        <v>2263</v>
      </c>
      <c r="J3319" s="4" t="s">
        <v>2263</v>
      </c>
      <c r="K3319" s="4" t="s">
        <v>2522</v>
      </c>
      <c r="L3319" s="10">
        <v>180</v>
      </c>
      <c r="M3319" s="5">
        <v>16522.945555555554</v>
      </c>
      <c r="N3319" s="5">
        <v>2974130.2</v>
      </c>
    </row>
    <row r="3320" spans="1:14" x14ac:dyDescent="0.25">
      <c r="A3320" s="4" t="s">
        <v>2344</v>
      </c>
      <c r="B3320" s="4" t="s">
        <v>5154</v>
      </c>
      <c r="C3320" s="4" t="s">
        <v>2317</v>
      </c>
      <c r="D3320" s="4" t="s">
        <v>2516</v>
      </c>
      <c r="E3320" s="4" t="s">
        <v>4440</v>
      </c>
      <c r="F3320" s="4" t="s">
        <v>2525</v>
      </c>
      <c r="G3320" s="4" t="s">
        <v>2263</v>
      </c>
      <c r="H3320" s="9" t="s">
        <v>2263</v>
      </c>
      <c r="I3320" s="4" t="s">
        <v>2263</v>
      </c>
      <c r="J3320" s="4" t="s">
        <v>2263</v>
      </c>
      <c r="K3320" s="4" t="s">
        <v>2524</v>
      </c>
      <c r="L3320" s="10">
        <v>182</v>
      </c>
      <c r="M3320" s="5">
        <v>11095.527847222223</v>
      </c>
      <c r="N3320" s="5">
        <v>2019386.0681944445</v>
      </c>
    </row>
    <row r="3321" spans="1:14" x14ac:dyDescent="0.25">
      <c r="A3321" s="4" t="s">
        <v>2653</v>
      </c>
      <c r="B3321" s="4" t="s">
        <v>3226</v>
      </c>
      <c r="C3321" s="4" t="s">
        <v>2384</v>
      </c>
      <c r="D3321" s="4" t="s">
        <v>262</v>
      </c>
      <c r="E3321" s="4" t="s">
        <v>3440</v>
      </c>
      <c r="F3321" s="4" t="s">
        <v>3439</v>
      </c>
      <c r="G3321" s="4" t="s">
        <v>2263</v>
      </c>
      <c r="H3321" s="9" t="s">
        <v>2263</v>
      </c>
      <c r="I3321" s="4" t="s">
        <v>2317</v>
      </c>
      <c r="J3321" s="4" t="s">
        <v>2316</v>
      </c>
      <c r="K3321" s="4" t="s">
        <v>2263</v>
      </c>
      <c r="L3321" s="10">
        <v>185</v>
      </c>
      <c r="M3321" s="5">
        <v>-18254.215351351351</v>
      </c>
      <c r="N3321" s="5">
        <v>-3377029.84</v>
      </c>
    </row>
    <row r="3322" spans="1:14" x14ac:dyDescent="0.25">
      <c r="A3322" s="4" t="s">
        <v>2344</v>
      </c>
      <c r="B3322" s="4" t="s">
        <v>5154</v>
      </c>
      <c r="C3322" s="4" t="s">
        <v>2344</v>
      </c>
      <c r="D3322" s="4" t="s">
        <v>237</v>
      </c>
      <c r="E3322" s="4" t="s">
        <v>5451</v>
      </c>
      <c r="F3322" s="4" t="s">
        <v>2663</v>
      </c>
      <c r="G3322" s="4" t="s">
        <v>2263</v>
      </c>
      <c r="H3322" s="9" t="s">
        <v>2263</v>
      </c>
      <c r="I3322" s="4" t="s">
        <v>2263</v>
      </c>
      <c r="J3322" s="4" t="s">
        <v>2263</v>
      </c>
      <c r="K3322" s="4" t="s">
        <v>2662</v>
      </c>
      <c r="L3322" s="10">
        <v>188</v>
      </c>
      <c r="M3322" s="5">
        <v>2421.5212765957449</v>
      </c>
      <c r="N3322" s="5">
        <v>455246</v>
      </c>
    </row>
    <row r="3323" spans="1:14" x14ac:dyDescent="0.25">
      <c r="A3323" s="4" t="s">
        <v>2344</v>
      </c>
      <c r="B3323" s="4" t="s">
        <v>5154</v>
      </c>
      <c r="C3323" s="4" t="s">
        <v>2344</v>
      </c>
      <c r="D3323" s="4" t="s">
        <v>237</v>
      </c>
      <c r="E3323" s="4" t="s">
        <v>5420</v>
      </c>
      <c r="F3323" s="4" t="s">
        <v>2584</v>
      </c>
      <c r="G3323" s="4" t="s">
        <v>2263</v>
      </c>
      <c r="H3323" s="9" t="s">
        <v>2263</v>
      </c>
      <c r="I3323" s="4" t="s">
        <v>2263</v>
      </c>
      <c r="J3323" s="4" t="s">
        <v>2263</v>
      </c>
      <c r="K3323" s="4" t="s">
        <v>2583</v>
      </c>
      <c r="L3323" s="10">
        <v>189</v>
      </c>
      <c r="M3323" s="5">
        <v>46.761058201058198</v>
      </c>
      <c r="N3323" s="5">
        <v>8837.84</v>
      </c>
    </row>
    <row r="3324" spans="1:14" x14ac:dyDescent="0.25">
      <c r="A3324" s="4" t="s">
        <v>2274</v>
      </c>
      <c r="B3324" s="4" t="s">
        <v>4348</v>
      </c>
      <c r="C3324" s="4" t="s">
        <v>2344</v>
      </c>
      <c r="D3324" s="4" t="s">
        <v>237</v>
      </c>
      <c r="E3324" s="4" t="s">
        <v>4781</v>
      </c>
      <c r="F3324" s="4" t="s">
        <v>2544</v>
      </c>
      <c r="G3324" s="4" t="s">
        <v>2263</v>
      </c>
      <c r="H3324" s="9" t="s">
        <v>2263</v>
      </c>
      <c r="I3324" s="4" t="s">
        <v>2263</v>
      </c>
      <c r="J3324" s="4" t="s">
        <v>2263</v>
      </c>
      <c r="K3324" s="4" t="s">
        <v>2302</v>
      </c>
      <c r="L3324" s="10">
        <v>190</v>
      </c>
      <c r="M3324" s="5">
        <v>69.977477477477478</v>
      </c>
      <c r="N3324" s="5">
        <v>13295.720720720719</v>
      </c>
    </row>
    <row r="3325" spans="1:14" x14ac:dyDescent="0.25">
      <c r="A3325" s="4" t="s">
        <v>2317</v>
      </c>
      <c r="B3325" s="4" t="s">
        <v>3839</v>
      </c>
      <c r="C3325" s="4" t="s">
        <v>2320</v>
      </c>
      <c r="D3325" s="4" t="s">
        <v>242</v>
      </c>
      <c r="E3325" s="4" t="s">
        <v>3030</v>
      </c>
      <c r="F3325" s="4" t="s">
        <v>3029</v>
      </c>
      <c r="G3325" s="4" t="s">
        <v>2263</v>
      </c>
      <c r="H3325" s="9" t="s">
        <v>2263</v>
      </c>
      <c r="I3325" s="4" t="s">
        <v>2317</v>
      </c>
      <c r="J3325" s="4" t="s">
        <v>2316</v>
      </c>
      <c r="K3325" s="4" t="s">
        <v>2263</v>
      </c>
      <c r="L3325" s="10">
        <v>190</v>
      </c>
      <c r="M3325" s="5">
        <v>127.0005303030303</v>
      </c>
      <c r="N3325" s="5">
        <v>24130.100757575761</v>
      </c>
    </row>
    <row r="3326" spans="1:14" x14ac:dyDescent="0.25">
      <c r="A3326" s="4" t="s">
        <v>2274</v>
      </c>
      <c r="B3326" s="4" t="s">
        <v>4348</v>
      </c>
      <c r="C3326" s="4" t="s">
        <v>2344</v>
      </c>
      <c r="D3326" s="4" t="s">
        <v>237</v>
      </c>
      <c r="E3326" s="4" t="s">
        <v>4938</v>
      </c>
      <c r="F3326" s="4" t="s">
        <v>4937</v>
      </c>
      <c r="G3326" s="4" t="s">
        <v>2263</v>
      </c>
      <c r="H3326" s="9" t="s">
        <v>2263</v>
      </c>
      <c r="I3326" s="4" t="s">
        <v>2263</v>
      </c>
      <c r="J3326" s="4" t="s">
        <v>2263</v>
      </c>
      <c r="K3326" s="4" t="s">
        <v>4936</v>
      </c>
      <c r="L3326" s="10">
        <v>190</v>
      </c>
      <c r="M3326" s="5">
        <v>1469.3718840579709</v>
      </c>
      <c r="N3326" s="5">
        <v>279180.6579710145</v>
      </c>
    </row>
    <row r="3327" spans="1:14" x14ac:dyDescent="0.25">
      <c r="A3327" s="4" t="s">
        <v>2344</v>
      </c>
      <c r="B3327" s="4" t="s">
        <v>5154</v>
      </c>
      <c r="C3327" s="4" t="s">
        <v>3174</v>
      </c>
      <c r="D3327" s="4" t="s">
        <v>4347</v>
      </c>
      <c r="E3327" s="4" t="s">
        <v>5157</v>
      </c>
      <c r="F3327" s="4" t="s">
        <v>5156</v>
      </c>
      <c r="G3327" s="4" t="s">
        <v>2263</v>
      </c>
      <c r="H3327" s="9" t="s">
        <v>2263</v>
      </c>
      <c r="I3327" s="4" t="s">
        <v>2263</v>
      </c>
      <c r="J3327" s="4" t="s">
        <v>2263</v>
      </c>
      <c r="K3327" s="4" t="s">
        <v>5155</v>
      </c>
      <c r="L3327" s="10">
        <v>192</v>
      </c>
      <c r="M3327" s="5">
        <v>1</v>
      </c>
      <c r="N3327" s="5">
        <v>192</v>
      </c>
    </row>
    <row r="3328" spans="1:14" x14ac:dyDescent="0.25">
      <c r="A3328" s="4" t="s">
        <v>2274</v>
      </c>
      <c r="B3328" s="4" t="s">
        <v>4348</v>
      </c>
      <c r="C3328" s="4" t="s">
        <v>2344</v>
      </c>
      <c r="D3328" s="4" t="s">
        <v>237</v>
      </c>
      <c r="E3328" s="4" t="s">
        <v>4871</v>
      </c>
      <c r="F3328" s="4" t="s">
        <v>2604</v>
      </c>
      <c r="G3328" s="4" t="s">
        <v>2263</v>
      </c>
      <c r="H3328" s="9" t="s">
        <v>2263</v>
      </c>
      <c r="I3328" s="4" t="s">
        <v>2263</v>
      </c>
      <c r="J3328" s="4" t="s">
        <v>2263</v>
      </c>
      <c r="K3328" s="4" t="s">
        <v>2529</v>
      </c>
      <c r="L3328" s="10">
        <v>200</v>
      </c>
      <c r="M3328" s="5">
        <v>32.907160120845923</v>
      </c>
      <c r="N3328" s="5">
        <v>6581.4320241691803</v>
      </c>
    </row>
    <row r="3329" spans="1:14" x14ac:dyDescent="0.25">
      <c r="A3329" s="4" t="s">
        <v>2355</v>
      </c>
      <c r="B3329" s="4" t="s">
        <v>2354</v>
      </c>
      <c r="C3329" s="4" t="s">
        <v>2353</v>
      </c>
      <c r="D3329" s="4" t="s">
        <v>258</v>
      </c>
      <c r="E3329" s="4" t="s">
        <v>2352</v>
      </c>
      <c r="F3329" s="4" t="s">
        <v>2351</v>
      </c>
      <c r="G3329" s="4" t="s">
        <v>2263</v>
      </c>
      <c r="H3329" s="9" t="s">
        <v>2263</v>
      </c>
      <c r="I3329" s="4" t="s">
        <v>2317</v>
      </c>
      <c r="J3329" s="4" t="s">
        <v>2316</v>
      </c>
      <c r="K3329" s="4" t="s">
        <v>2263</v>
      </c>
      <c r="L3329" s="10">
        <v>200</v>
      </c>
      <c r="M3329" s="5">
        <v>78.211748148148146</v>
      </c>
      <c r="N3329" s="5">
        <v>15642.349629629631</v>
      </c>
    </row>
    <row r="3330" spans="1:14" x14ac:dyDescent="0.25">
      <c r="A3330" s="4" t="s">
        <v>2274</v>
      </c>
      <c r="B3330" s="4" t="s">
        <v>4348</v>
      </c>
      <c r="C3330" s="4" t="s">
        <v>2344</v>
      </c>
      <c r="D3330" s="4" t="s">
        <v>237</v>
      </c>
      <c r="E3330" s="4" t="s">
        <v>4854</v>
      </c>
      <c r="F3330" s="4" t="s">
        <v>4853</v>
      </c>
      <c r="G3330" s="4" t="s">
        <v>2263</v>
      </c>
      <c r="H3330" s="9" t="s">
        <v>2263</v>
      </c>
      <c r="I3330" s="4" t="s">
        <v>2263</v>
      </c>
      <c r="J3330" s="4" t="s">
        <v>2263</v>
      </c>
      <c r="K3330" s="4" t="s">
        <v>2602</v>
      </c>
      <c r="L3330" s="10">
        <v>200</v>
      </c>
      <c r="M3330" s="5">
        <v>80</v>
      </c>
      <c r="N3330" s="5">
        <v>16000</v>
      </c>
    </row>
    <row r="3331" spans="1:14" x14ac:dyDescent="0.25">
      <c r="A3331" s="4" t="s">
        <v>2274</v>
      </c>
      <c r="B3331" s="4" t="s">
        <v>4348</v>
      </c>
      <c r="C3331" s="4" t="s">
        <v>2344</v>
      </c>
      <c r="D3331" s="4" t="s">
        <v>237</v>
      </c>
      <c r="E3331" s="4" t="s">
        <v>4900</v>
      </c>
      <c r="F3331" s="4" t="s">
        <v>4899</v>
      </c>
      <c r="G3331" s="4" t="s">
        <v>2263</v>
      </c>
      <c r="H3331" s="9" t="s">
        <v>2263</v>
      </c>
      <c r="I3331" s="4" t="s">
        <v>2263</v>
      </c>
      <c r="J3331" s="4" t="s">
        <v>2263</v>
      </c>
      <c r="K3331" s="4" t="s">
        <v>2547</v>
      </c>
      <c r="L3331" s="10">
        <v>200</v>
      </c>
      <c r="M3331" s="5">
        <v>94.445161290322574</v>
      </c>
      <c r="N3331" s="5">
        <v>18889.032258064519</v>
      </c>
    </row>
    <row r="3332" spans="1:14" x14ac:dyDescent="0.25">
      <c r="A3332" s="4" t="s">
        <v>2274</v>
      </c>
      <c r="B3332" s="4" t="s">
        <v>4348</v>
      </c>
      <c r="C3332" s="4" t="s">
        <v>2344</v>
      </c>
      <c r="D3332" s="4" t="s">
        <v>237</v>
      </c>
      <c r="E3332" s="4" t="s">
        <v>4767</v>
      </c>
      <c r="F3332" s="4" t="s">
        <v>2574</v>
      </c>
      <c r="G3332" s="4" t="s">
        <v>2263</v>
      </c>
      <c r="H3332" s="9" t="s">
        <v>2263</v>
      </c>
      <c r="I3332" s="4" t="s">
        <v>2263</v>
      </c>
      <c r="J3332" s="4" t="s">
        <v>2263</v>
      </c>
      <c r="K3332" s="4" t="s">
        <v>2573</v>
      </c>
      <c r="L3332" s="10">
        <v>200</v>
      </c>
      <c r="M3332" s="5">
        <v>98.041532846715327</v>
      </c>
      <c r="N3332" s="5">
        <v>19608.306569343069</v>
      </c>
    </row>
    <row r="3333" spans="1:14" x14ac:dyDescent="0.25">
      <c r="A3333" s="4" t="s">
        <v>2317</v>
      </c>
      <c r="B3333" s="4" t="s">
        <v>3839</v>
      </c>
      <c r="C3333" s="4" t="s">
        <v>2320</v>
      </c>
      <c r="D3333" s="4" t="s">
        <v>242</v>
      </c>
      <c r="E3333" s="4" t="s">
        <v>3055</v>
      </c>
      <c r="F3333" s="4" t="s">
        <v>3054</v>
      </c>
      <c r="G3333" s="4" t="s">
        <v>2263</v>
      </c>
      <c r="H3333" s="9" t="s">
        <v>2263</v>
      </c>
      <c r="I3333" s="4" t="s">
        <v>2317</v>
      </c>
      <c r="J3333" s="4" t="s">
        <v>2316</v>
      </c>
      <c r="K3333" s="4" t="s">
        <v>2263</v>
      </c>
      <c r="L3333" s="10">
        <v>200</v>
      </c>
      <c r="M3333" s="5">
        <v>229.47137931034484</v>
      </c>
      <c r="N3333" s="5">
        <v>45894.275862068971</v>
      </c>
    </row>
    <row r="3334" spans="1:14" x14ac:dyDescent="0.25">
      <c r="A3334" s="4" t="s">
        <v>2274</v>
      </c>
      <c r="B3334" s="4" t="s">
        <v>4348</v>
      </c>
      <c r="C3334" s="4" t="s">
        <v>2344</v>
      </c>
      <c r="D3334" s="4" t="s">
        <v>237</v>
      </c>
      <c r="E3334" s="4" t="s">
        <v>4647</v>
      </c>
      <c r="F3334" s="4" t="s">
        <v>2618</v>
      </c>
      <c r="G3334" s="4" t="s">
        <v>2263</v>
      </c>
      <c r="H3334" s="9" t="s">
        <v>2263</v>
      </c>
      <c r="I3334" s="4" t="s">
        <v>2263</v>
      </c>
      <c r="J3334" s="4" t="s">
        <v>2263</v>
      </c>
      <c r="K3334" s="4" t="s">
        <v>2617</v>
      </c>
      <c r="L3334" s="10">
        <v>200</v>
      </c>
      <c r="M3334" s="5">
        <v>524.74826989619385</v>
      </c>
      <c r="N3334" s="5">
        <v>104949.65397923876</v>
      </c>
    </row>
    <row r="3335" spans="1:14" x14ac:dyDescent="0.25">
      <c r="A3335" s="4" t="s">
        <v>2317</v>
      </c>
      <c r="B3335" s="4" t="s">
        <v>3839</v>
      </c>
      <c r="C3335" s="4" t="s">
        <v>2320</v>
      </c>
      <c r="D3335" s="4" t="s">
        <v>242</v>
      </c>
      <c r="E3335" s="4" t="s">
        <v>3057</v>
      </c>
      <c r="F3335" s="4" t="s">
        <v>3056</v>
      </c>
      <c r="G3335" s="4" t="s">
        <v>2263</v>
      </c>
      <c r="H3335" s="9" t="s">
        <v>2263</v>
      </c>
      <c r="I3335" s="4" t="s">
        <v>2317</v>
      </c>
      <c r="J3335" s="4" t="s">
        <v>2316</v>
      </c>
      <c r="K3335" s="4" t="s">
        <v>2263</v>
      </c>
      <c r="L3335" s="10">
        <v>200</v>
      </c>
      <c r="M3335" s="5">
        <v>574.28377990430624</v>
      </c>
      <c r="N3335" s="5">
        <v>114856.75598086124</v>
      </c>
    </row>
    <row r="3336" spans="1:14" x14ac:dyDescent="0.25">
      <c r="A3336" s="4" t="s">
        <v>2317</v>
      </c>
      <c r="B3336" s="4" t="s">
        <v>3839</v>
      </c>
      <c r="C3336" s="4" t="s">
        <v>2320</v>
      </c>
      <c r="D3336" s="4" t="s">
        <v>242</v>
      </c>
      <c r="E3336" s="4" t="s">
        <v>2733</v>
      </c>
      <c r="F3336" s="4" t="s">
        <v>2732</v>
      </c>
      <c r="G3336" s="4" t="s">
        <v>2263</v>
      </c>
      <c r="H3336" s="9" t="s">
        <v>2263</v>
      </c>
      <c r="I3336" s="4" t="s">
        <v>2317</v>
      </c>
      <c r="J3336" s="4" t="s">
        <v>2316</v>
      </c>
      <c r="K3336" s="4" t="s">
        <v>2263</v>
      </c>
      <c r="L3336" s="10">
        <v>200</v>
      </c>
      <c r="M3336" s="5">
        <v>1014.9652030456853</v>
      </c>
      <c r="N3336" s="5">
        <v>202993.04060913704</v>
      </c>
    </row>
    <row r="3337" spans="1:14" x14ac:dyDescent="0.25">
      <c r="A3337" s="4" t="s">
        <v>2274</v>
      </c>
      <c r="B3337" s="4" t="s">
        <v>4348</v>
      </c>
      <c r="C3337" s="4" t="s">
        <v>2344</v>
      </c>
      <c r="D3337" s="4" t="s">
        <v>237</v>
      </c>
      <c r="E3337" s="4" t="s">
        <v>4768</v>
      </c>
      <c r="F3337" s="4" t="s">
        <v>2511</v>
      </c>
      <c r="G3337" s="4" t="s">
        <v>2263</v>
      </c>
      <c r="H3337" s="9" t="s">
        <v>2263</v>
      </c>
      <c r="I3337" s="4" t="s">
        <v>2263</v>
      </c>
      <c r="J3337" s="4" t="s">
        <v>2263</v>
      </c>
      <c r="K3337" s="4" t="s">
        <v>2510</v>
      </c>
      <c r="L3337" s="10">
        <v>200</v>
      </c>
      <c r="M3337" s="5">
        <v>1499.5596019900497</v>
      </c>
      <c r="N3337" s="5">
        <v>299911.92039800994</v>
      </c>
    </row>
    <row r="3338" spans="1:14" x14ac:dyDescent="0.25">
      <c r="A3338" s="4" t="s">
        <v>2274</v>
      </c>
      <c r="B3338" s="4" t="s">
        <v>4348</v>
      </c>
      <c r="C3338" s="4" t="s">
        <v>2344</v>
      </c>
      <c r="D3338" s="4" t="s">
        <v>237</v>
      </c>
      <c r="E3338" s="4" t="s">
        <v>4808</v>
      </c>
      <c r="F3338" s="4" t="s">
        <v>2446</v>
      </c>
      <c r="G3338" s="4" t="s">
        <v>2263</v>
      </c>
      <c r="H3338" s="9" t="s">
        <v>2263</v>
      </c>
      <c r="I3338" s="4" t="s">
        <v>2263</v>
      </c>
      <c r="J3338" s="4" t="s">
        <v>2263</v>
      </c>
      <c r="K3338" s="4" t="s">
        <v>2445</v>
      </c>
      <c r="L3338" s="10">
        <v>200</v>
      </c>
      <c r="M3338" s="5">
        <v>2039.23</v>
      </c>
      <c r="N3338" s="5">
        <v>407846</v>
      </c>
    </row>
    <row r="3339" spans="1:14" x14ac:dyDescent="0.25">
      <c r="A3339" s="4" t="s">
        <v>2317</v>
      </c>
      <c r="B3339" s="4" t="s">
        <v>3839</v>
      </c>
      <c r="C3339" s="4" t="s">
        <v>2320</v>
      </c>
      <c r="D3339" s="4" t="s">
        <v>242</v>
      </c>
      <c r="E3339" s="4" t="s">
        <v>3823</v>
      </c>
      <c r="F3339" s="4" t="s">
        <v>3822</v>
      </c>
      <c r="G3339" s="4" t="s">
        <v>2263</v>
      </c>
      <c r="H3339" s="9" t="s">
        <v>2263</v>
      </c>
      <c r="I3339" s="4" t="s">
        <v>2317</v>
      </c>
      <c r="J3339" s="4" t="s">
        <v>2316</v>
      </c>
      <c r="K3339" s="4" t="s">
        <v>2263</v>
      </c>
      <c r="L3339" s="10">
        <v>200</v>
      </c>
      <c r="M3339" s="5">
        <v>3443.6737588652481</v>
      </c>
      <c r="N3339" s="5">
        <v>688734.75177304971</v>
      </c>
    </row>
    <row r="3340" spans="1:14" x14ac:dyDescent="0.25">
      <c r="A3340" s="4" t="s">
        <v>2274</v>
      </c>
      <c r="B3340" s="4" t="s">
        <v>4348</v>
      </c>
      <c r="C3340" s="4" t="s">
        <v>2274</v>
      </c>
      <c r="D3340" s="4" t="s">
        <v>2273</v>
      </c>
      <c r="E3340" s="4" t="s">
        <v>4466</v>
      </c>
      <c r="F3340" s="4" t="s">
        <v>2530</v>
      </c>
      <c r="G3340" s="4" t="s">
        <v>2263</v>
      </c>
      <c r="H3340" s="9" t="s">
        <v>2263</v>
      </c>
      <c r="I3340" s="4" t="s">
        <v>2263</v>
      </c>
      <c r="J3340" s="4" t="s">
        <v>2263</v>
      </c>
      <c r="K3340" s="4" t="s">
        <v>2528</v>
      </c>
      <c r="L3340" s="10">
        <v>200</v>
      </c>
      <c r="M3340" s="5">
        <v>7654.5804154302668</v>
      </c>
      <c r="N3340" s="5">
        <v>1530916.0830860534</v>
      </c>
    </row>
    <row r="3341" spans="1:14" x14ac:dyDescent="0.25">
      <c r="A3341" s="4" t="s">
        <v>2320</v>
      </c>
      <c r="B3341" s="4" t="s">
        <v>4967</v>
      </c>
      <c r="C3341" s="4" t="s">
        <v>2320</v>
      </c>
      <c r="D3341" s="4" t="s">
        <v>242</v>
      </c>
      <c r="E3341" s="4" t="s">
        <v>3827</v>
      </c>
      <c r="F3341" s="4" t="s">
        <v>3826</v>
      </c>
      <c r="G3341" s="4" t="s">
        <v>2263</v>
      </c>
      <c r="H3341" s="9" t="s">
        <v>2263</v>
      </c>
      <c r="I3341" s="4" t="s">
        <v>2317</v>
      </c>
      <c r="J3341" s="4" t="s">
        <v>2316</v>
      </c>
      <c r="K3341" s="4" t="s">
        <v>2263</v>
      </c>
      <c r="L3341" s="10">
        <v>201</v>
      </c>
      <c r="M3341" s="5">
        <v>344.36824454281793</v>
      </c>
      <c r="N3341" s="5">
        <v>69218.017153106397</v>
      </c>
    </row>
    <row r="3342" spans="1:14" x14ac:dyDescent="0.25">
      <c r="A3342" s="4" t="s">
        <v>2653</v>
      </c>
      <c r="B3342" s="4" t="s">
        <v>3226</v>
      </c>
      <c r="C3342" s="4" t="s">
        <v>2353</v>
      </c>
      <c r="D3342" s="4" t="s">
        <v>258</v>
      </c>
      <c r="E3342" s="4" t="s">
        <v>3254</v>
      </c>
      <c r="F3342" s="4" t="s">
        <v>3253</v>
      </c>
      <c r="G3342" s="4" t="s">
        <v>2263</v>
      </c>
      <c r="H3342" s="9" t="s">
        <v>2263</v>
      </c>
      <c r="I3342" s="4" t="s">
        <v>2317</v>
      </c>
      <c r="J3342" s="4" t="s">
        <v>2316</v>
      </c>
      <c r="K3342" s="4" t="s">
        <v>2263</v>
      </c>
      <c r="L3342" s="10">
        <v>202</v>
      </c>
      <c r="M3342" s="5">
        <v>14534.460396039603</v>
      </c>
      <c r="N3342" s="5">
        <v>2935961</v>
      </c>
    </row>
    <row r="3343" spans="1:14" x14ac:dyDescent="0.25">
      <c r="A3343" s="4" t="s">
        <v>2274</v>
      </c>
      <c r="B3343" s="4" t="s">
        <v>4348</v>
      </c>
      <c r="C3343" s="4" t="s">
        <v>2344</v>
      </c>
      <c r="D3343" s="4" t="s">
        <v>237</v>
      </c>
      <c r="E3343" s="4" t="s">
        <v>4901</v>
      </c>
      <c r="F3343" s="4" t="s">
        <v>2651</v>
      </c>
      <c r="G3343" s="4" t="s">
        <v>2263</v>
      </c>
      <c r="H3343" s="9" t="s">
        <v>2263</v>
      </c>
      <c r="I3343" s="4" t="s">
        <v>2263</v>
      </c>
      <c r="J3343" s="4" t="s">
        <v>2263</v>
      </c>
      <c r="K3343" s="4" t="s">
        <v>2536</v>
      </c>
      <c r="L3343" s="10">
        <v>210</v>
      </c>
      <c r="M3343" s="5">
        <v>36.426829268292678</v>
      </c>
      <c r="N3343" s="5">
        <v>7649.6341463414601</v>
      </c>
    </row>
    <row r="3344" spans="1:14" x14ac:dyDescent="0.25">
      <c r="A3344" s="4" t="s">
        <v>2274</v>
      </c>
      <c r="B3344" s="4" t="s">
        <v>4348</v>
      </c>
      <c r="C3344" s="4" t="s">
        <v>2344</v>
      </c>
      <c r="D3344" s="4" t="s">
        <v>237</v>
      </c>
      <c r="E3344" s="4" t="s">
        <v>4531</v>
      </c>
      <c r="F3344" s="4" t="s">
        <v>2603</v>
      </c>
      <c r="G3344" s="4" t="s">
        <v>2263</v>
      </c>
      <c r="H3344" s="9" t="s">
        <v>2263</v>
      </c>
      <c r="I3344" s="4" t="s">
        <v>2263</v>
      </c>
      <c r="J3344" s="4" t="s">
        <v>2263</v>
      </c>
      <c r="K3344" s="4" t="s">
        <v>2602</v>
      </c>
      <c r="L3344" s="10">
        <v>210</v>
      </c>
      <c r="M3344" s="5">
        <v>199.88266666666667</v>
      </c>
      <c r="N3344" s="5">
        <v>41975.360000000001</v>
      </c>
    </row>
    <row r="3345" spans="1:14" x14ac:dyDescent="0.25">
      <c r="A3345" s="4" t="s">
        <v>2274</v>
      </c>
      <c r="B3345" s="4" t="s">
        <v>4348</v>
      </c>
      <c r="C3345" s="4" t="s">
        <v>2344</v>
      </c>
      <c r="D3345" s="4" t="s">
        <v>237</v>
      </c>
      <c r="E3345" s="4" t="s">
        <v>4830</v>
      </c>
      <c r="F3345" s="4" t="s">
        <v>4776</v>
      </c>
      <c r="G3345" s="4" t="s">
        <v>2263</v>
      </c>
      <c r="H3345" s="9" t="s">
        <v>2263</v>
      </c>
      <c r="I3345" s="4" t="s">
        <v>2263</v>
      </c>
      <c r="J3345" s="4" t="s">
        <v>2263</v>
      </c>
      <c r="K3345" s="4" t="s">
        <v>2465</v>
      </c>
      <c r="L3345" s="10">
        <v>210</v>
      </c>
      <c r="M3345" s="5">
        <v>346.33103448275858</v>
      </c>
      <c r="N3345" s="5">
        <v>72729.517241379304</v>
      </c>
    </row>
    <row r="3346" spans="1:14" x14ac:dyDescent="0.25">
      <c r="A3346" s="4" t="s">
        <v>2274</v>
      </c>
      <c r="B3346" s="4" t="s">
        <v>4348</v>
      </c>
      <c r="C3346" s="4" t="s">
        <v>2344</v>
      </c>
      <c r="D3346" s="4" t="s">
        <v>237</v>
      </c>
      <c r="E3346" s="4" t="s">
        <v>4801</v>
      </c>
      <c r="F3346" s="4" t="s">
        <v>4800</v>
      </c>
      <c r="G3346" s="4" t="s">
        <v>2263</v>
      </c>
      <c r="H3346" s="9" t="s">
        <v>2263</v>
      </c>
      <c r="I3346" s="4" t="s">
        <v>2263</v>
      </c>
      <c r="J3346" s="4" t="s">
        <v>2263</v>
      </c>
      <c r="K3346" s="4" t="s">
        <v>4799</v>
      </c>
      <c r="L3346" s="10">
        <v>210</v>
      </c>
      <c r="M3346" s="5">
        <v>777.09568627450983</v>
      </c>
      <c r="N3346" s="5">
        <v>163190.09411764707</v>
      </c>
    </row>
    <row r="3347" spans="1:14" x14ac:dyDescent="0.25">
      <c r="A3347" s="4" t="s">
        <v>2274</v>
      </c>
      <c r="B3347" s="4" t="s">
        <v>4348</v>
      </c>
      <c r="C3347" s="4" t="s">
        <v>2344</v>
      </c>
      <c r="D3347" s="4" t="s">
        <v>237</v>
      </c>
      <c r="E3347" s="4" t="s">
        <v>4640</v>
      </c>
      <c r="F3347" s="4" t="s">
        <v>4639</v>
      </c>
      <c r="G3347" s="4" t="s">
        <v>2263</v>
      </c>
      <c r="H3347" s="9" t="s">
        <v>2263</v>
      </c>
      <c r="I3347" s="4" t="s">
        <v>2263</v>
      </c>
      <c r="J3347" s="4" t="s">
        <v>2263</v>
      </c>
      <c r="K3347" s="4" t="s">
        <v>2580</v>
      </c>
      <c r="L3347" s="10">
        <v>211</v>
      </c>
      <c r="M3347" s="5">
        <v>7201.4065725806449</v>
      </c>
      <c r="N3347" s="5">
        <v>1519496.7868145162</v>
      </c>
    </row>
    <row r="3348" spans="1:14" x14ac:dyDescent="0.25">
      <c r="A3348" s="4" t="s">
        <v>2274</v>
      </c>
      <c r="B3348" s="4" t="s">
        <v>4348</v>
      </c>
      <c r="C3348" s="4" t="s">
        <v>2344</v>
      </c>
      <c r="D3348" s="4" t="s">
        <v>237</v>
      </c>
      <c r="E3348" s="4" t="s">
        <v>3061</v>
      </c>
      <c r="F3348" s="4" t="s">
        <v>3048</v>
      </c>
      <c r="G3348" s="4" t="s">
        <v>2263</v>
      </c>
      <c r="H3348" s="9" t="s">
        <v>2263</v>
      </c>
      <c r="I3348" s="4" t="s">
        <v>2263</v>
      </c>
      <c r="J3348" s="4" t="s">
        <v>2263</v>
      </c>
      <c r="K3348" s="4" t="s">
        <v>3047</v>
      </c>
      <c r="L3348" s="10">
        <v>213</v>
      </c>
      <c r="M3348" s="5">
        <v>1652.1557466063348</v>
      </c>
      <c r="N3348" s="5">
        <v>351909.17402714933</v>
      </c>
    </row>
    <row r="3349" spans="1:14" x14ac:dyDescent="0.25">
      <c r="A3349" s="4" t="s">
        <v>2344</v>
      </c>
      <c r="B3349" s="4" t="s">
        <v>5154</v>
      </c>
      <c r="C3349" s="4" t="s">
        <v>2320</v>
      </c>
      <c r="D3349" s="4" t="s">
        <v>242</v>
      </c>
      <c r="E3349" s="4" t="s">
        <v>2368</v>
      </c>
      <c r="F3349" s="4" t="s">
        <v>2367</v>
      </c>
      <c r="G3349" s="4" t="s">
        <v>2263</v>
      </c>
      <c r="H3349" s="9" t="s">
        <v>2263</v>
      </c>
      <c r="I3349" s="4" t="s">
        <v>2317</v>
      </c>
      <c r="J3349" s="4" t="s">
        <v>2316</v>
      </c>
      <c r="K3349" s="4" t="s">
        <v>2263</v>
      </c>
      <c r="L3349" s="10">
        <v>217</v>
      </c>
      <c r="M3349" s="5">
        <v>789.38775295663606</v>
      </c>
      <c r="N3349" s="5">
        <v>171297.14239158999</v>
      </c>
    </row>
    <row r="3350" spans="1:14" x14ac:dyDescent="0.25">
      <c r="A3350" s="4" t="s">
        <v>2653</v>
      </c>
      <c r="B3350" s="4" t="s">
        <v>3226</v>
      </c>
      <c r="C3350" s="4" t="s">
        <v>2353</v>
      </c>
      <c r="D3350" s="4" t="s">
        <v>258</v>
      </c>
      <c r="E3350" s="4" t="s">
        <v>3286</v>
      </c>
      <c r="F3350" s="4" t="s">
        <v>3285</v>
      </c>
      <c r="G3350" s="4" t="s">
        <v>2263</v>
      </c>
      <c r="H3350" s="9" t="s">
        <v>2263</v>
      </c>
      <c r="I3350" s="4" t="s">
        <v>2317</v>
      </c>
      <c r="J3350" s="4" t="s">
        <v>2316</v>
      </c>
      <c r="K3350" s="4" t="s">
        <v>2263</v>
      </c>
      <c r="L3350" s="10">
        <v>219</v>
      </c>
      <c r="M3350" s="5">
        <v>2997.7990867579911</v>
      </c>
      <c r="N3350" s="5">
        <v>656518</v>
      </c>
    </row>
    <row r="3351" spans="1:14" x14ac:dyDescent="0.25">
      <c r="A3351" s="4" t="s">
        <v>2317</v>
      </c>
      <c r="B3351" s="4" t="s">
        <v>3839</v>
      </c>
      <c r="C3351" s="4" t="s">
        <v>2320</v>
      </c>
      <c r="D3351" s="4" t="s">
        <v>242</v>
      </c>
      <c r="E3351" s="4" t="s">
        <v>4095</v>
      </c>
      <c r="F3351" s="4" t="s">
        <v>4094</v>
      </c>
      <c r="G3351" s="4" t="s">
        <v>2263</v>
      </c>
      <c r="H3351" s="9" t="s">
        <v>2263</v>
      </c>
      <c r="I3351" s="4" t="s">
        <v>2317</v>
      </c>
      <c r="J3351" s="4" t="s">
        <v>2316</v>
      </c>
      <c r="K3351" s="4" t="s">
        <v>2263</v>
      </c>
      <c r="L3351" s="10">
        <v>220</v>
      </c>
      <c r="M3351" s="5">
        <v>364.64433544303796</v>
      </c>
      <c r="N3351" s="5">
        <v>80221.753797468351</v>
      </c>
    </row>
    <row r="3352" spans="1:14" x14ac:dyDescent="0.25">
      <c r="A3352" s="4" t="s">
        <v>2344</v>
      </c>
      <c r="B3352" s="4" t="s">
        <v>5154</v>
      </c>
      <c r="C3352" s="4" t="s">
        <v>3174</v>
      </c>
      <c r="D3352" s="4" t="s">
        <v>4347</v>
      </c>
      <c r="E3352" s="4" t="s">
        <v>5160</v>
      </c>
      <c r="F3352" s="4" t="s">
        <v>5159</v>
      </c>
      <c r="G3352" s="4" t="s">
        <v>2263</v>
      </c>
      <c r="H3352" s="9" t="s">
        <v>2263</v>
      </c>
      <c r="I3352" s="4" t="s">
        <v>2263</v>
      </c>
      <c r="J3352" s="4" t="s">
        <v>2263</v>
      </c>
      <c r="K3352" s="4" t="s">
        <v>5158</v>
      </c>
      <c r="L3352" s="10">
        <v>221</v>
      </c>
      <c r="M3352" s="5">
        <v>0.38914027149321201</v>
      </c>
      <c r="N3352" s="5">
        <v>86</v>
      </c>
    </row>
    <row r="3353" spans="1:14" x14ac:dyDescent="0.25">
      <c r="A3353" s="4" t="s">
        <v>2274</v>
      </c>
      <c r="B3353" s="4" t="s">
        <v>4348</v>
      </c>
      <c r="C3353" s="4" t="s">
        <v>2344</v>
      </c>
      <c r="D3353" s="4" t="s">
        <v>237</v>
      </c>
      <c r="E3353" s="4" t="s">
        <v>2750</v>
      </c>
      <c r="F3353" s="4" t="s">
        <v>2749</v>
      </c>
      <c r="G3353" s="4" t="s">
        <v>2263</v>
      </c>
      <c r="H3353" s="9" t="s">
        <v>2263</v>
      </c>
      <c r="I3353" s="4" t="s">
        <v>2263</v>
      </c>
      <c r="J3353" s="4" t="s">
        <v>2263</v>
      </c>
      <c r="K3353" s="4" t="s">
        <v>2748</v>
      </c>
      <c r="L3353" s="10">
        <v>224</v>
      </c>
      <c r="M3353" s="5">
        <v>2878.8739788732396</v>
      </c>
      <c r="N3353" s="5">
        <v>644867.7712676056</v>
      </c>
    </row>
    <row r="3354" spans="1:14" x14ac:dyDescent="0.25">
      <c r="A3354" s="4" t="s">
        <v>2653</v>
      </c>
      <c r="B3354" s="4" t="s">
        <v>3226</v>
      </c>
      <c r="C3354" s="4" t="s">
        <v>3801</v>
      </c>
      <c r="D3354" s="4" t="s">
        <v>3800</v>
      </c>
      <c r="E3354" s="4" t="s">
        <v>3815</v>
      </c>
      <c r="F3354" s="4" t="s">
        <v>3814</v>
      </c>
      <c r="G3354" s="4" t="s">
        <v>2263</v>
      </c>
      <c r="H3354" s="9" t="s">
        <v>2263</v>
      </c>
      <c r="I3354" s="4" t="s">
        <v>2317</v>
      </c>
      <c r="J3354" s="4" t="s">
        <v>2316</v>
      </c>
      <c r="K3354" s="4" t="s">
        <v>2263</v>
      </c>
      <c r="L3354" s="10">
        <v>230</v>
      </c>
      <c r="M3354" s="5">
        <v>497.77</v>
      </c>
      <c r="N3354" s="5">
        <v>114487.1</v>
      </c>
    </row>
    <row r="3355" spans="1:14" x14ac:dyDescent="0.25">
      <c r="A3355" s="4" t="s">
        <v>2274</v>
      </c>
      <c r="B3355" s="4" t="s">
        <v>4348</v>
      </c>
      <c r="C3355" s="4" t="s">
        <v>2344</v>
      </c>
      <c r="D3355" s="4" t="s">
        <v>237</v>
      </c>
      <c r="E3355" s="4" t="s">
        <v>4942</v>
      </c>
      <c r="F3355" s="4" t="s">
        <v>2650</v>
      </c>
      <c r="G3355" s="4" t="s">
        <v>2263</v>
      </c>
      <c r="H3355" s="9" t="s">
        <v>2263</v>
      </c>
      <c r="I3355" s="4" t="s">
        <v>2263</v>
      </c>
      <c r="J3355" s="4" t="s">
        <v>2263</v>
      </c>
      <c r="K3355" s="4" t="s">
        <v>2536</v>
      </c>
      <c r="L3355" s="10">
        <v>230</v>
      </c>
      <c r="M3355" s="5">
        <v>896.96382252559727</v>
      </c>
      <c r="N3355" s="5">
        <v>206301.67918088735</v>
      </c>
    </row>
    <row r="3356" spans="1:14" x14ac:dyDescent="0.25">
      <c r="A3356" s="4" t="s">
        <v>2317</v>
      </c>
      <c r="B3356" s="4" t="s">
        <v>3839</v>
      </c>
      <c r="C3356" s="4" t="s">
        <v>2320</v>
      </c>
      <c r="D3356" s="4" t="s">
        <v>242</v>
      </c>
      <c r="E3356" s="4" t="s">
        <v>3153</v>
      </c>
      <c r="F3356" s="4" t="s">
        <v>3152</v>
      </c>
      <c r="G3356" s="4" t="s">
        <v>2263</v>
      </c>
      <c r="H3356" s="9" t="s">
        <v>2263</v>
      </c>
      <c r="I3356" s="4" t="s">
        <v>2317</v>
      </c>
      <c r="J3356" s="4" t="s">
        <v>2316</v>
      </c>
      <c r="K3356" s="4" t="s">
        <v>2263</v>
      </c>
      <c r="L3356" s="10">
        <v>230</v>
      </c>
      <c r="M3356" s="5">
        <v>1195.9290592334494</v>
      </c>
      <c r="N3356" s="5">
        <v>275063.68362369336</v>
      </c>
    </row>
    <row r="3357" spans="1:14" x14ac:dyDescent="0.25">
      <c r="A3357" s="4" t="s">
        <v>2317</v>
      </c>
      <c r="B3357" s="4" t="s">
        <v>3839</v>
      </c>
      <c r="C3357" s="4" t="s">
        <v>2320</v>
      </c>
      <c r="D3357" s="4" t="s">
        <v>242</v>
      </c>
      <c r="E3357" s="4" t="s">
        <v>3010</v>
      </c>
      <c r="F3357" s="4" t="s">
        <v>3009</v>
      </c>
      <c r="G3357" s="4" t="s">
        <v>2263</v>
      </c>
      <c r="H3357" s="9" t="s">
        <v>2263</v>
      </c>
      <c r="I3357" s="4" t="s">
        <v>2317</v>
      </c>
      <c r="J3357" s="4" t="s">
        <v>2316</v>
      </c>
      <c r="K3357" s="4" t="s">
        <v>2263</v>
      </c>
      <c r="L3357" s="10">
        <v>233</v>
      </c>
      <c r="M3357" s="5">
        <v>1096.6616541353383</v>
      </c>
      <c r="N3357" s="5">
        <v>255522.16541353383</v>
      </c>
    </row>
    <row r="3358" spans="1:14" x14ac:dyDescent="0.25">
      <c r="A3358" s="4" t="s">
        <v>2317</v>
      </c>
      <c r="B3358" s="4" t="s">
        <v>3839</v>
      </c>
      <c r="C3358" s="4" t="s">
        <v>2320</v>
      </c>
      <c r="D3358" s="4" t="s">
        <v>242</v>
      </c>
      <c r="E3358" s="4" t="s">
        <v>3160</v>
      </c>
      <c r="F3358" s="4" t="s">
        <v>3159</v>
      </c>
      <c r="G3358" s="4" t="s">
        <v>2263</v>
      </c>
      <c r="H3358" s="9" t="s">
        <v>2263</v>
      </c>
      <c r="I3358" s="4" t="s">
        <v>2317</v>
      </c>
      <c r="J3358" s="4" t="s">
        <v>2316</v>
      </c>
      <c r="K3358" s="4" t="s">
        <v>2263</v>
      </c>
      <c r="L3358" s="10">
        <v>236</v>
      </c>
      <c r="M3358" s="5">
        <v>997.91805460750845</v>
      </c>
      <c r="N3358" s="5">
        <v>235508.66088737201</v>
      </c>
    </row>
    <row r="3359" spans="1:14" x14ac:dyDescent="0.25">
      <c r="A3359" s="4" t="s">
        <v>2344</v>
      </c>
      <c r="B3359" s="4" t="s">
        <v>5154</v>
      </c>
      <c r="C3359" s="4" t="s">
        <v>2344</v>
      </c>
      <c r="D3359" s="4" t="s">
        <v>237</v>
      </c>
      <c r="E3359" s="4" t="s">
        <v>2350</v>
      </c>
      <c r="F3359" s="4" t="s">
        <v>2349</v>
      </c>
      <c r="G3359" s="4" t="s">
        <v>2263</v>
      </c>
      <c r="H3359" s="9" t="s">
        <v>2263</v>
      </c>
      <c r="I3359" s="4" t="s">
        <v>2263</v>
      </c>
      <c r="J3359" s="4" t="s">
        <v>2263</v>
      </c>
      <c r="K3359" s="4" t="s">
        <v>2348</v>
      </c>
      <c r="L3359" s="10">
        <v>242</v>
      </c>
      <c r="M3359" s="5">
        <v>709.34430088495583</v>
      </c>
      <c r="N3359" s="5">
        <v>171661.32081415929</v>
      </c>
    </row>
    <row r="3360" spans="1:14" x14ac:dyDescent="0.25">
      <c r="A3360" s="4" t="s">
        <v>2344</v>
      </c>
      <c r="B3360" s="4" t="s">
        <v>5154</v>
      </c>
      <c r="C3360" s="4" t="s">
        <v>2344</v>
      </c>
      <c r="D3360" s="4" t="s">
        <v>237</v>
      </c>
      <c r="E3360" s="4" t="s">
        <v>4780</v>
      </c>
      <c r="F3360" s="4" t="s">
        <v>2587</v>
      </c>
      <c r="G3360" s="4" t="s">
        <v>2263</v>
      </c>
      <c r="H3360" s="9" t="s">
        <v>2263</v>
      </c>
      <c r="I3360" s="4" t="s">
        <v>2263</v>
      </c>
      <c r="J3360" s="4" t="s">
        <v>2263</v>
      </c>
      <c r="K3360" s="4" t="s">
        <v>2520</v>
      </c>
      <c r="L3360" s="10">
        <v>247</v>
      </c>
      <c r="M3360" s="5">
        <v>39.787166437414029</v>
      </c>
      <c r="N3360" s="5">
        <v>9827.4301100412704</v>
      </c>
    </row>
    <row r="3361" spans="1:14" x14ac:dyDescent="0.25">
      <c r="A3361" s="4" t="s">
        <v>2344</v>
      </c>
      <c r="B3361" s="4" t="s">
        <v>5154</v>
      </c>
      <c r="C3361" s="4" t="s">
        <v>2320</v>
      </c>
      <c r="D3361" s="4" t="s">
        <v>242</v>
      </c>
      <c r="E3361" s="4" t="s">
        <v>2719</v>
      </c>
      <c r="F3361" s="4" t="s">
        <v>2718</v>
      </c>
      <c r="G3361" s="4" t="s">
        <v>2263</v>
      </c>
      <c r="H3361" s="9" t="s">
        <v>2263</v>
      </c>
      <c r="I3361" s="4" t="s">
        <v>2317</v>
      </c>
      <c r="J3361" s="4" t="s">
        <v>2316</v>
      </c>
      <c r="K3361" s="4" t="s">
        <v>2263</v>
      </c>
      <c r="L3361" s="10">
        <v>247</v>
      </c>
      <c r="M3361" s="5">
        <v>863.47163555555562</v>
      </c>
      <c r="N3361" s="5">
        <v>213277.49398222225</v>
      </c>
    </row>
    <row r="3362" spans="1:14" x14ac:dyDescent="0.25">
      <c r="A3362" s="4" t="s">
        <v>2653</v>
      </c>
      <c r="B3362" s="4" t="s">
        <v>3226</v>
      </c>
      <c r="C3362" s="4" t="s">
        <v>3107</v>
      </c>
      <c r="D3362" s="4" t="s">
        <v>1105</v>
      </c>
      <c r="E3362" s="4" t="s">
        <v>3689</v>
      </c>
      <c r="F3362" s="4" t="s">
        <v>3688</v>
      </c>
      <c r="G3362" s="4" t="s">
        <v>2263</v>
      </c>
      <c r="H3362" s="9" t="s">
        <v>2263</v>
      </c>
      <c r="I3362" s="4" t="s">
        <v>2317</v>
      </c>
      <c r="J3362" s="4" t="s">
        <v>2316</v>
      </c>
      <c r="K3362" s="4" t="s">
        <v>2263</v>
      </c>
      <c r="L3362" s="10">
        <v>248</v>
      </c>
      <c r="M3362" s="5">
        <v>924.67298387096764</v>
      </c>
      <c r="N3362" s="5">
        <v>229318.9</v>
      </c>
    </row>
    <row r="3363" spans="1:14" x14ac:dyDescent="0.25">
      <c r="A3363" s="4" t="s">
        <v>2317</v>
      </c>
      <c r="B3363" s="4" t="s">
        <v>3839</v>
      </c>
      <c r="C3363" s="4" t="s">
        <v>2320</v>
      </c>
      <c r="D3363" s="4" t="s">
        <v>242</v>
      </c>
      <c r="E3363" s="4" t="s">
        <v>2420</v>
      </c>
      <c r="F3363" s="4" t="s">
        <v>2419</v>
      </c>
      <c r="G3363" s="4" t="s">
        <v>2263</v>
      </c>
      <c r="H3363" s="9" t="s">
        <v>2263</v>
      </c>
      <c r="I3363" s="4" t="s">
        <v>2317</v>
      </c>
      <c r="J3363" s="4" t="s">
        <v>2316</v>
      </c>
      <c r="K3363" s="4" t="s">
        <v>2263</v>
      </c>
      <c r="L3363" s="10">
        <v>250</v>
      </c>
      <c r="M3363" s="5">
        <v>-1276.1739304812834</v>
      </c>
      <c r="N3363" s="5">
        <v>-319043.48262032086</v>
      </c>
    </row>
    <row r="3364" spans="1:14" x14ac:dyDescent="0.25">
      <c r="A3364" s="4" t="s">
        <v>2653</v>
      </c>
      <c r="B3364" s="4" t="s">
        <v>3226</v>
      </c>
      <c r="C3364" s="4" t="s">
        <v>2320</v>
      </c>
      <c r="D3364" s="4" t="s">
        <v>242</v>
      </c>
      <c r="E3364" s="4" t="s">
        <v>3831</v>
      </c>
      <c r="F3364" s="4" t="s">
        <v>3830</v>
      </c>
      <c r="G3364" s="4" t="s">
        <v>2263</v>
      </c>
      <c r="H3364" s="9" t="s">
        <v>2263</v>
      </c>
      <c r="I3364" s="4" t="s">
        <v>2317</v>
      </c>
      <c r="J3364" s="4" t="s">
        <v>2316</v>
      </c>
      <c r="K3364" s="4" t="s">
        <v>2263</v>
      </c>
      <c r="L3364" s="10">
        <v>250</v>
      </c>
      <c r="M3364" s="5">
        <v>82.798867924528309</v>
      </c>
      <c r="N3364" s="5">
        <v>20699.716981132078</v>
      </c>
    </row>
    <row r="3365" spans="1:14" x14ac:dyDescent="0.25">
      <c r="A3365" s="4" t="s">
        <v>2274</v>
      </c>
      <c r="B3365" s="4" t="s">
        <v>4348</v>
      </c>
      <c r="C3365" s="4" t="s">
        <v>2344</v>
      </c>
      <c r="D3365" s="4" t="s">
        <v>237</v>
      </c>
      <c r="E3365" s="4" t="s">
        <v>4736</v>
      </c>
      <c r="F3365" s="4" t="s">
        <v>2555</v>
      </c>
      <c r="G3365" s="4" t="s">
        <v>2263</v>
      </c>
      <c r="H3365" s="9" t="s">
        <v>2263</v>
      </c>
      <c r="I3365" s="4" t="s">
        <v>2263</v>
      </c>
      <c r="J3365" s="4" t="s">
        <v>2263</v>
      </c>
      <c r="K3365" s="4" t="s">
        <v>2494</v>
      </c>
      <c r="L3365" s="10">
        <v>250</v>
      </c>
      <c r="M3365" s="5">
        <v>288</v>
      </c>
      <c r="N3365" s="5">
        <v>72000</v>
      </c>
    </row>
    <row r="3366" spans="1:14" x14ac:dyDescent="0.25">
      <c r="A3366" s="4" t="s">
        <v>2653</v>
      </c>
      <c r="B3366" s="4" t="s">
        <v>3226</v>
      </c>
      <c r="C3366" s="4" t="s">
        <v>2320</v>
      </c>
      <c r="D3366" s="4" t="s">
        <v>242</v>
      </c>
      <c r="E3366" s="4" t="s">
        <v>3825</v>
      </c>
      <c r="F3366" s="4" t="s">
        <v>3824</v>
      </c>
      <c r="G3366" s="4" t="s">
        <v>2263</v>
      </c>
      <c r="H3366" s="9" t="s">
        <v>2263</v>
      </c>
      <c r="I3366" s="4" t="s">
        <v>2317</v>
      </c>
      <c r="J3366" s="4" t="s">
        <v>2316</v>
      </c>
      <c r="K3366" s="4" t="s">
        <v>2263</v>
      </c>
      <c r="L3366" s="10">
        <v>250</v>
      </c>
      <c r="M3366" s="5">
        <v>646.46484434320428</v>
      </c>
      <c r="N3366" s="5">
        <v>161616.21108580107</v>
      </c>
    </row>
    <row r="3367" spans="1:14" x14ac:dyDescent="0.25">
      <c r="A3367" s="4" t="s">
        <v>2344</v>
      </c>
      <c r="B3367" s="4" t="s">
        <v>5154</v>
      </c>
      <c r="C3367" s="4" t="s">
        <v>2320</v>
      </c>
      <c r="D3367" s="4" t="s">
        <v>242</v>
      </c>
      <c r="E3367" s="4" t="s">
        <v>4109</v>
      </c>
      <c r="F3367" s="4" t="s">
        <v>4108</v>
      </c>
      <c r="G3367" s="4" t="s">
        <v>2263</v>
      </c>
      <c r="H3367" s="9" t="s">
        <v>2263</v>
      </c>
      <c r="I3367" s="4" t="s">
        <v>2317</v>
      </c>
      <c r="J3367" s="4" t="s">
        <v>2316</v>
      </c>
      <c r="K3367" s="4" t="s">
        <v>2263</v>
      </c>
      <c r="L3367" s="10">
        <v>250</v>
      </c>
      <c r="M3367" s="5">
        <v>818.82290598290604</v>
      </c>
      <c r="N3367" s="5">
        <v>204705.72649572647</v>
      </c>
    </row>
    <row r="3368" spans="1:14" x14ac:dyDescent="0.25">
      <c r="A3368" s="4" t="s">
        <v>2274</v>
      </c>
      <c r="B3368" s="4" t="s">
        <v>4348</v>
      </c>
      <c r="C3368" s="4" t="s">
        <v>2317</v>
      </c>
      <c r="D3368" s="4" t="s">
        <v>2516</v>
      </c>
      <c r="E3368" s="4" t="s">
        <v>4440</v>
      </c>
      <c r="F3368" s="4" t="s">
        <v>2525</v>
      </c>
      <c r="G3368" s="4" t="s">
        <v>2263</v>
      </c>
      <c r="H3368" s="9" t="s">
        <v>2263</v>
      </c>
      <c r="I3368" s="4" t="s">
        <v>2263</v>
      </c>
      <c r="J3368" s="4" t="s">
        <v>2263</v>
      </c>
      <c r="K3368" s="4" t="s">
        <v>2524</v>
      </c>
      <c r="L3368" s="10">
        <v>250</v>
      </c>
      <c r="M3368" s="5">
        <v>11095.527847222223</v>
      </c>
      <c r="N3368" s="5">
        <v>2773881.9618055555</v>
      </c>
    </row>
    <row r="3369" spans="1:14" x14ac:dyDescent="0.25">
      <c r="A3369" s="4" t="s">
        <v>2274</v>
      </c>
      <c r="B3369" s="4" t="s">
        <v>4348</v>
      </c>
      <c r="C3369" s="4" t="s">
        <v>2344</v>
      </c>
      <c r="D3369" s="4" t="s">
        <v>237</v>
      </c>
      <c r="E3369" s="4" t="s">
        <v>4586</v>
      </c>
      <c r="F3369" s="4" t="s">
        <v>4585</v>
      </c>
      <c r="G3369" s="4" t="s">
        <v>2263</v>
      </c>
      <c r="H3369" s="9" t="s">
        <v>2263</v>
      </c>
      <c r="I3369" s="4" t="s">
        <v>2263</v>
      </c>
      <c r="J3369" s="4" t="s">
        <v>2263</v>
      </c>
      <c r="K3369" s="4" t="s">
        <v>2305</v>
      </c>
      <c r="L3369" s="10">
        <v>252</v>
      </c>
      <c r="M3369" s="5">
        <v>59.17232876712329</v>
      </c>
      <c r="N3369" s="5">
        <v>14911.42684931507</v>
      </c>
    </row>
    <row r="3370" spans="1:14" x14ac:dyDescent="0.25">
      <c r="A3370" s="4" t="s">
        <v>2320</v>
      </c>
      <c r="B3370" s="4" t="s">
        <v>4967</v>
      </c>
      <c r="C3370" s="4" t="s">
        <v>2320</v>
      </c>
      <c r="D3370" s="4" t="s">
        <v>242</v>
      </c>
      <c r="E3370" s="4" t="s">
        <v>2705</v>
      </c>
      <c r="F3370" s="4" t="s">
        <v>2704</v>
      </c>
      <c r="G3370" s="4" t="s">
        <v>2263</v>
      </c>
      <c r="H3370" s="9" t="s">
        <v>2263</v>
      </c>
      <c r="I3370" s="4" t="s">
        <v>2317</v>
      </c>
      <c r="J3370" s="4" t="s">
        <v>2316</v>
      </c>
      <c r="K3370" s="4" t="s">
        <v>2263</v>
      </c>
      <c r="L3370" s="10">
        <v>254</v>
      </c>
      <c r="M3370" s="5">
        <v>223.90058038692462</v>
      </c>
      <c r="N3370" s="5">
        <v>56870.74741827885</v>
      </c>
    </row>
    <row r="3371" spans="1:14" x14ac:dyDescent="0.25">
      <c r="A3371" s="4" t="s">
        <v>2344</v>
      </c>
      <c r="B3371" s="4" t="s">
        <v>5154</v>
      </c>
      <c r="C3371" s="4" t="s">
        <v>2320</v>
      </c>
      <c r="D3371" s="4" t="s">
        <v>242</v>
      </c>
      <c r="E3371" s="4" t="s">
        <v>2735</v>
      </c>
      <c r="F3371" s="4" t="s">
        <v>2734</v>
      </c>
      <c r="G3371" s="4" t="s">
        <v>2263</v>
      </c>
      <c r="H3371" s="9" t="s">
        <v>2263</v>
      </c>
      <c r="I3371" s="4" t="s">
        <v>2317</v>
      </c>
      <c r="J3371" s="4" t="s">
        <v>2316</v>
      </c>
      <c r="K3371" s="4" t="s">
        <v>2263</v>
      </c>
      <c r="L3371" s="10">
        <v>258</v>
      </c>
      <c r="M3371" s="5">
        <v>1204.1314579901152</v>
      </c>
      <c r="N3371" s="5">
        <v>310665.91616144974</v>
      </c>
    </row>
    <row r="3372" spans="1:14" x14ac:dyDescent="0.25">
      <c r="A3372" s="4" t="s">
        <v>2344</v>
      </c>
      <c r="B3372" s="4" t="s">
        <v>5154</v>
      </c>
      <c r="C3372" s="4" t="s">
        <v>2344</v>
      </c>
      <c r="D3372" s="4" t="s">
        <v>237</v>
      </c>
      <c r="E3372" s="4" t="s">
        <v>4586</v>
      </c>
      <c r="F3372" s="4" t="s">
        <v>4585</v>
      </c>
      <c r="G3372" s="4" t="s">
        <v>2263</v>
      </c>
      <c r="H3372" s="9" t="s">
        <v>2263</v>
      </c>
      <c r="I3372" s="4" t="s">
        <v>2263</v>
      </c>
      <c r="J3372" s="4" t="s">
        <v>2263</v>
      </c>
      <c r="K3372" s="4" t="s">
        <v>2305</v>
      </c>
      <c r="L3372" s="10">
        <v>259</v>
      </c>
      <c r="M3372" s="5">
        <v>59.17232876712329</v>
      </c>
      <c r="N3372" s="5">
        <v>15325.633150684929</v>
      </c>
    </row>
    <row r="3373" spans="1:14" x14ac:dyDescent="0.25">
      <c r="A3373" s="4" t="s">
        <v>2274</v>
      </c>
      <c r="B3373" s="4" t="s">
        <v>4348</v>
      </c>
      <c r="C3373" s="4" t="s">
        <v>2344</v>
      </c>
      <c r="D3373" s="4" t="s">
        <v>237</v>
      </c>
      <c r="E3373" s="4" t="s">
        <v>4824</v>
      </c>
      <c r="F3373" s="4" t="s">
        <v>4823</v>
      </c>
      <c r="G3373" s="4" t="s">
        <v>2263</v>
      </c>
      <c r="H3373" s="9" t="s">
        <v>2263</v>
      </c>
      <c r="I3373" s="4" t="s">
        <v>2263</v>
      </c>
      <c r="J3373" s="4" t="s">
        <v>2263</v>
      </c>
      <c r="K3373" s="4" t="s">
        <v>2465</v>
      </c>
      <c r="L3373" s="10">
        <v>260</v>
      </c>
      <c r="M3373" s="5">
        <v>43</v>
      </c>
      <c r="N3373" s="5">
        <v>11180</v>
      </c>
    </row>
    <row r="3374" spans="1:14" x14ac:dyDescent="0.25">
      <c r="A3374" s="4" t="s">
        <v>2344</v>
      </c>
      <c r="B3374" s="4" t="s">
        <v>5154</v>
      </c>
      <c r="C3374" s="4" t="s">
        <v>2344</v>
      </c>
      <c r="D3374" s="4" t="s">
        <v>237</v>
      </c>
      <c r="E3374" s="4" t="s">
        <v>4696</v>
      </c>
      <c r="F3374" s="4" t="s">
        <v>2608</v>
      </c>
      <c r="G3374" s="4" t="s">
        <v>2263</v>
      </c>
      <c r="H3374" s="9" t="s">
        <v>2263</v>
      </c>
      <c r="I3374" s="4" t="s">
        <v>2263</v>
      </c>
      <c r="J3374" s="4" t="s">
        <v>2263</v>
      </c>
      <c r="K3374" s="4" t="s">
        <v>2536</v>
      </c>
      <c r="L3374" s="10">
        <v>261</v>
      </c>
      <c r="M3374" s="5">
        <v>35.944785992217895</v>
      </c>
      <c r="N3374" s="5">
        <v>9381.5891439688694</v>
      </c>
    </row>
    <row r="3375" spans="1:14" x14ac:dyDescent="0.25">
      <c r="A3375" s="4" t="s">
        <v>2344</v>
      </c>
      <c r="B3375" s="4" t="s">
        <v>5154</v>
      </c>
      <c r="C3375" s="4" t="s">
        <v>2320</v>
      </c>
      <c r="D3375" s="4" t="s">
        <v>242</v>
      </c>
      <c r="E3375" s="4" t="s">
        <v>2741</v>
      </c>
      <c r="F3375" s="4" t="s">
        <v>2740</v>
      </c>
      <c r="G3375" s="4" t="s">
        <v>2263</v>
      </c>
      <c r="H3375" s="9" t="s">
        <v>2263</v>
      </c>
      <c r="I3375" s="4" t="s">
        <v>2317</v>
      </c>
      <c r="J3375" s="4" t="s">
        <v>2316</v>
      </c>
      <c r="K3375" s="4" t="s">
        <v>2263</v>
      </c>
      <c r="L3375" s="10">
        <v>261</v>
      </c>
      <c r="M3375" s="5">
        <v>454.76405146618788</v>
      </c>
      <c r="N3375" s="5">
        <v>118693.41743267504</v>
      </c>
    </row>
    <row r="3376" spans="1:14" x14ac:dyDescent="0.25">
      <c r="A3376" s="4" t="s">
        <v>2274</v>
      </c>
      <c r="B3376" s="4" t="s">
        <v>4348</v>
      </c>
      <c r="C3376" s="4" t="s">
        <v>2344</v>
      </c>
      <c r="D3376" s="4" t="s">
        <v>237</v>
      </c>
      <c r="E3376" s="4" t="s">
        <v>4946</v>
      </c>
      <c r="F3376" s="4" t="s">
        <v>4945</v>
      </c>
      <c r="G3376" s="4" t="s">
        <v>2263</v>
      </c>
      <c r="H3376" s="9" t="s">
        <v>2263</v>
      </c>
      <c r="I3376" s="4" t="s">
        <v>2263</v>
      </c>
      <c r="J3376" s="4" t="s">
        <v>2263</v>
      </c>
      <c r="K3376" s="4" t="s">
        <v>4944</v>
      </c>
      <c r="L3376" s="10">
        <v>264</v>
      </c>
      <c r="M3376" s="5">
        <v>7040.1296296296296</v>
      </c>
      <c r="N3376" s="5">
        <v>1858594.222222222</v>
      </c>
    </row>
    <row r="3377" spans="1:14" x14ac:dyDescent="0.25">
      <c r="A3377" s="4" t="s">
        <v>2344</v>
      </c>
      <c r="B3377" s="4" t="s">
        <v>5154</v>
      </c>
      <c r="C3377" s="4" t="s">
        <v>2279</v>
      </c>
      <c r="D3377" s="4" t="s">
        <v>2278</v>
      </c>
      <c r="E3377" s="4" t="s">
        <v>5287</v>
      </c>
      <c r="F3377" s="4" t="s">
        <v>2294</v>
      </c>
      <c r="G3377" s="4" t="s">
        <v>2263</v>
      </c>
      <c r="H3377" s="9" t="s">
        <v>2263</v>
      </c>
      <c r="I3377" s="4" t="s">
        <v>2263</v>
      </c>
      <c r="J3377" s="4" t="s">
        <v>2263</v>
      </c>
      <c r="K3377" s="4" t="s">
        <v>2293</v>
      </c>
      <c r="L3377" s="10">
        <v>267</v>
      </c>
      <c r="M3377" s="5">
        <v>1621</v>
      </c>
      <c r="N3377" s="5">
        <v>432807</v>
      </c>
    </row>
    <row r="3378" spans="1:14" x14ac:dyDescent="0.25">
      <c r="A3378" s="4" t="s">
        <v>2344</v>
      </c>
      <c r="B3378" s="4" t="s">
        <v>5154</v>
      </c>
      <c r="C3378" s="4" t="s">
        <v>2344</v>
      </c>
      <c r="D3378" s="4" t="s">
        <v>237</v>
      </c>
      <c r="E3378" s="4" t="s">
        <v>5459</v>
      </c>
      <c r="F3378" s="4" t="s">
        <v>2629</v>
      </c>
      <c r="G3378" s="4" t="s">
        <v>2263</v>
      </c>
      <c r="H3378" s="9" t="s">
        <v>2263</v>
      </c>
      <c r="I3378" s="4" t="s">
        <v>2263</v>
      </c>
      <c r="J3378" s="4" t="s">
        <v>2263</v>
      </c>
      <c r="K3378" s="4" t="s">
        <v>2628</v>
      </c>
      <c r="L3378" s="10">
        <v>272</v>
      </c>
      <c r="M3378" s="5">
        <v>200.33823529411762</v>
      </c>
      <c r="N3378" s="5">
        <v>54492</v>
      </c>
    </row>
    <row r="3379" spans="1:14" x14ac:dyDescent="0.25">
      <c r="A3379" s="4" t="s">
        <v>2269</v>
      </c>
      <c r="B3379" s="4" t="s">
        <v>2268</v>
      </c>
      <c r="C3379" s="4" t="s">
        <v>2279</v>
      </c>
      <c r="D3379" s="4" t="s">
        <v>2278</v>
      </c>
      <c r="E3379" s="4" t="s">
        <v>2307</v>
      </c>
      <c r="F3379" s="4" t="s">
        <v>2306</v>
      </c>
      <c r="G3379" s="4" t="s">
        <v>2263</v>
      </c>
      <c r="H3379" s="9" t="s">
        <v>2263</v>
      </c>
      <c r="I3379" s="4" t="s">
        <v>2263</v>
      </c>
      <c r="J3379" s="4" t="s">
        <v>2263</v>
      </c>
      <c r="K3379" s="4" t="s">
        <v>2305</v>
      </c>
      <c r="L3379" s="10">
        <v>276</v>
      </c>
      <c r="M3379" s="5">
        <v>58.699275362318843</v>
      </c>
      <c r="N3379" s="5">
        <v>16201</v>
      </c>
    </row>
    <row r="3380" spans="1:14" x14ac:dyDescent="0.25">
      <c r="A3380" s="4" t="s">
        <v>2653</v>
      </c>
      <c r="B3380" s="4" t="s">
        <v>3226</v>
      </c>
      <c r="C3380" s="4" t="s">
        <v>2353</v>
      </c>
      <c r="D3380" s="4" t="s">
        <v>258</v>
      </c>
      <c r="E3380" s="4" t="s">
        <v>3270</v>
      </c>
      <c r="F3380" s="4" t="s">
        <v>3269</v>
      </c>
      <c r="G3380" s="4" t="s">
        <v>2263</v>
      </c>
      <c r="H3380" s="9" t="s">
        <v>2263</v>
      </c>
      <c r="I3380" s="4" t="s">
        <v>2317</v>
      </c>
      <c r="J3380" s="4" t="s">
        <v>2316</v>
      </c>
      <c r="K3380" s="4" t="s">
        <v>2263</v>
      </c>
      <c r="L3380" s="10">
        <v>276</v>
      </c>
      <c r="M3380" s="5">
        <v>2500.789855072464</v>
      </c>
      <c r="N3380" s="5">
        <v>690218</v>
      </c>
    </row>
    <row r="3381" spans="1:14" x14ac:dyDescent="0.25">
      <c r="A3381" s="4" t="s">
        <v>2344</v>
      </c>
      <c r="B3381" s="4" t="s">
        <v>5154</v>
      </c>
      <c r="C3381" s="4" t="s">
        <v>2344</v>
      </c>
      <c r="D3381" s="4" t="s">
        <v>237</v>
      </c>
      <c r="E3381" s="4" t="s">
        <v>5495</v>
      </c>
      <c r="F3381" s="4" t="s">
        <v>5494</v>
      </c>
      <c r="G3381" s="4" t="s">
        <v>2263</v>
      </c>
      <c r="H3381" s="9" t="s">
        <v>2263</v>
      </c>
      <c r="I3381" s="4" t="s">
        <v>2263</v>
      </c>
      <c r="J3381" s="4" t="s">
        <v>2263</v>
      </c>
      <c r="K3381" s="4" t="s">
        <v>2520</v>
      </c>
      <c r="L3381" s="10">
        <v>279</v>
      </c>
      <c r="M3381" s="5">
        <v>60</v>
      </c>
      <c r="N3381" s="5">
        <v>16740</v>
      </c>
    </row>
    <row r="3382" spans="1:14" x14ac:dyDescent="0.25">
      <c r="A3382" s="4" t="s">
        <v>2344</v>
      </c>
      <c r="B3382" s="4" t="s">
        <v>5154</v>
      </c>
      <c r="C3382" s="4" t="s">
        <v>2344</v>
      </c>
      <c r="D3382" s="4" t="s">
        <v>237</v>
      </c>
      <c r="E3382" s="4" t="s">
        <v>5339</v>
      </c>
      <c r="F3382" s="4" t="s">
        <v>5338</v>
      </c>
      <c r="G3382" s="4" t="s">
        <v>2263</v>
      </c>
      <c r="H3382" s="9" t="s">
        <v>2263</v>
      </c>
      <c r="I3382" s="4" t="s">
        <v>2263</v>
      </c>
      <c r="J3382" s="4" t="s">
        <v>2263</v>
      </c>
      <c r="K3382" s="4" t="s">
        <v>2520</v>
      </c>
      <c r="L3382" s="10">
        <v>280</v>
      </c>
      <c r="M3382" s="5">
        <v>10.605178571428572</v>
      </c>
      <c r="N3382" s="5">
        <v>2969.45</v>
      </c>
    </row>
    <row r="3383" spans="1:14" x14ac:dyDescent="0.25">
      <c r="A3383" s="4" t="s">
        <v>2344</v>
      </c>
      <c r="B3383" s="4" t="s">
        <v>5154</v>
      </c>
      <c r="C3383" s="4" t="s">
        <v>2344</v>
      </c>
      <c r="D3383" s="4" t="s">
        <v>237</v>
      </c>
      <c r="E3383" s="4" t="s">
        <v>4613</v>
      </c>
      <c r="F3383" s="4" t="s">
        <v>4521</v>
      </c>
      <c r="G3383" s="4" t="s">
        <v>2263</v>
      </c>
      <c r="H3383" s="9" t="s">
        <v>2263</v>
      </c>
      <c r="I3383" s="4" t="s">
        <v>2263</v>
      </c>
      <c r="J3383" s="4" t="s">
        <v>2263</v>
      </c>
      <c r="K3383" s="4" t="s">
        <v>4520</v>
      </c>
      <c r="L3383" s="10">
        <v>280</v>
      </c>
      <c r="M3383" s="5">
        <v>849</v>
      </c>
      <c r="N3383" s="5">
        <v>237720</v>
      </c>
    </row>
    <row r="3384" spans="1:14" x14ac:dyDescent="0.25">
      <c r="A3384" s="4" t="s">
        <v>2274</v>
      </c>
      <c r="B3384" s="4" t="s">
        <v>4348</v>
      </c>
      <c r="C3384" s="4" t="s">
        <v>2344</v>
      </c>
      <c r="D3384" s="4" t="s">
        <v>237</v>
      </c>
      <c r="E3384" s="4" t="s">
        <v>4589</v>
      </c>
      <c r="F3384" s="4" t="s">
        <v>2756</v>
      </c>
      <c r="G3384" s="4" t="s">
        <v>2263</v>
      </c>
      <c r="H3384" s="9" t="s">
        <v>2263</v>
      </c>
      <c r="I3384" s="4" t="s">
        <v>2263</v>
      </c>
      <c r="J3384" s="4" t="s">
        <v>2263</v>
      </c>
      <c r="K3384" s="4" t="s">
        <v>2755</v>
      </c>
      <c r="L3384" s="10">
        <v>280</v>
      </c>
      <c r="M3384" s="5">
        <v>2250.2008641975308</v>
      </c>
      <c r="N3384" s="5">
        <v>630056.24197530863</v>
      </c>
    </row>
    <row r="3385" spans="1:14" x14ac:dyDescent="0.25">
      <c r="A3385" s="4" t="s">
        <v>2274</v>
      </c>
      <c r="B3385" s="4" t="s">
        <v>4348</v>
      </c>
      <c r="C3385" s="4" t="s">
        <v>2344</v>
      </c>
      <c r="D3385" s="4" t="s">
        <v>237</v>
      </c>
      <c r="E3385" s="4" t="s">
        <v>4598</v>
      </c>
      <c r="F3385" s="4" t="s">
        <v>2592</v>
      </c>
      <c r="G3385" s="4" t="s">
        <v>2263</v>
      </c>
      <c r="H3385" s="9" t="s">
        <v>2263</v>
      </c>
      <c r="I3385" s="4" t="s">
        <v>2263</v>
      </c>
      <c r="J3385" s="4" t="s">
        <v>2263</v>
      </c>
      <c r="K3385" s="4" t="s">
        <v>2591</v>
      </c>
      <c r="L3385" s="10">
        <v>280</v>
      </c>
      <c r="M3385" s="5">
        <v>4195.1464687500002</v>
      </c>
      <c r="N3385" s="5">
        <v>1174641.01125</v>
      </c>
    </row>
    <row r="3386" spans="1:14" x14ac:dyDescent="0.25">
      <c r="A3386" s="4" t="s">
        <v>2274</v>
      </c>
      <c r="B3386" s="4" t="s">
        <v>4348</v>
      </c>
      <c r="C3386" s="4" t="s">
        <v>2344</v>
      </c>
      <c r="D3386" s="4" t="s">
        <v>237</v>
      </c>
      <c r="E3386" s="4" t="s">
        <v>4551</v>
      </c>
      <c r="F3386" s="4" t="s">
        <v>2546</v>
      </c>
      <c r="G3386" s="4" t="s">
        <v>2263</v>
      </c>
      <c r="H3386" s="9" t="s">
        <v>2263</v>
      </c>
      <c r="I3386" s="4" t="s">
        <v>2263</v>
      </c>
      <c r="J3386" s="4" t="s">
        <v>2263</v>
      </c>
      <c r="K3386" s="4" t="s">
        <v>2545</v>
      </c>
      <c r="L3386" s="10">
        <v>285</v>
      </c>
      <c r="M3386" s="5">
        <v>56.69108150470219</v>
      </c>
      <c r="N3386" s="5">
        <v>16156.958228840131</v>
      </c>
    </row>
    <row r="3387" spans="1:14" x14ac:dyDescent="0.25">
      <c r="A3387" s="4" t="s">
        <v>2317</v>
      </c>
      <c r="B3387" s="4" t="s">
        <v>3839</v>
      </c>
      <c r="C3387" s="4" t="s">
        <v>2320</v>
      </c>
      <c r="D3387" s="4" t="s">
        <v>242</v>
      </c>
      <c r="E3387" s="4" t="s">
        <v>2392</v>
      </c>
      <c r="F3387" s="4" t="s">
        <v>2391</v>
      </c>
      <c r="G3387" s="4" t="s">
        <v>2263</v>
      </c>
      <c r="H3387" s="9" t="s">
        <v>2263</v>
      </c>
      <c r="I3387" s="4" t="s">
        <v>2317</v>
      </c>
      <c r="J3387" s="4" t="s">
        <v>2316</v>
      </c>
      <c r="K3387" s="4" t="s">
        <v>2263</v>
      </c>
      <c r="L3387" s="10">
        <v>286</v>
      </c>
      <c r="M3387" s="5">
        <v>4436.8685029940125</v>
      </c>
      <c r="N3387" s="5">
        <v>1268944.3918562874</v>
      </c>
    </row>
    <row r="3388" spans="1:14" x14ac:dyDescent="0.25">
      <c r="A3388" s="4" t="s">
        <v>2344</v>
      </c>
      <c r="B3388" s="4" t="s">
        <v>5154</v>
      </c>
      <c r="C3388" s="4" t="s">
        <v>2320</v>
      </c>
      <c r="D3388" s="4" t="s">
        <v>242</v>
      </c>
      <c r="E3388" s="4" t="s">
        <v>2366</v>
      </c>
      <c r="F3388" s="4" t="s">
        <v>2365</v>
      </c>
      <c r="G3388" s="4" t="s">
        <v>2263</v>
      </c>
      <c r="H3388" s="9" t="s">
        <v>2263</v>
      </c>
      <c r="I3388" s="4" t="s">
        <v>2317</v>
      </c>
      <c r="J3388" s="4" t="s">
        <v>2316</v>
      </c>
      <c r="K3388" s="4" t="s">
        <v>2263</v>
      </c>
      <c r="L3388" s="10">
        <v>288</v>
      </c>
      <c r="M3388" s="5">
        <v>2428.3562711864406</v>
      </c>
      <c r="N3388" s="5">
        <v>699366.60610169487</v>
      </c>
    </row>
    <row r="3389" spans="1:14" x14ac:dyDescent="0.25">
      <c r="A3389" s="4" t="s">
        <v>2653</v>
      </c>
      <c r="B3389" s="4" t="s">
        <v>3226</v>
      </c>
      <c r="C3389" s="4" t="s">
        <v>3107</v>
      </c>
      <c r="D3389" s="4" t="s">
        <v>1105</v>
      </c>
      <c r="E3389" s="4" t="s">
        <v>3657</v>
      </c>
      <c r="F3389" s="4" t="s">
        <v>3656</v>
      </c>
      <c r="G3389" s="4" t="s">
        <v>2263</v>
      </c>
      <c r="H3389" s="9" t="s">
        <v>2263</v>
      </c>
      <c r="I3389" s="4" t="s">
        <v>2317</v>
      </c>
      <c r="J3389" s="4" t="s">
        <v>2316</v>
      </c>
      <c r="K3389" s="4" t="s">
        <v>2263</v>
      </c>
      <c r="L3389" s="10">
        <v>290</v>
      </c>
      <c r="M3389" s="5">
        <v>4328.4436551724139</v>
      </c>
      <c r="N3389" s="5">
        <v>1255248.6599999999</v>
      </c>
    </row>
    <row r="3390" spans="1:14" x14ac:dyDescent="0.25">
      <c r="A3390" s="4" t="s">
        <v>2344</v>
      </c>
      <c r="B3390" s="4" t="s">
        <v>5154</v>
      </c>
      <c r="C3390" s="4" t="s">
        <v>2344</v>
      </c>
      <c r="D3390" s="4" t="s">
        <v>237</v>
      </c>
      <c r="E3390" s="4" t="s">
        <v>4923</v>
      </c>
      <c r="F3390" s="4" t="s">
        <v>4637</v>
      </c>
      <c r="G3390" s="4" t="s">
        <v>2263</v>
      </c>
      <c r="H3390" s="9" t="s">
        <v>2263</v>
      </c>
      <c r="I3390" s="4" t="s">
        <v>2263</v>
      </c>
      <c r="J3390" s="4" t="s">
        <v>2263</v>
      </c>
      <c r="K3390" s="4" t="s">
        <v>4636</v>
      </c>
      <c r="L3390" s="10">
        <v>296</v>
      </c>
      <c r="M3390" s="5">
        <v>338.04166666666669</v>
      </c>
      <c r="N3390" s="5">
        <v>100060.33333333331</v>
      </c>
    </row>
    <row r="3391" spans="1:14" x14ac:dyDescent="0.25">
      <c r="A3391" s="4" t="s">
        <v>2274</v>
      </c>
      <c r="B3391" s="4" t="s">
        <v>4348</v>
      </c>
      <c r="C3391" s="4" t="s">
        <v>2344</v>
      </c>
      <c r="D3391" s="4" t="s">
        <v>237</v>
      </c>
      <c r="E3391" s="4" t="s">
        <v>4865</v>
      </c>
      <c r="F3391" s="4" t="s">
        <v>2579</v>
      </c>
      <c r="G3391" s="4" t="s">
        <v>2263</v>
      </c>
      <c r="H3391" s="9" t="s">
        <v>2263</v>
      </c>
      <c r="I3391" s="4" t="s">
        <v>2263</v>
      </c>
      <c r="J3391" s="4" t="s">
        <v>2263</v>
      </c>
      <c r="K3391" s="4" t="s">
        <v>2545</v>
      </c>
      <c r="L3391" s="10">
        <v>300</v>
      </c>
      <c r="M3391" s="5">
        <v>58.087063369397214</v>
      </c>
      <c r="N3391" s="5">
        <v>17426.119010819169</v>
      </c>
    </row>
    <row r="3392" spans="1:14" x14ac:dyDescent="0.25">
      <c r="A3392" s="4" t="s">
        <v>2274</v>
      </c>
      <c r="B3392" s="4" t="s">
        <v>4348</v>
      </c>
      <c r="C3392" s="4" t="s">
        <v>2344</v>
      </c>
      <c r="D3392" s="4" t="s">
        <v>237</v>
      </c>
      <c r="E3392" s="4" t="s">
        <v>4552</v>
      </c>
      <c r="F3392" s="4" t="s">
        <v>2629</v>
      </c>
      <c r="G3392" s="4" t="s">
        <v>2263</v>
      </c>
      <c r="H3392" s="9" t="s">
        <v>2263</v>
      </c>
      <c r="I3392" s="4" t="s">
        <v>2263</v>
      </c>
      <c r="J3392" s="4" t="s">
        <v>2263</v>
      </c>
      <c r="K3392" s="4" t="s">
        <v>2628</v>
      </c>
      <c r="L3392" s="10">
        <v>300</v>
      </c>
      <c r="M3392" s="5">
        <v>156.48363333333333</v>
      </c>
      <c r="N3392" s="5">
        <v>46945.09</v>
      </c>
    </row>
    <row r="3393" spans="1:14" x14ac:dyDescent="0.25">
      <c r="A3393" s="4" t="s">
        <v>2274</v>
      </c>
      <c r="B3393" s="4" t="s">
        <v>4348</v>
      </c>
      <c r="C3393" s="4" t="s">
        <v>2344</v>
      </c>
      <c r="D3393" s="4" t="s">
        <v>237</v>
      </c>
      <c r="E3393" s="4" t="s">
        <v>4705</v>
      </c>
      <c r="F3393" s="4" t="s">
        <v>4704</v>
      </c>
      <c r="G3393" s="4" t="s">
        <v>2263</v>
      </c>
      <c r="H3393" s="9" t="s">
        <v>2263</v>
      </c>
      <c r="I3393" s="4" t="s">
        <v>2263</v>
      </c>
      <c r="J3393" s="4" t="s">
        <v>2263</v>
      </c>
      <c r="K3393" s="4" t="s">
        <v>4703</v>
      </c>
      <c r="L3393" s="10">
        <v>300</v>
      </c>
      <c r="M3393" s="5">
        <v>325</v>
      </c>
      <c r="N3393" s="5">
        <v>97500</v>
      </c>
    </row>
    <row r="3394" spans="1:14" x14ac:dyDescent="0.25">
      <c r="A3394" s="4" t="s">
        <v>2274</v>
      </c>
      <c r="B3394" s="4" t="s">
        <v>4348</v>
      </c>
      <c r="C3394" s="4" t="s">
        <v>2344</v>
      </c>
      <c r="D3394" s="4" t="s">
        <v>237</v>
      </c>
      <c r="E3394" s="4" t="s">
        <v>2350</v>
      </c>
      <c r="F3394" s="4" t="s">
        <v>2349</v>
      </c>
      <c r="G3394" s="4" t="s">
        <v>2263</v>
      </c>
      <c r="H3394" s="9" t="s">
        <v>2263</v>
      </c>
      <c r="I3394" s="4" t="s">
        <v>2263</v>
      </c>
      <c r="J3394" s="4" t="s">
        <v>2263</v>
      </c>
      <c r="K3394" s="4" t="s">
        <v>2348</v>
      </c>
      <c r="L3394" s="10">
        <v>300</v>
      </c>
      <c r="M3394" s="5">
        <v>709.34430088495583</v>
      </c>
      <c r="N3394" s="5">
        <v>212803.29026548672</v>
      </c>
    </row>
    <row r="3395" spans="1:14" x14ac:dyDescent="0.25">
      <c r="A3395" s="4" t="s">
        <v>2274</v>
      </c>
      <c r="B3395" s="4" t="s">
        <v>4348</v>
      </c>
      <c r="C3395" s="4" t="s">
        <v>2344</v>
      </c>
      <c r="D3395" s="4" t="s">
        <v>237</v>
      </c>
      <c r="E3395" s="4" t="s">
        <v>4612</v>
      </c>
      <c r="F3395" s="4" t="s">
        <v>2565</v>
      </c>
      <c r="G3395" s="4" t="s">
        <v>2263</v>
      </c>
      <c r="H3395" s="9" t="s">
        <v>2263</v>
      </c>
      <c r="I3395" s="4" t="s">
        <v>2263</v>
      </c>
      <c r="J3395" s="4" t="s">
        <v>2263</v>
      </c>
      <c r="K3395" s="4" t="s">
        <v>2564</v>
      </c>
      <c r="L3395" s="10">
        <v>300</v>
      </c>
      <c r="M3395" s="5">
        <v>1412.8823529411766</v>
      </c>
      <c r="N3395" s="5">
        <v>423864.70588235295</v>
      </c>
    </row>
    <row r="3396" spans="1:14" x14ac:dyDescent="0.25">
      <c r="A3396" s="4" t="s">
        <v>2653</v>
      </c>
      <c r="B3396" s="4" t="s">
        <v>3226</v>
      </c>
      <c r="C3396" s="4" t="s">
        <v>3107</v>
      </c>
      <c r="D3396" s="4" t="s">
        <v>1105</v>
      </c>
      <c r="E3396" s="4" t="s">
        <v>3699</v>
      </c>
      <c r="F3396" s="4" t="s">
        <v>3698</v>
      </c>
      <c r="G3396" s="4" t="s">
        <v>2263</v>
      </c>
      <c r="H3396" s="9" t="s">
        <v>2263</v>
      </c>
      <c r="I3396" s="4" t="s">
        <v>2317</v>
      </c>
      <c r="J3396" s="4" t="s">
        <v>2316</v>
      </c>
      <c r="K3396" s="4" t="s">
        <v>2263</v>
      </c>
      <c r="L3396" s="10">
        <v>300</v>
      </c>
      <c r="M3396" s="5">
        <v>1760.4241333333332</v>
      </c>
      <c r="N3396" s="5">
        <v>528127.24</v>
      </c>
    </row>
    <row r="3397" spans="1:14" x14ac:dyDescent="0.25">
      <c r="A3397" s="4" t="s">
        <v>2317</v>
      </c>
      <c r="B3397" s="4" t="s">
        <v>3839</v>
      </c>
      <c r="C3397" s="4" t="s">
        <v>2320</v>
      </c>
      <c r="D3397" s="4" t="s">
        <v>242</v>
      </c>
      <c r="E3397" s="4" t="s">
        <v>2713</v>
      </c>
      <c r="F3397" s="4" t="s">
        <v>2712</v>
      </c>
      <c r="G3397" s="4" t="s">
        <v>2263</v>
      </c>
      <c r="H3397" s="9" t="s">
        <v>2263</v>
      </c>
      <c r="I3397" s="4" t="s">
        <v>2317</v>
      </c>
      <c r="J3397" s="4" t="s">
        <v>2316</v>
      </c>
      <c r="K3397" s="4" t="s">
        <v>2263</v>
      </c>
      <c r="L3397" s="10">
        <v>300</v>
      </c>
      <c r="M3397" s="5">
        <v>2145.7358134490237</v>
      </c>
      <c r="N3397" s="5">
        <v>643720.7440347072</v>
      </c>
    </row>
    <row r="3398" spans="1:14" x14ac:dyDescent="0.25">
      <c r="A3398" s="4" t="s">
        <v>2344</v>
      </c>
      <c r="B3398" s="4" t="s">
        <v>5154</v>
      </c>
      <c r="C3398" s="4" t="s">
        <v>2320</v>
      </c>
      <c r="D3398" s="4" t="s">
        <v>242</v>
      </c>
      <c r="E3398" s="4" t="s">
        <v>3055</v>
      </c>
      <c r="F3398" s="4" t="s">
        <v>3054</v>
      </c>
      <c r="G3398" s="4" t="s">
        <v>2263</v>
      </c>
      <c r="H3398" s="9" t="s">
        <v>2263</v>
      </c>
      <c r="I3398" s="4" t="s">
        <v>2317</v>
      </c>
      <c r="J3398" s="4" t="s">
        <v>2316</v>
      </c>
      <c r="K3398" s="4" t="s">
        <v>2263</v>
      </c>
      <c r="L3398" s="10">
        <v>304</v>
      </c>
      <c r="M3398" s="5">
        <v>229.47137931034484</v>
      </c>
      <c r="N3398" s="5">
        <v>69759.299310344824</v>
      </c>
    </row>
    <row r="3399" spans="1:14" x14ac:dyDescent="0.25">
      <c r="A3399" s="4" t="s">
        <v>2865</v>
      </c>
      <c r="B3399" s="4" t="s">
        <v>2864</v>
      </c>
      <c r="C3399" s="4" t="s">
        <v>2344</v>
      </c>
      <c r="D3399" s="4" t="s">
        <v>237</v>
      </c>
      <c r="E3399" s="4" t="s">
        <v>2381</v>
      </c>
      <c r="F3399" s="4" t="s">
        <v>2380</v>
      </c>
      <c r="G3399" s="4" t="s">
        <v>2263</v>
      </c>
      <c r="H3399" s="9" t="s">
        <v>2263</v>
      </c>
      <c r="I3399" s="4" t="s">
        <v>2263</v>
      </c>
      <c r="J3399" s="4" t="s">
        <v>2263</v>
      </c>
      <c r="K3399" s="4" t="s">
        <v>2379</v>
      </c>
      <c r="L3399" s="10">
        <v>309</v>
      </c>
      <c r="M3399" s="5">
        <v>2206.7211700182816</v>
      </c>
      <c r="N3399" s="5">
        <v>681876.84153564891</v>
      </c>
    </row>
    <row r="3400" spans="1:14" x14ac:dyDescent="0.25">
      <c r="A3400" s="4" t="s">
        <v>2865</v>
      </c>
      <c r="B3400" s="4" t="s">
        <v>2864</v>
      </c>
      <c r="C3400" s="4" t="s">
        <v>2279</v>
      </c>
      <c r="D3400" s="4" t="s">
        <v>2278</v>
      </c>
      <c r="E3400" s="4" t="s">
        <v>2282</v>
      </c>
      <c r="F3400" s="4" t="s">
        <v>2281</v>
      </c>
      <c r="G3400" s="4" t="s">
        <v>2263</v>
      </c>
      <c r="H3400" s="9" t="s">
        <v>2263</v>
      </c>
      <c r="I3400" s="4" t="s">
        <v>2263</v>
      </c>
      <c r="J3400" s="4" t="s">
        <v>2263</v>
      </c>
      <c r="K3400" s="4" t="s">
        <v>2280</v>
      </c>
      <c r="L3400" s="10">
        <v>310</v>
      </c>
      <c r="M3400" s="5">
        <v>2099.7760358342666</v>
      </c>
      <c r="N3400" s="5">
        <v>650930.57110862259</v>
      </c>
    </row>
    <row r="3401" spans="1:14" x14ac:dyDescent="0.25">
      <c r="A3401" s="4" t="s">
        <v>2274</v>
      </c>
      <c r="B3401" s="4" t="s">
        <v>4348</v>
      </c>
      <c r="C3401" s="4" t="s">
        <v>2344</v>
      </c>
      <c r="D3401" s="4" t="s">
        <v>237</v>
      </c>
      <c r="E3401" s="4" t="s">
        <v>3180</v>
      </c>
      <c r="F3401" s="4" t="s">
        <v>3179</v>
      </c>
      <c r="G3401" s="4" t="s">
        <v>2263</v>
      </c>
      <c r="H3401" s="9" t="s">
        <v>2263</v>
      </c>
      <c r="I3401" s="4" t="s">
        <v>2263</v>
      </c>
      <c r="J3401" s="4" t="s">
        <v>2263</v>
      </c>
      <c r="K3401" s="4" t="s">
        <v>2582</v>
      </c>
      <c r="L3401" s="10">
        <v>325</v>
      </c>
      <c r="M3401" s="5">
        <v>1854.4881250000001</v>
      </c>
      <c r="N3401" s="5">
        <v>602708.640625</v>
      </c>
    </row>
    <row r="3402" spans="1:14" x14ac:dyDescent="0.25">
      <c r="A3402" s="4" t="s">
        <v>2317</v>
      </c>
      <c r="B3402" s="4" t="s">
        <v>3839</v>
      </c>
      <c r="C3402" s="4" t="s">
        <v>2320</v>
      </c>
      <c r="D3402" s="4" t="s">
        <v>242</v>
      </c>
      <c r="E3402" s="4" t="s">
        <v>2721</v>
      </c>
      <c r="F3402" s="4" t="s">
        <v>2720</v>
      </c>
      <c r="G3402" s="4" t="s">
        <v>2263</v>
      </c>
      <c r="H3402" s="9" t="s">
        <v>2263</v>
      </c>
      <c r="I3402" s="4" t="s">
        <v>2317</v>
      </c>
      <c r="J3402" s="4" t="s">
        <v>2316</v>
      </c>
      <c r="K3402" s="4" t="s">
        <v>2263</v>
      </c>
      <c r="L3402" s="10">
        <v>326</v>
      </c>
      <c r="M3402" s="5">
        <v>2132.3942065491183</v>
      </c>
      <c r="N3402" s="5">
        <v>695160.5113350125</v>
      </c>
    </row>
    <row r="3403" spans="1:14" x14ac:dyDescent="0.25">
      <c r="A3403" s="4" t="s">
        <v>2344</v>
      </c>
      <c r="B3403" s="4" t="s">
        <v>5154</v>
      </c>
      <c r="C3403" s="4" t="s">
        <v>2320</v>
      </c>
      <c r="D3403" s="4" t="s">
        <v>242</v>
      </c>
      <c r="E3403" s="4" t="s">
        <v>2370</v>
      </c>
      <c r="F3403" s="4" t="s">
        <v>2369</v>
      </c>
      <c r="G3403" s="4" t="s">
        <v>2263</v>
      </c>
      <c r="H3403" s="9" t="s">
        <v>2263</v>
      </c>
      <c r="I3403" s="4" t="s">
        <v>2317</v>
      </c>
      <c r="J3403" s="4" t="s">
        <v>2316</v>
      </c>
      <c r="K3403" s="4" t="s">
        <v>2263</v>
      </c>
      <c r="L3403" s="10">
        <v>328</v>
      </c>
      <c r="M3403" s="5">
        <v>303.54016676418956</v>
      </c>
      <c r="N3403" s="5">
        <v>99561.174698654184</v>
      </c>
    </row>
    <row r="3404" spans="1:14" x14ac:dyDescent="0.25">
      <c r="A3404" s="4" t="s">
        <v>2274</v>
      </c>
      <c r="B3404" s="4" t="s">
        <v>4348</v>
      </c>
      <c r="C3404" s="4" t="s">
        <v>2344</v>
      </c>
      <c r="D3404" s="4" t="s">
        <v>237</v>
      </c>
      <c r="E3404" s="4" t="s">
        <v>4544</v>
      </c>
      <c r="F3404" s="4" t="s">
        <v>4543</v>
      </c>
      <c r="G3404" s="4" t="s">
        <v>2263</v>
      </c>
      <c r="H3404" s="9" t="s">
        <v>2263</v>
      </c>
      <c r="I3404" s="4" t="s">
        <v>2263</v>
      </c>
      <c r="J3404" s="4" t="s">
        <v>2263</v>
      </c>
      <c r="K3404" s="4" t="s">
        <v>4542</v>
      </c>
      <c r="L3404" s="10">
        <v>330</v>
      </c>
      <c r="M3404" s="5">
        <v>147.983991507431</v>
      </c>
      <c r="N3404" s="5">
        <v>48834.717197452228</v>
      </c>
    </row>
    <row r="3405" spans="1:14" x14ac:dyDescent="0.25">
      <c r="A3405" s="4" t="s">
        <v>2344</v>
      </c>
      <c r="B3405" s="4" t="s">
        <v>5154</v>
      </c>
      <c r="C3405" s="4" t="s">
        <v>2344</v>
      </c>
      <c r="D3405" s="4" t="s">
        <v>237</v>
      </c>
      <c r="E3405" s="4" t="s">
        <v>4865</v>
      </c>
      <c r="F3405" s="4" t="s">
        <v>2579</v>
      </c>
      <c r="G3405" s="4" t="s">
        <v>2263</v>
      </c>
      <c r="H3405" s="9" t="s">
        <v>2263</v>
      </c>
      <c r="I3405" s="4" t="s">
        <v>2263</v>
      </c>
      <c r="J3405" s="4" t="s">
        <v>2263</v>
      </c>
      <c r="K3405" s="4" t="s">
        <v>2545</v>
      </c>
      <c r="L3405" s="10">
        <v>347</v>
      </c>
      <c r="M3405" s="5">
        <v>58.087063369397214</v>
      </c>
      <c r="N3405" s="5">
        <v>20156.210989180829</v>
      </c>
    </row>
    <row r="3406" spans="1:14" x14ac:dyDescent="0.25">
      <c r="A3406" s="4" t="s">
        <v>2317</v>
      </c>
      <c r="B3406" s="4" t="s">
        <v>3839</v>
      </c>
      <c r="C3406" s="4" t="s">
        <v>2320</v>
      </c>
      <c r="D3406" s="4" t="s">
        <v>242</v>
      </c>
      <c r="E3406" s="4" t="s">
        <v>2739</v>
      </c>
      <c r="F3406" s="4" t="s">
        <v>2738</v>
      </c>
      <c r="G3406" s="4" t="s">
        <v>2263</v>
      </c>
      <c r="H3406" s="9" t="s">
        <v>2263</v>
      </c>
      <c r="I3406" s="4" t="s">
        <v>2317</v>
      </c>
      <c r="J3406" s="4" t="s">
        <v>2316</v>
      </c>
      <c r="K3406" s="4" t="s">
        <v>2263</v>
      </c>
      <c r="L3406" s="10">
        <v>350</v>
      </c>
      <c r="M3406" s="5">
        <v>1018.0292795883362</v>
      </c>
      <c r="N3406" s="5">
        <v>356310.24785591767</v>
      </c>
    </row>
    <row r="3407" spans="1:14" x14ac:dyDescent="0.25">
      <c r="A3407" s="4" t="s">
        <v>2344</v>
      </c>
      <c r="B3407" s="4" t="s">
        <v>5154</v>
      </c>
      <c r="C3407" s="4" t="s">
        <v>2344</v>
      </c>
      <c r="D3407" s="4" t="s">
        <v>237</v>
      </c>
      <c r="E3407" s="4" t="s">
        <v>4551</v>
      </c>
      <c r="F3407" s="4" t="s">
        <v>2546</v>
      </c>
      <c r="G3407" s="4" t="s">
        <v>2263</v>
      </c>
      <c r="H3407" s="9" t="s">
        <v>2263</v>
      </c>
      <c r="I3407" s="4" t="s">
        <v>2263</v>
      </c>
      <c r="J3407" s="4" t="s">
        <v>2263</v>
      </c>
      <c r="K3407" s="4" t="s">
        <v>2545</v>
      </c>
      <c r="L3407" s="10">
        <v>353</v>
      </c>
      <c r="M3407" s="5">
        <v>56.69108150470219</v>
      </c>
      <c r="N3407" s="5">
        <v>20011.951771159871</v>
      </c>
    </row>
    <row r="3408" spans="1:14" x14ac:dyDescent="0.25">
      <c r="A3408" s="4" t="s">
        <v>2274</v>
      </c>
      <c r="B3408" s="4" t="s">
        <v>4348</v>
      </c>
      <c r="C3408" s="4" t="s">
        <v>2344</v>
      </c>
      <c r="D3408" s="4" t="s">
        <v>237</v>
      </c>
      <c r="E3408" s="4" t="s">
        <v>4541</v>
      </c>
      <c r="F3408" s="4" t="s">
        <v>4540</v>
      </c>
      <c r="G3408" s="4" t="s">
        <v>2263</v>
      </c>
      <c r="H3408" s="9" t="s">
        <v>2263</v>
      </c>
      <c r="I3408" s="4" t="s">
        <v>2263</v>
      </c>
      <c r="J3408" s="4" t="s">
        <v>2263</v>
      </c>
      <c r="K3408" s="4" t="s">
        <v>4539</v>
      </c>
      <c r="L3408" s="10">
        <v>360</v>
      </c>
      <c r="M3408" s="5">
        <v>28.335486111111113</v>
      </c>
      <c r="N3408" s="5">
        <v>10200.775</v>
      </c>
    </row>
    <row r="3409" spans="1:14" x14ac:dyDescent="0.25">
      <c r="A3409" s="4" t="s">
        <v>2274</v>
      </c>
      <c r="B3409" s="4" t="s">
        <v>4348</v>
      </c>
      <c r="C3409" s="4" t="s">
        <v>2344</v>
      </c>
      <c r="D3409" s="4" t="s">
        <v>237</v>
      </c>
      <c r="E3409" s="4" t="s">
        <v>4606</v>
      </c>
      <c r="F3409" s="4" t="s">
        <v>4605</v>
      </c>
      <c r="G3409" s="4" t="s">
        <v>2263</v>
      </c>
      <c r="H3409" s="9" t="s">
        <v>2263</v>
      </c>
      <c r="I3409" s="4" t="s">
        <v>2263</v>
      </c>
      <c r="J3409" s="4" t="s">
        <v>2263</v>
      </c>
      <c r="K3409" s="4" t="s">
        <v>2885</v>
      </c>
      <c r="L3409" s="10">
        <v>360</v>
      </c>
      <c r="M3409" s="5">
        <v>134.27507075471698</v>
      </c>
      <c r="N3409" s="5">
        <v>48339.025471698107</v>
      </c>
    </row>
    <row r="3410" spans="1:14" x14ac:dyDescent="0.25">
      <c r="A3410" s="4" t="s">
        <v>2274</v>
      </c>
      <c r="B3410" s="4" t="s">
        <v>4348</v>
      </c>
      <c r="C3410" s="4" t="s">
        <v>2267</v>
      </c>
      <c r="D3410" s="4" t="s">
        <v>2266</v>
      </c>
      <c r="E3410" s="4" t="s">
        <v>2265</v>
      </c>
      <c r="F3410" s="4" t="s">
        <v>2264</v>
      </c>
      <c r="G3410" s="4" t="s">
        <v>2263</v>
      </c>
      <c r="H3410" s="9" t="s">
        <v>2263</v>
      </c>
      <c r="I3410" s="4" t="s">
        <v>2263</v>
      </c>
      <c r="J3410" s="4" t="s">
        <v>2263</v>
      </c>
      <c r="K3410" s="4" t="s">
        <v>2262</v>
      </c>
      <c r="L3410" s="10">
        <v>360</v>
      </c>
      <c r="M3410" s="5">
        <v>330.70025188916878</v>
      </c>
      <c r="N3410" s="5">
        <v>119052.09068010077</v>
      </c>
    </row>
    <row r="3411" spans="1:14" x14ac:dyDescent="0.25">
      <c r="A3411" s="4" t="s">
        <v>2344</v>
      </c>
      <c r="B3411" s="4" t="s">
        <v>5154</v>
      </c>
      <c r="C3411" s="4" t="s">
        <v>2344</v>
      </c>
      <c r="D3411" s="4" t="s">
        <v>237</v>
      </c>
      <c r="E3411" s="4" t="s">
        <v>4785</v>
      </c>
      <c r="F3411" s="4" t="s">
        <v>2555</v>
      </c>
      <c r="G3411" s="4" t="s">
        <v>2263</v>
      </c>
      <c r="H3411" s="9" t="s">
        <v>2263</v>
      </c>
      <c r="I3411" s="4" t="s">
        <v>2263</v>
      </c>
      <c r="J3411" s="4" t="s">
        <v>2263</v>
      </c>
      <c r="K3411" s="4" t="s">
        <v>2494</v>
      </c>
      <c r="L3411" s="10">
        <v>372</v>
      </c>
      <c r="M3411" s="5">
        <v>515.75125000000003</v>
      </c>
      <c r="N3411" s="5">
        <v>191859.465</v>
      </c>
    </row>
    <row r="3412" spans="1:14" x14ac:dyDescent="0.25">
      <c r="A3412" s="4" t="s">
        <v>2344</v>
      </c>
      <c r="B3412" s="4" t="s">
        <v>5154</v>
      </c>
      <c r="C3412" s="4" t="s">
        <v>2344</v>
      </c>
      <c r="D3412" s="4" t="s">
        <v>237</v>
      </c>
      <c r="E3412" s="4" t="s">
        <v>4706</v>
      </c>
      <c r="F3412" s="4" t="s">
        <v>2589</v>
      </c>
      <c r="G3412" s="4" t="s">
        <v>2263</v>
      </c>
      <c r="H3412" s="9" t="s">
        <v>2263</v>
      </c>
      <c r="I3412" s="4" t="s">
        <v>2263</v>
      </c>
      <c r="J3412" s="4" t="s">
        <v>2263</v>
      </c>
      <c r="K3412" s="4" t="s">
        <v>2560</v>
      </c>
      <c r="L3412" s="10">
        <v>389</v>
      </c>
      <c r="M3412" s="5">
        <v>154.92448979591836</v>
      </c>
      <c r="N3412" s="5">
        <v>60265.626530612237</v>
      </c>
    </row>
    <row r="3413" spans="1:14" x14ac:dyDescent="0.25">
      <c r="A3413" s="4" t="s">
        <v>2274</v>
      </c>
      <c r="B3413" s="4" t="s">
        <v>4348</v>
      </c>
      <c r="C3413" s="4" t="s">
        <v>2344</v>
      </c>
      <c r="D3413" s="4" t="s">
        <v>237</v>
      </c>
      <c r="E3413" s="4" t="s">
        <v>4546</v>
      </c>
      <c r="F3413" s="4" t="s">
        <v>4545</v>
      </c>
      <c r="G3413" s="4" t="s">
        <v>2263</v>
      </c>
      <c r="H3413" s="9" t="s">
        <v>2263</v>
      </c>
      <c r="I3413" s="4" t="s">
        <v>2263</v>
      </c>
      <c r="J3413" s="4" t="s">
        <v>2263</v>
      </c>
      <c r="K3413" s="4" t="s">
        <v>2552</v>
      </c>
      <c r="L3413" s="10">
        <v>390</v>
      </c>
      <c r="M3413" s="5">
        <v>33.323282442748095</v>
      </c>
      <c r="N3413" s="5">
        <v>12996.080152671761</v>
      </c>
    </row>
    <row r="3414" spans="1:14" x14ac:dyDescent="0.25">
      <c r="A3414" s="4" t="s">
        <v>2653</v>
      </c>
      <c r="B3414" s="4" t="s">
        <v>3226</v>
      </c>
      <c r="C3414" s="4" t="s">
        <v>2320</v>
      </c>
      <c r="D3414" s="4" t="s">
        <v>242</v>
      </c>
      <c r="E3414" s="4" t="s">
        <v>3833</v>
      </c>
      <c r="F3414" s="4" t="s">
        <v>3832</v>
      </c>
      <c r="G3414" s="4" t="s">
        <v>2263</v>
      </c>
      <c r="H3414" s="9" t="s">
        <v>2263</v>
      </c>
      <c r="I3414" s="4" t="s">
        <v>2317</v>
      </c>
      <c r="J3414" s="4" t="s">
        <v>2316</v>
      </c>
      <c r="K3414" s="4" t="s">
        <v>2263</v>
      </c>
      <c r="L3414" s="10">
        <v>400</v>
      </c>
      <c r="M3414" s="5">
        <v>144.38078719397365</v>
      </c>
      <c r="N3414" s="5">
        <v>57752.314877589451</v>
      </c>
    </row>
    <row r="3415" spans="1:14" x14ac:dyDescent="0.25">
      <c r="A3415" s="4" t="s">
        <v>2274</v>
      </c>
      <c r="B3415" s="4" t="s">
        <v>4348</v>
      </c>
      <c r="C3415" s="4" t="s">
        <v>2267</v>
      </c>
      <c r="D3415" s="4" t="s">
        <v>2266</v>
      </c>
      <c r="E3415" s="4" t="s">
        <v>4400</v>
      </c>
      <c r="F3415" s="4" t="s">
        <v>2654</v>
      </c>
      <c r="G3415" s="4" t="s">
        <v>2263</v>
      </c>
      <c r="H3415" s="9" t="s">
        <v>2263</v>
      </c>
      <c r="I3415" s="4" t="s">
        <v>2263</v>
      </c>
      <c r="J3415" s="4" t="s">
        <v>2263</v>
      </c>
      <c r="K3415" s="4" t="s">
        <v>2262</v>
      </c>
      <c r="L3415" s="10">
        <v>400</v>
      </c>
      <c r="M3415" s="5">
        <v>210</v>
      </c>
      <c r="N3415" s="5">
        <v>84000</v>
      </c>
    </row>
    <row r="3416" spans="1:14" x14ac:dyDescent="0.25">
      <c r="A3416" s="4" t="s">
        <v>2653</v>
      </c>
      <c r="B3416" s="4" t="s">
        <v>3226</v>
      </c>
      <c r="C3416" s="4" t="s">
        <v>2353</v>
      </c>
      <c r="D3416" s="4" t="s">
        <v>258</v>
      </c>
      <c r="E3416" s="4" t="s">
        <v>3272</v>
      </c>
      <c r="F3416" s="4" t="s">
        <v>3271</v>
      </c>
      <c r="G3416" s="4" t="s">
        <v>2263</v>
      </c>
      <c r="H3416" s="9" t="s">
        <v>2263</v>
      </c>
      <c r="I3416" s="4" t="s">
        <v>2317</v>
      </c>
      <c r="J3416" s="4" t="s">
        <v>2316</v>
      </c>
      <c r="K3416" s="4" t="s">
        <v>2263</v>
      </c>
      <c r="L3416" s="10">
        <v>400</v>
      </c>
      <c r="M3416" s="5">
        <v>246.9725</v>
      </c>
      <c r="N3416" s="5">
        <v>98789</v>
      </c>
    </row>
    <row r="3417" spans="1:14" x14ac:dyDescent="0.25">
      <c r="A3417" s="4" t="s">
        <v>2274</v>
      </c>
      <c r="B3417" s="4" t="s">
        <v>4348</v>
      </c>
      <c r="C3417" s="4" t="s">
        <v>2344</v>
      </c>
      <c r="D3417" s="4" t="s">
        <v>237</v>
      </c>
      <c r="E3417" s="4" t="s">
        <v>4923</v>
      </c>
      <c r="F3417" s="4" t="s">
        <v>4637</v>
      </c>
      <c r="G3417" s="4" t="s">
        <v>2263</v>
      </c>
      <c r="H3417" s="9" t="s">
        <v>2263</v>
      </c>
      <c r="I3417" s="4" t="s">
        <v>2263</v>
      </c>
      <c r="J3417" s="4" t="s">
        <v>2263</v>
      </c>
      <c r="K3417" s="4" t="s">
        <v>4636</v>
      </c>
      <c r="L3417" s="10">
        <v>400</v>
      </c>
      <c r="M3417" s="5">
        <v>338.04166666666669</v>
      </c>
      <c r="N3417" s="5">
        <v>135216.66666666669</v>
      </c>
    </row>
    <row r="3418" spans="1:14" x14ac:dyDescent="0.25">
      <c r="A3418" s="4" t="s">
        <v>2274</v>
      </c>
      <c r="B3418" s="4" t="s">
        <v>4348</v>
      </c>
      <c r="C3418" s="4" t="s">
        <v>2344</v>
      </c>
      <c r="D3418" s="4" t="s">
        <v>237</v>
      </c>
      <c r="E3418" s="4" t="s">
        <v>4775</v>
      </c>
      <c r="F3418" s="4" t="s">
        <v>2598</v>
      </c>
      <c r="G3418" s="4" t="s">
        <v>2263</v>
      </c>
      <c r="H3418" s="9" t="s">
        <v>2263</v>
      </c>
      <c r="I3418" s="4" t="s">
        <v>2263</v>
      </c>
      <c r="J3418" s="4" t="s">
        <v>2263</v>
      </c>
      <c r="K3418" s="4" t="s">
        <v>2597</v>
      </c>
      <c r="L3418" s="10">
        <v>400</v>
      </c>
      <c r="M3418" s="5">
        <v>528</v>
      </c>
      <c r="N3418" s="5">
        <v>211200</v>
      </c>
    </row>
    <row r="3419" spans="1:14" x14ac:dyDescent="0.25">
      <c r="A3419" s="4" t="s">
        <v>2317</v>
      </c>
      <c r="B3419" s="4" t="s">
        <v>3839</v>
      </c>
      <c r="C3419" s="4" t="s">
        <v>2320</v>
      </c>
      <c r="D3419" s="4" t="s">
        <v>242</v>
      </c>
      <c r="E3419" s="4" t="s">
        <v>2366</v>
      </c>
      <c r="F3419" s="4" t="s">
        <v>2365</v>
      </c>
      <c r="G3419" s="4" t="s">
        <v>2263</v>
      </c>
      <c r="H3419" s="9" t="s">
        <v>2263</v>
      </c>
      <c r="I3419" s="4" t="s">
        <v>2317</v>
      </c>
      <c r="J3419" s="4" t="s">
        <v>2316</v>
      </c>
      <c r="K3419" s="4" t="s">
        <v>2263</v>
      </c>
      <c r="L3419" s="10">
        <v>400</v>
      </c>
      <c r="M3419" s="5">
        <v>2428.3562711864406</v>
      </c>
      <c r="N3419" s="5">
        <v>971342.50847457629</v>
      </c>
    </row>
    <row r="3420" spans="1:14" x14ac:dyDescent="0.25">
      <c r="A3420" s="4" t="s">
        <v>2317</v>
      </c>
      <c r="B3420" s="4" t="s">
        <v>3839</v>
      </c>
      <c r="C3420" s="4" t="s">
        <v>2320</v>
      </c>
      <c r="D3420" s="4" t="s">
        <v>242</v>
      </c>
      <c r="E3420" s="4" t="s">
        <v>3008</v>
      </c>
      <c r="F3420" s="4" t="s">
        <v>3007</v>
      </c>
      <c r="G3420" s="4" t="s">
        <v>2263</v>
      </c>
      <c r="H3420" s="9" t="s">
        <v>2263</v>
      </c>
      <c r="I3420" s="4" t="s">
        <v>2317</v>
      </c>
      <c r="J3420" s="4" t="s">
        <v>2316</v>
      </c>
      <c r="K3420" s="4" t="s">
        <v>2263</v>
      </c>
      <c r="L3420" s="10">
        <v>420</v>
      </c>
      <c r="M3420" s="5">
        <v>10692.271420345489</v>
      </c>
      <c r="N3420" s="5">
        <v>4490753.9965451052</v>
      </c>
    </row>
    <row r="3421" spans="1:14" x14ac:dyDescent="0.25">
      <c r="A3421" s="4" t="s">
        <v>2317</v>
      </c>
      <c r="B3421" s="4" t="s">
        <v>3839</v>
      </c>
      <c r="C3421" s="4" t="s">
        <v>2320</v>
      </c>
      <c r="D3421" s="4" t="s">
        <v>242</v>
      </c>
      <c r="E3421" s="4" t="s">
        <v>4243</v>
      </c>
      <c r="F3421" s="4" t="s">
        <v>4242</v>
      </c>
      <c r="G3421" s="4" t="s">
        <v>2263</v>
      </c>
      <c r="H3421" s="9" t="s">
        <v>2263</v>
      </c>
      <c r="I3421" s="4" t="s">
        <v>2317</v>
      </c>
      <c r="J3421" s="4" t="s">
        <v>2316</v>
      </c>
      <c r="K3421" s="4" t="s">
        <v>2263</v>
      </c>
      <c r="L3421" s="10">
        <v>447</v>
      </c>
      <c r="M3421" s="5">
        <v>7737.0401089324614</v>
      </c>
      <c r="N3421" s="5">
        <v>3458456.9286928102</v>
      </c>
    </row>
    <row r="3422" spans="1:14" x14ac:dyDescent="0.25">
      <c r="A3422" s="4" t="s">
        <v>2653</v>
      </c>
      <c r="B3422" s="4" t="s">
        <v>3226</v>
      </c>
      <c r="C3422" s="4" t="s">
        <v>2353</v>
      </c>
      <c r="D3422" s="4" t="s">
        <v>258</v>
      </c>
      <c r="E3422" s="4" t="s">
        <v>3266</v>
      </c>
      <c r="F3422" s="4" t="s">
        <v>3265</v>
      </c>
      <c r="G3422" s="4" t="s">
        <v>2263</v>
      </c>
      <c r="H3422" s="9" t="s">
        <v>2263</v>
      </c>
      <c r="I3422" s="4" t="s">
        <v>2317</v>
      </c>
      <c r="J3422" s="4" t="s">
        <v>2316</v>
      </c>
      <c r="K3422" s="4" t="s">
        <v>2263</v>
      </c>
      <c r="L3422" s="10">
        <v>449</v>
      </c>
      <c r="M3422" s="5">
        <v>3024.5055679287307</v>
      </c>
      <c r="N3422" s="5">
        <v>1358003</v>
      </c>
    </row>
    <row r="3423" spans="1:14" x14ac:dyDescent="0.25">
      <c r="A3423" s="4" t="s">
        <v>2274</v>
      </c>
      <c r="B3423" s="4" t="s">
        <v>4348</v>
      </c>
      <c r="C3423" s="4" t="s">
        <v>2344</v>
      </c>
      <c r="D3423" s="4" t="s">
        <v>237</v>
      </c>
      <c r="E3423" s="4" t="s">
        <v>4730</v>
      </c>
      <c r="F3423" s="4" t="s">
        <v>2630</v>
      </c>
      <c r="G3423" s="4" t="s">
        <v>2263</v>
      </c>
      <c r="H3423" s="9" t="s">
        <v>2263</v>
      </c>
      <c r="I3423" s="4" t="s">
        <v>2263</v>
      </c>
      <c r="J3423" s="4" t="s">
        <v>2263</v>
      </c>
      <c r="K3423" s="4" t="s">
        <v>2552</v>
      </c>
      <c r="L3423" s="10">
        <v>450</v>
      </c>
      <c r="M3423" s="5">
        <v>145</v>
      </c>
      <c r="N3423" s="5">
        <v>65250</v>
      </c>
    </row>
    <row r="3424" spans="1:14" x14ac:dyDescent="0.25">
      <c r="A3424" s="4" t="s">
        <v>2653</v>
      </c>
      <c r="B3424" s="4" t="s">
        <v>3226</v>
      </c>
      <c r="C3424" s="4" t="s">
        <v>2320</v>
      </c>
      <c r="D3424" s="4" t="s">
        <v>242</v>
      </c>
      <c r="E3424" s="4" t="s">
        <v>3827</v>
      </c>
      <c r="F3424" s="4" t="s">
        <v>3826</v>
      </c>
      <c r="G3424" s="4" t="s">
        <v>2263</v>
      </c>
      <c r="H3424" s="9" t="s">
        <v>2263</v>
      </c>
      <c r="I3424" s="4" t="s">
        <v>2317</v>
      </c>
      <c r="J3424" s="4" t="s">
        <v>2316</v>
      </c>
      <c r="K3424" s="4" t="s">
        <v>2263</v>
      </c>
      <c r="L3424" s="10">
        <v>450</v>
      </c>
      <c r="M3424" s="5">
        <v>344.36824454281793</v>
      </c>
      <c r="N3424" s="5">
        <v>154965.71004426805</v>
      </c>
    </row>
    <row r="3425" spans="1:14" x14ac:dyDescent="0.25">
      <c r="A3425" s="4" t="s">
        <v>2317</v>
      </c>
      <c r="B3425" s="4" t="s">
        <v>3839</v>
      </c>
      <c r="C3425" s="4" t="s">
        <v>2320</v>
      </c>
      <c r="D3425" s="4" t="s">
        <v>242</v>
      </c>
      <c r="E3425" s="4" t="s">
        <v>2368</v>
      </c>
      <c r="F3425" s="4" t="s">
        <v>2367</v>
      </c>
      <c r="G3425" s="4" t="s">
        <v>2263</v>
      </c>
      <c r="H3425" s="9" t="s">
        <v>2263</v>
      </c>
      <c r="I3425" s="4" t="s">
        <v>2317</v>
      </c>
      <c r="J3425" s="4" t="s">
        <v>2316</v>
      </c>
      <c r="K3425" s="4" t="s">
        <v>2263</v>
      </c>
      <c r="L3425" s="10">
        <v>450</v>
      </c>
      <c r="M3425" s="5">
        <v>789.38775295663606</v>
      </c>
      <c r="N3425" s="5">
        <v>355224.4888304862</v>
      </c>
    </row>
    <row r="3426" spans="1:14" x14ac:dyDescent="0.25">
      <c r="A3426" s="4" t="s">
        <v>2274</v>
      </c>
      <c r="B3426" s="4" t="s">
        <v>4348</v>
      </c>
      <c r="C3426" s="4" t="s">
        <v>2274</v>
      </c>
      <c r="D3426" s="4" t="s">
        <v>2273</v>
      </c>
      <c r="E3426" s="4" t="s">
        <v>2272</v>
      </c>
      <c r="F3426" s="4" t="s">
        <v>2271</v>
      </c>
      <c r="G3426" s="4" t="s">
        <v>2263</v>
      </c>
      <c r="H3426" s="9" t="s">
        <v>2263</v>
      </c>
      <c r="I3426" s="4" t="s">
        <v>2263</v>
      </c>
      <c r="J3426" s="4" t="s">
        <v>2263</v>
      </c>
      <c r="K3426" s="4" t="s">
        <v>2270</v>
      </c>
      <c r="L3426" s="10">
        <v>450</v>
      </c>
      <c r="M3426" s="5">
        <v>1584.2822696245735</v>
      </c>
      <c r="N3426" s="5">
        <v>712927.021331058</v>
      </c>
    </row>
    <row r="3427" spans="1:14" x14ac:dyDescent="0.25">
      <c r="A3427" s="4" t="s">
        <v>2317</v>
      </c>
      <c r="B3427" s="4" t="s">
        <v>3839</v>
      </c>
      <c r="C3427" s="4" t="s">
        <v>2320</v>
      </c>
      <c r="D3427" s="4" t="s">
        <v>242</v>
      </c>
      <c r="E3427" s="4" t="s">
        <v>3155</v>
      </c>
      <c r="F3427" s="4" t="s">
        <v>3154</v>
      </c>
      <c r="G3427" s="4" t="s">
        <v>2263</v>
      </c>
      <c r="H3427" s="9" t="s">
        <v>2263</v>
      </c>
      <c r="I3427" s="4" t="s">
        <v>2317</v>
      </c>
      <c r="J3427" s="4" t="s">
        <v>2316</v>
      </c>
      <c r="K3427" s="4" t="s">
        <v>2263</v>
      </c>
      <c r="L3427" s="10">
        <v>460</v>
      </c>
      <c r="M3427" s="5">
        <v>5585.4120765027319</v>
      </c>
      <c r="N3427" s="5">
        <v>2569289.555191257</v>
      </c>
    </row>
    <row r="3428" spans="1:14" x14ac:dyDescent="0.25">
      <c r="A3428" s="4" t="s">
        <v>2274</v>
      </c>
      <c r="B3428" s="4" t="s">
        <v>4348</v>
      </c>
      <c r="C3428" s="4" t="s">
        <v>2344</v>
      </c>
      <c r="D3428" s="4" t="s">
        <v>237</v>
      </c>
      <c r="E3428" s="4" t="s">
        <v>4593</v>
      </c>
      <c r="F3428" s="4" t="s">
        <v>2642</v>
      </c>
      <c r="G3428" s="4" t="s">
        <v>2263</v>
      </c>
      <c r="H3428" s="9" t="s">
        <v>2263</v>
      </c>
      <c r="I3428" s="4" t="s">
        <v>2263</v>
      </c>
      <c r="J3428" s="4" t="s">
        <v>2263</v>
      </c>
      <c r="K3428" s="4" t="s">
        <v>2641</v>
      </c>
      <c r="L3428" s="10">
        <v>468</v>
      </c>
      <c r="M3428" s="5">
        <v>4725.6135897435897</v>
      </c>
      <c r="N3428" s="5">
        <v>2211587.16</v>
      </c>
    </row>
    <row r="3429" spans="1:14" x14ac:dyDescent="0.25">
      <c r="A3429" s="4" t="s">
        <v>2274</v>
      </c>
      <c r="B3429" s="4" t="s">
        <v>4348</v>
      </c>
      <c r="C3429" s="4" t="s">
        <v>2344</v>
      </c>
      <c r="D3429" s="4" t="s">
        <v>237</v>
      </c>
      <c r="E3429" s="4" t="s">
        <v>4780</v>
      </c>
      <c r="F3429" s="4" t="s">
        <v>2587</v>
      </c>
      <c r="G3429" s="4" t="s">
        <v>2263</v>
      </c>
      <c r="H3429" s="9" t="s">
        <v>2263</v>
      </c>
      <c r="I3429" s="4" t="s">
        <v>2263</v>
      </c>
      <c r="J3429" s="4" t="s">
        <v>2263</v>
      </c>
      <c r="K3429" s="4" t="s">
        <v>2520</v>
      </c>
      <c r="L3429" s="10">
        <v>480</v>
      </c>
      <c r="M3429" s="5">
        <v>39.787166437414029</v>
      </c>
      <c r="N3429" s="5">
        <v>19097.83988995873</v>
      </c>
    </row>
    <row r="3430" spans="1:14" x14ac:dyDescent="0.25">
      <c r="A3430" s="4" t="s">
        <v>2344</v>
      </c>
      <c r="B3430" s="4" t="s">
        <v>5154</v>
      </c>
      <c r="C3430" s="4" t="s">
        <v>2344</v>
      </c>
      <c r="D3430" s="4" t="s">
        <v>237</v>
      </c>
      <c r="E3430" s="4" t="s">
        <v>2747</v>
      </c>
      <c r="F3430" s="4" t="s">
        <v>2640</v>
      </c>
      <c r="G3430" s="4" t="s">
        <v>2263</v>
      </c>
      <c r="H3430" s="9" t="s">
        <v>2263</v>
      </c>
      <c r="I3430" s="4" t="s">
        <v>2263</v>
      </c>
      <c r="J3430" s="4" t="s">
        <v>2263</v>
      </c>
      <c r="K3430" s="4" t="s">
        <v>2557</v>
      </c>
      <c r="L3430" s="10">
        <v>495</v>
      </c>
      <c r="M3430" s="5">
        <v>2745.2384554455443</v>
      </c>
      <c r="N3430" s="5">
        <v>1358893.0354455444</v>
      </c>
    </row>
    <row r="3431" spans="1:14" x14ac:dyDescent="0.25">
      <c r="A3431" s="4" t="s">
        <v>2653</v>
      </c>
      <c r="B3431" s="4" t="s">
        <v>3226</v>
      </c>
      <c r="C3431" s="4" t="s">
        <v>3107</v>
      </c>
      <c r="D3431" s="4" t="s">
        <v>1105</v>
      </c>
      <c r="E3431" s="4" t="s">
        <v>3795</v>
      </c>
      <c r="F3431" s="4" t="s">
        <v>3794</v>
      </c>
      <c r="G3431" s="4" t="s">
        <v>2263</v>
      </c>
      <c r="H3431" s="9" t="s">
        <v>2263</v>
      </c>
      <c r="I3431" s="4" t="s">
        <v>2317</v>
      </c>
      <c r="J3431" s="4" t="s">
        <v>2316</v>
      </c>
      <c r="K3431" s="4" t="s">
        <v>2263</v>
      </c>
      <c r="L3431" s="10">
        <v>500</v>
      </c>
      <c r="M3431" s="5">
        <v>533.39800000000002</v>
      </c>
      <c r="N3431" s="5">
        <v>266699</v>
      </c>
    </row>
    <row r="3432" spans="1:14" x14ac:dyDescent="0.25">
      <c r="A3432" s="4" t="s">
        <v>2274</v>
      </c>
      <c r="B3432" s="4" t="s">
        <v>4348</v>
      </c>
      <c r="C3432" s="4" t="s">
        <v>2344</v>
      </c>
      <c r="D3432" s="4" t="s">
        <v>237</v>
      </c>
      <c r="E3432" s="4" t="s">
        <v>4822</v>
      </c>
      <c r="F3432" s="4" t="s">
        <v>2349</v>
      </c>
      <c r="G3432" s="4" t="s">
        <v>2263</v>
      </c>
      <c r="H3432" s="9" t="s">
        <v>2263</v>
      </c>
      <c r="I3432" s="4" t="s">
        <v>2263</v>
      </c>
      <c r="J3432" s="4" t="s">
        <v>2263</v>
      </c>
      <c r="K3432" s="4" t="s">
        <v>2348</v>
      </c>
      <c r="L3432" s="10">
        <v>500</v>
      </c>
      <c r="M3432" s="5">
        <v>612.47447105788433</v>
      </c>
      <c r="N3432" s="5">
        <v>306237.23552894214</v>
      </c>
    </row>
    <row r="3433" spans="1:14" x14ac:dyDescent="0.25">
      <c r="A3433" s="4" t="s">
        <v>2274</v>
      </c>
      <c r="B3433" s="4" t="s">
        <v>4348</v>
      </c>
      <c r="C3433" s="4" t="s">
        <v>2344</v>
      </c>
      <c r="D3433" s="4" t="s">
        <v>237</v>
      </c>
      <c r="E3433" s="4" t="s">
        <v>4613</v>
      </c>
      <c r="F3433" s="4" t="s">
        <v>4521</v>
      </c>
      <c r="G3433" s="4" t="s">
        <v>2263</v>
      </c>
      <c r="H3433" s="9" t="s">
        <v>2263</v>
      </c>
      <c r="I3433" s="4" t="s">
        <v>2263</v>
      </c>
      <c r="J3433" s="4" t="s">
        <v>2263</v>
      </c>
      <c r="K3433" s="4" t="s">
        <v>4520</v>
      </c>
      <c r="L3433" s="10">
        <v>500</v>
      </c>
      <c r="M3433" s="5">
        <v>849</v>
      </c>
      <c r="N3433" s="5">
        <v>424500</v>
      </c>
    </row>
    <row r="3434" spans="1:14" x14ac:dyDescent="0.25">
      <c r="A3434" s="4" t="s">
        <v>2653</v>
      </c>
      <c r="B3434" s="4" t="s">
        <v>3226</v>
      </c>
      <c r="C3434" s="4" t="s">
        <v>2320</v>
      </c>
      <c r="D3434" s="4" t="s">
        <v>242</v>
      </c>
      <c r="E3434" s="4" t="s">
        <v>2372</v>
      </c>
      <c r="F3434" s="4" t="s">
        <v>2371</v>
      </c>
      <c r="G3434" s="4" t="s">
        <v>2263</v>
      </c>
      <c r="H3434" s="9" t="s">
        <v>2263</v>
      </c>
      <c r="I3434" s="4" t="s">
        <v>2317</v>
      </c>
      <c r="J3434" s="4" t="s">
        <v>2316</v>
      </c>
      <c r="K3434" s="4" t="s">
        <v>2263</v>
      </c>
      <c r="L3434" s="10">
        <v>509</v>
      </c>
      <c r="M3434" s="5">
        <v>15064.306117424243</v>
      </c>
      <c r="N3434" s="5">
        <v>7667731.8137689391</v>
      </c>
    </row>
    <row r="3435" spans="1:14" x14ac:dyDescent="0.25">
      <c r="A3435" s="4" t="s">
        <v>2274</v>
      </c>
      <c r="B3435" s="4" t="s">
        <v>4348</v>
      </c>
      <c r="C3435" s="4" t="s">
        <v>2344</v>
      </c>
      <c r="D3435" s="4" t="s">
        <v>237</v>
      </c>
      <c r="E3435" s="4" t="s">
        <v>4696</v>
      </c>
      <c r="F3435" s="4" t="s">
        <v>2608</v>
      </c>
      <c r="G3435" s="4" t="s">
        <v>2263</v>
      </c>
      <c r="H3435" s="9" t="s">
        <v>2263</v>
      </c>
      <c r="I3435" s="4" t="s">
        <v>2263</v>
      </c>
      <c r="J3435" s="4" t="s">
        <v>2263</v>
      </c>
      <c r="K3435" s="4" t="s">
        <v>2536</v>
      </c>
      <c r="L3435" s="10">
        <v>510</v>
      </c>
      <c r="M3435" s="5">
        <v>35.944785992217895</v>
      </c>
      <c r="N3435" s="5">
        <v>18331.840856031129</v>
      </c>
    </row>
    <row r="3436" spans="1:14" x14ac:dyDescent="0.25">
      <c r="A3436" s="4" t="s">
        <v>2653</v>
      </c>
      <c r="B3436" s="4" t="s">
        <v>3226</v>
      </c>
      <c r="C3436" s="4" t="s">
        <v>3107</v>
      </c>
      <c r="D3436" s="4" t="s">
        <v>1105</v>
      </c>
      <c r="E3436" s="4" t="s">
        <v>3659</v>
      </c>
      <c r="F3436" s="4" t="s">
        <v>3658</v>
      </c>
      <c r="G3436" s="4" t="s">
        <v>2263</v>
      </c>
      <c r="H3436" s="9" t="s">
        <v>2263</v>
      </c>
      <c r="I3436" s="4" t="s">
        <v>2317</v>
      </c>
      <c r="J3436" s="4" t="s">
        <v>2316</v>
      </c>
      <c r="K3436" s="4" t="s">
        <v>2263</v>
      </c>
      <c r="L3436" s="10">
        <v>550</v>
      </c>
      <c r="M3436" s="5">
        <v>1455.6108727272726</v>
      </c>
      <c r="N3436" s="5">
        <v>800585.98</v>
      </c>
    </row>
    <row r="3437" spans="1:14" x14ac:dyDescent="0.25">
      <c r="A3437" s="4" t="s">
        <v>2344</v>
      </c>
      <c r="B3437" s="4" t="s">
        <v>5154</v>
      </c>
      <c r="C3437" s="4" t="s">
        <v>2344</v>
      </c>
      <c r="D3437" s="4" t="s">
        <v>237</v>
      </c>
      <c r="E3437" s="4" t="s">
        <v>4854</v>
      </c>
      <c r="F3437" s="4" t="s">
        <v>4853</v>
      </c>
      <c r="G3437" s="4" t="s">
        <v>2263</v>
      </c>
      <c r="H3437" s="9" t="s">
        <v>2263</v>
      </c>
      <c r="I3437" s="4" t="s">
        <v>2263</v>
      </c>
      <c r="J3437" s="4" t="s">
        <v>2263</v>
      </c>
      <c r="K3437" s="4" t="s">
        <v>2602</v>
      </c>
      <c r="L3437" s="10">
        <v>561</v>
      </c>
      <c r="M3437" s="5">
        <v>80</v>
      </c>
      <c r="N3437" s="5">
        <v>44880</v>
      </c>
    </row>
    <row r="3438" spans="1:14" x14ac:dyDescent="0.25">
      <c r="A3438" s="4" t="s">
        <v>2344</v>
      </c>
      <c r="B3438" s="4" t="s">
        <v>5154</v>
      </c>
      <c r="C3438" s="4" t="s">
        <v>2320</v>
      </c>
      <c r="D3438" s="4" t="s">
        <v>242</v>
      </c>
      <c r="E3438" s="4" t="s">
        <v>4253</v>
      </c>
      <c r="F3438" s="4" t="s">
        <v>4252</v>
      </c>
      <c r="G3438" s="4" t="s">
        <v>2263</v>
      </c>
      <c r="H3438" s="9" t="s">
        <v>2263</v>
      </c>
      <c r="I3438" s="4" t="s">
        <v>2317</v>
      </c>
      <c r="J3438" s="4" t="s">
        <v>2316</v>
      </c>
      <c r="K3438" s="4" t="s">
        <v>2263</v>
      </c>
      <c r="L3438" s="10">
        <v>571</v>
      </c>
      <c r="M3438" s="5">
        <v>1000</v>
      </c>
      <c r="N3438" s="5">
        <v>571000</v>
      </c>
    </row>
    <row r="3439" spans="1:14" x14ac:dyDescent="0.25">
      <c r="A3439" s="4" t="s">
        <v>2344</v>
      </c>
      <c r="B3439" s="4" t="s">
        <v>5154</v>
      </c>
      <c r="C3439" s="4" t="s">
        <v>2279</v>
      </c>
      <c r="D3439" s="4" t="s">
        <v>2278</v>
      </c>
      <c r="E3439" s="4" t="s">
        <v>2282</v>
      </c>
      <c r="F3439" s="4" t="s">
        <v>2281</v>
      </c>
      <c r="G3439" s="4" t="s">
        <v>2263</v>
      </c>
      <c r="H3439" s="9" t="s">
        <v>2263</v>
      </c>
      <c r="I3439" s="4" t="s">
        <v>2263</v>
      </c>
      <c r="J3439" s="4" t="s">
        <v>2263</v>
      </c>
      <c r="K3439" s="4" t="s">
        <v>2280</v>
      </c>
      <c r="L3439" s="10">
        <v>574</v>
      </c>
      <c r="M3439" s="5">
        <v>2099.7760358342666</v>
      </c>
      <c r="N3439" s="5">
        <v>1205271.444568869</v>
      </c>
    </row>
    <row r="3440" spans="1:14" x14ac:dyDescent="0.25">
      <c r="A3440" s="4" t="s">
        <v>2317</v>
      </c>
      <c r="B3440" s="4" t="s">
        <v>3839</v>
      </c>
      <c r="C3440" s="4" t="s">
        <v>2320</v>
      </c>
      <c r="D3440" s="4" t="s">
        <v>242</v>
      </c>
      <c r="E3440" s="4" t="s">
        <v>2414</v>
      </c>
      <c r="F3440" s="4" t="s">
        <v>2413</v>
      </c>
      <c r="G3440" s="4" t="s">
        <v>2263</v>
      </c>
      <c r="H3440" s="9" t="s">
        <v>2263</v>
      </c>
      <c r="I3440" s="4" t="s">
        <v>2317</v>
      </c>
      <c r="J3440" s="4" t="s">
        <v>2316</v>
      </c>
      <c r="K3440" s="4" t="s">
        <v>2263</v>
      </c>
      <c r="L3440" s="10">
        <v>605</v>
      </c>
      <c r="M3440" s="5">
        <v>24641.383614744351</v>
      </c>
      <c r="N3440" s="5">
        <v>14908037.086920332</v>
      </c>
    </row>
    <row r="3441" spans="1:14" x14ac:dyDescent="0.25">
      <c r="A3441" s="4" t="s">
        <v>2344</v>
      </c>
      <c r="B3441" s="4" t="s">
        <v>5154</v>
      </c>
      <c r="C3441" s="4" t="s">
        <v>2279</v>
      </c>
      <c r="D3441" s="4" t="s">
        <v>2278</v>
      </c>
      <c r="E3441" s="4" t="s">
        <v>2875</v>
      </c>
      <c r="F3441" s="4" t="s">
        <v>2874</v>
      </c>
      <c r="G3441" s="4" t="s">
        <v>2263</v>
      </c>
      <c r="H3441" s="9" t="s">
        <v>2263</v>
      </c>
      <c r="I3441" s="4" t="s">
        <v>2263</v>
      </c>
      <c r="J3441" s="4" t="s">
        <v>2263</v>
      </c>
      <c r="K3441" s="4" t="s">
        <v>2873</v>
      </c>
      <c r="L3441" s="10">
        <v>649</v>
      </c>
      <c r="M3441" s="5">
        <v>3307.4908974358973</v>
      </c>
      <c r="N3441" s="5">
        <v>2146561.5924358978</v>
      </c>
    </row>
    <row r="3442" spans="1:14" x14ac:dyDescent="0.25">
      <c r="A3442" s="4" t="s">
        <v>2274</v>
      </c>
      <c r="B3442" s="4" t="s">
        <v>4348</v>
      </c>
      <c r="C3442" s="4" t="s">
        <v>2344</v>
      </c>
      <c r="D3442" s="4" t="s">
        <v>237</v>
      </c>
      <c r="E3442" s="4" t="s">
        <v>4935</v>
      </c>
      <c r="F3442" s="4" t="s">
        <v>4934</v>
      </c>
      <c r="G3442" s="4" t="s">
        <v>2263</v>
      </c>
      <c r="H3442" s="9" t="s">
        <v>2263</v>
      </c>
      <c r="I3442" s="4" t="s">
        <v>2263</v>
      </c>
      <c r="J3442" s="4" t="s">
        <v>2263</v>
      </c>
      <c r="K3442" s="4" t="s">
        <v>2649</v>
      </c>
      <c r="L3442" s="10">
        <v>650</v>
      </c>
      <c r="M3442" s="5">
        <v>220</v>
      </c>
      <c r="N3442" s="5">
        <v>143000</v>
      </c>
    </row>
    <row r="3443" spans="1:14" x14ac:dyDescent="0.25">
      <c r="A3443" s="4" t="s">
        <v>2317</v>
      </c>
      <c r="B3443" s="4" t="s">
        <v>3839</v>
      </c>
      <c r="C3443" s="4" t="s">
        <v>2320</v>
      </c>
      <c r="D3443" s="4" t="s">
        <v>242</v>
      </c>
      <c r="E3443" s="4" t="s">
        <v>2737</v>
      </c>
      <c r="F3443" s="4" t="s">
        <v>2736</v>
      </c>
      <c r="G3443" s="4" t="s">
        <v>2263</v>
      </c>
      <c r="H3443" s="9" t="s">
        <v>2263</v>
      </c>
      <c r="I3443" s="4" t="s">
        <v>2317</v>
      </c>
      <c r="J3443" s="4" t="s">
        <v>2316</v>
      </c>
      <c r="K3443" s="4" t="s">
        <v>2263</v>
      </c>
      <c r="L3443" s="10">
        <v>650</v>
      </c>
      <c r="M3443" s="5">
        <v>1017.2755338691159</v>
      </c>
      <c r="N3443" s="5">
        <v>661229.09701492533</v>
      </c>
    </row>
    <row r="3444" spans="1:14" x14ac:dyDescent="0.25">
      <c r="A3444" s="4" t="s">
        <v>2653</v>
      </c>
      <c r="B3444" s="4" t="s">
        <v>3226</v>
      </c>
      <c r="C3444" s="4" t="s">
        <v>2353</v>
      </c>
      <c r="D3444" s="4" t="s">
        <v>258</v>
      </c>
      <c r="E3444" s="4" t="s">
        <v>3284</v>
      </c>
      <c r="F3444" s="4" t="s">
        <v>3283</v>
      </c>
      <c r="G3444" s="4" t="s">
        <v>2263</v>
      </c>
      <c r="H3444" s="9" t="s">
        <v>2263</v>
      </c>
      <c r="I3444" s="4" t="s">
        <v>2317</v>
      </c>
      <c r="J3444" s="4" t="s">
        <v>2316</v>
      </c>
      <c r="K3444" s="4" t="s">
        <v>2263</v>
      </c>
      <c r="L3444" s="10">
        <v>664</v>
      </c>
      <c r="M3444" s="5">
        <v>2397.9246987951806</v>
      </c>
      <c r="N3444" s="5">
        <v>1592222</v>
      </c>
    </row>
    <row r="3445" spans="1:14" x14ac:dyDescent="0.25">
      <c r="A3445" s="4" t="s">
        <v>2317</v>
      </c>
      <c r="B3445" s="4" t="s">
        <v>3839</v>
      </c>
      <c r="C3445" s="4" t="s">
        <v>2320</v>
      </c>
      <c r="D3445" s="4" t="s">
        <v>242</v>
      </c>
      <c r="E3445" s="4" t="s">
        <v>3829</v>
      </c>
      <c r="F3445" s="4" t="s">
        <v>3828</v>
      </c>
      <c r="G3445" s="4" t="s">
        <v>2263</v>
      </c>
      <c r="H3445" s="9" t="s">
        <v>2263</v>
      </c>
      <c r="I3445" s="4" t="s">
        <v>2317</v>
      </c>
      <c r="J3445" s="4" t="s">
        <v>2316</v>
      </c>
      <c r="K3445" s="4" t="s">
        <v>2263</v>
      </c>
      <c r="L3445" s="10">
        <v>670</v>
      </c>
      <c r="M3445" s="5">
        <v>2498.0486052631577</v>
      </c>
      <c r="N3445" s="5">
        <v>1673692.5655263159</v>
      </c>
    </row>
    <row r="3446" spans="1:14" x14ac:dyDescent="0.25">
      <c r="A3446" s="4" t="s">
        <v>2317</v>
      </c>
      <c r="B3446" s="4" t="s">
        <v>3839</v>
      </c>
      <c r="C3446" s="4" t="s">
        <v>2320</v>
      </c>
      <c r="D3446" s="4" t="s">
        <v>242</v>
      </c>
      <c r="E3446" s="4" t="s">
        <v>3162</v>
      </c>
      <c r="F3446" s="4" t="s">
        <v>3161</v>
      </c>
      <c r="G3446" s="4" t="s">
        <v>2263</v>
      </c>
      <c r="H3446" s="9" t="s">
        <v>2263</v>
      </c>
      <c r="I3446" s="4" t="s">
        <v>2317</v>
      </c>
      <c r="J3446" s="4" t="s">
        <v>2316</v>
      </c>
      <c r="K3446" s="4" t="s">
        <v>2263</v>
      </c>
      <c r="L3446" s="10">
        <v>700</v>
      </c>
      <c r="M3446" s="5">
        <v>70.974907834101387</v>
      </c>
      <c r="N3446" s="5">
        <v>49682.43548387097</v>
      </c>
    </row>
    <row r="3447" spans="1:14" x14ac:dyDescent="0.25">
      <c r="A3447" s="4" t="s">
        <v>2274</v>
      </c>
      <c r="B3447" s="4" t="s">
        <v>4348</v>
      </c>
      <c r="C3447" s="4" t="s">
        <v>2344</v>
      </c>
      <c r="D3447" s="4" t="s">
        <v>237</v>
      </c>
      <c r="E3447" s="4" t="s">
        <v>4925</v>
      </c>
      <c r="F3447" s="4" t="s">
        <v>2667</v>
      </c>
      <c r="G3447" s="4" t="s">
        <v>2263</v>
      </c>
      <c r="H3447" s="9" t="s">
        <v>2263</v>
      </c>
      <c r="I3447" s="4" t="s">
        <v>2263</v>
      </c>
      <c r="J3447" s="4" t="s">
        <v>2263</v>
      </c>
      <c r="K3447" s="4" t="s">
        <v>2666</v>
      </c>
      <c r="L3447" s="10">
        <v>700</v>
      </c>
      <c r="M3447" s="5">
        <v>680.01049531459171</v>
      </c>
      <c r="N3447" s="5">
        <v>476007.34672021418</v>
      </c>
    </row>
    <row r="3448" spans="1:14" x14ac:dyDescent="0.25">
      <c r="A3448" s="4" t="s">
        <v>2274</v>
      </c>
      <c r="B3448" s="4" t="s">
        <v>4348</v>
      </c>
      <c r="C3448" s="4" t="s">
        <v>2344</v>
      </c>
      <c r="D3448" s="4" t="s">
        <v>237</v>
      </c>
      <c r="E3448" s="4" t="s">
        <v>2887</v>
      </c>
      <c r="F3448" s="4" t="s">
        <v>2620</v>
      </c>
      <c r="G3448" s="4" t="s">
        <v>2263</v>
      </c>
      <c r="H3448" s="9" t="s">
        <v>2263</v>
      </c>
      <c r="I3448" s="4" t="s">
        <v>2263</v>
      </c>
      <c r="J3448" s="4" t="s">
        <v>2263</v>
      </c>
      <c r="K3448" s="4" t="s">
        <v>2619</v>
      </c>
      <c r="L3448" s="10">
        <v>725</v>
      </c>
      <c r="M3448" s="5">
        <v>995.27191919191921</v>
      </c>
      <c r="N3448" s="5">
        <v>721572.1414141414</v>
      </c>
    </row>
    <row r="3449" spans="1:14" x14ac:dyDescent="0.25">
      <c r="A3449" s="4" t="s">
        <v>2274</v>
      </c>
      <c r="B3449" s="4" t="s">
        <v>4348</v>
      </c>
      <c r="C3449" s="4" t="s">
        <v>2344</v>
      </c>
      <c r="D3449" s="4" t="s">
        <v>237</v>
      </c>
      <c r="E3449" s="4" t="s">
        <v>4907</v>
      </c>
      <c r="F3449" s="4" t="s">
        <v>2644</v>
      </c>
      <c r="G3449" s="4" t="s">
        <v>2263</v>
      </c>
      <c r="H3449" s="9" t="s">
        <v>2263</v>
      </c>
      <c r="I3449" s="4" t="s">
        <v>2263</v>
      </c>
      <c r="J3449" s="4" t="s">
        <v>2263</v>
      </c>
      <c r="K3449" s="4" t="s">
        <v>2462</v>
      </c>
      <c r="L3449" s="10">
        <v>750</v>
      </c>
      <c r="M3449" s="5">
        <v>34.286206896551725</v>
      </c>
      <c r="N3449" s="5">
        <v>25714.65517241379</v>
      </c>
    </row>
    <row r="3450" spans="1:14" x14ac:dyDescent="0.25">
      <c r="A3450" s="4" t="s">
        <v>2274</v>
      </c>
      <c r="B3450" s="4" t="s">
        <v>4348</v>
      </c>
      <c r="C3450" s="4" t="s">
        <v>2344</v>
      </c>
      <c r="D3450" s="4" t="s">
        <v>237</v>
      </c>
      <c r="E3450" s="4" t="s">
        <v>4695</v>
      </c>
      <c r="F3450" s="4" t="s">
        <v>4694</v>
      </c>
      <c r="G3450" s="4" t="s">
        <v>2263</v>
      </c>
      <c r="H3450" s="9" t="s">
        <v>2263</v>
      </c>
      <c r="I3450" s="4" t="s">
        <v>2263</v>
      </c>
      <c r="J3450" s="4" t="s">
        <v>2263</v>
      </c>
      <c r="K3450" s="4" t="s">
        <v>4693</v>
      </c>
      <c r="L3450" s="10">
        <v>750</v>
      </c>
      <c r="M3450" s="5">
        <v>548.71465968586392</v>
      </c>
      <c r="N3450" s="5">
        <v>411535.99476439791</v>
      </c>
    </row>
    <row r="3451" spans="1:14" x14ac:dyDescent="0.25">
      <c r="A3451" s="4" t="s">
        <v>2317</v>
      </c>
      <c r="B3451" s="4" t="s">
        <v>3839</v>
      </c>
      <c r="C3451" s="4" t="s">
        <v>2320</v>
      </c>
      <c r="D3451" s="4" t="s">
        <v>242</v>
      </c>
      <c r="E3451" s="4" t="s">
        <v>2719</v>
      </c>
      <c r="F3451" s="4" t="s">
        <v>2718</v>
      </c>
      <c r="G3451" s="4" t="s">
        <v>2263</v>
      </c>
      <c r="H3451" s="9" t="s">
        <v>2263</v>
      </c>
      <c r="I3451" s="4" t="s">
        <v>2317</v>
      </c>
      <c r="J3451" s="4" t="s">
        <v>2316</v>
      </c>
      <c r="K3451" s="4" t="s">
        <v>2263</v>
      </c>
      <c r="L3451" s="10">
        <v>750</v>
      </c>
      <c r="M3451" s="5">
        <v>863.47163555555562</v>
      </c>
      <c r="N3451" s="5">
        <v>647603.72666666668</v>
      </c>
    </row>
    <row r="3452" spans="1:14" x14ac:dyDescent="0.25">
      <c r="A3452" s="4" t="s">
        <v>2274</v>
      </c>
      <c r="B3452" s="4" t="s">
        <v>4348</v>
      </c>
      <c r="C3452" s="4" t="s">
        <v>2344</v>
      </c>
      <c r="D3452" s="4" t="s">
        <v>237</v>
      </c>
      <c r="E3452" s="4" t="s">
        <v>4581</v>
      </c>
      <c r="F3452" s="4" t="s">
        <v>2556</v>
      </c>
      <c r="G3452" s="4" t="s">
        <v>2263</v>
      </c>
      <c r="H3452" s="9" t="s">
        <v>2263</v>
      </c>
      <c r="I3452" s="4" t="s">
        <v>2263</v>
      </c>
      <c r="J3452" s="4" t="s">
        <v>2263</v>
      </c>
      <c r="K3452" s="4" t="s">
        <v>2529</v>
      </c>
      <c r="L3452" s="10">
        <v>820</v>
      </c>
      <c r="M3452" s="5">
        <v>120.24711425206125</v>
      </c>
      <c r="N3452" s="5">
        <v>98602.633686690213</v>
      </c>
    </row>
    <row r="3453" spans="1:14" x14ac:dyDescent="0.25">
      <c r="A3453" s="4" t="s">
        <v>2344</v>
      </c>
      <c r="B3453" s="4" t="s">
        <v>5154</v>
      </c>
      <c r="C3453" s="4" t="s">
        <v>2320</v>
      </c>
      <c r="D3453" s="4" t="s">
        <v>242</v>
      </c>
      <c r="E3453" s="4" t="s">
        <v>2360</v>
      </c>
      <c r="F3453" s="4" t="s">
        <v>2359</v>
      </c>
      <c r="G3453" s="4" t="s">
        <v>2263</v>
      </c>
      <c r="H3453" s="9" t="s">
        <v>2263</v>
      </c>
      <c r="I3453" s="4" t="s">
        <v>2317</v>
      </c>
      <c r="J3453" s="4" t="s">
        <v>2316</v>
      </c>
      <c r="K3453" s="4" t="s">
        <v>2263</v>
      </c>
      <c r="L3453" s="10">
        <v>822</v>
      </c>
      <c r="M3453" s="5">
        <v>261.77091875138365</v>
      </c>
      <c r="N3453" s="5">
        <v>215175.69521363737</v>
      </c>
    </row>
    <row r="3454" spans="1:14" x14ac:dyDescent="0.25">
      <c r="A3454" s="4" t="s">
        <v>2653</v>
      </c>
      <c r="B3454" s="4" t="s">
        <v>3226</v>
      </c>
      <c r="C3454" s="4" t="s">
        <v>2353</v>
      </c>
      <c r="D3454" s="4" t="s">
        <v>258</v>
      </c>
      <c r="E3454" s="4" t="s">
        <v>3234</v>
      </c>
      <c r="F3454" s="4" t="s">
        <v>3233</v>
      </c>
      <c r="G3454" s="4" t="s">
        <v>2263</v>
      </c>
      <c r="H3454" s="9" t="s">
        <v>2263</v>
      </c>
      <c r="I3454" s="4" t="s">
        <v>2317</v>
      </c>
      <c r="J3454" s="4" t="s">
        <v>2316</v>
      </c>
      <c r="K3454" s="4" t="s">
        <v>2263</v>
      </c>
      <c r="L3454" s="10">
        <v>825</v>
      </c>
      <c r="M3454" s="5">
        <v>892.39393939393949</v>
      </c>
      <c r="N3454" s="5">
        <v>736225</v>
      </c>
    </row>
    <row r="3455" spans="1:14" x14ac:dyDescent="0.25">
      <c r="A3455" s="4" t="s">
        <v>2653</v>
      </c>
      <c r="B3455" s="4" t="s">
        <v>3226</v>
      </c>
      <c r="C3455" s="4" t="s">
        <v>3107</v>
      </c>
      <c r="D3455" s="4" t="s">
        <v>1105</v>
      </c>
      <c r="E3455" s="4" t="s">
        <v>3695</v>
      </c>
      <c r="F3455" s="4" t="s">
        <v>3694</v>
      </c>
      <c r="G3455" s="4" t="s">
        <v>2263</v>
      </c>
      <c r="H3455" s="9" t="s">
        <v>2263</v>
      </c>
      <c r="I3455" s="4" t="s">
        <v>2317</v>
      </c>
      <c r="J3455" s="4" t="s">
        <v>2316</v>
      </c>
      <c r="K3455" s="4" t="s">
        <v>2263</v>
      </c>
      <c r="L3455" s="10">
        <v>840</v>
      </c>
      <c r="M3455" s="5">
        <v>1283.3383333333331</v>
      </c>
      <c r="N3455" s="5">
        <v>1078004.2</v>
      </c>
    </row>
    <row r="3456" spans="1:14" x14ac:dyDescent="0.25">
      <c r="A3456" s="4" t="s">
        <v>2317</v>
      </c>
      <c r="B3456" s="4" t="s">
        <v>3839</v>
      </c>
      <c r="C3456" s="4" t="s">
        <v>2320</v>
      </c>
      <c r="D3456" s="4" t="s">
        <v>242</v>
      </c>
      <c r="E3456" s="4" t="s">
        <v>2707</v>
      </c>
      <c r="F3456" s="4" t="s">
        <v>2706</v>
      </c>
      <c r="G3456" s="4" t="s">
        <v>2263</v>
      </c>
      <c r="H3456" s="9" t="s">
        <v>2263</v>
      </c>
      <c r="I3456" s="4" t="s">
        <v>2317</v>
      </c>
      <c r="J3456" s="4" t="s">
        <v>2316</v>
      </c>
      <c r="K3456" s="4" t="s">
        <v>2263</v>
      </c>
      <c r="L3456" s="10">
        <v>850</v>
      </c>
      <c r="M3456" s="5">
        <v>-18687.463351548267</v>
      </c>
      <c r="N3456" s="5">
        <v>-15884343.848816028</v>
      </c>
    </row>
    <row r="3457" spans="1:14" x14ac:dyDescent="0.25">
      <c r="A3457" s="4" t="s">
        <v>2653</v>
      </c>
      <c r="B3457" s="4" t="s">
        <v>3226</v>
      </c>
      <c r="C3457" s="4" t="s">
        <v>3801</v>
      </c>
      <c r="D3457" s="4" t="s">
        <v>3800</v>
      </c>
      <c r="E3457" s="4" t="s">
        <v>3821</v>
      </c>
      <c r="F3457" s="4" t="s">
        <v>3820</v>
      </c>
      <c r="G3457" s="4" t="s">
        <v>2263</v>
      </c>
      <c r="H3457" s="9" t="s">
        <v>2263</v>
      </c>
      <c r="I3457" s="4" t="s">
        <v>2317</v>
      </c>
      <c r="J3457" s="4" t="s">
        <v>2316</v>
      </c>
      <c r="K3457" s="4" t="s">
        <v>2263</v>
      </c>
      <c r="L3457" s="10">
        <v>850</v>
      </c>
      <c r="M3457" s="5">
        <v>346.93009411764706</v>
      </c>
      <c r="N3457" s="5">
        <v>294890.58</v>
      </c>
    </row>
    <row r="3458" spans="1:14" x14ac:dyDescent="0.25">
      <c r="A3458" s="4" t="s">
        <v>2317</v>
      </c>
      <c r="B3458" s="4" t="s">
        <v>3839</v>
      </c>
      <c r="C3458" s="4" t="s">
        <v>2320</v>
      </c>
      <c r="D3458" s="4" t="s">
        <v>242</v>
      </c>
      <c r="E3458" s="4" t="s">
        <v>2735</v>
      </c>
      <c r="F3458" s="4" t="s">
        <v>2734</v>
      </c>
      <c r="G3458" s="4" t="s">
        <v>2263</v>
      </c>
      <c r="H3458" s="9" t="s">
        <v>2263</v>
      </c>
      <c r="I3458" s="4" t="s">
        <v>2317</v>
      </c>
      <c r="J3458" s="4" t="s">
        <v>2316</v>
      </c>
      <c r="K3458" s="4" t="s">
        <v>2263</v>
      </c>
      <c r="L3458" s="10">
        <v>850</v>
      </c>
      <c r="M3458" s="5">
        <v>1204.1314579901152</v>
      </c>
      <c r="N3458" s="5">
        <v>1023511.7392915981</v>
      </c>
    </row>
    <row r="3459" spans="1:14" x14ac:dyDescent="0.25">
      <c r="A3459" s="4" t="s">
        <v>2274</v>
      </c>
      <c r="B3459" s="4" t="s">
        <v>4348</v>
      </c>
      <c r="C3459" s="4" t="s">
        <v>2267</v>
      </c>
      <c r="D3459" s="4" t="s">
        <v>2266</v>
      </c>
      <c r="E3459" s="4" t="s">
        <v>4406</v>
      </c>
      <c r="F3459" s="4" t="s">
        <v>2500</v>
      </c>
      <c r="G3459" s="4" t="s">
        <v>2263</v>
      </c>
      <c r="H3459" s="9" t="s">
        <v>2263</v>
      </c>
      <c r="I3459" s="4" t="s">
        <v>2263</v>
      </c>
      <c r="J3459" s="4" t="s">
        <v>2263</v>
      </c>
      <c r="K3459" s="4" t="s">
        <v>2499</v>
      </c>
      <c r="L3459" s="10">
        <v>880</v>
      </c>
      <c r="M3459" s="5">
        <v>2155.6857786885244</v>
      </c>
      <c r="N3459" s="5">
        <v>1897003.4852459019</v>
      </c>
    </row>
    <row r="3460" spans="1:14" x14ac:dyDescent="0.25">
      <c r="A3460" s="4" t="s">
        <v>2653</v>
      </c>
      <c r="B3460" s="4" t="s">
        <v>3226</v>
      </c>
      <c r="C3460" s="4" t="s">
        <v>2353</v>
      </c>
      <c r="D3460" s="4" t="s">
        <v>258</v>
      </c>
      <c r="E3460" s="4" t="s">
        <v>3262</v>
      </c>
      <c r="F3460" s="4" t="s">
        <v>3261</v>
      </c>
      <c r="G3460" s="4" t="s">
        <v>2263</v>
      </c>
      <c r="H3460" s="9" t="s">
        <v>2263</v>
      </c>
      <c r="I3460" s="4" t="s">
        <v>2317</v>
      </c>
      <c r="J3460" s="4" t="s">
        <v>2316</v>
      </c>
      <c r="K3460" s="4" t="s">
        <v>2263</v>
      </c>
      <c r="L3460" s="10">
        <v>899</v>
      </c>
      <c r="M3460" s="5">
        <v>15000.689655172413</v>
      </c>
      <c r="N3460" s="5">
        <v>13485620</v>
      </c>
    </row>
    <row r="3461" spans="1:14" x14ac:dyDescent="0.25">
      <c r="A3461" s="4" t="s">
        <v>2274</v>
      </c>
      <c r="B3461" s="4" t="s">
        <v>4348</v>
      </c>
      <c r="C3461" s="4" t="s">
        <v>2344</v>
      </c>
      <c r="D3461" s="4" t="s">
        <v>237</v>
      </c>
      <c r="E3461" s="4" t="s">
        <v>4960</v>
      </c>
      <c r="F3461" s="4" t="s">
        <v>4959</v>
      </c>
      <c r="G3461" s="4" t="s">
        <v>2263</v>
      </c>
      <c r="H3461" s="9" t="s">
        <v>2263</v>
      </c>
      <c r="I3461" s="4" t="s">
        <v>2263</v>
      </c>
      <c r="J3461" s="4" t="s">
        <v>2263</v>
      </c>
      <c r="K3461" s="4" t="s">
        <v>2602</v>
      </c>
      <c r="L3461" s="10">
        <v>900</v>
      </c>
      <c r="M3461" s="5">
        <v>104.82222222222222</v>
      </c>
      <c r="N3461" s="5">
        <v>94340</v>
      </c>
    </row>
    <row r="3462" spans="1:14" x14ac:dyDescent="0.25">
      <c r="A3462" s="4" t="s">
        <v>2344</v>
      </c>
      <c r="B3462" s="4" t="s">
        <v>5154</v>
      </c>
      <c r="C3462" s="4" t="s">
        <v>2320</v>
      </c>
      <c r="D3462" s="4" t="s">
        <v>242</v>
      </c>
      <c r="E3462" s="4" t="s">
        <v>2705</v>
      </c>
      <c r="F3462" s="4" t="s">
        <v>2704</v>
      </c>
      <c r="G3462" s="4" t="s">
        <v>2263</v>
      </c>
      <c r="H3462" s="9" t="s">
        <v>2263</v>
      </c>
      <c r="I3462" s="4" t="s">
        <v>2317</v>
      </c>
      <c r="J3462" s="4" t="s">
        <v>2316</v>
      </c>
      <c r="K3462" s="4" t="s">
        <v>2263</v>
      </c>
      <c r="L3462" s="10">
        <v>933</v>
      </c>
      <c r="M3462" s="5">
        <v>223.90058038692462</v>
      </c>
      <c r="N3462" s="5">
        <v>208899.24150100068</v>
      </c>
    </row>
    <row r="3463" spans="1:14" x14ac:dyDescent="0.25">
      <c r="A3463" s="4" t="s">
        <v>2653</v>
      </c>
      <c r="B3463" s="4" t="s">
        <v>3226</v>
      </c>
      <c r="C3463" s="4" t="s">
        <v>3107</v>
      </c>
      <c r="D3463" s="4" t="s">
        <v>1105</v>
      </c>
      <c r="E3463" s="4" t="s">
        <v>3789</v>
      </c>
      <c r="F3463" s="4" t="s">
        <v>3788</v>
      </c>
      <c r="G3463" s="4" t="s">
        <v>2263</v>
      </c>
      <c r="H3463" s="9" t="s">
        <v>2263</v>
      </c>
      <c r="I3463" s="4" t="s">
        <v>2317</v>
      </c>
      <c r="J3463" s="4" t="s">
        <v>2316</v>
      </c>
      <c r="K3463" s="4" t="s">
        <v>2263</v>
      </c>
      <c r="L3463" s="10">
        <v>950</v>
      </c>
      <c r="M3463" s="5">
        <v>1453.6352631578948</v>
      </c>
      <c r="N3463" s="5">
        <v>1380953.5</v>
      </c>
    </row>
    <row r="3464" spans="1:14" x14ac:dyDescent="0.25">
      <c r="A3464" s="4" t="s">
        <v>2344</v>
      </c>
      <c r="B3464" s="4" t="s">
        <v>5154</v>
      </c>
      <c r="C3464" s="4" t="s">
        <v>2344</v>
      </c>
      <c r="D3464" s="4" t="s">
        <v>237</v>
      </c>
      <c r="E3464" s="4" t="s">
        <v>2381</v>
      </c>
      <c r="F3464" s="4" t="s">
        <v>2380</v>
      </c>
      <c r="G3464" s="4" t="s">
        <v>2263</v>
      </c>
      <c r="H3464" s="9" t="s">
        <v>2263</v>
      </c>
      <c r="I3464" s="4" t="s">
        <v>2263</v>
      </c>
      <c r="J3464" s="4" t="s">
        <v>2263</v>
      </c>
      <c r="K3464" s="4" t="s">
        <v>2379</v>
      </c>
      <c r="L3464" s="10">
        <v>1003</v>
      </c>
      <c r="M3464" s="5">
        <v>2206.7211700182816</v>
      </c>
      <c r="N3464" s="5">
        <v>2213341.3335283361</v>
      </c>
    </row>
    <row r="3465" spans="1:14" x14ac:dyDescent="0.25">
      <c r="A3465" s="4" t="s">
        <v>2274</v>
      </c>
      <c r="B3465" s="4" t="s">
        <v>4348</v>
      </c>
      <c r="C3465" s="4" t="s">
        <v>2344</v>
      </c>
      <c r="D3465" s="4" t="s">
        <v>237</v>
      </c>
      <c r="E3465" s="4" t="s">
        <v>2378</v>
      </c>
      <c r="F3465" s="4" t="s">
        <v>2377</v>
      </c>
      <c r="G3465" s="4" t="s">
        <v>2263</v>
      </c>
      <c r="H3465" s="9" t="s">
        <v>2263</v>
      </c>
      <c r="I3465" s="4" t="s">
        <v>2263</v>
      </c>
      <c r="J3465" s="4" t="s">
        <v>2263</v>
      </c>
      <c r="K3465" s="4" t="s">
        <v>2376</v>
      </c>
      <c r="L3465" s="10">
        <v>1020</v>
      </c>
      <c r="M3465" s="5">
        <v>2635.2512459283389</v>
      </c>
      <c r="N3465" s="5">
        <v>2687956.2708469057</v>
      </c>
    </row>
    <row r="3466" spans="1:14" x14ac:dyDescent="0.25">
      <c r="A3466" s="4" t="s">
        <v>2344</v>
      </c>
      <c r="B3466" s="4" t="s">
        <v>5154</v>
      </c>
      <c r="C3466" s="4" t="s">
        <v>2320</v>
      </c>
      <c r="D3466" s="4" t="s">
        <v>242</v>
      </c>
      <c r="E3466" s="4" t="s">
        <v>2703</v>
      </c>
      <c r="F3466" s="4" t="s">
        <v>2702</v>
      </c>
      <c r="G3466" s="4" t="s">
        <v>2263</v>
      </c>
      <c r="H3466" s="9" t="s">
        <v>2263</v>
      </c>
      <c r="I3466" s="4" t="s">
        <v>2317</v>
      </c>
      <c r="J3466" s="4" t="s">
        <v>2316</v>
      </c>
      <c r="K3466" s="4" t="s">
        <v>2263</v>
      </c>
      <c r="L3466" s="10">
        <v>1061</v>
      </c>
      <c r="M3466" s="5">
        <v>202.89964967048215</v>
      </c>
      <c r="N3466" s="5">
        <v>215276.52830038156</v>
      </c>
    </row>
    <row r="3467" spans="1:14" x14ac:dyDescent="0.25">
      <c r="A3467" s="4" t="s">
        <v>2317</v>
      </c>
      <c r="B3467" s="4" t="s">
        <v>3839</v>
      </c>
      <c r="C3467" s="4" t="s">
        <v>2320</v>
      </c>
      <c r="D3467" s="4" t="s">
        <v>242</v>
      </c>
      <c r="E3467" s="4" t="s">
        <v>3825</v>
      </c>
      <c r="F3467" s="4" t="s">
        <v>3824</v>
      </c>
      <c r="G3467" s="4" t="s">
        <v>2263</v>
      </c>
      <c r="H3467" s="9" t="s">
        <v>2263</v>
      </c>
      <c r="I3467" s="4" t="s">
        <v>2317</v>
      </c>
      <c r="J3467" s="4" t="s">
        <v>2316</v>
      </c>
      <c r="K3467" s="4" t="s">
        <v>2263</v>
      </c>
      <c r="L3467" s="10">
        <v>1067</v>
      </c>
      <c r="M3467" s="5">
        <v>646.46484434320428</v>
      </c>
      <c r="N3467" s="5">
        <v>689777.98891419894</v>
      </c>
    </row>
    <row r="3468" spans="1:14" x14ac:dyDescent="0.25">
      <c r="A3468" s="4" t="s">
        <v>2344</v>
      </c>
      <c r="B3468" s="4" t="s">
        <v>5154</v>
      </c>
      <c r="C3468" s="4" t="s">
        <v>2279</v>
      </c>
      <c r="D3468" s="4" t="s">
        <v>2278</v>
      </c>
      <c r="E3468" s="4" t="s">
        <v>2295</v>
      </c>
      <c r="F3468" s="4" t="s">
        <v>2294</v>
      </c>
      <c r="G3468" s="4" t="s">
        <v>2263</v>
      </c>
      <c r="H3468" s="9" t="s">
        <v>2263</v>
      </c>
      <c r="I3468" s="4" t="s">
        <v>2263</v>
      </c>
      <c r="J3468" s="4" t="s">
        <v>2263</v>
      </c>
      <c r="K3468" s="4" t="s">
        <v>2293</v>
      </c>
      <c r="L3468" s="10">
        <v>1071</v>
      </c>
      <c r="M3468" s="5">
        <v>4812.416766370251</v>
      </c>
      <c r="N3468" s="5">
        <v>5154098.3567825379</v>
      </c>
    </row>
    <row r="3469" spans="1:14" x14ac:dyDescent="0.25">
      <c r="A3469" s="4" t="s">
        <v>2317</v>
      </c>
      <c r="B3469" s="4" t="s">
        <v>3839</v>
      </c>
      <c r="C3469" s="4" t="s">
        <v>2320</v>
      </c>
      <c r="D3469" s="4" t="s">
        <v>242</v>
      </c>
      <c r="E3469" s="4" t="s">
        <v>2741</v>
      </c>
      <c r="F3469" s="4" t="s">
        <v>2740</v>
      </c>
      <c r="G3469" s="4" t="s">
        <v>2263</v>
      </c>
      <c r="H3469" s="9" t="s">
        <v>2263</v>
      </c>
      <c r="I3469" s="4" t="s">
        <v>2317</v>
      </c>
      <c r="J3469" s="4" t="s">
        <v>2316</v>
      </c>
      <c r="K3469" s="4" t="s">
        <v>2263</v>
      </c>
      <c r="L3469" s="10">
        <v>1200</v>
      </c>
      <c r="M3469" s="5">
        <v>454.76405146618788</v>
      </c>
      <c r="N3469" s="5">
        <v>545716.86175942549</v>
      </c>
    </row>
    <row r="3470" spans="1:14" x14ac:dyDescent="0.25">
      <c r="A3470" s="4" t="s">
        <v>2653</v>
      </c>
      <c r="B3470" s="4" t="s">
        <v>3226</v>
      </c>
      <c r="C3470" s="4" t="s">
        <v>3107</v>
      </c>
      <c r="D3470" s="4" t="s">
        <v>1105</v>
      </c>
      <c r="E3470" s="4" t="s">
        <v>3691</v>
      </c>
      <c r="F3470" s="4" t="s">
        <v>3690</v>
      </c>
      <c r="G3470" s="4" t="s">
        <v>2263</v>
      </c>
      <c r="H3470" s="9" t="s">
        <v>2263</v>
      </c>
      <c r="I3470" s="4" t="s">
        <v>2317</v>
      </c>
      <c r="J3470" s="4" t="s">
        <v>2316</v>
      </c>
      <c r="K3470" s="4" t="s">
        <v>2263</v>
      </c>
      <c r="L3470" s="10">
        <v>1215</v>
      </c>
      <c r="M3470" s="5">
        <v>351.88477366255142</v>
      </c>
      <c r="N3470" s="5">
        <v>427540</v>
      </c>
    </row>
    <row r="3471" spans="1:14" x14ac:dyDescent="0.25">
      <c r="A3471" s="4" t="s">
        <v>2344</v>
      </c>
      <c r="B3471" s="4" t="s">
        <v>5154</v>
      </c>
      <c r="C3471" s="4" t="s">
        <v>2279</v>
      </c>
      <c r="D3471" s="4" t="s">
        <v>2278</v>
      </c>
      <c r="E3471" s="4" t="s">
        <v>2285</v>
      </c>
      <c r="F3471" s="4" t="s">
        <v>2284</v>
      </c>
      <c r="G3471" s="4" t="s">
        <v>2263</v>
      </c>
      <c r="H3471" s="9" t="s">
        <v>2263</v>
      </c>
      <c r="I3471" s="4" t="s">
        <v>2263</v>
      </c>
      <c r="J3471" s="4" t="s">
        <v>2263</v>
      </c>
      <c r="K3471" s="4" t="s">
        <v>2283</v>
      </c>
      <c r="L3471" s="10">
        <v>1250</v>
      </c>
      <c r="M3471" s="5">
        <v>2235.065979532164</v>
      </c>
      <c r="N3471" s="5">
        <v>2793832.474415205</v>
      </c>
    </row>
    <row r="3472" spans="1:14" x14ac:dyDescent="0.25">
      <c r="A3472" s="4" t="s">
        <v>2274</v>
      </c>
      <c r="B3472" s="4" t="s">
        <v>4348</v>
      </c>
      <c r="C3472" s="4" t="s">
        <v>2344</v>
      </c>
      <c r="D3472" s="4" t="s">
        <v>237</v>
      </c>
      <c r="E3472" s="4" t="s">
        <v>4766</v>
      </c>
      <c r="F3472" s="4" t="s">
        <v>4765</v>
      </c>
      <c r="G3472" s="4" t="s">
        <v>2263</v>
      </c>
      <c r="H3472" s="9" t="s">
        <v>2263</v>
      </c>
      <c r="I3472" s="4" t="s">
        <v>2263</v>
      </c>
      <c r="J3472" s="4" t="s">
        <v>2263</v>
      </c>
      <c r="K3472" s="4" t="s">
        <v>4764</v>
      </c>
      <c r="L3472" s="10">
        <v>1320</v>
      </c>
      <c r="M3472" s="5">
        <v>514.18471710974779</v>
      </c>
      <c r="N3472" s="5">
        <v>678723.82658486709</v>
      </c>
    </row>
    <row r="3473" spans="1:14" x14ac:dyDescent="0.25">
      <c r="A3473" s="4" t="s">
        <v>2653</v>
      </c>
      <c r="B3473" s="4" t="s">
        <v>3226</v>
      </c>
      <c r="C3473" s="4" t="s">
        <v>3107</v>
      </c>
      <c r="D3473" s="4" t="s">
        <v>1105</v>
      </c>
      <c r="E3473" s="4" t="s">
        <v>3675</v>
      </c>
      <c r="F3473" s="4" t="s">
        <v>3674</v>
      </c>
      <c r="G3473" s="4" t="s">
        <v>2263</v>
      </c>
      <c r="H3473" s="9" t="s">
        <v>2263</v>
      </c>
      <c r="I3473" s="4" t="s">
        <v>2317</v>
      </c>
      <c r="J3473" s="4" t="s">
        <v>2316</v>
      </c>
      <c r="K3473" s="4" t="s">
        <v>2263</v>
      </c>
      <c r="L3473" s="10">
        <v>1382</v>
      </c>
      <c r="M3473" s="5">
        <v>656.02367583212731</v>
      </c>
      <c r="N3473" s="5">
        <v>906624.72</v>
      </c>
    </row>
    <row r="3474" spans="1:14" x14ac:dyDescent="0.25">
      <c r="A3474" s="4" t="s">
        <v>2653</v>
      </c>
      <c r="B3474" s="4" t="s">
        <v>3226</v>
      </c>
      <c r="C3474" s="4" t="s">
        <v>2320</v>
      </c>
      <c r="D3474" s="4" t="s">
        <v>242</v>
      </c>
      <c r="E3474" s="4" t="s">
        <v>3837</v>
      </c>
      <c r="F3474" s="4" t="s">
        <v>3836</v>
      </c>
      <c r="G3474" s="4" t="s">
        <v>2263</v>
      </c>
      <c r="H3474" s="9" t="s">
        <v>2263</v>
      </c>
      <c r="I3474" s="4" t="s">
        <v>2317</v>
      </c>
      <c r="J3474" s="4" t="s">
        <v>2316</v>
      </c>
      <c r="K3474" s="4" t="s">
        <v>2263</v>
      </c>
      <c r="L3474" s="10">
        <v>1600</v>
      </c>
      <c r="M3474" s="5">
        <v>366.36250000000001</v>
      </c>
      <c r="N3474" s="5">
        <v>586180</v>
      </c>
    </row>
    <row r="3475" spans="1:14" x14ac:dyDescent="0.25">
      <c r="A3475" s="4" t="s">
        <v>2317</v>
      </c>
      <c r="B3475" s="4" t="s">
        <v>3839</v>
      </c>
      <c r="C3475" s="4" t="s">
        <v>2320</v>
      </c>
      <c r="D3475" s="4" t="s">
        <v>242</v>
      </c>
      <c r="E3475" s="4" t="s">
        <v>2703</v>
      </c>
      <c r="F3475" s="4" t="s">
        <v>2702</v>
      </c>
      <c r="G3475" s="4" t="s">
        <v>2263</v>
      </c>
      <c r="H3475" s="9" t="s">
        <v>2263</v>
      </c>
      <c r="I3475" s="4" t="s">
        <v>2317</v>
      </c>
      <c r="J3475" s="4" t="s">
        <v>2316</v>
      </c>
      <c r="K3475" s="4" t="s">
        <v>2263</v>
      </c>
      <c r="L3475" s="10">
        <v>1700</v>
      </c>
      <c r="M3475" s="5">
        <v>202.89964967048215</v>
      </c>
      <c r="N3475" s="5">
        <v>344929.40443981963</v>
      </c>
    </row>
    <row r="3476" spans="1:14" x14ac:dyDescent="0.25">
      <c r="A3476" s="4" t="s">
        <v>2653</v>
      </c>
      <c r="B3476" s="4" t="s">
        <v>3226</v>
      </c>
      <c r="C3476" s="4" t="s">
        <v>3107</v>
      </c>
      <c r="D3476" s="4" t="s">
        <v>1105</v>
      </c>
      <c r="E3476" s="4" t="s">
        <v>3641</v>
      </c>
      <c r="F3476" s="4" t="s">
        <v>3640</v>
      </c>
      <c r="G3476" s="4" t="s">
        <v>2263</v>
      </c>
      <c r="H3476" s="9" t="s">
        <v>2263</v>
      </c>
      <c r="I3476" s="4" t="s">
        <v>2317</v>
      </c>
      <c r="J3476" s="4" t="s">
        <v>2316</v>
      </c>
      <c r="K3476" s="4" t="s">
        <v>2263</v>
      </c>
      <c r="L3476" s="10">
        <v>1750</v>
      </c>
      <c r="M3476" s="5">
        <v>600.67600000000004</v>
      </c>
      <c r="N3476" s="5">
        <v>1051183</v>
      </c>
    </row>
    <row r="3477" spans="1:14" x14ac:dyDescent="0.25">
      <c r="A3477" s="4" t="s">
        <v>2317</v>
      </c>
      <c r="B3477" s="4" t="s">
        <v>3839</v>
      </c>
      <c r="C3477" s="4" t="s">
        <v>2320</v>
      </c>
      <c r="D3477" s="4" t="s">
        <v>242</v>
      </c>
      <c r="E3477" s="4" t="s">
        <v>2705</v>
      </c>
      <c r="F3477" s="4" t="s">
        <v>2704</v>
      </c>
      <c r="G3477" s="4" t="s">
        <v>2263</v>
      </c>
      <c r="H3477" s="9" t="s">
        <v>2263</v>
      </c>
      <c r="I3477" s="4" t="s">
        <v>2317</v>
      </c>
      <c r="J3477" s="4" t="s">
        <v>2316</v>
      </c>
      <c r="K3477" s="4" t="s">
        <v>2263</v>
      </c>
      <c r="L3477" s="10">
        <v>1800</v>
      </c>
      <c r="M3477" s="5">
        <v>223.90058038692462</v>
      </c>
      <c r="N3477" s="5">
        <v>403021.04469646432</v>
      </c>
    </row>
    <row r="3478" spans="1:14" x14ac:dyDescent="0.25">
      <c r="A3478" s="4" t="s">
        <v>2653</v>
      </c>
      <c r="B3478" s="4" t="s">
        <v>3226</v>
      </c>
      <c r="C3478" s="4" t="s">
        <v>3107</v>
      </c>
      <c r="D3478" s="4" t="s">
        <v>1105</v>
      </c>
      <c r="E3478" s="4" t="s">
        <v>3721</v>
      </c>
      <c r="F3478" s="4" t="s">
        <v>3720</v>
      </c>
      <c r="G3478" s="4" t="s">
        <v>2263</v>
      </c>
      <c r="H3478" s="9" t="s">
        <v>2263</v>
      </c>
      <c r="I3478" s="4" t="s">
        <v>2317</v>
      </c>
      <c r="J3478" s="4" t="s">
        <v>2316</v>
      </c>
      <c r="K3478" s="4" t="s">
        <v>2263</v>
      </c>
      <c r="L3478" s="10">
        <v>1804</v>
      </c>
      <c r="M3478" s="5">
        <v>2558.4456762749446</v>
      </c>
      <c r="N3478" s="5">
        <v>4615436</v>
      </c>
    </row>
    <row r="3479" spans="1:14" x14ac:dyDescent="0.25">
      <c r="A3479" s="4" t="s">
        <v>2653</v>
      </c>
      <c r="B3479" s="4" t="s">
        <v>3226</v>
      </c>
      <c r="C3479" s="4" t="s">
        <v>3107</v>
      </c>
      <c r="D3479" s="4" t="s">
        <v>1105</v>
      </c>
      <c r="E3479" s="4" t="s">
        <v>3719</v>
      </c>
      <c r="F3479" s="4" t="s">
        <v>3718</v>
      </c>
      <c r="G3479" s="4" t="s">
        <v>2263</v>
      </c>
      <c r="H3479" s="9" t="s">
        <v>2263</v>
      </c>
      <c r="I3479" s="4" t="s">
        <v>2317</v>
      </c>
      <c r="J3479" s="4" t="s">
        <v>2316</v>
      </c>
      <c r="K3479" s="4" t="s">
        <v>2263</v>
      </c>
      <c r="L3479" s="10">
        <v>1806</v>
      </c>
      <c r="M3479" s="5">
        <v>766.52713178294584</v>
      </c>
      <c r="N3479" s="5">
        <v>1384348</v>
      </c>
    </row>
    <row r="3480" spans="1:14" x14ac:dyDescent="0.25">
      <c r="A3480" s="4" t="s">
        <v>2653</v>
      </c>
      <c r="B3480" s="4" t="s">
        <v>3226</v>
      </c>
      <c r="C3480" s="4" t="s">
        <v>3107</v>
      </c>
      <c r="D3480" s="4" t="s">
        <v>1105</v>
      </c>
      <c r="E3480" s="4" t="s">
        <v>3697</v>
      </c>
      <c r="F3480" s="4" t="s">
        <v>3696</v>
      </c>
      <c r="G3480" s="4" t="s">
        <v>2263</v>
      </c>
      <c r="H3480" s="9" t="s">
        <v>2263</v>
      </c>
      <c r="I3480" s="4" t="s">
        <v>2317</v>
      </c>
      <c r="J3480" s="4" t="s">
        <v>2316</v>
      </c>
      <c r="K3480" s="4" t="s">
        <v>2263</v>
      </c>
      <c r="L3480" s="10">
        <v>2100</v>
      </c>
      <c r="M3480" s="5">
        <v>87.043333333333322</v>
      </c>
      <c r="N3480" s="5">
        <v>182791</v>
      </c>
    </row>
    <row r="3481" spans="1:14" x14ac:dyDescent="0.25">
      <c r="A3481" s="4" t="s">
        <v>2653</v>
      </c>
      <c r="B3481" s="4" t="s">
        <v>3226</v>
      </c>
      <c r="C3481" s="4" t="s">
        <v>3107</v>
      </c>
      <c r="D3481" s="4" t="s">
        <v>1105</v>
      </c>
      <c r="E3481" s="4" t="s">
        <v>3651</v>
      </c>
      <c r="F3481" s="4" t="s">
        <v>3650</v>
      </c>
      <c r="G3481" s="4" t="s">
        <v>2263</v>
      </c>
      <c r="H3481" s="9" t="s">
        <v>2263</v>
      </c>
      <c r="I3481" s="4" t="s">
        <v>2317</v>
      </c>
      <c r="J3481" s="4" t="s">
        <v>2316</v>
      </c>
      <c r="K3481" s="4" t="s">
        <v>2263</v>
      </c>
      <c r="L3481" s="10">
        <v>2150</v>
      </c>
      <c r="M3481" s="5">
        <v>442.40148837209301</v>
      </c>
      <c r="N3481" s="5">
        <v>951163.2</v>
      </c>
    </row>
    <row r="3482" spans="1:14" x14ac:dyDescent="0.25">
      <c r="A3482" s="4" t="s">
        <v>2274</v>
      </c>
      <c r="B3482" s="4" t="s">
        <v>4348</v>
      </c>
      <c r="C3482" s="4" t="s">
        <v>2344</v>
      </c>
      <c r="D3482" s="4" t="s">
        <v>237</v>
      </c>
      <c r="E3482" s="4" t="s">
        <v>4755</v>
      </c>
      <c r="F3482" s="4" t="s">
        <v>4521</v>
      </c>
      <c r="G3482" s="4" t="s">
        <v>2263</v>
      </c>
      <c r="H3482" s="9" t="s">
        <v>2263</v>
      </c>
      <c r="I3482" s="4" t="s">
        <v>2263</v>
      </c>
      <c r="J3482" s="4" t="s">
        <v>2263</v>
      </c>
      <c r="K3482" s="4" t="s">
        <v>4520</v>
      </c>
      <c r="L3482" s="10">
        <v>2400</v>
      </c>
      <c r="M3482" s="5">
        <v>549.51703673469387</v>
      </c>
      <c r="N3482" s="5">
        <v>1318840.8881632653</v>
      </c>
    </row>
    <row r="3483" spans="1:14" x14ac:dyDescent="0.25">
      <c r="A3483" s="4" t="s">
        <v>2653</v>
      </c>
      <c r="B3483" s="4" t="s">
        <v>3226</v>
      </c>
      <c r="C3483" s="4" t="s">
        <v>3196</v>
      </c>
      <c r="D3483" s="4" t="s">
        <v>254</v>
      </c>
      <c r="E3483" s="4" t="s">
        <v>3556</v>
      </c>
      <c r="F3483" s="4" t="s">
        <v>3555</v>
      </c>
      <c r="G3483" s="4" t="s">
        <v>2263</v>
      </c>
      <c r="H3483" s="9" t="s">
        <v>2263</v>
      </c>
      <c r="I3483" s="4" t="s">
        <v>2317</v>
      </c>
      <c r="J3483" s="4" t="s">
        <v>2316</v>
      </c>
      <c r="K3483" s="4" t="s">
        <v>2263</v>
      </c>
      <c r="L3483" s="10">
        <v>2500</v>
      </c>
      <c r="M3483" s="5">
        <v>1505.3291999999999</v>
      </c>
      <c r="N3483" s="5">
        <v>3763323</v>
      </c>
    </row>
    <row r="3484" spans="1:14" x14ac:dyDescent="0.25">
      <c r="A3484" s="4" t="s">
        <v>2317</v>
      </c>
      <c r="B3484" s="4" t="s">
        <v>3839</v>
      </c>
      <c r="C3484" s="4" t="s">
        <v>2320</v>
      </c>
      <c r="D3484" s="4" t="s">
        <v>242</v>
      </c>
      <c r="E3484" s="4" t="s">
        <v>4111</v>
      </c>
      <c r="F3484" s="4" t="s">
        <v>4110</v>
      </c>
      <c r="G3484" s="4" t="s">
        <v>2263</v>
      </c>
      <c r="H3484" s="9" t="s">
        <v>2263</v>
      </c>
      <c r="I3484" s="4" t="s">
        <v>2317</v>
      </c>
      <c r="J3484" s="4" t="s">
        <v>2316</v>
      </c>
      <c r="K3484" s="4" t="s">
        <v>2263</v>
      </c>
      <c r="L3484" s="10">
        <v>2840</v>
      </c>
      <c r="M3484" s="5">
        <v>78.775359433007083</v>
      </c>
      <c r="N3484" s="5">
        <v>223722.02078974011</v>
      </c>
    </row>
    <row r="3485" spans="1:14" x14ac:dyDescent="0.25">
      <c r="A3485" s="4" t="s">
        <v>2653</v>
      </c>
      <c r="B3485" s="4" t="s">
        <v>3226</v>
      </c>
      <c r="C3485" s="4" t="s">
        <v>3107</v>
      </c>
      <c r="D3485" s="4" t="s">
        <v>1105</v>
      </c>
      <c r="E3485" s="4" t="s">
        <v>3643</v>
      </c>
      <c r="F3485" s="4" t="s">
        <v>3642</v>
      </c>
      <c r="G3485" s="4" t="s">
        <v>2263</v>
      </c>
      <c r="H3485" s="9" t="s">
        <v>2263</v>
      </c>
      <c r="I3485" s="4" t="s">
        <v>2317</v>
      </c>
      <c r="J3485" s="4" t="s">
        <v>2316</v>
      </c>
      <c r="K3485" s="4" t="s">
        <v>2263</v>
      </c>
      <c r="L3485" s="10">
        <v>3150</v>
      </c>
      <c r="M3485" s="5">
        <v>648.97333333333336</v>
      </c>
      <c r="N3485" s="5">
        <v>2044266</v>
      </c>
    </row>
    <row r="3486" spans="1:14" x14ac:dyDescent="0.25">
      <c r="A3486" s="4" t="s">
        <v>2317</v>
      </c>
      <c r="B3486" s="4" t="s">
        <v>3839</v>
      </c>
      <c r="C3486" s="4" t="s">
        <v>2320</v>
      </c>
      <c r="D3486" s="4" t="s">
        <v>242</v>
      </c>
      <c r="E3486" s="4" t="s">
        <v>2360</v>
      </c>
      <c r="F3486" s="4" t="s">
        <v>2359</v>
      </c>
      <c r="G3486" s="4" t="s">
        <v>2263</v>
      </c>
      <c r="H3486" s="9" t="s">
        <v>2263</v>
      </c>
      <c r="I3486" s="4" t="s">
        <v>2317</v>
      </c>
      <c r="J3486" s="4" t="s">
        <v>2316</v>
      </c>
      <c r="K3486" s="4" t="s">
        <v>2263</v>
      </c>
      <c r="L3486" s="10">
        <v>3400</v>
      </c>
      <c r="M3486" s="5">
        <v>261.77091875138365</v>
      </c>
      <c r="N3486" s="5">
        <v>890021.12375470449</v>
      </c>
    </row>
    <row r="3487" spans="1:14" x14ac:dyDescent="0.25">
      <c r="A3487" s="4" t="s">
        <v>2653</v>
      </c>
      <c r="B3487" s="4" t="s">
        <v>3226</v>
      </c>
      <c r="C3487" s="4" t="s">
        <v>3196</v>
      </c>
      <c r="D3487" s="4" t="s">
        <v>254</v>
      </c>
      <c r="E3487" s="4" t="s">
        <v>3574</v>
      </c>
      <c r="F3487" s="4" t="s">
        <v>3573</v>
      </c>
      <c r="G3487" s="4" t="s">
        <v>2263</v>
      </c>
      <c r="H3487" s="9" t="s">
        <v>2263</v>
      </c>
      <c r="I3487" s="4" t="s">
        <v>2317</v>
      </c>
      <c r="J3487" s="4" t="s">
        <v>2316</v>
      </c>
      <c r="K3487" s="4" t="s">
        <v>2263</v>
      </c>
      <c r="L3487" s="10">
        <v>3890</v>
      </c>
      <c r="M3487" s="5">
        <v>1562.3367609254499</v>
      </c>
      <c r="N3487" s="5">
        <v>6077490</v>
      </c>
    </row>
    <row r="3488" spans="1:14" x14ac:dyDescent="0.25">
      <c r="A3488" s="4" t="s">
        <v>2317</v>
      </c>
      <c r="B3488" s="4" t="s">
        <v>3839</v>
      </c>
      <c r="C3488" s="4" t="s">
        <v>2320</v>
      </c>
      <c r="D3488" s="4" t="s">
        <v>242</v>
      </c>
      <c r="E3488" s="4" t="s">
        <v>4253</v>
      </c>
      <c r="F3488" s="4" t="s">
        <v>4252</v>
      </c>
      <c r="G3488" s="4" t="s">
        <v>2263</v>
      </c>
      <c r="H3488" s="9" t="s">
        <v>2263</v>
      </c>
      <c r="I3488" s="4" t="s">
        <v>2317</v>
      </c>
      <c r="J3488" s="4" t="s">
        <v>2316</v>
      </c>
      <c r="K3488" s="4" t="s">
        <v>2263</v>
      </c>
      <c r="L3488" s="10">
        <v>4600</v>
      </c>
      <c r="M3488" s="5">
        <v>1000</v>
      </c>
      <c r="N3488" s="5">
        <v>4600000</v>
      </c>
    </row>
    <row r="3489" spans="1:14" x14ac:dyDescent="0.25">
      <c r="A3489" s="4" t="s">
        <v>2317</v>
      </c>
      <c r="B3489" s="4" t="s">
        <v>3839</v>
      </c>
      <c r="C3489" s="4" t="s">
        <v>2320</v>
      </c>
      <c r="D3489" s="4" t="s">
        <v>242</v>
      </c>
      <c r="E3489" s="4" t="s">
        <v>3833</v>
      </c>
      <c r="F3489" s="4" t="s">
        <v>3832</v>
      </c>
      <c r="G3489" s="4" t="s">
        <v>2263</v>
      </c>
      <c r="H3489" s="9" t="s">
        <v>2263</v>
      </c>
      <c r="I3489" s="4" t="s">
        <v>2317</v>
      </c>
      <c r="J3489" s="4" t="s">
        <v>2316</v>
      </c>
      <c r="K3489" s="4" t="s">
        <v>2263</v>
      </c>
      <c r="L3489" s="10">
        <v>4910</v>
      </c>
      <c r="M3489" s="5">
        <v>144.38078719397365</v>
      </c>
      <c r="N3489" s="5">
        <v>708909.66512241052</v>
      </c>
    </row>
    <row r="3490" spans="1:14" x14ac:dyDescent="0.25">
      <c r="A3490" s="4" t="s">
        <v>2317</v>
      </c>
      <c r="B3490" s="4" t="s">
        <v>3839</v>
      </c>
      <c r="C3490" s="4" t="s">
        <v>2320</v>
      </c>
      <c r="D3490" s="4" t="s">
        <v>242</v>
      </c>
      <c r="E3490" s="4" t="s">
        <v>3827</v>
      </c>
      <c r="F3490" s="4" t="s">
        <v>3826</v>
      </c>
      <c r="G3490" s="4" t="s">
        <v>2263</v>
      </c>
      <c r="H3490" s="9" t="s">
        <v>2263</v>
      </c>
      <c r="I3490" s="4" t="s">
        <v>2317</v>
      </c>
      <c r="J3490" s="4" t="s">
        <v>2316</v>
      </c>
      <c r="K3490" s="4" t="s">
        <v>2263</v>
      </c>
      <c r="L3490" s="10">
        <v>5900</v>
      </c>
      <c r="M3490" s="5">
        <v>344.36824454281793</v>
      </c>
      <c r="N3490" s="5">
        <v>2031772.6428026257</v>
      </c>
    </row>
    <row r="3491" spans="1:14" x14ac:dyDescent="0.25">
      <c r="A3491" s="4" t="s">
        <v>2317</v>
      </c>
      <c r="B3491" s="4" t="s">
        <v>3839</v>
      </c>
      <c r="C3491" s="4" t="s">
        <v>2320</v>
      </c>
      <c r="D3491" s="4" t="s">
        <v>242</v>
      </c>
      <c r="E3491" s="4" t="s">
        <v>2370</v>
      </c>
      <c r="F3491" s="4" t="s">
        <v>2369</v>
      </c>
      <c r="G3491" s="4" t="s">
        <v>2263</v>
      </c>
      <c r="H3491" s="9" t="s">
        <v>2263</v>
      </c>
      <c r="I3491" s="4" t="s">
        <v>2317</v>
      </c>
      <c r="J3491" s="4" t="s">
        <v>2316</v>
      </c>
      <c r="K3491" s="4" t="s">
        <v>2263</v>
      </c>
      <c r="L3491" s="10">
        <v>6200</v>
      </c>
      <c r="M3491" s="5">
        <v>303.54016676418956</v>
      </c>
      <c r="N3491" s="5">
        <v>1881949.0339379753</v>
      </c>
    </row>
    <row r="3492" spans="1:14" x14ac:dyDescent="0.25">
      <c r="A3492" s="4" t="s">
        <v>2653</v>
      </c>
      <c r="B3492" s="4" t="s">
        <v>3226</v>
      </c>
      <c r="C3492" s="4" t="s">
        <v>2384</v>
      </c>
      <c r="D3492" s="4" t="s">
        <v>262</v>
      </c>
      <c r="E3492" s="4" t="s">
        <v>3524</v>
      </c>
      <c r="F3492" s="4" t="s">
        <v>3523</v>
      </c>
      <c r="G3492" s="4" t="s">
        <v>2263</v>
      </c>
      <c r="H3492" s="9" t="s">
        <v>2263</v>
      </c>
      <c r="I3492" s="4" t="s">
        <v>2317</v>
      </c>
      <c r="J3492" s="4" t="s">
        <v>2316</v>
      </c>
      <c r="K3492" s="4" t="s">
        <v>2263</v>
      </c>
      <c r="L3492" s="10">
        <v>6500</v>
      </c>
      <c r="M3492" s="5">
        <v>201.59421538461538</v>
      </c>
      <c r="N3492" s="5">
        <v>1310362.3999999999</v>
      </c>
    </row>
    <row r="3493" spans="1:14" x14ac:dyDescent="0.25">
      <c r="A3493" s="4" t="s">
        <v>2274</v>
      </c>
      <c r="B3493" s="4" t="s">
        <v>4348</v>
      </c>
      <c r="C3493" s="4" t="s">
        <v>2344</v>
      </c>
      <c r="D3493" s="4" t="s">
        <v>237</v>
      </c>
      <c r="E3493" s="4" t="s">
        <v>2381</v>
      </c>
      <c r="F3493" s="4" t="s">
        <v>2380</v>
      </c>
      <c r="G3493" s="4" t="s">
        <v>2263</v>
      </c>
      <c r="H3493" s="9" t="s">
        <v>2263</v>
      </c>
      <c r="I3493" s="4" t="s">
        <v>2263</v>
      </c>
      <c r="J3493" s="4" t="s">
        <v>2263</v>
      </c>
      <c r="K3493" s="4" t="s">
        <v>2379</v>
      </c>
      <c r="L3493" s="10">
        <v>6700</v>
      </c>
      <c r="M3493" s="5">
        <v>2206.7211700182816</v>
      </c>
      <c r="N3493" s="5">
        <v>14785031.839122485</v>
      </c>
    </row>
    <row r="3494" spans="1:14" x14ac:dyDescent="0.25">
      <c r="A3494" s="4" t="s">
        <v>2274</v>
      </c>
      <c r="B3494" s="4" t="s">
        <v>4348</v>
      </c>
      <c r="C3494" s="4" t="s">
        <v>2344</v>
      </c>
      <c r="D3494" s="4" t="s">
        <v>237</v>
      </c>
      <c r="E3494" s="4" t="s">
        <v>4908</v>
      </c>
      <c r="F3494" s="4" t="s">
        <v>2543</v>
      </c>
      <c r="G3494" s="4" t="s">
        <v>2263</v>
      </c>
      <c r="H3494" s="9" t="s">
        <v>2263</v>
      </c>
      <c r="I3494" s="4" t="s">
        <v>2263</v>
      </c>
      <c r="J3494" s="4" t="s">
        <v>2263</v>
      </c>
      <c r="K3494" s="4" t="s">
        <v>2262</v>
      </c>
      <c r="L3494" s="10">
        <v>7200</v>
      </c>
      <c r="M3494" s="5">
        <v>57.828819978046106</v>
      </c>
      <c r="N3494" s="5">
        <v>416367.50384193193</v>
      </c>
    </row>
    <row r="3495" spans="1:14" x14ac:dyDescent="0.25">
      <c r="A3495" s="4" t="s">
        <v>2344</v>
      </c>
      <c r="B3495" s="4" t="s">
        <v>5154</v>
      </c>
      <c r="C3495" s="4" t="s">
        <v>2344</v>
      </c>
      <c r="D3495" s="4" t="s">
        <v>237</v>
      </c>
      <c r="E3495" s="4" t="s">
        <v>4908</v>
      </c>
      <c r="F3495" s="4" t="s">
        <v>2543</v>
      </c>
      <c r="G3495" s="4" t="s">
        <v>2263</v>
      </c>
      <c r="H3495" s="9" t="s">
        <v>2263</v>
      </c>
      <c r="I3495" s="4" t="s">
        <v>2263</v>
      </c>
      <c r="J3495" s="4" t="s">
        <v>2263</v>
      </c>
      <c r="K3495" s="4" t="s">
        <v>2262</v>
      </c>
      <c r="L3495" s="10">
        <v>7376</v>
      </c>
      <c r="M3495" s="5">
        <v>57.828819978046106</v>
      </c>
      <c r="N3495" s="5">
        <v>426545.37615806807</v>
      </c>
    </row>
    <row r="3496" spans="1:14" x14ac:dyDescent="0.25">
      <c r="A3496" s="4" t="s">
        <v>2317</v>
      </c>
      <c r="B3496" s="4" t="s">
        <v>3839</v>
      </c>
      <c r="C3496" s="4" t="s">
        <v>2320</v>
      </c>
      <c r="D3496" s="4" t="s">
        <v>242</v>
      </c>
      <c r="E3496" s="4" t="s">
        <v>3831</v>
      </c>
      <c r="F3496" s="4" t="s">
        <v>3830</v>
      </c>
      <c r="G3496" s="4" t="s">
        <v>2263</v>
      </c>
      <c r="H3496" s="9" t="s">
        <v>2263</v>
      </c>
      <c r="I3496" s="4" t="s">
        <v>2317</v>
      </c>
      <c r="J3496" s="4" t="s">
        <v>2316</v>
      </c>
      <c r="K3496" s="4" t="s">
        <v>2263</v>
      </c>
      <c r="L3496" s="10">
        <v>10350</v>
      </c>
      <c r="M3496" s="5">
        <v>82.798867924528309</v>
      </c>
      <c r="N3496" s="5">
        <v>856968.28301886783</v>
      </c>
    </row>
    <row r="3497" spans="1:14" x14ac:dyDescent="0.25">
      <c r="A3497" s="4" t="s">
        <v>2653</v>
      </c>
      <c r="B3497" s="4" t="s">
        <v>3226</v>
      </c>
      <c r="C3497" s="4" t="s">
        <v>2353</v>
      </c>
      <c r="D3497" s="4" t="s">
        <v>258</v>
      </c>
      <c r="E3497" s="4" t="s">
        <v>2352</v>
      </c>
      <c r="F3497" s="4" t="s">
        <v>2351</v>
      </c>
      <c r="G3497" s="4" t="s">
        <v>2263</v>
      </c>
      <c r="H3497" s="9" t="s">
        <v>2263</v>
      </c>
      <c r="I3497" s="4" t="s">
        <v>2317</v>
      </c>
      <c r="J3497" s="4" t="s">
        <v>2316</v>
      </c>
      <c r="K3497" s="4" t="s">
        <v>2263</v>
      </c>
      <c r="L3497" s="10">
        <v>26800</v>
      </c>
      <c r="M3497" s="5">
        <v>78.211748148148146</v>
      </c>
      <c r="N3497" s="5">
        <v>2096074.8503703703</v>
      </c>
    </row>
    <row r="3499" spans="1:14" ht="13.5" x14ac:dyDescent="0.25">
      <c r="N3499" s="11">
        <f>+SUM(N2:N3497)</f>
        <v>1231611331.5900004</v>
      </c>
    </row>
  </sheetData>
  <autoFilter ref="A1:N3497" xr:uid="{00000000-0009-0000-0000-000000000000}">
    <sortState xmlns:xlrd2="http://schemas.microsoft.com/office/spreadsheetml/2017/richdata2" ref="A2:N3497">
      <sortCondition ref="L2:L3497"/>
    </sortState>
  </autoFilter>
  <pageMargins left="0.7" right="0.7" top="0.75" bottom="0.75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CE9F-1341-4A6D-B2CB-0B7816681C0D}">
  <sheetPr>
    <tabColor rgb="FFFFC000"/>
  </sheetPr>
  <dimension ref="A3:F21"/>
  <sheetViews>
    <sheetView workbookViewId="0">
      <pane ySplit="3" topLeftCell="A4" activePane="bottomLeft" state="frozen"/>
      <selection pane="bottomLeft" activeCell="F4" sqref="F4"/>
    </sheetView>
  </sheetViews>
  <sheetFormatPr baseColWidth="10" defaultRowHeight="12.75" x14ac:dyDescent="0.25"/>
  <cols>
    <col min="1" max="1" width="17.5703125" style="2" bestFit="1" customWidth="1"/>
    <col min="2" max="2" width="33.85546875" style="2" bestFit="1" customWidth="1"/>
    <col min="3" max="3" width="19" style="24" bestFit="1" customWidth="1"/>
    <col min="4" max="4" width="13.42578125" style="24" bestFit="1" customWidth="1"/>
    <col min="5" max="5" width="11.42578125" style="24"/>
    <col min="6" max="6" width="12.140625" style="24" bestFit="1" customWidth="1"/>
    <col min="7" max="16384" width="11.42578125" style="2"/>
  </cols>
  <sheetData>
    <row r="3" spans="1:6" x14ac:dyDescent="0.25">
      <c r="A3" s="22" t="s">
        <v>5526</v>
      </c>
      <c r="B3" s="22" t="s">
        <v>5517</v>
      </c>
      <c r="C3" s="24" t="s">
        <v>5528</v>
      </c>
    </row>
    <row r="4" spans="1:6" ht="15" x14ac:dyDescent="0.25">
      <c r="A4" s="23" t="s">
        <v>2344</v>
      </c>
      <c r="B4" s="23" t="s">
        <v>237</v>
      </c>
      <c r="C4" s="24">
        <v>125219843.67999989</v>
      </c>
      <c r="D4" s="24">
        <f>+C4</f>
        <v>125219843.67999989</v>
      </c>
      <c r="E4" s="21"/>
      <c r="F4" s="24">
        <f>+D4+SUM(D7:D12)+D20</f>
        <v>326501378.15999985</v>
      </c>
    </row>
    <row r="5" spans="1:6" ht="15" x14ac:dyDescent="0.25">
      <c r="A5" s="23" t="s">
        <v>2320</v>
      </c>
      <c r="B5" s="23" t="s">
        <v>242</v>
      </c>
      <c r="C5" s="24">
        <v>632474278.78000009</v>
      </c>
      <c r="D5" s="24">
        <f t="shared" ref="D5:D20" si="0">+C5</f>
        <v>632474278.78000009</v>
      </c>
      <c r="E5" s="21"/>
      <c r="F5" s="24">
        <f>+D5+D6</f>
        <v>635113493.61000013</v>
      </c>
    </row>
    <row r="6" spans="1:6" ht="15" x14ac:dyDescent="0.25">
      <c r="A6" s="23" t="s">
        <v>3801</v>
      </c>
      <c r="B6" s="23" t="s">
        <v>3800</v>
      </c>
      <c r="C6" s="24">
        <v>2639214.8300000005</v>
      </c>
      <c r="D6" s="24">
        <f t="shared" si="0"/>
        <v>2639214.8300000005</v>
      </c>
      <c r="E6" s="21"/>
      <c r="F6" s="21"/>
    </row>
    <row r="7" spans="1:6" ht="15" x14ac:dyDescent="0.25">
      <c r="A7" s="23" t="s">
        <v>2279</v>
      </c>
      <c r="B7" s="23" t="s">
        <v>2278</v>
      </c>
      <c r="C7" s="24">
        <v>15563452.780000001</v>
      </c>
      <c r="D7" s="24">
        <f t="shared" si="0"/>
        <v>15563452.780000001</v>
      </c>
      <c r="E7" s="21"/>
      <c r="F7" s="21"/>
    </row>
    <row r="8" spans="1:6" ht="15" x14ac:dyDescent="0.25">
      <c r="A8" s="23" t="s">
        <v>2274</v>
      </c>
      <c r="B8" s="23" t="s">
        <v>2273</v>
      </c>
      <c r="C8" s="24">
        <v>149607871.10999998</v>
      </c>
      <c r="D8" s="24">
        <f t="shared" si="0"/>
        <v>149607871.10999998</v>
      </c>
      <c r="E8" s="21"/>
      <c r="F8" s="21"/>
    </row>
    <row r="9" spans="1:6" ht="15" x14ac:dyDescent="0.25">
      <c r="A9" s="23" t="s">
        <v>2317</v>
      </c>
      <c r="B9" s="23" t="s">
        <v>2516</v>
      </c>
      <c r="C9" s="24">
        <v>14335593.460000001</v>
      </c>
      <c r="D9" s="24">
        <f t="shared" si="0"/>
        <v>14335593.460000001</v>
      </c>
      <c r="E9" s="21"/>
      <c r="F9" s="21"/>
    </row>
    <row r="10" spans="1:6" ht="15" x14ac:dyDescent="0.25">
      <c r="A10" s="23" t="s">
        <v>2267</v>
      </c>
      <c r="B10" s="23" t="s">
        <v>2266</v>
      </c>
      <c r="C10" s="24">
        <v>9091094.5899999999</v>
      </c>
      <c r="D10" s="24">
        <f t="shared" si="0"/>
        <v>9091094.5899999999</v>
      </c>
      <c r="E10" s="21"/>
      <c r="F10" s="21"/>
    </row>
    <row r="11" spans="1:6" ht="15" x14ac:dyDescent="0.25">
      <c r="A11" s="23" t="s">
        <v>2653</v>
      </c>
      <c r="B11" s="23" t="s">
        <v>2652</v>
      </c>
      <c r="C11" s="24">
        <v>2260617.2800000003</v>
      </c>
      <c r="D11" s="24">
        <f t="shared" si="0"/>
        <v>2260617.2800000003</v>
      </c>
      <c r="E11" s="21"/>
      <c r="F11" s="21"/>
    </row>
    <row r="12" spans="1:6" ht="15" x14ac:dyDescent="0.25">
      <c r="A12" s="23" t="s">
        <v>2481</v>
      </c>
      <c r="B12" s="23" t="s">
        <v>2480</v>
      </c>
      <c r="C12" s="24">
        <v>10422492.260000002</v>
      </c>
      <c r="D12" s="24">
        <f t="shared" si="0"/>
        <v>10422492.260000002</v>
      </c>
      <c r="E12" s="21"/>
      <c r="F12" s="21"/>
    </row>
    <row r="13" spans="1:6" ht="15" x14ac:dyDescent="0.25">
      <c r="A13" s="23" t="s">
        <v>3070</v>
      </c>
      <c r="B13" s="23" t="s">
        <v>248</v>
      </c>
      <c r="C13" s="24">
        <v>13479055.42</v>
      </c>
      <c r="D13" s="24">
        <f t="shared" si="0"/>
        <v>13479055.42</v>
      </c>
      <c r="E13" s="21"/>
      <c r="F13" s="21"/>
    </row>
    <row r="14" spans="1:6" ht="15" x14ac:dyDescent="0.25">
      <c r="A14" s="23" t="s">
        <v>3107</v>
      </c>
      <c r="B14" s="23" t="s">
        <v>1105</v>
      </c>
      <c r="C14" s="24">
        <v>29016829.399999999</v>
      </c>
      <c r="D14" s="24">
        <f t="shared" si="0"/>
        <v>29016829.399999999</v>
      </c>
      <c r="E14" s="21"/>
      <c r="F14" s="21"/>
    </row>
    <row r="15" spans="1:6" ht="15" x14ac:dyDescent="0.25">
      <c r="A15" s="23" t="s">
        <v>3629</v>
      </c>
      <c r="B15" s="23" t="s">
        <v>264</v>
      </c>
      <c r="C15" s="24">
        <v>1045119.1799999999</v>
      </c>
      <c r="D15" s="24">
        <f t="shared" si="0"/>
        <v>1045119.1799999999</v>
      </c>
      <c r="E15" s="21"/>
      <c r="F15" s="21"/>
    </row>
    <row r="16" spans="1:6" ht="15" x14ac:dyDescent="0.25">
      <c r="A16" s="23" t="s">
        <v>3203</v>
      </c>
      <c r="B16" s="23" t="s">
        <v>256</v>
      </c>
      <c r="C16" s="24">
        <v>21244080.170000002</v>
      </c>
      <c r="D16" s="24">
        <f t="shared" si="0"/>
        <v>21244080.170000002</v>
      </c>
      <c r="E16" s="21"/>
      <c r="F16" s="21"/>
    </row>
    <row r="17" spans="1:6" ht="15" x14ac:dyDescent="0.25">
      <c r="A17" s="23" t="s">
        <v>3196</v>
      </c>
      <c r="B17" s="23" t="s">
        <v>254</v>
      </c>
      <c r="C17" s="24">
        <v>20882764.66</v>
      </c>
      <c r="D17" s="24">
        <f t="shared" si="0"/>
        <v>20882764.66</v>
      </c>
      <c r="E17" s="21"/>
      <c r="F17" s="21"/>
    </row>
    <row r="18" spans="1:6" ht="15" x14ac:dyDescent="0.25">
      <c r="A18" s="23" t="s">
        <v>2384</v>
      </c>
      <c r="B18" s="23" t="s">
        <v>262</v>
      </c>
      <c r="C18" s="24">
        <v>143037176.26000002</v>
      </c>
      <c r="D18" s="24">
        <f t="shared" si="0"/>
        <v>143037176.26000002</v>
      </c>
      <c r="E18" s="21"/>
      <c r="F18" s="21"/>
    </row>
    <row r="19" spans="1:6" ht="15" x14ac:dyDescent="0.25">
      <c r="A19" s="23" t="s">
        <v>2353</v>
      </c>
      <c r="B19" s="23" t="s">
        <v>258</v>
      </c>
      <c r="C19" s="24">
        <v>41291434.729999997</v>
      </c>
      <c r="D19" s="24">
        <f t="shared" si="0"/>
        <v>41291434.729999997</v>
      </c>
      <c r="E19" s="21"/>
      <c r="F19" s="21"/>
    </row>
    <row r="20" spans="1:6" ht="15" x14ac:dyDescent="0.25">
      <c r="A20" s="23" t="s">
        <v>3174</v>
      </c>
      <c r="B20" s="23" t="s">
        <v>4347</v>
      </c>
      <c r="C20" s="24">
        <v>413</v>
      </c>
      <c r="D20" s="24">
        <f t="shared" si="0"/>
        <v>413</v>
      </c>
      <c r="E20" s="21"/>
      <c r="F20" s="21"/>
    </row>
    <row r="21" spans="1:6" ht="15" x14ac:dyDescent="0.25">
      <c r="A21" s="23" t="s">
        <v>5527</v>
      </c>
      <c r="C21" s="24">
        <v>1231611331.5899999</v>
      </c>
      <c r="D21" s="24">
        <f>SUM(D4:D20)</f>
        <v>1231611331.5899999</v>
      </c>
      <c r="E21" s="21"/>
      <c r="F21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7017-9F90-4F93-82B9-186B424BF8D4}">
  <dimension ref="B2:E14"/>
  <sheetViews>
    <sheetView showGridLines="0" tabSelected="1" workbookViewId="0">
      <selection activeCell="D15" sqref="D15"/>
    </sheetView>
  </sheetViews>
  <sheetFormatPr baseColWidth="10" defaultRowHeight="15" x14ac:dyDescent="0.25"/>
  <cols>
    <col min="2" max="2" width="46.140625" bestFit="1" customWidth="1"/>
    <col min="3" max="3" width="15.28515625" bestFit="1" customWidth="1"/>
    <col min="4" max="4" width="19.5703125" bestFit="1" customWidth="1"/>
    <col min="5" max="5" width="14.140625" bestFit="1" customWidth="1"/>
  </cols>
  <sheetData>
    <row r="2" spans="2:5" ht="16.5" x14ac:dyDescent="0.3">
      <c r="B2" s="12" t="s">
        <v>5521</v>
      </c>
      <c r="C2" s="12" t="s">
        <v>5522</v>
      </c>
      <c r="D2" s="13" t="s">
        <v>5523</v>
      </c>
      <c r="E2" s="14" t="s">
        <v>5524</v>
      </c>
    </row>
    <row r="3" spans="2:5" ht="15.75" x14ac:dyDescent="0.25">
      <c r="B3" s="15" t="s">
        <v>256</v>
      </c>
      <c r="C3" s="16">
        <f>+Bg!K149</f>
        <v>20913018.100000001</v>
      </c>
      <c r="D3" s="17">
        <f>+'Dk Inventario'!D16</f>
        <v>21244080.170000002</v>
      </c>
      <c r="E3" s="17">
        <f>+C3-D3</f>
        <v>-331062.0700000003</v>
      </c>
    </row>
    <row r="4" spans="2:5" ht="15.75" x14ac:dyDescent="0.25">
      <c r="B4" s="15" t="s">
        <v>258</v>
      </c>
      <c r="C4" s="16">
        <f>+Bg!K150</f>
        <v>37945851.5</v>
      </c>
      <c r="D4" s="17">
        <f>+'Dk Inventario'!D19</f>
        <v>41291434.729999997</v>
      </c>
      <c r="E4" s="17">
        <f t="shared" ref="E4:E11" si="0">+C4-D4</f>
        <v>-3345583.2299999967</v>
      </c>
    </row>
    <row r="5" spans="2:5" ht="15.75" x14ac:dyDescent="0.25">
      <c r="B5" s="15" t="s">
        <v>248</v>
      </c>
      <c r="C5" s="16">
        <f>+Bg!K144</f>
        <v>13402081.76</v>
      </c>
      <c r="D5" s="17">
        <f>+'Dk Inventario'!D13</f>
        <v>13479055.42</v>
      </c>
      <c r="E5" s="17">
        <f t="shared" si="0"/>
        <v>-76973.660000000149</v>
      </c>
    </row>
    <row r="6" spans="2:5" ht="15.75" x14ac:dyDescent="0.25">
      <c r="B6" s="15" t="s">
        <v>262</v>
      </c>
      <c r="C6" s="16">
        <f>+Bg!K152</f>
        <v>154062740.37</v>
      </c>
      <c r="D6" s="17">
        <f>+'Dk Inventario'!D18</f>
        <v>143037176.26000002</v>
      </c>
      <c r="E6" s="17">
        <f t="shared" si="0"/>
        <v>11025564.109999985</v>
      </c>
    </row>
    <row r="7" spans="2:5" ht="15.75" x14ac:dyDescent="0.25">
      <c r="B7" s="15" t="s">
        <v>237</v>
      </c>
      <c r="C7" s="16">
        <f>+Bg!K139</f>
        <v>326736954.80000001</v>
      </c>
      <c r="D7" s="17">
        <f>+'Dk Inventario'!F4</f>
        <v>326501378.15999985</v>
      </c>
      <c r="E7" s="17">
        <f t="shared" si="0"/>
        <v>235576.64000016451</v>
      </c>
    </row>
    <row r="8" spans="2:5" ht="15.75" x14ac:dyDescent="0.25">
      <c r="B8" s="15" t="s">
        <v>246</v>
      </c>
      <c r="C8" s="16">
        <f>+Bg!K143</f>
        <v>682824960.23000002</v>
      </c>
      <c r="D8" s="17">
        <f>+'Dk Inventario'!F5</f>
        <v>635113493.61000013</v>
      </c>
      <c r="E8" s="17">
        <f t="shared" si="0"/>
        <v>47711466.619999886</v>
      </c>
    </row>
    <row r="9" spans="2:5" ht="15.75" x14ac:dyDescent="0.25">
      <c r="B9" s="15" t="s">
        <v>264</v>
      </c>
      <c r="C9" s="16">
        <f>+Bg!K153</f>
        <v>1333208.82</v>
      </c>
      <c r="D9" s="17">
        <f>+'Dk Inventario'!D15</f>
        <v>1045119.1799999999</v>
      </c>
      <c r="E9" s="17">
        <f t="shared" si="0"/>
        <v>288089.64000000013</v>
      </c>
    </row>
    <row r="10" spans="2:5" ht="15.75" x14ac:dyDescent="0.25">
      <c r="B10" s="15" t="s">
        <v>260</v>
      </c>
      <c r="C10" s="16">
        <f>+Bg!K151</f>
        <v>24181685.219999999</v>
      </c>
      <c r="D10" s="17">
        <f>+'Dk Inventario'!D14</f>
        <v>29016829.399999999</v>
      </c>
      <c r="E10" s="17">
        <f t="shared" si="0"/>
        <v>-4835144.18</v>
      </c>
    </row>
    <row r="11" spans="2:5" ht="15.75" x14ac:dyDescent="0.25">
      <c r="B11" s="15" t="s">
        <v>254</v>
      </c>
      <c r="C11" s="16">
        <f>+Bg!K148</f>
        <v>19769421.670000002</v>
      </c>
      <c r="D11" s="17">
        <f>+'Dk Inventario'!D17</f>
        <v>20882764.66</v>
      </c>
      <c r="E11" s="17">
        <f t="shared" si="0"/>
        <v>-1113342.9899999984</v>
      </c>
    </row>
    <row r="12" spans="2:5" ht="16.5" x14ac:dyDescent="0.25">
      <c r="B12" s="18" t="s">
        <v>5525</v>
      </c>
      <c r="C12" s="19">
        <f>SUM(C3:C11)</f>
        <v>1281169922.47</v>
      </c>
      <c r="D12" s="19">
        <f>SUM(D3:D11)</f>
        <v>1231611331.5900002</v>
      </c>
      <c r="E12" s="19">
        <f t="shared" ref="E12" si="1">SUM(E3:E11)</f>
        <v>49558590.88000004</v>
      </c>
    </row>
    <row r="14" spans="2:5" x14ac:dyDescent="0.25">
      <c r="C14" s="20">
        <f>+C12-Bg!K135</f>
        <v>0</v>
      </c>
      <c r="D14" s="20">
        <f>+D12-GETPIVOTDATA("Costo Total",'Dk Inventario'!$A$3)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</vt:lpstr>
      <vt:lpstr>Bg</vt:lpstr>
      <vt:lpstr>Inventario</vt:lpstr>
      <vt:lpstr>Dk Inventario</vt:lpstr>
      <vt:lpstr>Conciliacion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Miticanoy Crespo</dc:creator>
  <cp:lastModifiedBy>Juan Carlos Miticanoy Crespo</cp:lastModifiedBy>
  <dcterms:created xsi:type="dcterms:W3CDTF">2024-12-02T11:54:01Z</dcterms:created>
  <dcterms:modified xsi:type="dcterms:W3CDTF">2024-12-02T12:53:49Z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20.1.8.0</vt:lpwstr>
  </property>
</Properties>
</file>